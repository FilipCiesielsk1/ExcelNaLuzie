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E:\ExcelNaLuzie\Realizacje\Sales_Performance\"/>
    </mc:Choice>
  </mc:AlternateContent>
  <xr:revisionPtr revIDLastSave="0" documentId="13_ncr:1_{684FCDD5-3841-462E-AEE3-80AB1F3943C6}" xr6:coauthVersionLast="47" xr6:coauthVersionMax="47" xr10:uidLastSave="{00000000-0000-0000-0000-000000000000}"/>
  <bookViews>
    <workbookView xWindow="-120" yWindow="-120" windowWidth="29040" windowHeight="15720" xr2:uid="{ECCDBCC4-8040-4241-87BD-01B7C2F56C25}"/>
  </bookViews>
  <sheets>
    <sheet name="DASHBOARD" sheetId="2" r:id="rId1"/>
    <sheet name="SPRZEDAŻ" sheetId="3" r:id="rId2"/>
    <sheet name="CELE" sheetId="4" r:id="rId3"/>
    <sheet name="SŁOWNIKI" sheetId="5" r:id="rId4"/>
    <sheet name="ANALIZA" sheetId="6" state="hidden" r:id="rId5"/>
    <sheet name="USTAWIENIA" sheetId="7" r:id="rId6"/>
    <sheet name="INSTRUKCJA" sheetId="8" r:id="rId7"/>
  </sheets>
  <functionGroups builtInGroupCount="19"/>
  <definedNames>
    <definedName name="filtrMiesiac">DASHBOARD!$J$6</definedName>
    <definedName name="filtrRegion">DASHBOARD!$Q$6</definedName>
    <definedName name="filtrRok">DASHBOARD!$C$6</definedName>
    <definedName name="lstHandlowcy">SŁOWNIKI!$C$6:$C$15</definedName>
    <definedName name="lstKategorie">SŁOWNIKI!$G$6:$G$10</definedName>
    <definedName name="lstKlienci">SŁOWNIKI!$I$6:$I$80</definedName>
    <definedName name="lstLata">SŁOWNIKI!$M$6:$M$7</definedName>
    <definedName name="lstMiesiace">SŁOWNIKI!$K$6:$K$18</definedName>
    <definedName name="lstProdukty">SŁOWNIKI!$E$6:$E$35</definedName>
    <definedName name="lstRegionFiltr">SŁOWNIKI!$O$6:$O$11</definedName>
    <definedName name="lstRegiony">SŁOWNIKI!$A$6:$A$10</definedName>
    <definedName name="_xlnm.Print_Area" localSheetId="0">DASHBOARD!$A$1:$AC$49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6" l="1"/>
  <c r="B4" i="6"/>
  <c r="B3" i="6"/>
  <c r="B2" i="6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S1758" i="3"/>
  <c r="S1759" i="3"/>
  <c r="S1760" i="3"/>
  <c r="S1761" i="3"/>
  <c r="S1762" i="3"/>
  <c r="S1763" i="3"/>
  <c r="S1764" i="3"/>
  <c r="S1765" i="3"/>
  <c r="S1766" i="3"/>
  <c r="S1767" i="3"/>
  <c r="S1768" i="3"/>
  <c r="S1769" i="3"/>
  <c r="S1770" i="3"/>
  <c r="S1771" i="3"/>
  <c r="S1772" i="3"/>
  <c r="S1773" i="3"/>
  <c r="S1774" i="3"/>
  <c r="S1775" i="3"/>
  <c r="S1776" i="3"/>
  <c r="S1777" i="3"/>
  <c r="S1778" i="3"/>
  <c r="S1779" i="3"/>
  <c r="S1780" i="3"/>
  <c r="S1781" i="3"/>
  <c r="S1782" i="3"/>
  <c r="S1783" i="3"/>
  <c r="S1784" i="3"/>
  <c r="S1785" i="3"/>
  <c r="S1786" i="3"/>
  <c r="S1787" i="3"/>
  <c r="S1788" i="3"/>
  <c r="S1789" i="3"/>
  <c r="S1790" i="3"/>
  <c r="S1791" i="3"/>
  <c r="S1792" i="3"/>
  <c r="S1793" i="3"/>
  <c r="S1794" i="3"/>
  <c r="S1795" i="3"/>
  <c r="S1796" i="3"/>
  <c r="S1797" i="3"/>
  <c r="S1798" i="3"/>
  <c r="S1799" i="3"/>
  <c r="S1800" i="3"/>
  <c r="S1801" i="3"/>
  <c r="S1802" i="3"/>
  <c r="S1803" i="3"/>
  <c r="S1804" i="3"/>
  <c r="S1805" i="3"/>
  <c r="S1806" i="3"/>
  <c r="S1807" i="3"/>
  <c r="S1808" i="3"/>
  <c r="S1809" i="3"/>
  <c r="S1810" i="3"/>
  <c r="S1811" i="3"/>
  <c r="S1812" i="3"/>
  <c r="S1813" i="3"/>
  <c r="S1814" i="3"/>
  <c r="S1815" i="3"/>
  <c r="S1816" i="3"/>
  <c r="S1817" i="3"/>
  <c r="S1818" i="3"/>
  <c r="S1819" i="3"/>
  <c r="S1820" i="3"/>
  <c r="S1821" i="3"/>
  <c r="S1822" i="3"/>
  <c r="S1823" i="3"/>
  <c r="S1824" i="3"/>
  <c r="S1825" i="3"/>
  <c r="S1826" i="3"/>
  <c r="S1827" i="3"/>
  <c r="S1828" i="3"/>
  <c r="S1829" i="3"/>
  <c r="S1830" i="3"/>
  <c r="S1831" i="3"/>
  <c r="S1832" i="3"/>
  <c r="S1833" i="3"/>
  <c r="S1834" i="3"/>
  <c r="S1835" i="3"/>
  <c r="S1836" i="3"/>
  <c r="S1837" i="3"/>
  <c r="S1838" i="3"/>
  <c r="S1839" i="3"/>
  <c r="S1840" i="3"/>
  <c r="S1841" i="3"/>
  <c r="S1842" i="3"/>
  <c r="S1843" i="3"/>
  <c r="S1844" i="3"/>
  <c r="S1845" i="3"/>
  <c r="S1846" i="3"/>
  <c r="S1847" i="3"/>
  <c r="S1848" i="3"/>
  <c r="S1849" i="3"/>
  <c r="S1850" i="3"/>
  <c r="S1851" i="3"/>
  <c r="S1852" i="3"/>
  <c r="S1853" i="3"/>
  <c r="S1854" i="3"/>
  <c r="S1855" i="3"/>
  <c r="S1856" i="3"/>
  <c r="S1857" i="3"/>
  <c r="S1858" i="3"/>
  <c r="S1859" i="3"/>
  <c r="S1860" i="3"/>
  <c r="S1861" i="3"/>
  <c r="S1862" i="3"/>
  <c r="S1863" i="3"/>
  <c r="S1864" i="3"/>
  <c r="S1865" i="3"/>
  <c r="S1866" i="3"/>
  <c r="S1867" i="3"/>
  <c r="S1868" i="3"/>
  <c r="S1869" i="3"/>
  <c r="S1870" i="3"/>
  <c r="S1871" i="3"/>
  <c r="S1872" i="3"/>
  <c r="S1873" i="3"/>
  <c r="S1874" i="3"/>
  <c r="S1875" i="3"/>
  <c r="S1876" i="3"/>
  <c r="S1877" i="3"/>
  <c r="S1878" i="3"/>
  <c r="S1879" i="3"/>
  <c r="S1880" i="3"/>
  <c r="S1881" i="3"/>
  <c r="S1882" i="3"/>
  <c r="S1883" i="3"/>
  <c r="S1884" i="3"/>
  <c r="S1885" i="3"/>
  <c r="S1886" i="3"/>
  <c r="S1887" i="3"/>
  <c r="S1888" i="3"/>
  <c r="S1889" i="3"/>
  <c r="S1890" i="3"/>
  <c r="S1891" i="3"/>
  <c r="S1892" i="3"/>
  <c r="S1893" i="3"/>
  <c r="S1894" i="3"/>
  <c r="S1895" i="3"/>
  <c r="S1896" i="3"/>
  <c r="S1897" i="3"/>
  <c r="S1898" i="3"/>
  <c r="S1899" i="3"/>
  <c r="S1900" i="3"/>
  <c r="S1901" i="3"/>
  <c r="S1902" i="3"/>
  <c r="S1903" i="3"/>
  <c r="S1904" i="3"/>
  <c r="S1905" i="3"/>
  <c r="S1906" i="3"/>
  <c r="S1907" i="3"/>
  <c r="S1908" i="3"/>
  <c r="S1909" i="3"/>
  <c r="S1910" i="3"/>
  <c r="S1911" i="3"/>
  <c r="S1912" i="3"/>
  <c r="S1913" i="3"/>
  <c r="S1914" i="3"/>
  <c r="S1915" i="3"/>
  <c r="S1916" i="3"/>
  <c r="S1917" i="3"/>
  <c r="S1918" i="3"/>
  <c r="S1919" i="3"/>
  <c r="S1920" i="3"/>
  <c r="S1921" i="3"/>
  <c r="S1922" i="3"/>
  <c r="S1923" i="3"/>
  <c r="S1924" i="3"/>
  <c r="S1925" i="3"/>
  <c r="S1926" i="3"/>
  <c r="S1927" i="3"/>
  <c r="S1928" i="3"/>
  <c r="S1929" i="3"/>
  <c r="S1930" i="3"/>
  <c r="S1931" i="3"/>
  <c r="S1932" i="3"/>
  <c r="S1933" i="3"/>
  <c r="S1934" i="3"/>
  <c r="S1935" i="3"/>
  <c r="S1936" i="3"/>
  <c r="S1937" i="3"/>
  <c r="S1938" i="3"/>
  <c r="S1939" i="3"/>
  <c r="S1940" i="3"/>
  <c r="S1941" i="3"/>
  <c r="S1942" i="3"/>
  <c r="S1943" i="3"/>
  <c r="S1944" i="3"/>
  <c r="S1945" i="3"/>
  <c r="S1946" i="3"/>
  <c r="S1947" i="3"/>
  <c r="S1948" i="3"/>
  <c r="S1949" i="3"/>
  <c r="S1950" i="3"/>
  <c r="S1951" i="3"/>
  <c r="S1952" i="3"/>
  <c r="S1953" i="3"/>
  <c r="S1954" i="3"/>
  <c r="S1955" i="3"/>
  <c r="S1956" i="3"/>
  <c r="S1957" i="3"/>
  <c r="S1958" i="3"/>
  <c r="S1959" i="3"/>
  <c r="S1960" i="3"/>
  <c r="S1961" i="3"/>
  <c r="S1962" i="3"/>
  <c r="S1963" i="3"/>
  <c r="S1964" i="3"/>
  <c r="S1965" i="3"/>
  <c r="S1966" i="3"/>
  <c r="S1967" i="3"/>
  <c r="S1968" i="3"/>
  <c r="S1969" i="3"/>
  <c r="S1970" i="3"/>
  <c r="S1971" i="3"/>
  <c r="S1972" i="3"/>
  <c r="S1973" i="3"/>
  <c r="S1974" i="3"/>
  <c r="S1975" i="3"/>
  <c r="S1976" i="3"/>
  <c r="S1977" i="3"/>
  <c r="S1978" i="3"/>
  <c r="S1979" i="3"/>
  <c r="S1980" i="3"/>
  <c r="S1981" i="3"/>
  <c r="S1982" i="3"/>
  <c r="S1983" i="3"/>
  <c r="S1984" i="3"/>
  <c r="S1985" i="3"/>
  <c r="S1986" i="3"/>
  <c r="S1987" i="3"/>
  <c r="S1988" i="3"/>
  <c r="S1989" i="3"/>
  <c r="S1990" i="3"/>
  <c r="S1991" i="3"/>
  <c r="S1992" i="3"/>
  <c r="S1993" i="3"/>
  <c r="S1994" i="3"/>
  <c r="S1995" i="3"/>
  <c r="S1996" i="3"/>
  <c r="S1997" i="3"/>
  <c r="S1998" i="3"/>
  <c r="S1999" i="3"/>
  <c r="S2000" i="3"/>
  <c r="S2001" i="3"/>
  <c r="S2002" i="3"/>
  <c r="S2003" i="3"/>
  <c r="S2004" i="3"/>
  <c r="S2005" i="3"/>
  <c r="S2006" i="3"/>
  <c r="S2007" i="3"/>
  <c r="S2008" i="3"/>
  <c r="S2009" i="3"/>
  <c r="S2010" i="3"/>
  <c r="S2011" i="3"/>
  <c r="S2012" i="3"/>
  <c r="S2013" i="3"/>
  <c r="S2014" i="3"/>
  <c r="S2015" i="3"/>
  <c r="S2016" i="3"/>
  <c r="S2017" i="3"/>
  <c r="S2018" i="3"/>
  <c r="S2019" i="3"/>
  <c r="S2020" i="3"/>
  <c r="S2021" i="3"/>
  <c r="S2022" i="3"/>
  <c r="S2023" i="3"/>
  <c r="S2024" i="3"/>
  <c r="S2025" i="3"/>
  <c r="S2026" i="3"/>
  <c r="S2027" i="3"/>
  <c r="S2028" i="3"/>
  <c r="S2029" i="3"/>
  <c r="S2030" i="3"/>
  <c r="S2031" i="3"/>
  <c r="S2032" i="3"/>
  <c r="S2033" i="3"/>
  <c r="S2034" i="3"/>
  <c r="S2035" i="3"/>
  <c r="S2036" i="3"/>
  <c r="S2037" i="3"/>
  <c r="S2038" i="3"/>
  <c r="S2039" i="3"/>
  <c r="S2040" i="3"/>
  <c r="S2041" i="3"/>
  <c r="S2042" i="3"/>
  <c r="S2043" i="3"/>
  <c r="S2044" i="3"/>
  <c r="S2045" i="3"/>
  <c r="S2046" i="3"/>
  <c r="S2047" i="3"/>
  <c r="S2048" i="3"/>
  <c r="S2049" i="3"/>
  <c r="S2050" i="3"/>
  <c r="S2051" i="3"/>
  <c r="S2052" i="3"/>
  <c r="S2053" i="3"/>
  <c r="S2054" i="3"/>
  <c r="S2055" i="3"/>
  <c r="S2056" i="3"/>
  <c r="S2057" i="3"/>
  <c r="S2058" i="3"/>
  <c r="S2059" i="3"/>
  <c r="S2060" i="3"/>
  <c r="S2061" i="3"/>
  <c r="S2062" i="3"/>
  <c r="S2063" i="3"/>
  <c r="S2064" i="3"/>
  <c r="S2065" i="3"/>
  <c r="S2066" i="3"/>
  <c r="S2067" i="3"/>
  <c r="S2068" i="3"/>
  <c r="S2069" i="3"/>
  <c r="S2070" i="3"/>
  <c r="S2071" i="3"/>
  <c r="S2072" i="3"/>
  <c r="S2073" i="3"/>
  <c r="S2074" i="3"/>
  <c r="S2075" i="3"/>
  <c r="S2076" i="3"/>
  <c r="S2077" i="3"/>
  <c r="S2078" i="3"/>
  <c r="S2079" i="3"/>
  <c r="S2080" i="3"/>
  <c r="S2081" i="3"/>
  <c r="S2082" i="3"/>
  <c r="S2083" i="3"/>
  <c r="S2084" i="3"/>
  <c r="S2085" i="3"/>
  <c r="S2086" i="3"/>
  <c r="S2087" i="3"/>
  <c r="S2088" i="3"/>
  <c r="S2089" i="3"/>
  <c r="S2090" i="3"/>
  <c r="S2091" i="3"/>
  <c r="S2092" i="3"/>
  <c r="S2093" i="3"/>
  <c r="S2094" i="3"/>
  <c r="S2095" i="3"/>
  <c r="S2096" i="3"/>
  <c r="S2097" i="3"/>
  <c r="S2098" i="3"/>
  <c r="S2099" i="3"/>
  <c r="S2100" i="3"/>
  <c r="S2101" i="3"/>
  <c r="S2102" i="3"/>
  <c r="S2103" i="3"/>
  <c r="S2104" i="3"/>
  <c r="S2105" i="3"/>
  <c r="S2106" i="3"/>
  <c r="S2107" i="3"/>
  <c r="S2108" i="3"/>
  <c r="S2109" i="3"/>
  <c r="S2110" i="3"/>
  <c r="S2111" i="3"/>
  <c r="S2112" i="3"/>
  <c r="S2113" i="3"/>
  <c r="S2114" i="3"/>
  <c r="S2115" i="3"/>
  <c r="S2116" i="3"/>
  <c r="S2117" i="3"/>
  <c r="S2118" i="3"/>
  <c r="S2119" i="3"/>
  <c r="S2120" i="3"/>
  <c r="S2121" i="3"/>
  <c r="S2122" i="3"/>
  <c r="S2123" i="3"/>
  <c r="S2124" i="3"/>
  <c r="S2125" i="3"/>
  <c r="S2126" i="3"/>
  <c r="S2127" i="3"/>
  <c r="S2128" i="3"/>
  <c r="S2129" i="3"/>
  <c r="S2130" i="3"/>
  <c r="S2131" i="3"/>
  <c r="S2132" i="3"/>
  <c r="S2133" i="3"/>
  <c r="S2134" i="3"/>
  <c r="S2135" i="3"/>
  <c r="S2136" i="3"/>
  <c r="S2137" i="3"/>
  <c r="S2138" i="3"/>
  <c r="S2139" i="3"/>
  <c r="S2140" i="3"/>
  <c r="S2141" i="3"/>
  <c r="S2142" i="3"/>
  <c r="S2143" i="3"/>
  <c r="S2144" i="3"/>
  <c r="S2145" i="3"/>
  <c r="S2146" i="3"/>
  <c r="S2147" i="3"/>
  <c r="S2148" i="3"/>
  <c r="S2149" i="3"/>
  <c r="S2150" i="3"/>
  <c r="S2151" i="3"/>
  <c r="S2152" i="3"/>
  <c r="S2153" i="3"/>
  <c r="S2154" i="3"/>
  <c r="S2155" i="3"/>
  <c r="S2156" i="3"/>
  <c r="S2157" i="3"/>
  <c r="S2158" i="3"/>
  <c r="S2159" i="3"/>
  <c r="S2160" i="3"/>
  <c r="S2161" i="3"/>
  <c r="S2162" i="3"/>
  <c r="S2163" i="3"/>
  <c r="S2164" i="3"/>
  <c r="S2165" i="3"/>
  <c r="S2166" i="3"/>
  <c r="S2167" i="3"/>
  <c r="S2168" i="3"/>
  <c r="S2169" i="3"/>
  <c r="S2170" i="3"/>
  <c r="S2171" i="3"/>
  <c r="S2172" i="3"/>
  <c r="S2173" i="3"/>
  <c r="S2174" i="3"/>
  <c r="S2175" i="3"/>
  <c r="S2176" i="3"/>
  <c r="S2177" i="3"/>
  <c r="S2178" i="3"/>
  <c r="S2179" i="3"/>
  <c r="S2180" i="3"/>
  <c r="S2181" i="3"/>
  <c r="S2182" i="3"/>
  <c r="S2183" i="3"/>
  <c r="S2184" i="3"/>
  <c r="S2185" i="3"/>
  <c r="S2186" i="3"/>
  <c r="S2187" i="3"/>
  <c r="S2188" i="3"/>
  <c r="S2189" i="3"/>
  <c r="S2190" i="3"/>
  <c r="S2191" i="3"/>
  <c r="S2192" i="3"/>
  <c r="S2193" i="3"/>
  <c r="S2194" i="3"/>
  <c r="S2195" i="3"/>
  <c r="S2196" i="3"/>
  <c r="S2197" i="3"/>
  <c r="S2198" i="3"/>
  <c r="S2199" i="3"/>
  <c r="S2200" i="3"/>
  <c r="S2201" i="3"/>
  <c r="S2202" i="3"/>
  <c r="S2203" i="3"/>
  <c r="S2204" i="3"/>
  <c r="S2205" i="3"/>
  <c r="S2206" i="3"/>
  <c r="S2207" i="3"/>
  <c r="S2208" i="3"/>
  <c r="S2209" i="3"/>
  <c r="S2210" i="3"/>
  <c r="S2211" i="3"/>
  <c r="S2212" i="3"/>
  <c r="S2213" i="3"/>
  <c r="S2214" i="3"/>
  <c r="S2215" i="3"/>
  <c r="S2216" i="3"/>
  <c r="S2217" i="3"/>
  <c r="S2218" i="3"/>
  <c r="S2219" i="3"/>
  <c r="S2220" i="3"/>
  <c r="S2221" i="3"/>
  <c r="S2222" i="3"/>
  <c r="S2223" i="3"/>
  <c r="S2224" i="3"/>
  <c r="S2225" i="3"/>
  <c r="S2226" i="3"/>
  <c r="S2227" i="3"/>
  <c r="S2228" i="3"/>
  <c r="S2229" i="3"/>
  <c r="S2230" i="3"/>
  <c r="S2231" i="3"/>
  <c r="S2232" i="3"/>
  <c r="S2233" i="3"/>
  <c r="S2234" i="3"/>
  <c r="S2235" i="3"/>
  <c r="S2236" i="3"/>
  <c r="S2237" i="3"/>
  <c r="S2238" i="3"/>
  <c r="S2239" i="3"/>
  <c r="S2240" i="3"/>
  <c r="S2241" i="3"/>
  <c r="S2242" i="3"/>
  <c r="S2243" i="3"/>
  <c r="S2244" i="3"/>
  <c r="S2245" i="3"/>
  <c r="S2246" i="3"/>
  <c r="S2247" i="3"/>
  <c r="S2248" i="3"/>
  <c r="S2249" i="3"/>
  <c r="S2250" i="3"/>
  <c r="S2251" i="3"/>
  <c r="S2252" i="3"/>
  <c r="S2253" i="3"/>
  <c r="S2254" i="3"/>
  <c r="S2255" i="3"/>
  <c r="S2256" i="3"/>
  <c r="S2257" i="3"/>
  <c r="S2258" i="3"/>
  <c r="S2259" i="3"/>
  <c r="S2260" i="3"/>
  <c r="S2261" i="3"/>
  <c r="S2262" i="3"/>
  <c r="S2263" i="3"/>
  <c r="S2264" i="3"/>
  <c r="S2265" i="3"/>
  <c r="S2266" i="3"/>
  <c r="S2267" i="3"/>
  <c r="S2268" i="3"/>
  <c r="S2269" i="3"/>
  <c r="S2270" i="3"/>
  <c r="S2271" i="3"/>
  <c r="S2272" i="3"/>
  <c r="S2273" i="3"/>
  <c r="S2274" i="3"/>
  <c r="S2275" i="3"/>
  <c r="S2276" i="3"/>
  <c r="S2277" i="3"/>
  <c r="S2278" i="3"/>
  <c r="S2279" i="3"/>
  <c r="S2280" i="3"/>
  <c r="S2281" i="3"/>
  <c r="S2282" i="3"/>
  <c r="S2283" i="3"/>
  <c r="S2284" i="3"/>
  <c r="S2285" i="3"/>
  <c r="S2286" i="3"/>
  <c r="S2287" i="3"/>
  <c r="S2288" i="3"/>
  <c r="S2289" i="3"/>
  <c r="S2290" i="3"/>
  <c r="S2291" i="3"/>
  <c r="S2292" i="3"/>
  <c r="S2293" i="3"/>
  <c r="S2294" i="3"/>
  <c r="S2295" i="3"/>
  <c r="S2296" i="3"/>
  <c r="S2297" i="3"/>
  <c r="S2298" i="3"/>
  <c r="S2299" i="3"/>
  <c r="S2300" i="3"/>
  <c r="S2301" i="3"/>
  <c r="S2302" i="3"/>
  <c r="S2303" i="3"/>
  <c r="S2304" i="3"/>
  <c r="S2305" i="3"/>
  <c r="S2306" i="3"/>
  <c r="S2307" i="3"/>
  <c r="S2308" i="3"/>
  <c r="S2309" i="3"/>
  <c r="S2310" i="3"/>
  <c r="S2311" i="3"/>
  <c r="S2312" i="3"/>
  <c r="S2313" i="3"/>
  <c r="S2314" i="3"/>
  <c r="S2315" i="3"/>
  <c r="S2316" i="3"/>
  <c r="S2317" i="3"/>
  <c r="S2318" i="3"/>
  <c r="S2319" i="3"/>
  <c r="S2320" i="3"/>
  <c r="S2321" i="3"/>
  <c r="S2322" i="3"/>
  <c r="S2323" i="3"/>
  <c r="S2324" i="3"/>
  <c r="S2325" i="3"/>
  <c r="S2326" i="3"/>
  <c r="S2327" i="3"/>
  <c r="S2328" i="3"/>
  <c r="S2329" i="3"/>
  <c r="S2330" i="3"/>
  <c r="S2331" i="3"/>
  <c r="S2332" i="3"/>
  <c r="S2333" i="3"/>
  <c r="S2334" i="3"/>
  <c r="S2335" i="3"/>
  <c r="S2336" i="3"/>
  <c r="S2337" i="3"/>
  <c r="S2338" i="3"/>
  <c r="S2339" i="3"/>
  <c r="S2340" i="3"/>
  <c r="S2341" i="3"/>
  <c r="S2342" i="3"/>
  <c r="S2343" i="3"/>
  <c r="S2344" i="3"/>
  <c r="S2345" i="3"/>
  <c r="S2346" i="3"/>
  <c r="S2347" i="3"/>
  <c r="S2348" i="3"/>
  <c r="S2349" i="3"/>
  <c r="S2350" i="3"/>
  <c r="S2351" i="3"/>
  <c r="S2352" i="3"/>
  <c r="S2353" i="3"/>
  <c r="S2354" i="3"/>
  <c r="S2355" i="3"/>
  <c r="S2356" i="3"/>
  <c r="S2357" i="3"/>
  <c r="S2358" i="3"/>
  <c r="S2359" i="3"/>
  <c r="S2360" i="3"/>
  <c r="S2361" i="3"/>
  <c r="S2362" i="3"/>
  <c r="S2363" i="3"/>
  <c r="S2364" i="3"/>
  <c r="S2365" i="3"/>
  <c r="S2366" i="3"/>
  <c r="S2367" i="3"/>
  <c r="S2368" i="3"/>
  <c r="S2369" i="3"/>
  <c r="S2370" i="3"/>
  <c r="S2371" i="3"/>
  <c r="S2372" i="3"/>
  <c r="S2373" i="3"/>
  <c r="S2374" i="3"/>
  <c r="S2375" i="3"/>
  <c r="S2376" i="3"/>
  <c r="S2377" i="3"/>
  <c r="S2378" i="3"/>
  <c r="S2379" i="3"/>
  <c r="S2380" i="3"/>
  <c r="S2381" i="3"/>
  <c r="S2382" i="3"/>
  <c r="S2383" i="3"/>
  <c r="S2384" i="3"/>
  <c r="S2385" i="3"/>
  <c r="S2386" i="3"/>
  <c r="S2387" i="3"/>
  <c r="S2388" i="3"/>
  <c r="S2389" i="3"/>
  <c r="S2390" i="3"/>
  <c r="S2391" i="3"/>
  <c r="S2392" i="3"/>
  <c r="S2393" i="3"/>
  <c r="S2394" i="3"/>
  <c r="S2395" i="3"/>
  <c r="S2396" i="3"/>
  <c r="S2397" i="3"/>
  <c r="S2398" i="3"/>
  <c r="S2399" i="3"/>
  <c r="S2400" i="3"/>
  <c r="S2401" i="3"/>
  <c r="S2402" i="3"/>
  <c r="S2403" i="3"/>
  <c r="S2404" i="3"/>
  <c r="S2405" i="3"/>
  <c r="S2406" i="3"/>
  <c r="S2407" i="3"/>
  <c r="S2408" i="3"/>
  <c r="S2409" i="3"/>
  <c r="S2410" i="3"/>
  <c r="S2411" i="3"/>
  <c r="S2412" i="3"/>
  <c r="S2413" i="3"/>
  <c r="S2414" i="3"/>
  <c r="S2415" i="3"/>
  <c r="S2416" i="3"/>
  <c r="S2417" i="3"/>
  <c r="S2418" i="3"/>
  <c r="S2419" i="3"/>
  <c r="S2420" i="3"/>
  <c r="S2421" i="3"/>
  <c r="S2422" i="3"/>
  <c r="S2423" i="3"/>
  <c r="S2424" i="3"/>
  <c r="S2425" i="3"/>
  <c r="S2426" i="3"/>
  <c r="S2427" i="3"/>
  <c r="S2428" i="3"/>
  <c r="S2429" i="3"/>
  <c r="S2430" i="3"/>
  <c r="S2431" i="3"/>
  <c r="S2432" i="3"/>
  <c r="S2433" i="3"/>
  <c r="S2434" i="3"/>
  <c r="S2435" i="3"/>
  <c r="S2436" i="3"/>
  <c r="S2437" i="3"/>
  <c r="S2438" i="3"/>
  <c r="S2439" i="3"/>
  <c r="S2440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R1472" i="3"/>
  <c r="R1473" i="3"/>
  <c r="R1474" i="3"/>
  <c r="R1475" i="3"/>
  <c r="R1476" i="3"/>
  <c r="R1477" i="3"/>
  <c r="R1478" i="3"/>
  <c r="R1479" i="3"/>
  <c r="R1480" i="3"/>
  <c r="R1481" i="3"/>
  <c r="R1482" i="3"/>
  <c r="R1483" i="3"/>
  <c r="R1484" i="3"/>
  <c r="R1485" i="3"/>
  <c r="R1486" i="3"/>
  <c r="R1487" i="3"/>
  <c r="R1488" i="3"/>
  <c r="R1489" i="3"/>
  <c r="R1490" i="3"/>
  <c r="R1491" i="3"/>
  <c r="R1492" i="3"/>
  <c r="R1493" i="3"/>
  <c r="R1494" i="3"/>
  <c r="R1495" i="3"/>
  <c r="R1496" i="3"/>
  <c r="R1497" i="3"/>
  <c r="R1498" i="3"/>
  <c r="R1499" i="3"/>
  <c r="R1500" i="3"/>
  <c r="R1501" i="3"/>
  <c r="R1502" i="3"/>
  <c r="R1503" i="3"/>
  <c r="R1504" i="3"/>
  <c r="R1505" i="3"/>
  <c r="R1506" i="3"/>
  <c r="R1507" i="3"/>
  <c r="R1508" i="3"/>
  <c r="R1509" i="3"/>
  <c r="R1510" i="3"/>
  <c r="R1511" i="3"/>
  <c r="R1512" i="3"/>
  <c r="R1513" i="3"/>
  <c r="R1514" i="3"/>
  <c r="R1515" i="3"/>
  <c r="R1516" i="3"/>
  <c r="R1517" i="3"/>
  <c r="R1518" i="3"/>
  <c r="R1519" i="3"/>
  <c r="R1520" i="3"/>
  <c r="R1521" i="3"/>
  <c r="R1522" i="3"/>
  <c r="R1523" i="3"/>
  <c r="R1524" i="3"/>
  <c r="R1525" i="3"/>
  <c r="R1526" i="3"/>
  <c r="R1527" i="3"/>
  <c r="R1528" i="3"/>
  <c r="R1529" i="3"/>
  <c r="R1530" i="3"/>
  <c r="R1531" i="3"/>
  <c r="R1532" i="3"/>
  <c r="R1533" i="3"/>
  <c r="R1534" i="3"/>
  <c r="R1535" i="3"/>
  <c r="R1536" i="3"/>
  <c r="R1537" i="3"/>
  <c r="R1538" i="3"/>
  <c r="R1539" i="3"/>
  <c r="R1540" i="3"/>
  <c r="R1541" i="3"/>
  <c r="R1542" i="3"/>
  <c r="R1543" i="3"/>
  <c r="R1544" i="3"/>
  <c r="R1545" i="3"/>
  <c r="R1546" i="3"/>
  <c r="R1547" i="3"/>
  <c r="R1548" i="3"/>
  <c r="R1549" i="3"/>
  <c r="R1550" i="3"/>
  <c r="R1551" i="3"/>
  <c r="R1552" i="3"/>
  <c r="R1553" i="3"/>
  <c r="R1554" i="3"/>
  <c r="R1555" i="3"/>
  <c r="R1556" i="3"/>
  <c r="R1557" i="3"/>
  <c r="R1558" i="3"/>
  <c r="R1559" i="3"/>
  <c r="R1560" i="3"/>
  <c r="R1561" i="3"/>
  <c r="R1562" i="3"/>
  <c r="R1563" i="3"/>
  <c r="R1564" i="3"/>
  <c r="R1565" i="3"/>
  <c r="R1566" i="3"/>
  <c r="R1567" i="3"/>
  <c r="R1568" i="3"/>
  <c r="R1569" i="3"/>
  <c r="R1570" i="3"/>
  <c r="R1571" i="3"/>
  <c r="R1572" i="3"/>
  <c r="R1573" i="3"/>
  <c r="R1574" i="3"/>
  <c r="R1575" i="3"/>
  <c r="R1576" i="3"/>
  <c r="R1577" i="3"/>
  <c r="R1578" i="3"/>
  <c r="R1579" i="3"/>
  <c r="R1580" i="3"/>
  <c r="R1581" i="3"/>
  <c r="R1582" i="3"/>
  <c r="R1583" i="3"/>
  <c r="R1584" i="3"/>
  <c r="R1585" i="3"/>
  <c r="R1586" i="3"/>
  <c r="R1587" i="3"/>
  <c r="R1588" i="3"/>
  <c r="R1589" i="3"/>
  <c r="R1590" i="3"/>
  <c r="R1591" i="3"/>
  <c r="R1592" i="3"/>
  <c r="R1593" i="3"/>
  <c r="R1594" i="3"/>
  <c r="R1595" i="3"/>
  <c r="R1596" i="3"/>
  <c r="R1597" i="3"/>
  <c r="R1598" i="3"/>
  <c r="R1599" i="3"/>
  <c r="R1600" i="3"/>
  <c r="R1601" i="3"/>
  <c r="R1602" i="3"/>
  <c r="R1603" i="3"/>
  <c r="R1604" i="3"/>
  <c r="R1605" i="3"/>
  <c r="R1606" i="3"/>
  <c r="R1607" i="3"/>
  <c r="R1608" i="3"/>
  <c r="R1609" i="3"/>
  <c r="R1610" i="3"/>
  <c r="R1611" i="3"/>
  <c r="R1612" i="3"/>
  <c r="R1613" i="3"/>
  <c r="R1614" i="3"/>
  <c r="R1615" i="3"/>
  <c r="R1616" i="3"/>
  <c r="R1617" i="3"/>
  <c r="R1618" i="3"/>
  <c r="R1619" i="3"/>
  <c r="R1620" i="3"/>
  <c r="R1621" i="3"/>
  <c r="R1622" i="3"/>
  <c r="R1623" i="3"/>
  <c r="R1624" i="3"/>
  <c r="R1625" i="3"/>
  <c r="R1626" i="3"/>
  <c r="R1627" i="3"/>
  <c r="R1628" i="3"/>
  <c r="R1629" i="3"/>
  <c r="R1630" i="3"/>
  <c r="R1631" i="3"/>
  <c r="R1632" i="3"/>
  <c r="R1633" i="3"/>
  <c r="R1634" i="3"/>
  <c r="R1635" i="3"/>
  <c r="R1636" i="3"/>
  <c r="R1637" i="3"/>
  <c r="R1638" i="3"/>
  <c r="R1639" i="3"/>
  <c r="R1640" i="3"/>
  <c r="R1641" i="3"/>
  <c r="R1642" i="3"/>
  <c r="R1643" i="3"/>
  <c r="R1644" i="3"/>
  <c r="R1645" i="3"/>
  <c r="R1646" i="3"/>
  <c r="R1647" i="3"/>
  <c r="R1648" i="3"/>
  <c r="R1649" i="3"/>
  <c r="R1650" i="3"/>
  <c r="R1651" i="3"/>
  <c r="R1652" i="3"/>
  <c r="R1653" i="3"/>
  <c r="R1654" i="3"/>
  <c r="R1655" i="3"/>
  <c r="R1656" i="3"/>
  <c r="R1657" i="3"/>
  <c r="R1658" i="3"/>
  <c r="R1659" i="3"/>
  <c r="R1660" i="3"/>
  <c r="R1661" i="3"/>
  <c r="R1662" i="3"/>
  <c r="R1663" i="3"/>
  <c r="R1664" i="3"/>
  <c r="R1665" i="3"/>
  <c r="R1666" i="3"/>
  <c r="R1667" i="3"/>
  <c r="R1668" i="3"/>
  <c r="R1669" i="3"/>
  <c r="R1670" i="3"/>
  <c r="R1671" i="3"/>
  <c r="R1672" i="3"/>
  <c r="R1673" i="3"/>
  <c r="R1674" i="3"/>
  <c r="R1675" i="3"/>
  <c r="R1676" i="3"/>
  <c r="R1677" i="3"/>
  <c r="R1678" i="3"/>
  <c r="R1679" i="3"/>
  <c r="R1680" i="3"/>
  <c r="R1681" i="3"/>
  <c r="R1682" i="3"/>
  <c r="R1683" i="3"/>
  <c r="R1684" i="3"/>
  <c r="R1685" i="3"/>
  <c r="R1686" i="3"/>
  <c r="R1687" i="3"/>
  <c r="R1688" i="3"/>
  <c r="R1689" i="3"/>
  <c r="R1690" i="3"/>
  <c r="R1691" i="3"/>
  <c r="R1692" i="3"/>
  <c r="R1693" i="3"/>
  <c r="R1694" i="3"/>
  <c r="R1695" i="3"/>
  <c r="R1696" i="3"/>
  <c r="R1697" i="3"/>
  <c r="R1698" i="3"/>
  <c r="R1699" i="3"/>
  <c r="R1700" i="3"/>
  <c r="R1701" i="3"/>
  <c r="R1702" i="3"/>
  <c r="R1703" i="3"/>
  <c r="R1704" i="3"/>
  <c r="R1705" i="3"/>
  <c r="R1706" i="3"/>
  <c r="R1707" i="3"/>
  <c r="R1708" i="3"/>
  <c r="R1709" i="3"/>
  <c r="R1710" i="3"/>
  <c r="R1711" i="3"/>
  <c r="R1712" i="3"/>
  <c r="R1713" i="3"/>
  <c r="R1714" i="3"/>
  <c r="R1715" i="3"/>
  <c r="R1716" i="3"/>
  <c r="R1717" i="3"/>
  <c r="R1718" i="3"/>
  <c r="R1719" i="3"/>
  <c r="R1720" i="3"/>
  <c r="R1721" i="3"/>
  <c r="R1722" i="3"/>
  <c r="R1723" i="3"/>
  <c r="R1724" i="3"/>
  <c r="R1725" i="3"/>
  <c r="R1726" i="3"/>
  <c r="R1727" i="3"/>
  <c r="R1728" i="3"/>
  <c r="R1729" i="3"/>
  <c r="R1730" i="3"/>
  <c r="R1731" i="3"/>
  <c r="R1732" i="3"/>
  <c r="R1733" i="3"/>
  <c r="R1734" i="3"/>
  <c r="R1735" i="3"/>
  <c r="R1736" i="3"/>
  <c r="R1737" i="3"/>
  <c r="R1738" i="3"/>
  <c r="R1739" i="3"/>
  <c r="R1740" i="3"/>
  <c r="R1741" i="3"/>
  <c r="R1742" i="3"/>
  <c r="R1743" i="3"/>
  <c r="R1744" i="3"/>
  <c r="R1745" i="3"/>
  <c r="R1746" i="3"/>
  <c r="R1747" i="3"/>
  <c r="R1748" i="3"/>
  <c r="R1749" i="3"/>
  <c r="R1750" i="3"/>
  <c r="R1751" i="3"/>
  <c r="R1752" i="3"/>
  <c r="R1753" i="3"/>
  <c r="R1754" i="3"/>
  <c r="R1755" i="3"/>
  <c r="R1756" i="3"/>
  <c r="R1757" i="3"/>
  <c r="R1758" i="3"/>
  <c r="R1759" i="3"/>
  <c r="R1760" i="3"/>
  <c r="R1761" i="3"/>
  <c r="R1762" i="3"/>
  <c r="R1763" i="3"/>
  <c r="R1764" i="3"/>
  <c r="R1765" i="3"/>
  <c r="R1766" i="3"/>
  <c r="R1767" i="3"/>
  <c r="R1768" i="3"/>
  <c r="R1769" i="3"/>
  <c r="R1770" i="3"/>
  <c r="R1771" i="3"/>
  <c r="R1772" i="3"/>
  <c r="R1773" i="3"/>
  <c r="R1774" i="3"/>
  <c r="R1775" i="3"/>
  <c r="R1776" i="3"/>
  <c r="R1777" i="3"/>
  <c r="R1778" i="3"/>
  <c r="R1779" i="3"/>
  <c r="R1780" i="3"/>
  <c r="R1781" i="3"/>
  <c r="R1782" i="3"/>
  <c r="R1783" i="3"/>
  <c r="R1784" i="3"/>
  <c r="R1785" i="3"/>
  <c r="R1786" i="3"/>
  <c r="R1787" i="3"/>
  <c r="R1788" i="3"/>
  <c r="R1789" i="3"/>
  <c r="R1790" i="3"/>
  <c r="R1791" i="3"/>
  <c r="R1792" i="3"/>
  <c r="R1793" i="3"/>
  <c r="R1794" i="3"/>
  <c r="R1795" i="3"/>
  <c r="R1796" i="3"/>
  <c r="R1797" i="3"/>
  <c r="R1798" i="3"/>
  <c r="R1799" i="3"/>
  <c r="R1800" i="3"/>
  <c r="R1801" i="3"/>
  <c r="R1802" i="3"/>
  <c r="R1803" i="3"/>
  <c r="R1804" i="3"/>
  <c r="R1805" i="3"/>
  <c r="R1806" i="3"/>
  <c r="R1807" i="3"/>
  <c r="R1808" i="3"/>
  <c r="R1809" i="3"/>
  <c r="R1810" i="3"/>
  <c r="R1811" i="3"/>
  <c r="R1812" i="3"/>
  <c r="R1813" i="3"/>
  <c r="R1814" i="3"/>
  <c r="R1815" i="3"/>
  <c r="R1816" i="3"/>
  <c r="R1817" i="3"/>
  <c r="R1818" i="3"/>
  <c r="R1819" i="3"/>
  <c r="R1820" i="3"/>
  <c r="R1821" i="3"/>
  <c r="R1822" i="3"/>
  <c r="R1823" i="3"/>
  <c r="R1824" i="3"/>
  <c r="R1825" i="3"/>
  <c r="R1826" i="3"/>
  <c r="R1827" i="3"/>
  <c r="R1828" i="3"/>
  <c r="R1829" i="3"/>
  <c r="R1830" i="3"/>
  <c r="R1831" i="3"/>
  <c r="R1832" i="3"/>
  <c r="R1833" i="3"/>
  <c r="R1834" i="3"/>
  <c r="R1835" i="3"/>
  <c r="R1836" i="3"/>
  <c r="R1837" i="3"/>
  <c r="R1838" i="3"/>
  <c r="R1839" i="3"/>
  <c r="R1840" i="3"/>
  <c r="R1841" i="3"/>
  <c r="R1842" i="3"/>
  <c r="R1843" i="3"/>
  <c r="R1844" i="3"/>
  <c r="R1845" i="3"/>
  <c r="R1846" i="3"/>
  <c r="R1847" i="3"/>
  <c r="R1848" i="3"/>
  <c r="R1849" i="3"/>
  <c r="R1850" i="3"/>
  <c r="R1851" i="3"/>
  <c r="R1852" i="3"/>
  <c r="R1853" i="3"/>
  <c r="R1854" i="3"/>
  <c r="R1855" i="3"/>
  <c r="R1856" i="3"/>
  <c r="R1857" i="3"/>
  <c r="R1858" i="3"/>
  <c r="R1859" i="3"/>
  <c r="R1860" i="3"/>
  <c r="R1861" i="3"/>
  <c r="R1862" i="3"/>
  <c r="R1863" i="3"/>
  <c r="R1864" i="3"/>
  <c r="R1865" i="3"/>
  <c r="R1866" i="3"/>
  <c r="R1867" i="3"/>
  <c r="R1868" i="3"/>
  <c r="R1869" i="3"/>
  <c r="R1870" i="3"/>
  <c r="R1871" i="3"/>
  <c r="R1872" i="3"/>
  <c r="R1873" i="3"/>
  <c r="R1874" i="3"/>
  <c r="R1875" i="3"/>
  <c r="R1876" i="3"/>
  <c r="R1877" i="3"/>
  <c r="R1878" i="3"/>
  <c r="R1879" i="3"/>
  <c r="R1880" i="3"/>
  <c r="R1881" i="3"/>
  <c r="R1882" i="3"/>
  <c r="R1883" i="3"/>
  <c r="R1884" i="3"/>
  <c r="R1885" i="3"/>
  <c r="R1886" i="3"/>
  <c r="R1887" i="3"/>
  <c r="R1888" i="3"/>
  <c r="R1889" i="3"/>
  <c r="R1890" i="3"/>
  <c r="R1891" i="3"/>
  <c r="R1892" i="3"/>
  <c r="R1893" i="3"/>
  <c r="R1894" i="3"/>
  <c r="R1895" i="3"/>
  <c r="R1896" i="3"/>
  <c r="R1897" i="3"/>
  <c r="R1898" i="3"/>
  <c r="R1899" i="3"/>
  <c r="R1900" i="3"/>
  <c r="R1901" i="3"/>
  <c r="R1902" i="3"/>
  <c r="R1903" i="3"/>
  <c r="R1904" i="3"/>
  <c r="R1905" i="3"/>
  <c r="R1906" i="3"/>
  <c r="R1907" i="3"/>
  <c r="R1908" i="3"/>
  <c r="R1909" i="3"/>
  <c r="R1910" i="3"/>
  <c r="R1911" i="3"/>
  <c r="R1912" i="3"/>
  <c r="R1913" i="3"/>
  <c r="R1914" i="3"/>
  <c r="R1915" i="3"/>
  <c r="R1916" i="3"/>
  <c r="R1917" i="3"/>
  <c r="R1918" i="3"/>
  <c r="R1919" i="3"/>
  <c r="R1920" i="3"/>
  <c r="R1921" i="3"/>
  <c r="R1922" i="3"/>
  <c r="R1923" i="3"/>
  <c r="R1924" i="3"/>
  <c r="R1925" i="3"/>
  <c r="R1926" i="3"/>
  <c r="R1927" i="3"/>
  <c r="R1928" i="3"/>
  <c r="R1929" i="3"/>
  <c r="R1930" i="3"/>
  <c r="R1931" i="3"/>
  <c r="R1932" i="3"/>
  <c r="R1933" i="3"/>
  <c r="R1934" i="3"/>
  <c r="R1935" i="3"/>
  <c r="R1936" i="3"/>
  <c r="R1937" i="3"/>
  <c r="R1938" i="3"/>
  <c r="R1939" i="3"/>
  <c r="R1940" i="3"/>
  <c r="R1941" i="3"/>
  <c r="R1942" i="3"/>
  <c r="R1943" i="3"/>
  <c r="R1944" i="3"/>
  <c r="R1945" i="3"/>
  <c r="R1946" i="3"/>
  <c r="R1947" i="3"/>
  <c r="R1948" i="3"/>
  <c r="R1949" i="3"/>
  <c r="R1950" i="3"/>
  <c r="R1951" i="3"/>
  <c r="R1952" i="3"/>
  <c r="R1953" i="3"/>
  <c r="R1954" i="3"/>
  <c r="R1955" i="3"/>
  <c r="R1956" i="3"/>
  <c r="R1957" i="3"/>
  <c r="R1958" i="3"/>
  <c r="R1959" i="3"/>
  <c r="R1960" i="3"/>
  <c r="R1961" i="3"/>
  <c r="R1962" i="3"/>
  <c r="R1963" i="3"/>
  <c r="R1964" i="3"/>
  <c r="R1965" i="3"/>
  <c r="R1966" i="3"/>
  <c r="R1967" i="3"/>
  <c r="R1968" i="3"/>
  <c r="R1969" i="3"/>
  <c r="R1970" i="3"/>
  <c r="R1971" i="3"/>
  <c r="R1972" i="3"/>
  <c r="R1973" i="3"/>
  <c r="R1974" i="3"/>
  <c r="R1975" i="3"/>
  <c r="R1976" i="3"/>
  <c r="R1977" i="3"/>
  <c r="R1978" i="3"/>
  <c r="R1979" i="3"/>
  <c r="R1980" i="3"/>
  <c r="R1981" i="3"/>
  <c r="R1982" i="3"/>
  <c r="R1983" i="3"/>
  <c r="R1984" i="3"/>
  <c r="R1985" i="3"/>
  <c r="R1986" i="3"/>
  <c r="R1987" i="3"/>
  <c r="R1988" i="3"/>
  <c r="R1989" i="3"/>
  <c r="R1990" i="3"/>
  <c r="R1991" i="3"/>
  <c r="R1992" i="3"/>
  <c r="R1993" i="3"/>
  <c r="R1994" i="3"/>
  <c r="R1995" i="3"/>
  <c r="R1996" i="3"/>
  <c r="R1997" i="3"/>
  <c r="R1998" i="3"/>
  <c r="R1999" i="3"/>
  <c r="R2000" i="3"/>
  <c r="R2001" i="3"/>
  <c r="R2002" i="3"/>
  <c r="R2003" i="3"/>
  <c r="R2004" i="3"/>
  <c r="R2005" i="3"/>
  <c r="R2006" i="3"/>
  <c r="R2007" i="3"/>
  <c r="R2008" i="3"/>
  <c r="R2009" i="3"/>
  <c r="R2010" i="3"/>
  <c r="R2011" i="3"/>
  <c r="R2012" i="3"/>
  <c r="R2013" i="3"/>
  <c r="R2014" i="3"/>
  <c r="R2015" i="3"/>
  <c r="R2016" i="3"/>
  <c r="R2017" i="3"/>
  <c r="R2018" i="3"/>
  <c r="R2019" i="3"/>
  <c r="R2020" i="3"/>
  <c r="R2021" i="3"/>
  <c r="R2022" i="3"/>
  <c r="R2023" i="3"/>
  <c r="R2024" i="3"/>
  <c r="R2025" i="3"/>
  <c r="R2026" i="3"/>
  <c r="R2027" i="3"/>
  <c r="R2028" i="3"/>
  <c r="R2029" i="3"/>
  <c r="R2030" i="3"/>
  <c r="R2031" i="3"/>
  <c r="R2032" i="3"/>
  <c r="R2033" i="3"/>
  <c r="R2034" i="3"/>
  <c r="R2035" i="3"/>
  <c r="R2036" i="3"/>
  <c r="R2037" i="3"/>
  <c r="R2038" i="3"/>
  <c r="R2039" i="3"/>
  <c r="R2040" i="3"/>
  <c r="R2041" i="3"/>
  <c r="R2042" i="3"/>
  <c r="R2043" i="3"/>
  <c r="R2044" i="3"/>
  <c r="R2045" i="3"/>
  <c r="R2046" i="3"/>
  <c r="R2047" i="3"/>
  <c r="R2048" i="3"/>
  <c r="R2049" i="3"/>
  <c r="R2050" i="3"/>
  <c r="R2051" i="3"/>
  <c r="R2052" i="3"/>
  <c r="R2053" i="3"/>
  <c r="R2054" i="3"/>
  <c r="R2055" i="3"/>
  <c r="R2056" i="3"/>
  <c r="R2057" i="3"/>
  <c r="R2058" i="3"/>
  <c r="R2059" i="3"/>
  <c r="R2060" i="3"/>
  <c r="R2061" i="3"/>
  <c r="R2062" i="3"/>
  <c r="R2063" i="3"/>
  <c r="R2064" i="3"/>
  <c r="R2065" i="3"/>
  <c r="R2066" i="3"/>
  <c r="R2067" i="3"/>
  <c r="R2068" i="3"/>
  <c r="R2069" i="3"/>
  <c r="R2070" i="3"/>
  <c r="R2071" i="3"/>
  <c r="R2072" i="3"/>
  <c r="R2073" i="3"/>
  <c r="R2074" i="3"/>
  <c r="R2075" i="3"/>
  <c r="R2076" i="3"/>
  <c r="R2077" i="3"/>
  <c r="R2078" i="3"/>
  <c r="R2079" i="3"/>
  <c r="R2080" i="3"/>
  <c r="R2081" i="3"/>
  <c r="R2082" i="3"/>
  <c r="R2083" i="3"/>
  <c r="R2084" i="3"/>
  <c r="R2085" i="3"/>
  <c r="R2086" i="3"/>
  <c r="R2087" i="3"/>
  <c r="R2088" i="3"/>
  <c r="R2089" i="3"/>
  <c r="R2090" i="3"/>
  <c r="R2091" i="3"/>
  <c r="R2092" i="3"/>
  <c r="R2093" i="3"/>
  <c r="R2094" i="3"/>
  <c r="R2095" i="3"/>
  <c r="R2096" i="3"/>
  <c r="R2097" i="3"/>
  <c r="R2098" i="3"/>
  <c r="R2099" i="3"/>
  <c r="R2100" i="3"/>
  <c r="R2101" i="3"/>
  <c r="R2102" i="3"/>
  <c r="R2103" i="3"/>
  <c r="R2104" i="3"/>
  <c r="R2105" i="3"/>
  <c r="R2106" i="3"/>
  <c r="R2107" i="3"/>
  <c r="R2108" i="3"/>
  <c r="R2109" i="3"/>
  <c r="R2110" i="3"/>
  <c r="R2111" i="3"/>
  <c r="R2112" i="3"/>
  <c r="R2113" i="3"/>
  <c r="R2114" i="3"/>
  <c r="R2115" i="3"/>
  <c r="R2116" i="3"/>
  <c r="R2117" i="3"/>
  <c r="R2118" i="3"/>
  <c r="R2119" i="3"/>
  <c r="R2120" i="3"/>
  <c r="R2121" i="3"/>
  <c r="R2122" i="3"/>
  <c r="R2123" i="3"/>
  <c r="R2124" i="3"/>
  <c r="R2125" i="3"/>
  <c r="R2126" i="3"/>
  <c r="R2127" i="3"/>
  <c r="R2128" i="3"/>
  <c r="R2129" i="3"/>
  <c r="R2130" i="3"/>
  <c r="R2131" i="3"/>
  <c r="R2132" i="3"/>
  <c r="R2133" i="3"/>
  <c r="R2134" i="3"/>
  <c r="R2135" i="3"/>
  <c r="R2136" i="3"/>
  <c r="R2137" i="3"/>
  <c r="R2138" i="3"/>
  <c r="R2139" i="3"/>
  <c r="R2140" i="3"/>
  <c r="R2141" i="3"/>
  <c r="R2142" i="3"/>
  <c r="R2143" i="3"/>
  <c r="R2144" i="3"/>
  <c r="R2145" i="3"/>
  <c r="R2146" i="3"/>
  <c r="R2147" i="3"/>
  <c r="R2148" i="3"/>
  <c r="R2149" i="3"/>
  <c r="R2150" i="3"/>
  <c r="R2151" i="3"/>
  <c r="R2152" i="3"/>
  <c r="R2153" i="3"/>
  <c r="R2154" i="3"/>
  <c r="R2155" i="3"/>
  <c r="R2156" i="3"/>
  <c r="R2157" i="3"/>
  <c r="R2158" i="3"/>
  <c r="R2159" i="3"/>
  <c r="R2160" i="3"/>
  <c r="R2161" i="3"/>
  <c r="R2162" i="3"/>
  <c r="R2163" i="3"/>
  <c r="R2164" i="3"/>
  <c r="R2165" i="3"/>
  <c r="R2166" i="3"/>
  <c r="R2167" i="3"/>
  <c r="R2168" i="3"/>
  <c r="R2169" i="3"/>
  <c r="R2170" i="3"/>
  <c r="R2171" i="3"/>
  <c r="R2172" i="3"/>
  <c r="R2173" i="3"/>
  <c r="R2174" i="3"/>
  <c r="R2175" i="3"/>
  <c r="R2176" i="3"/>
  <c r="R2177" i="3"/>
  <c r="R2178" i="3"/>
  <c r="R2179" i="3"/>
  <c r="R2180" i="3"/>
  <c r="R2181" i="3"/>
  <c r="R2182" i="3"/>
  <c r="R2183" i="3"/>
  <c r="R2184" i="3"/>
  <c r="R2185" i="3"/>
  <c r="R2186" i="3"/>
  <c r="R2187" i="3"/>
  <c r="R2188" i="3"/>
  <c r="R2189" i="3"/>
  <c r="R2190" i="3"/>
  <c r="R2191" i="3"/>
  <c r="R2192" i="3"/>
  <c r="R2193" i="3"/>
  <c r="R2194" i="3"/>
  <c r="R2195" i="3"/>
  <c r="R2196" i="3"/>
  <c r="R2197" i="3"/>
  <c r="R2198" i="3"/>
  <c r="R2199" i="3"/>
  <c r="R2200" i="3"/>
  <c r="R2201" i="3"/>
  <c r="R2202" i="3"/>
  <c r="R2203" i="3"/>
  <c r="R2204" i="3"/>
  <c r="R2205" i="3"/>
  <c r="R2206" i="3"/>
  <c r="R2207" i="3"/>
  <c r="R2208" i="3"/>
  <c r="R2209" i="3"/>
  <c r="R2210" i="3"/>
  <c r="R2211" i="3"/>
  <c r="R2212" i="3"/>
  <c r="R2213" i="3"/>
  <c r="R2214" i="3"/>
  <c r="R2215" i="3"/>
  <c r="R2216" i="3"/>
  <c r="R2217" i="3"/>
  <c r="R2218" i="3"/>
  <c r="R2219" i="3"/>
  <c r="R2220" i="3"/>
  <c r="R2221" i="3"/>
  <c r="R2222" i="3"/>
  <c r="R2223" i="3"/>
  <c r="R2224" i="3"/>
  <c r="R2225" i="3"/>
  <c r="R2226" i="3"/>
  <c r="R2227" i="3"/>
  <c r="R2228" i="3"/>
  <c r="R2229" i="3"/>
  <c r="R2230" i="3"/>
  <c r="R2231" i="3"/>
  <c r="R2232" i="3"/>
  <c r="R2233" i="3"/>
  <c r="R2234" i="3"/>
  <c r="R2235" i="3"/>
  <c r="R2236" i="3"/>
  <c r="R2237" i="3"/>
  <c r="R2238" i="3"/>
  <c r="R2239" i="3"/>
  <c r="R2240" i="3"/>
  <c r="R2241" i="3"/>
  <c r="R2242" i="3"/>
  <c r="R2243" i="3"/>
  <c r="R2244" i="3"/>
  <c r="R2245" i="3"/>
  <c r="R2246" i="3"/>
  <c r="R2247" i="3"/>
  <c r="R2248" i="3"/>
  <c r="R2249" i="3"/>
  <c r="R2250" i="3"/>
  <c r="R2251" i="3"/>
  <c r="R2252" i="3"/>
  <c r="R2253" i="3"/>
  <c r="R2254" i="3"/>
  <c r="R2255" i="3"/>
  <c r="R2256" i="3"/>
  <c r="R2257" i="3"/>
  <c r="R2258" i="3"/>
  <c r="R2259" i="3"/>
  <c r="R2260" i="3"/>
  <c r="R2261" i="3"/>
  <c r="R2262" i="3"/>
  <c r="R2263" i="3"/>
  <c r="R2264" i="3"/>
  <c r="R2265" i="3"/>
  <c r="R2266" i="3"/>
  <c r="R2267" i="3"/>
  <c r="R2268" i="3"/>
  <c r="R2269" i="3"/>
  <c r="R2270" i="3"/>
  <c r="R2271" i="3"/>
  <c r="R2272" i="3"/>
  <c r="R2273" i="3"/>
  <c r="R2274" i="3"/>
  <c r="R2275" i="3"/>
  <c r="R2276" i="3"/>
  <c r="R2277" i="3"/>
  <c r="R2278" i="3"/>
  <c r="R2279" i="3"/>
  <c r="R2280" i="3"/>
  <c r="R2281" i="3"/>
  <c r="R2282" i="3"/>
  <c r="R2283" i="3"/>
  <c r="R2284" i="3"/>
  <c r="R2285" i="3"/>
  <c r="R2286" i="3"/>
  <c r="R2287" i="3"/>
  <c r="R2288" i="3"/>
  <c r="R2289" i="3"/>
  <c r="R2290" i="3"/>
  <c r="R2291" i="3"/>
  <c r="R2292" i="3"/>
  <c r="R2293" i="3"/>
  <c r="R2294" i="3"/>
  <c r="R2295" i="3"/>
  <c r="R2296" i="3"/>
  <c r="R2297" i="3"/>
  <c r="R2298" i="3"/>
  <c r="R2299" i="3"/>
  <c r="R2300" i="3"/>
  <c r="R2301" i="3"/>
  <c r="R2302" i="3"/>
  <c r="R2303" i="3"/>
  <c r="R2304" i="3"/>
  <c r="R2305" i="3"/>
  <c r="R2306" i="3"/>
  <c r="R2307" i="3"/>
  <c r="R2308" i="3"/>
  <c r="R2309" i="3"/>
  <c r="R2310" i="3"/>
  <c r="R2311" i="3"/>
  <c r="R2312" i="3"/>
  <c r="R2313" i="3"/>
  <c r="R2314" i="3"/>
  <c r="R2315" i="3"/>
  <c r="R2316" i="3"/>
  <c r="R2317" i="3"/>
  <c r="R2318" i="3"/>
  <c r="R2319" i="3"/>
  <c r="R2320" i="3"/>
  <c r="R2321" i="3"/>
  <c r="R2322" i="3"/>
  <c r="R2323" i="3"/>
  <c r="R2324" i="3"/>
  <c r="R2325" i="3"/>
  <c r="R2326" i="3"/>
  <c r="R2327" i="3"/>
  <c r="R2328" i="3"/>
  <c r="R2329" i="3"/>
  <c r="R2330" i="3"/>
  <c r="R2331" i="3"/>
  <c r="R2332" i="3"/>
  <c r="R2333" i="3"/>
  <c r="R2334" i="3"/>
  <c r="R2335" i="3"/>
  <c r="R2336" i="3"/>
  <c r="R2337" i="3"/>
  <c r="R2338" i="3"/>
  <c r="R2339" i="3"/>
  <c r="R2340" i="3"/>
  <c r="R2341" i="3"/>
  <c r="R2342" i="3"/>
  <c r="R2343" i="3"/>
  <c r="R2344" i="3"/>
  <c r="R2345" i="3"/>
  <c r="R2346" i="3"/>
  <c r="R2347" i="3"/>
  <c r="R2348" i="3"/>
  <c r="R2349" i="3"/>
  <c r="R2350" i="3"/>
  <c r="R2351" i="3"/>
  <c r="R2352" i="3"/>
  <c r="R2353" i="3"/>
  <c r="R2354" i="3"/>
  <c r="R2355" i="3"/>
  <c r="R2356" i="3"/>
  <c r="R2357" i="3"/>
  <c r="R2358" i="3"/>
  <c r="R2359" i="3"/>
  <c r="R2360" i="3"/>
  <c r="R2361" i="3"/>
  <c r="R2362" i="3"/>
  <c r="R2363" i="3"/>
  <c r="R2364" i="3"/>
  <c r="R2365" i="3"/>
  <c r="R2366" i="3"/>
  <c r="R2367" i="3"/>
  <c r="R2368" i="3"/>
  <c r="R2369" i="3"/>
  <c r="R2370" i="3"/>
  <c r="R2371" i="3"/>
  <c r="R2372" i="3"/>
  <c r="R2373" i="3"/>
  <c r="R2374" i="3"/>
  <c r="R2375" i="3"/>
  <c r="R2376" i="3"/>
  <c r="R2377" i="3"/>
  <c r="R2378" i="3"/>
  <c r="R2379" i="3"/>
  <c r="R2380" i="3"/>
  <c r="R2381" i="3"/>
  <c r="R2382" i="3"/>
  <c r="R2383" i="3"/>
  <c r="R2384" i="3"/>
  <c r="R2385" i="3"/>
  <c r="R2386" i="3"/>
  <c r="R2387" i="3"/>
  <c r="R2388" i="3"/>
  <c r="R2389" i="3"/>
  <c r="R2390" i="3"/>
  <c r="R2391" i="3"/>
  <c r="R2392" i="3"/>
  <c r="R2393" i="3"/>
  <c r="R2394" i="3"/>
  <c r="R2395" i="3"/>
  <c r="R2396" i="3"/>
  <c r="R2397" i="3"/>
  <c r="R2398" i="3"/>
  <c r="R2399" i="3"/>
  <c r="R2400" i="3"/>
  <c r="R2401" i="3"/>
  <c r="R2402" i="3"/>
  <c r="R2403" i="3"/>
  <c r="R2404" i="3"/>
  <c r="R2405" i="3"/>
  <c r="R2406" i="3"/>
  <c r="R2407" i="3"/>
  <c r="R2408" i="3"/>
  <c r="R2409" i="3"/>
  <c r="R2410" i="3"/>
  <c r="R2411" i="3"/>
  <c r="R2412" i="3"/>
  <c r="R2413" i="3"/>
  <c r="R2414" i="3"/>
  <c r="R2415" i="3"/>
  <c r="R2416" i="3"/>
  <c r="R2417" i="3"/>
  <c r="R2418" i="3"/>
  <c r="R2419" i="3"/>
  <c r="R2420" i="3"/>
  <c r="R2421" i="3"/>
  <c r="R2422" i="3"/>
  <c r="R2423" i="3"/>
  <c r="R2424" i="3"/>
  <c r="R2425" i="3"/>
  <c r="R2426" i="3"/>
  <c r="R2427" i="3"/>
  <c r="R2428" i="3"/>
  <c r="R2429" i="3"/>
  <c r="R2430" i="3"/>
  <c r="R2431" i="3"/>
  <c r="R2432" i="3"/>
  <c r="R2433" i="3"/>
  <c r="R2434" i="3"/>
  <c r="R2435" i="3"/>
  <c r="R2436" i="3"/>
  <c r="R2437" i="3"/>
  <c r="R2438" i="3"/>
  <c r="R2439" i="3"/>
  <c r="R2440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Q1472" i="3"/>
  <c r="Q1473" i="3"/>
  <c r="Q1474" i="3"/>
  <c r="Q1475" i="3"/>
  <c r="Q1476" i="3"/>
  <c r="Q1477" i="3"/>
  <c r="Q1478" i="3"/>
  <c r="Q1479" i="3"/>
  <c r="Q1480" i="3"/>
  <c r="Q1481" i="3"/>
  <c r="Q1482" i="3"/>
  <c r="Q1483" i="3"/>
  <c r="Q1484" i="3"/>
  <c r="Q1485" i="3"/>
  <c r="Q1486" i="3"/>
  <c r="Q1487" i="3"/>
  <c r="Q1488" i="3"/>
  <c r="Q1489" i="3"/>
  <c r="Q1490" i="3"/>
  <c r="Q1491" i="3"/>
  <c r="Q1492" i="3"/>
  <c r="Q1493" i="3"/>
  <c r="Q1494" i="3"/>
  <c r="Q1495" i="3"/>
  <c r="Q1496" i="3"/>
  <c r="Q1497" i="3"/>
  <c r="Q1498" i="3"/>
  <c r="Q1499" i="3"/>
  <c r="Q1500" i="3"/>
  <c r="Q1501" i="3"/>
  <c r="Q1502" i="3"/>
  <c r="Q1503" i="3"/>
  <c r="Q1504" i="3"/>
  <c r="Q1505" i="3"/>
  <c r="Q1506" i="3"/>
  <c r="Q1507" i="3"/>
  <c r="Q1508" i="3"/>
  <c r="Q1509" i="3"/>
  <c r="Q1510" i="3"/>
  <c r="Q1511" i="3"/>
  <c r="Q1512" i="3"/>
  <c r="Q1513" i="3"/>
  <c r="Q1514" i="3"/>
  <c r="Q1515" i="3"/>
  <c r="Q1516" i="3"/>
  <c r="Q1517" i="3"/>
  <c r="Q1518" i="3"/>
  <c r="Q1519" i="3"/>
  <c r="Q1520" i="3"/>
  <c r="Q1521" i="3"/>
  <c r="Q1522" i="3"/>
  <c r="Q1523" i="3"/>
  <c r="Q1524" i="3"/>
  <c r="Q1525" i="3"/>
  <c r="Q1526" i="3"/>
  <c r="Q1527" i="3"/>
  <c r="Q1528" i="3"/>
  <c r="Q1529" i="3"/>
  <c r="Q1530" i="3"/>
  <c r="Q1531" i="3"/>
  <c r="Q1532" i="3"/>
  <c r="Q1533" i="3"/>
  <c r="Q1534" i="3"/>
  <c r="Q1535" i="3"/>
  <c r="Q1536" i="3"/>
  <c r="Q1537" i="3"/>
  <c r="Q1538" i="3"/>
  <c r="Q1539" i="3"/>
  <c r="Q1540" i="3"/>
  <c r="Q1541" i="3"/>
  <c r="Q1542" i="3"/>
  <c r="Q1543" i="3"/>
  <c r="Q1544" i="3"/>
  <c r="Q1545" i="3"/>
  <c r="Q1546" i="3"/>
  <c r="Q1547" i="3"/>
  <c r="Q1548" i="3"/>
  <c r="Q1549" i="3"/>
  <c r="Q1550" i="3"/>
  <c r="Q1551" i="3"/>
  <c r="Q1552" i="3"/>
  <c r="Q1553" i="3"/>
  <c r="Q1554" i="3"/>
  <c r="Q1555" i="3"/>
  <c r="Q1556" i="3"/>
  <c r="Q1557" i="3"/>
  <c r="Q1558" i="3"/>
  <c r="Q1559" i="3"/>
  <c r="Q1560" i="3"/>
  <c r="Q1561" i="3"/>
  <c r="Q1562" i="3"/>
  <c r="Q1563" i="3"/>
  <c r="Q1564" i="3"/>
  <c r="Q1565" i="3"/>
  <c r="Q1566" i="3"/>
  <c r="Q1567" i="3"/>
  <c r="Q1568" i="3"/>
  <c r="Q1569" i="3"/>
  <c r="Q1570" i="3"/>
  <c r="Q1571" i="3"/>
  <c r="Q1572" i="3"/>
  <c r="Q1573" i="3"/>
  <c r="Q1574" i="3"/>
  <c r="Q1575" i="3"/>
  <c r="Q1576" i="3"/>
  <c r="Q1577" i="3"/>
  <c r="Q1578" i="3"/>
  <c r="Q1579" i="3"/>
  <c r="Q1580" i="3"/>
  <c r="Q1581" i="3"/>
  <c r="Q1582" i="3"/>
  <c r="Q1583" i="3"/>
  <c r="Q1584" i="3"/>
  <c r="Q1585" i="3"/>
  <c r="Q1586" i="3"/>
  <c r="Q1587" i="3"/>
  <c r="Q1588" i="3"/>
  <c r="Q1589" i="3"/>
  <c r="Q1590" i="3"/>
  <c r="Q1591" i="3"/>
  <c r="Q1592" i="3"/>
  <c r="Q1593" i="3"/>
  <c r="Q1594" i="3"/>
  <c r="Q1595" i="3"/>
  <c r="Q1596" i="3"/>
  <c r="Q1597" i="3"/>
  <c r="Q1598" i="3"/>
  <c r="Q1599" i="3"/>
  <c r="Q1600" i="3"/>
  <c r="Q1601" i="3"/>
  <c r="Q1602" i="3"/>
  <c r="Q1603" i="3"/>
  <c r="Q1604" i="3"/>
  <c r="Q1605" i="3"/>
  <c r="Q1606" i="3"/>
  <c r="Q1607" i="3"/>
  <c r="Q1608" i="3"/>
  <c r="Q1609" i="3"/>
  <c r="Q1610" i="3"/>
  <c r="Q1611" i="3"/>
  <c r="Q1612" i="3"/>
  <c r="Q1613" i="3"/>
  <c r="Q1614" i="3"/>
  <c r="Q1615" i="3"/>
  <c r="Q1616" i="3"/>
  <c r="Q1617" i="3"/>
  <c r="Q1618" i="3"/>
  <c r="Q1619" i="3"/>
  <c r="Q1620" i="3"/>
  <c r="Q1621" i="3"/>
  <c r="Q1622" i="3"/>
  <c r="Q1623" i="3"/>
  <c r="Q1624" i="3"/>
  <c r="Q1625" i="3"/>
  <c r="Q1626" i="3"/>
  <c r="Q1627" i="3"/>
  <c r="Q1628" i="3"/>
  <c r="Q1629" i="3"/>
  <c r="Q1630" i="3"/>
  <c r="Q1631" i="3"/>
  <c r="Q1632" i="3"/>
  <c r="Q1633" i="3"/>
  <c r="Q1634" i="3"/>
  <c r="Q1635" i="3"/>
  <c r="Q1636" i="3"/>
  <c r="Q1637" i="3"/>
  <c r="Q1638" i="3"/>
  <c r="Q1639" i="3"/>
  <c r="Q1640" i="3"/>
  <c r="Q1641" i="3"/>
  <c r="Q1642" i="3"/>
  <c r="Q1643" i="3"/>
  <c r="Q1644" i="3"/>
  <c r="Q1645" i="3"/>
  <c r="Q1646" i="3"/>
  <c r="Q1647" i="3"/>
  <c r="Q1648" i="3"/>
  <c r="Q1649" i="3"/>
  <c r="Q1650" i="3"/>
  <c r="Q1651" i="3"/>
  <c r="Q1652" i="3"/>
  <c r="Q1653" i="3"/>
  <c r="Q1654" i="3"/>
  <c r="Q1655" i="3"/>
  <c r="Q1656" i="3"/>
  <c r="Q1657" i="3"/>
  <c r="Q1658" i="3"/>
  <c r="Q1659" i="3"/>
  <c r="Q1660" i="3"/>
  <c r="Q1661" i="3"/>
  <c r="Q1662" i="3"/>
  <c r="Q1663" i="3"/>
  <c r="Q1664" i="3"/>
  <c r="Q1665" i="3"/>
  <c r="Q1666" i="3"/>
  <c r="Q1667" i="3"/>
  <c r="Q1668" i="3"/>
  <c r="Q1669" i="3"/>
  <c r="Q1670" i="3"/>
  <c r="Q1671" i="3"/>
  <c r="Q1672" i="3"/>
  <c r="Q1673" i="3"/>
  <c r="Q1674" i="3"/>
  <c r="Q1675" i="3"/>
  <c r="Q1676" i="3"/>
  <c r="Q1677" i="3"/>
  <c r="Q1678" i="3"/>
  <c r="Q1679" i="3"/>
  <c r="Q1680" i="3"/>
  <c r="Q1681" i="3"/>
  <c r="Q1682" i="3"/>
  <c r="Q1683" i="3"/>
  <c r="Q1684" i="3"/>
  <c r="Q1685" i="3"/>
  <c r="Q1686" i="3"/>
  <c r="Q1687" i="3"/>
  <c r="Q1688" i="3"/>
  <c r="Q1689" i="3"/>
  <c r="Q1690" i="3"/>
  <c r="Q1691" i="3"/>
  <c r="Q1692" i="3"/>
  <c r="Q1693" i="3"/>
  <c r="Q1694" i="3"/>
  <c r="Q1695" i="3"/>
  <c r="Q1696" i="3"/>
  <c r="Q1697" i="3"/>
  <c r="Q1698" i="3"/>
  <c r="Q1699" i="3"/>
  <c r="Q1700" i="3"/>
  <c r="Q1701" i="3"/>
  <c r="Q1702" i="3"/>
  <c r="Q1703" i="3"/>
  <c r="Q1704" i="3"/>
  <c r="Q1705" i="3"/>
  <c r="Q1706" i="3"/>
  <c r="Q1707" i="3"/>
  <c r="Q1708" i="3"/>
  <c r="Q1709" i="3"/>
  <c r="Q1710" i="3"/>
  <c r="Q1711" i="3"/>
  <c r="Q1712" i="3"/>
  <c r="Q1713" i="3"/>
  <c r="Q1714" i="3"/>
  <c r="Q1715" i="3"/>
  <c r="Q1716" i="3"/>
  <c r="Q1717" i="3"/>
  <c r="Q1718" i="3"/>
  <c r="Q1719" i="3"/>
  <c r="Q1720" i="3"/>
  <c r="Q1721" i="3"/>
  <c r="Q1722" i="3"/>
  <c r="Q1723" i="3"/>
  <c r="Q1724" i="3"/>
  <c r="Q1725" i="3"/>
  <c r="Q1726" i="3"/>
  <c r="Q1727" i="3"/>
  <c r="Q1728" i="3"/>
  <c r="Q1729" i="3"/>
  <c r="Q1730" i="3"/>
  <c r="Q1731" i="3"/>
  <c r="Q1732" i="3"/>
  <c r="Q1733" i="3"/>
  <c r="Q1734" i="3"/>
  <c r="Q1735" i="3"/>
  <c r="Q1736" i="3"/>
  <c r="Q1737" i="3"/>
  <c r="Q1738" i="3"/>
  <c r="Q1739" i="3"/>
  <c r="Q1740" i="3"/>
  <c r="Q1741" i="3"/>
  <c r="Q1742" i="3"/>
  <c r="Q1743" i="3"/>
  <c r="Q1744" i="3"/>
  <c r="Q1745" i="3"/>
  <c r="Q1746" i="3"/>
  <c r="Q1747" i="3"/>
  <c r="Q1748" i="3"/>
  <c r="Q1749" i="3"/>
  <c r="Q1750" i="3"/>
  <c r="Q1751" i="3"/>
  <c r="Q1752" i="3"/>
  <c r="Q1753" i="3"/>
  <c r="Q1754" i="3"/>
  <c r="Q1755" i="3"/>
  <c r="Q1756" i="3"/>
  <c r="Q1757" i="3"/>
  <c r="Q1758" i="3"/>
  <c r="Q1759" i="3"/>
  <c r="Q1760" i="3"/>
  <c r="Q1761" i="3"/>
  <c r="Q1762" i="3"/>
  <c r="Q1763" i="3"/>
  <c r="Q1764" i="3"/>
  <c r="Q1765" i="3"/>
  <c r="Q1766" i="3"/>
  <c r="Q1767" i="3"/>
  <c r="Q1768" i="3"/>
  <c r="Q1769" i="3"/>
  <c r="Q1770" i="3"/>
  <c r="Q1771" i="3"/>
  <c r="Q1772" i="3"/>
  <c r="Q1773" i="3"/>
  <c r="Q1774" i="3"/>
  <c r="Q1775" i="3"/>
  <c r="Q1776" i="3"/>
  <c r="Q1777" i="3"/>
  <c r="Q1778" i="3"/>
  <c r="Q1779" i="3"/>
  <c r="Q1780" i="3"/>
  <c r="Q1781" i="3"/>
  <c r="Q1782" i="3"/>
  <c r="Q1783" i="3"/>
  <c r="Q1784" i="3"/>
  <c r="Q1785" i="3"/>
  <c r="Q1786" i="3"/>
  <c r="Q1787" i="3"/>
  <c r="Q1788" i="3"/>
  <c r="Q1789" i="3"/>
  <c r="Q1790" i="3"/>
  <c r="Q1791" i="3"/>
  <c r="Q1792" i="3"/>
  <c r="Q1793" i="3"/>
  <c r="Q1794" i="3"/>
  <c r="Q1795" i="3"/>
  <c r="Q1796" i="3"/>
  <c r="Q1797" i="3"/>
  <c r="Q1798" i="3"/>
  <c r="Q1799" i="3"/>
  <c r="Q1800" i="3"/>
  <c r="Q1801" i="3"/>
  <c r="Q1802" i="3"/>
  <c r="Q1803" i="3"/>
  <c r="Q1804" i="3"/>
  <c r="Q1805" i="3"/>
  <c r="Q1806" i="3"/>
  <c r="Q1807" i="3"/>
  <c r="Q1808" i="3"/>
  <c r="Q1809" i="3"/>
  <c r="Q1810" i="3"/>
  <c r="Q1811" i="3"/>
  <c r="Q1812" i="3"/>
  <c r="Q1813" i="3"/>
  <c r="Q1814" i="3"/>
  <c r="Q1815" i="3"/>
  <c r="Q1816" i="3"/>
  <c r="Q1817" i="3"/>
  <c r="Q1818" i="3"/>
  <c r="Q1819" i="3"/>
  <c r="Q1820" i="3"/>
  <c r="Q1821" i="3"/>
  <c r="Q1822" i="3"/>
  <c r="Q1823" i="3"/>
  <c r="Q1824" i="3"/>
  <c r="Q1825" i="3"/>
  <c r="Q1826" i="3"/>
  <c r="Q1827" i="3"/>
  <c r="Q1828" i="3"/>
  <c r="Q1829" i="3"/>
  <c r="Q1830" i="3"/>
  <c r="Q1831" i="3"/>
  <c r="Q1832" i="3"/>
  <c r="Q1833" i="3"/>
  <c r="Q1834" i="3"/>
  <c r="Q1835" i="3"/>
  <c r="Q1836" i="3"/>
  <c r="Q1837" i="3"/>
  <c r="Q1838" i="3"/>
  <c r="Q1839" i="3"/>
  <c r="Q1840" i="3"/>
  <c r="Q1841" i="3"/>
  <c r="Q1842" i="3"/>
  <c r="Q1843" i="3"/>
  <c r="Q1844" i="3"/>
  <c r="Q1845" i="3"/>
  <c r="Q1846" i="3"/>
  <c r="Q1847" i="3"/>
  <c r="Q1848" i="3"/>
  <c r="Q1849" i="3"/>
  <c r="Q1850" i="3"/>
  <c r="Q1851" i="3"/>
  <c r="Q1852" i="3"/>
  <c r="Q1853" i="3"/>
  <c r="Q1854" i="3"/>
  <c r="Q1855" i="3"/>
  <c r="Q1856" i="3"/>
  <c r="Q1857" i="3"/>
  <c r="Q1858" i="3"/>
  <c r="Q1859" i="3"/>
  <c r="Q1860" i="3"/>
  <c r="Q1861" i="3"/>
  <c r="Q1862" i="3"/>
  <c r="Q1863" i="3"/>
  <c r="Q1864" i="3"/>
  <c r="Q1865" i="3"/>
  <c r="Q1866" i="3"/>
  <c r="Q1867" i="3"/>
  <c r="Q1868" i="3"/>
  <c r="Q1869" i="3"/>
  <c r="Q1870" i="3"/>
  <c r="Q1871" i="3"/>
  <c r="Q1872" i="3"/>
  <c r="Q1873" i="3"/>
  <c r="Q1874" i="3"/>
  <c r="Q1875" i="3"/>
  <c r="Q1876" i="3"/>
  <c r="Q1877" i="3"/>
  <c r="Q1878" i="3"/>
  <c r="Q1879" i="3"/>
  <c r="Q1880" i="3"/>
  <c r="Q1881" i="3"/>
  <c r="Q1882" i="3"/>
  <c r="Q1883" i="3"/>
  <c r="Q1884" i="3"/>
  <c r="Q1885" i="3"/>
  <c r="Q1886" i="3"/>
  <c r="Q1887" i="3"/>
  <c r="Q1888" i="3"/>
  <c r="Q1889" i="3"/>
  <c r="Q1890" i="3"/>
  <c r="Q1891" i="3"/>
  <c r="Q1892" i="3"/>
  <c r="Q1893" i="3"/>
  <c r="Q1894" i="3"/>
  <c r="Q1895" i="3"/>
  <c r="Q1896" i="3"/>
  <c r="Q1897" i="3"/>
  <c r="Q1898" i="3"/>
  <c r="Q1899" i="3"/>
  <c r="Q1900" i="3"/>
  <c r="Q1901" i="3"/>
  <c r="Q1902" i="3"/>
  <c r="Q1903" i="3"/>
  <c r="Q1904" i="3"/>
  <c r="Q1905" i="3"/>
  <c r="Q1906" i="3"/>
  <c r="Q1907" i="3"/>
  <c r="Q1908" i="3"/>
  <c r="Q1909" i="3"/>
  <c r="Q1910" i="3"/>
  <c r="Q1911" i="3"/>
  <c r="Q1912" i="3"/>
  <c r="Q1913" i="3"/>
  <c r="Q1914" i="3"/>
  <c r="Q1915" i="3"/>
  <c r="Q1916" i="3"/>
  <c r="Q1917" i="3"/>
  <c r="Q1918" i="3"/>
  <c r="Q1919" i="3"/>
  <c r="Q1920" i="3"/>
  <c r="Q1921" i="3"/>
  <c r="Q1922" i="3"/>
  <c r="Q1923" i="3"/>
  <c r="Q1924" i="3"/>
  <c r="Q1925" i="3"/>
  <c r="Q1926" i="3"/>
  <c r="Q1927" i="3"/>
  <c r="Q1928" i="3"/>
  <c r="Q1929" i="3"/>
  <c r="Q1930" i="3"/>
  <c r="Q1931" i="3"/>
  <c r="Q1932" i="3"/>
  <c r="Q1933" i="3"/>
  <c r="Q1934" i="3"/>
  <c r="Q1935" i="3"/>
  <c r="Q1936" i="3"/>
  <c r="Q1937" i="3"/>
  <c r="Q1938" i="3"/>
  <c r="Q1939" i="3"/>
  <c r="Q1940" i="3"/>
  <c r="Q1941" i="3"/>
  <c r="Q1942" i="3"/>
  <c r="Q1943" i="3"/>
  <c r="Q1944" i="3"/>
  <c r="Q1945" i="3"/>
  <c r="Q1946" i="3"/>
  <c r="Q1947" i="3"/>
  <c r="Q1948" i="3"/>
  <c r="Q1949" i="3"/>
  <c r="Q1950" i="3"/>
  <c r="Q1951" i="3"/>
  <c r="Q1952" i="3"/>
  <c r="Q1953" i="3"/>
  <c r="Q1954" i="3"/>
  <c r="Q1955" i="3"/>
  <c r="Q1956" i="3"/>
  <c r="Q1957" i="3"/>
  <c r="Q1958" i="3"/>
  <c r="Q1959" i="3"/>
  <c r="Q1960" i="3"/>
  <c r="Q1961" i="3"/>
  <c r="Q1962" i="3"/>
  <c r="Q1963" i="3"/>
  <c r="Q1964" i="3"/>
  <c r="Q1965" i="3"/>
  <c r="Q1966" i="3"/>
  <c r="Q1967" i="3"/>
  <c r="Q1968" i="3"/>
  <c r="Q1969" i="3"/>
  <c r="Q1970" i="3"/>
  <c r="Q1971" i="3"/>
  <c r="Q1972" i="3"/>
  <c r="Q1973" i="3"/>
  <c r="Q1974" i="3"/>
  <c r="Q1975" i="3"/>
  <c r="Q1976" i="3"/>
  <c r="Q1977" i="3"/>
  <c r="Q1978" i="3"/>
  <c r="Q1979" i="3"/>
  <c r="Q1980" i="3"/>
  <c r="Q1981" i="3"/>
  <c r="Q1982" i="3"/>
  <c r="Q1983" i="3"/>
  <c r="Q1984" i="3"/>
  <c r="Q1985" i="3"/>
  <c r="Q1986" i="3"/>
  <c r="Q1987" i="3"/>
  <c r="Q1988" i="3"/>
  <c r="Q1989" i="3"/>
  <c r="Q1990" i="3"/>
  <c r="Q1991" i="3"/>
  <c r="Q1992" i="3"/>
  <c r="Q1993" i="3"/>
  <c r="Q1994" i="3"/>
  <c r="Q1995" i="3"/>
  <c r="Q1996" i="3"/>
  <c r="Q1997" i="3"/>
  <c r="Q1998" i="3"/>
  <c r="Q1999" i="3"/>
  <c r="Q2000" i="3"/>
  <c r="Q2001" i="3"/>
  <c r="Q2002" i="3"/>
  <c r="Q2003" i="3"/>
  <c r="Q2004" i="3"/>
  <c r="Q2005" i="3"/>
  <c r="Q2006" i="3"/>
  <c r="Q2007" i="3"/>
  <c r="Q2008" i="3"/>
  <c r="Q2009" i="3"/>
  <c r="Q2010" i="3"/>
  <c r="Q2011" i="3"/>
  <c r="Q2012" i="3"/>
  <c r="Q2013" i="3"/>
  <c r="Q2014" i="3"/>
  <c r="Q2015" i="3"/>
  <c r="Q2016" i="3"/>
  <c r="Q2017" i="3"/>
  <c r="Q2018" i="3"/>
  <c r="Q2019" i="3"/>
  <c r="Q2020" i="3"/>
  <c r="Q2021" i="3"/>
  <c r="Q2022" i="3"/>
  <c r="Q2023" i="3"/>
  <c r="Q2024" i="3"/>
  <c r="Q2025" i="3"/>
  <c r="Q2026" i="3"/>
  <c r="Q2027" i="3"/>
  <c r="Q2028" i="3"/>
  <c r="Q2029" i="3"/>
  <c r="Q2030" i="3"/>
  <c r="Q2031" i="3"/>
  <c r="Q2032" i="3"/>
  <c r="Q2033" i="3"/>
  <c r="Q2034" i="3"/>
  <c r="Q2035" i="3"/>
  <c r="Q2036" i="3"/>
  <c r="Q2037" i="3"/>
  <c r="Q2038" i="3"/>
  <c r="Q2039" i="3"/>
  <c r="Q2040" i="3"/>
  <c r="Q2041" i="3"/>
  <c r="Q2042" i="3"/>
  <c r="Q2043" i="3"/>
  <c r="Q2044" i="3"/>
  <c r="Q2045" i="3"/>
  <c r="Q2046" i="3"/>
  <c r="Q2047" i="3"/>
  <c r="Q2048" i="3"/>
  <c r="Q2049" i="3"/>
  <c r="Q2050" i="3"/>
  <c r="Q2051" i="3"/>
  <c r="Q2052" i="3"/>
  <c r="Q2053" i="3"/>
  <c r="Q2054" i="3"/>
  <c r="Q2055" i="3"/>
  <c r="Q2056" i="3"/>
  <c r="Q2057" i="3"/>
  <c r="Q2058" i="3"/>
  <c r="Q2059" i="3"/>
  <c r="Q2060" i="3"/>
  <c r="Q2061" i="3"/>
  <c r="Q2062" i="3"/>
  <c r="Q2063" i="3"/>
  <c r="Q2064" i="3"/>
  <c r="Q2065" i="3"/>
  <c r="Q2066" i="3"/>
  <c r="Q2067" i="3"/>
  <c r="Q2068" i="3"/>
  <c r="Q2069" i="3"/>
  <c r="Q2070" i="3"/>
  <c r="Q2071" i="3"/>
  <c r="Q2072" i="3"/>
  <c r="Q2073" i="3"/>
  <c r="Q2074" i="3"/>
  <c r="Q2075" i="3"/>
  <c r="Q2076" i="3"/>
  <c r="Q2077" i="3"/>
  <c r="Q2078" i="3"/>
  <c r="Q2079" i="3"/>
  <c r="Q2080" i="3"/>
  <c r="Q2081" i="3"/>
  <c r="Q2082" i="3"/>
  <c r="Q2083" i="3"/>
  <c r="Q2084" i="3"/>
  <c r="Q2085" i="3"/>
  <c r="Q2086" i="3"/>
  <c r="Q2087" i="3"/>
  <c r="Q2088" i="3"/>
  <c r="Q2089" i="3"/>
  <c r="Q2090" i="3"/>
  <c r="Q2091" i="3"/>
  <c r="Q2092" i="3"/>
  <c r="Q2093" i="3"/>
  <c r="Q2094" i="3"/>
  <c r="Q2095" i="3"/>
  <c r="Q2096" i="3"/>
  <c r="Q2097" i="3"/>
  <c r="Q2098" i="3"/>
  <c r="Q2099" i="3"/>
  <c r="Q2100" i="3"/>
  <c r="Q2101" i="3"/>
  <c r="Q2102" i="3"/>
  <c r="Q2103" i="3"/>
  <c r="Q2104" i="3"/>
  <c r="Q2105" i="3"/>
  <c r="Q2106" i="3"/>
  <c r="Q2107" i="3"/>
  <c r="Q2108" i="3"/>
  <c r="Q2109" i="3"/>
  <c r="Q2110" i="3"/>
  <c r="Q2111" i="3"/>
  <c r="Q2112" i="3"/>
  <c r="Q2113" i="3"/>
  <c r="Q2114" i="3"/>
  <c r="Q2115" i="3"/>
  <c r="Q2116" i="3"/>
  <c r="Q2117" i="3"/>
  <c r="Q2118" i="3"/>
  <c r="Q2119" i="3"/>
  <c r="Q2120" i="3"/>
  <c r="Q2121" i="3"/>
  <c r="Q2122" i="3"/>
  <c r="Q2123" i="3"/>
  <c r="Q2124" i="3"/>
  <c r="Q2125" i="3"/>
  <c r="Q2126" i="3"/>
  <c r="Q2127" i="3"/>
  <c r="Q2128" i="3"/>
  <c r="Q2129" i="3"/>
  <c r="Q2130" i="3"/>
  <c r="Q2131" i="3"/>
  <c r="Q2132" i="3"/>
  <c r="Q2133" i="3"/>
  <c r="Q2134" i="3"/>
  <c r="Q2135" i="3"/>
  <c r="Q2136" i="3"/>
  <c r="Q2137" i="3"/>
  <c r="Q2138" i="3"/>
  <c r="Q2139" i="3"/>
  <c r="Q2140" i="3"/>
  <c r="Q2141" i="3"/>
  <c r="Q2142" i="3"/>
  <c r="Q2143" i="3"/>
  <c r="Q2144" i="3"/>
  <c r="Q2145" i="3"/>
  <c r="Q2146" i="3"/>
  <c r="Q2147" i="3"/>
  <c r="Q2148" i="3"/>
  <c r="Q2149" i="3"/>
  <c r="Q2150" i="3"/>
  <c r="Q2151" i="3"/>
  <c r="Q2152" i="3"/>
  <c r="Q2153" i="3"/>
  <c r="Q2154" i="3"/>
  <c r="Q2155" i="3"/>
  <c r="Q2156" i="3"/>
  <c r="Q2157" i="3"/>
  <c r="Q2158" i="3"/>
  <c r="Q2159" i="3"/>
  <c r="Q2160" i="3"/>
  <c r="Q2161" i="3"/>
  <c r="Q2162" i="3"/>
  <c r="Q2163" i="3"/>
  <c r="Q2164" i="3"/>
  <c r="Q2165" i="3"/>
  <c r="Q2166" i="3"/>
  <c r="Q2167" i="3"/>
  <c r="Q2168" i="3"/>
  <c r="Q2169" i="3"/>
  <c r="Q2170" i="3"/>
  <c r="Q2171" i="3"/>
  <c r="Q2172" i="3"/>
  <c r="Q2173" i="3"/>
  <c r="Q2174" i="3"/>
  <c r="Q2175" i="3"/>
  <c r="Q2176" i="3"/>
  <c r="Q2177" i="3"/>
  <c r="Q2178" i="3"/>
  <c r="Q2179" i="3"/>
  <c r="Q2180" i="3"/>
  <c r="Q2181" i="3"/>
  <c r="Q2182" i="3"/>
  <c r="Q2183" i="3"/>
  <c r="Q2184" i="3"/>
  <c r="Q2185" i="3"/>
  <c r="Q2186" i="3"/>
  <c r="Q2187" i="3"/>
  <c r="Q2188" i="3"/>
  <c r="Q2189" i="3"/>
  <c r="Q2190" i="3"/>
  <c r="Q2191" i="3"/>
  <c r="Q2192" i="3"/>
  <c r="Q2193" i="3"/>
  <c r="Q2194" i="3"/>
  <c r="Q2195" i="3"/>
  <c r="Q2196" i="3"/>
  <c r="Q2197" i="3"/>
  <c r="Q2198" i="3"/>
  <c r="Q2199" i="3"/>
  <c r="Q2200" i="3"/>
  <c r="Q2201" i="3"/>
  <c r="Q2202" i="3"/>
  <c r="Q2203" i="3"/>
  <c r="Q2204" i="3"/>
  <c r="Q2205" i="3"/>
  <c r="Q2206" i="3"/>
  <c r="Q2207" i="3"/>
  <c r="Q2208" i="3"/>
  <c r="Q2209" i="3"/>
  <c r="Q2210" i="3"/>
  <c r="Q2211" i="3"/>
  <c r="Q2212" i="3"/>
  <c r="Q2213" i="3"/>
  <c r="Q2214" i="3"/>
  <c r="Q2215" i="3"/>
  <c r="Q2216" i="3"/>
  <c r="Q2217" i="3"/>
  <c r="Q2218" i="3"/>
  <c r="Q2219" i="3"/>
  <c r="Q2220" i="3"/>
  <c r="Q2221" i="3"/>
  <c r="Q2222" i="3"/>
  <c r="Q2223" i="3"/>
  <c r="Q2224" i="3"/>
  <c r="Q2225" i="3"/>
  <c r="Q2226" i="3"/>
  <c r="Q2227" i="3"/>
  <c r="Q2228" i="3"/>
  <c r="Q2229" i="3"/>
  <c r="Q2230" i="3"/>
  <c r="Q2231" i="3"/>
  <c r="Q2232" i="3"/>
  <c r="Q2233" i="3"/>
  <c r="Q2234" i="3"/>
  <c r="Q2235" i="3"/>
  <c r="Q2236" i="3"/>
  <c r="Q2237" i="3"/>
  <c r="Q2238" i="3"/>
  <c r="Q2239" i="3"/>
  <c r="Q2240" i="3"/>
  <c r="Q2241" i="3"/>
  <c r="Q2242" i="3"/>
  <c r="Q2243" i="3"/>
  <c r="Q2244" i="3"/>
  <c r="Q2245" i="3"/>
  <c r="Q2246" i="3"/>
  <c r="Q2247" i="3"/>
  <c r="Q2248" i="3"/>
  <c r="Q2249" i="3"/>
  <c r="Q2250" i="3"/>
  <c r="Q2251" i="3"/>
  <c r="Q2252" i="3"/>
  <c r="Q2253" i="3"/>
  <c r="Q2254" i="3"/>
  <c r="Q2255" i="3"/>
  <c r="Q2256" i="3"/>
  <c r="Q2257" i="3"/>
  <c r="Q2258" i="3"/>
  <c r="Q2259" i="3"/>
  <c r="Q2260" i="3"/>
  <c r="Q2261" i="3"/>
  <c r="Q2262" i="3"/>
  <c r="Q2263" i="3"/>
  <c r="Q2264" i="3"/>
  <c r="Q2265" i="3"/>
  <c r="Q2266" i="3"/>
  <c r="Q2267" i="3"/>
  <c r="Q2268" i="3"/>
  <c r="Q2269" i="3"/>
  <c r="Q2270" i="3"/>
  <c r="Q2271" i="3"/>
  <c r="Q2272" i="3"/>
  <c r="Q2273" i="3"/>
  <c r="Q2274" i="3"/>
  <c r="Q2275" i="3"/>
  <c r="Q2276" i="3"/>
  <c r="Q2277" i="3"/>
  <c r="Q2278" i="3"/>
  <c r="Q2279" i="3"/>
  <c r="Q2280" i="3"/>
  <c r="Q2281" i="3"/>
  <c r="Q2282" i="3"/>
  <c r="Q2283" i="3"/>
  <c r="Q2284" i="3"/>
  <c r="Q2285" i="3"/>
  <c r="Q2286" i="3"/>
  <c r="Q2287" i="3"/>
  <c r="Q2288" i="3"/>
  <c r="Q2289" i="3"/>
  <c r="Q2290" i="3"/>
  <c r="Q2291" i="3"/>
  <c r="Q2292" i="3"/>
  <c r="Q2293" i="3"/>
  <c r="Q2294" i="3"/>
  <c r="Q2295" i="3"/>
  <c r="Q2296" i="3"/>
  <c r="Q2297" i="3"/>
  <c r="Q2298" i="3"/>
  <c r="Q2299" i="3"/>
  <c r="Q2300" i="3"/>
  <c r="Q2301" i="3"/>
  <c r="Q2302" i="3"/>
  <c r="Q2303" i="3"/>
  <c r="Q2304" i="3"/>
  <c r="Q2305" i="3"/>
  <c r="Q2306" i="3"/>
  <c r="Q2307" i="3"/>
  <c r="Q2308" i="3"/>
  <c r="Q2309" i="3"/>
  <c r="Q2310" i="3"/>
  <c r="Q2311" i="3"/>
  <c r="Q2312" i="3"/>
  <c r="Q2313" i="3"/>
  <c r="Q2314" i="3"/>
  <c r="Q2315" i="3"/>
  <c r="Q2316" i="3"/>
  <c r="Q2317" i="3"/>
  <c r="Q2318" i="3"/>
  <c r="Q2319" i="3"/>
  <c r="Q2320" i="3"/>
  <c r="Q2321" i="3"/>
  <c r="Q2322" i="3"/>
  <c r="Q2323" i="3"/>
  <c r="Q2324" i="3"/>
  <c r="Q2325" i="3"/>
  <c r="Q2326" i="3"/>
  <c r="Q2327" i="3"/>
  <c r="Q2328" i="3"/>
  <c r="Q2329" i="3"/>
  <c r="Q2330" i="3"/>
  <c r="Q2331" i="3"/>
  <c r="Q2332" i="3"/>
  <c r="Q2333" i="3"/>
  <c r="Q2334" i="3"/>
  <c r="Q2335" i="3"/>
  <c r="Q2336" i="3"/>
  <c r="Q2337" i="3"/>
  <c r="Q2338" i="3"/>
  <c r="Q2339" i="3"/>
  <c r="Q2340" i="3"/>
  <c r="Q2341" i="3"/>
  <c r="Q2342" i="3"/>
  <c r="Q2343" i="3"/>
  <c r="Q2344" i="3"/>
  <c r="Q2345" i="3"/>
  <c r="Q2346" i="3"/>
  <c r="Q2347" i="3"/>
  <c r="Q2348" i="3"/>
  <c r="Q2349" i="3"/>
  <c r="Q2350" i="3"/>
  <c r="Q2351" i="3"/>
  <c r="Q2352" i="3"/>
  <c r="Q2353" i="3"/>
  <c r="Q2354" i="3"/>
  <c r="Q2355" i="3"/>
  <c r="Q2356" i="3"/>
  <c r="Q2357" i="3"/>
  <c r="Q2358" i="3"/>
  <c r="Q2359" i="3"/>
  <c r="Q2360" i="3"/>
  <c r="Q2361" i="3"/>
  <c r="Q2362" i="3"/>
  <c r="Q2363" i="3"/>
  <c r="Q2364" i="3"/>
  <c r="Q2365" i="3"/>
  <c r="Q2366" i="3"/>
  <c r="Q2367" i="3"/>
  <c r="Q2368" i="3"/>
  <c r="Q2369" i="3"/>
  <c r="Q2370" i="3"/>
  <c r="Q2371" i="3"/>
  <c r="Q2372" i="3"/>
  <c r="Q2373" i="3"/>
  <c r="Q2374" i="3"/>
  <c r="Q2375" i="3"/>
  <c r="Q2376" i="3"/>
  <c r="Q2377" i="3"/>
  <c r="Q2378" i="3"/>
  <c r="Q2379" i="3"/>
  <c r="Q2380" i="3"/>
  <c r="Q2381" i="3"/>
  <c r="Q2382" i="3"/>
  <c r="Q2383" i="3"/>
  <c r="Q2384" i="3"/>
  <c r="Q2385" i="3"/>
  <c r="Q2386" i="3"/>
  <c r="Q2387" i="3"/>
  <c r="Q2388" i="3"/>
  <c r="Q2389" i="3"/>
  <c r="Q2390" i="3"/>
  <c r="Q2391" i="3"/>
  <c r="Q2392" i="3"/>
  <c r="Q2393" i="3"/>
  <c r="Q2394" i="3"/>
  <c r="Q2395" i="3"/>
  <c r="Q2396" i="3"/>
  <c r="Q2397" i="3"/>
  <c r="Q2398" i="3"/>
  <c r="Q2399" i="3"/>
  <c r="Q2400" i="3"/>
  <c r="Q2401" i="3"/>
  <c r="Q2402" i="3"/>
  <c r="Q2403" i="3"/>
  <c r="Q2404" i="3"/>
  <c r="Q2405" i="3"/>
  <c r="Q2406" i="3"/>
  <c r="Q2407" i="3"/>
  <c r="Q2408" i="3"/>
  <c r="Q2409" i="3"/>
  <c r="Q2410" i="3"/>
  <c r="Q2411" i="3"/>
  <c r="Q2412" i="3"/>
  <c r="Q2413" i="3"/>
  <c r="Q2414" i="3"/>
  <c r="Q2415" i="3"/>
  <c r="Q2416" i="3"/>
  <c r="Q2417" i="3"/>
  <c r="Q2418" i="3"/>
  <c r="Q2419" i="3"/>
  <c r="Q2420" i="3"/>
  <c r="Q2421" i="3"/>
  <c r="Q2422" i="3"/>
  <c r="Q2423" i="3"/>
  <c r="Q2424" i="3"/>
  <c r="Q2425" i="3"/>
  <c r="Q2426" i="3"/>
  <c r="Q2427" i="3"/>
  <c r="Q2428" i="3"/>
  <c r="Q2429" i="3"/>
  <c r="Q2430" i="3"/>
  <c r="Q2431" i="3"/>
  <c r="Q2432" i="3"/>
  <c r="Q2433" i="3"/>
  <c r="Q2434" i="3"/>
  <c r="Q2435" i="3"/>
  <c r="Q2436" i="3"/>
  <c r="Q2437" i="3"/>
  <c r="Q2438" i="3"/>
  <c r="Q2439" i="3"/>
  <c r="Q2440" i="3"/>
  <c r="O544" i="3"/>
  <c r="P544" i="3" s="1"/>
  <c r="O545" i="3"/>
  <c r="P545" i="3" s="1"/>
  <c r="O546" i="3"/>
  <c r="P546" i="3" s="1"/>
  <c r="O547" i="3"/>
  <c r="P547" i="3" s="1"/>
  <c r="O548" i="3"/>
  <c r="P548" i="3" s="1"/>
  <c r="O549" i="3"/>
  <c r="P549" i="3" s="1"/>
  <c r="O550" i="3"/>
  <c r="P550" i="3" s="1"/>
  <c r="O551" i="3"/>
  <c r="P551" i="3" s="1"/>
  <c r="O552" i="3"/>
  <c r="P552" i="3" s="1"/>
  <c r="O553" i="3"/>
  <c r="P553" i="3" s="1"/>
  <c r="O554" i="3"/>
  <c r="P554" i="3" s="1"/>
  <c r="O555" i="3"/>
  <c r="P555" i="3" s="1"/>
  <c r="O556" i="3"/>
  <c r="P556" i="3" s="1"/>
  <c r="O557" i="3"/>
  <c r="P557" i="3" s="1"/>
  <c r="O558" i="3"/>
  <c r="P558" i="3" s="1"/>
  <c r="O559" i="3"/>
  <c r="P559" i="3" s="1"/>
  <c r="O560" i="3"/>
  <c r="P560" i="3" s="1"/>
  <c r="O561" i="3"/>
  <c r="P561" i="3" s="1"/>
  <c r="O562" i="3"/>
  <c r="P562" i="3" s="1"/>
  <c r="O563" i="3"/>
  <c r="P563" i="3" s="1"/>
  <c r="O564" i="3"/>
  <c r="P564" i="3" s="1"/>
  <c r="O565" i="3"/>
  <c r="P565" i="3" s="1"/>
  <c r="O566" i="3"/>
  <c r="P566" i="3" s="1"/>
  <c r="O567" i="3"/>
  <c r="P567" i="3" s="1"/>
  <c r="O568" i="3"/>
  <c r="P568" i="3" s="1"/>
  <c r="O569" i="3"/>
  <c r="P569" i="3" s="1"/>
  <c r="O570" i="3"/>
  <c r="P570" i="3" s="1"/>
  <c r="O571" i="3"/>
  <c r="P571" i="3" s="1"/>
  <c r="O572" i="3"/>
  <c r="P572" i="3" s="1"/>
  <c r="O573" i="3"/>
  <c r="P573" i="3" s="1"/>
  <c r="O574" i="3"/>
  <c r="P574" i="3" s="1"/>
  <c r="O575" i="3"/>
  <c r="P575" i="3" s="1"/>
  <c r="O576" i="3"/>
  <c r="P576" i="3" s="1"/>
  <c r="O577" i="3"/>
  <c r="P577" i="3" s="1"/>
  <c r="O578" i="3"/>
  <c r="P578" i="3" s="1"/>
  <c r="O579" i="3"/>
  <c r="P579" i="3" s="1"/>
  <c r="O580" i="3"/>
  <c r="P580" i="3" s="1"/>
  <c r="O581" i="3"/>
  <c r="P581" i="3" s="1"/>
  <c r="O582" i="3"/>
  <c r="P582" i="3" s="1"/>
  <c r="O583" i="3"/>
  <c r="P583" i="3" s="1"/>
  <c r="O584" i="3"/>
  <c r="P584" i="3" s="1"/>
  <c r="O585" i="3"/>
  <c r="P585" i="3" s="1"/>
  <c r="O586" i="3"/>
  <c r="P586" i="3" s="1"/>
  <c r="O587" i="3"/>
  <c r="P587" i="3" s="1"/>
  <c r="O588" i="3"/>
  <c r="P588" i="3" s="1"/>
  <c r="O589" i="3"/>
  <c r="P589" i="3" s="1"/>
  <c r="O590" i="3"/>
  <c r="P590" i="3" s="1"/>
  <c r="O591" i="3"/>
  <c r="P591" i="3" s="1"/>
  <c r="O1628" i="3"/>
  <c r="P1628" i="3" s="1"/>
  <c r="O1629" i="3"/>
  <c r="P1629" i="3" s="1"/>
  <c r="O1630" i="3"/>
  <c r="P1630" i="3" s="1"/>
  <c r="O1631" i="3"/>
  <c r="P1631" i="3" s="1"/>
  <c r="O1632" i="3"/>
  <c r="P1632" i="3" s="1"/>
  <c r="O1633" i="3"/>
  <c r="P1633" i="3" s="1"/>
  <c r="O1634" i="3"/>
  <c r="P1634" i="3" s="1"/>
  <c r="O1635" i="3"/>
  <c r="P1635" i="3" s="1"/>
  <c r="O1636" i="3"/>
  <c r="P1636" i="3" s="1"/>
  <c r="O1637" i="3"/>
  <c r="P1637" i="3" s="1"/>
  <c r="O1638" i="3"/>
  <c r="P1638" i="3" s="1"/>
  <c r="O1639" i="3"/>
  <c r="P1639" i="3" s="1"/>
  <c r="O1640" i="3"/>
  <c r="P1640" i="3" s="1"/>
  <c r="O1641" i="3"/>
  <c r="P1641" i="3" s="1"/>
  <c r="O1642" i="3"/>
  <c r="P1642" i="3" s="1"/>
  <c r="O1643" i="3"/>
  <c r="P1643" i="3" s="1"/>
  <c r="O1644" i="3"/>
  <c r="P1644" i="3" s="1"/>
  <c r="O1645" i="3"/>
  <c r="P1645" i="3" s="1"/>
  <c r="O1646" i="3"/>
  <c r="P1646" i="3" s="1"/>
  <c r="O1647" i="3"/>
  <c r="P1647" i="3" s="1"/>
  <c r="O1648" i="3"/>
  <c r="P1648" i="3" s="1"/>
  <c r="O1649" i="3"/>
  <c r="P1649" i="3" s="1"/>
  <c r="O1650" i="3"/>
  <c r="P1650" i="3" s="1"/>
  <c r="O1651" i="3"/>
  <c r="P1651" i="3" s="1"/>
  <c r="O1652" i="3"/>
  <c r="P1652" i="3" s="1"/>
  <c r="O1653" i="3"/>
  <c r="P1653" i="3" s="1"/>
  <c r="O1654" i="3"/>
  <c r="P1654" i="3" s="1"/>
  <c r="O1655" i="3"/>
  <c r="P1655" i="3" s="1"/>
  <c r="O1656" i="3"/>
  <c r="P1656" i="3" s="1"/>
  <c r="O1657" i="3"/>
  <c r="P1657" i="3" s="1"/>
  <c r="O1658" i="3"/>
  <c r="P1658" i="3" s="1"/>
  <c r="O1659" i="3"/>
  <c r="P1659" i="3" s="1"/>
  <c r="O1660" i="3"/>
  <c r="P1660" i="3" s="1"/>
  <c r="O1661" i="3"/>
  <c r="P1661" i="3" s="1"/>
  <c r="O1662" i="3"/>
  <c r="P1662" i="3" s="1"/>
  <c r="O1663" i="3"/>
  <c r="P1663" i="3" s="1"/>
  <c r="O1664" i="3"/>
  <c r="P1664" i="3" s="1"/>
  <c r="O1665" i="3"/>
  <c r="P1665" i="3" s="1"/>
  <c r="O1666" i="3"/>
  <c r="P1666" i="3" s="1"/>
  <c r="O1667" i="3"/>
  <c r="P1667" i="3" s="1"/>
  <c r="O1668" i="3"/>
  <c r="P1668" i="3" s="1"/>
  <c r="O1669" i="3"/>
  <c r="P1669" i="3" s="1"/>
  <c r="O1670" i="3"/>
  <c r="P1670" i="3" s="1"/>
  <c r="O1671" i="3"/>
  <c r="P1671" i="3" s="1"/>
  <c r="O1672" i="3"/>
  <c r="P1672" i="3" s="1"/>
  <c r="O1673" i="3"/>
  <c r="P1673" i="3" s="1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O276" i="3" s="1"/>
  <c r="P276" i="3" s="1"/>
  <c r="N277" i="3"/>
  <c r="O277" i="3" s="1"/>
  <c r="P277" i="3" s="1"/>
  <c r="N278" i="3"/>
  <c r="O278" i="3" s="1"/>
  <c r="P278" i="3" s="1"/>
  <c r="N279" i="3"/>
  <c r="O279" i="3" s="1"/>
  <c r="P279" i="3" s="1"/>
  <c r="N280" i="3"/>
  <c r="O280" i="3" s="1"/>
  <c r="P280" i="3" s="1"/>
  <c r="N281" i="3"/>
  <c r="O281" i="3" s="1"/>
  <c r="P281" i="3" s="1"/>
  <c r="N282" i="3"/>
  <c r="O282" i="3" s="1"/>
  <c r="P282" i="3" s="1"/>
  <c r="N283" i="3"/>
  <c r="O283" i="3" s="1"/>
  <c r="P283" i="3" s="1"/>
  <c r="N284" i="3"/>
  <c r="O284" i="3" s="1"/>
  <c r="P284" i="3" s="1"/>
  <c r="N285" i="3"/>
  <c r="O285" i="3" s="1"/>
  <c r="P285" i="3" s="1"/>
  <c r="N286" i="3"/>
  <c r="O286" i="3" s="1"/>
  <c r="P286" i="3" s="1"/>
  <c r="N287" i="3"/>
  <c r="O287" i="3" s="1"/>
  <c r="P287" i="3" s="1"/>
  <c r="N288" i="3"/>
  <c r="O288" i="3" s="1"/>
  <c r="P288" i="3" s="1"/>
  <c r="N289" i="3"/>
  <c r="O289" i="3" s="1"/>
  <c r="P289" i="3" s="1"/>
  <c r="N290" i="3"/>
  <c r="O290" i="3" s="1"/>
  <c r="P290" i="3" s="1"/>
  <c r="N291" i="3"/>
  <c r="O291" i="3" s="1"/>
  <c r="P291" i="3" s="1"/>
  <c r="N292" i="3"/>
  <c r="O292" i="3" s="1"/>
  <c r="P292" i="3" s="1"/>
  <c r="N293" i="3"/>
  <c r="O293" i="3" s="1"/>
  <c r="P293" i="3" s="1"/>
  <c r="N294" i="3"/>
  <c r="O294" i="3" s="1"/>
  <c r="P294" i="3" s="1"/>
  <c r="N295" i="3"/>
  <c r="O295" i="3" s="1"/>
  <c r="P295" i="3" s="1"/>
  <c r="N296" i="3"/>
  <c r="O296" i="3" s="1"/>
  <c r="P296" i="3" s="1"/>
  <c r="N297" i="3"/>
  <c r="O297" i="3" s="1"/>
  <c r="P297" i="3" s="1"/>
  <c r="N298" i="3"/>
  <c r="O298" i="3" s="1"/>
  <c r="P298" i="3" s="1"/>
  <c r="N299" i="3"/>
  <c r="O299" i="3" s="1"/>
  <c r="P299" i="3" s="1"/>
  <c r="N300" i="3"/>
  <c r="O300" i="3" s="1"/>
  <c r="P300" i="3" s="1"/>
  <c r="N301" i="3"/>
  <c r="O301" i="3" s="1"/>
  <c r="P301" i="3" s="1"/>
  <c r="N302" i="3"/>
  <c r="O302" i="3" s="1"/>
  <c r="P302" i="3" s="1"/>
  <c r="N303" i="3"/>
  <c r="O303" i="3" s="1"/>
  <c r="P303" i="3" s="1"/>
  <c r="N304" i="3"/>
  <c r="O304" i="3" s="1"/>
  <c r="P304" i="3" s="1"/>
  <c r="N305" i="3"/>
  <c r="O305" i="3" s="1"/>
  <c r="P305" i="3" s="1"/>
  <c r="N306" i="3"/>
  <c r="O306" i="3" s="1"/>
  <c r="P306" i="3" s="1"/>
  <c r="N307" i="3"/>
  <c r="O307" i="3" s="1"/>
  <c r="P307" i="3" s="1"/>
  <c r="N308" i="3"/>
  <c r="O308" i="3" s="1"/>
  <c r="P308" i="3" s="1"/>
  <c r="N309" i="3"/>
  <c r="O309" i="3" s="1"/>
  <c r="P309" i="3" s="1"/>
  <c r="N310" i="3"/>
  <c r="O310" i="3" s="1"/>
  <c r="P310" i="3" s="1"/>
  <c r="N311" i="3"/>
  <c r="O311" i="3" s="1"/>
  <c r="P311" i="3" s="1"/>
  <c r="N312" i="3"/>
  <c r="O312" i="3" s="1"/>
  <c r="P312" i="3" s="1"/>
  <c r="N313" i="3"/>
  <c r="O313" i="3" s="1"/>
  <c r="P313" i="3" s="1"/>
  <c r="N314" i="3"/>
  <c r="O314" i="3" s="1"/>
  <c r="P314" i="3" s="1"/>
  <c r="N315" i="3"/>
  <c r="O315" i="3" s="1"/>
  <c r="P315" i="3" s="1"/>
  <c r="N316" i="3"/>
  <c r="O316" i="3" s="1"/>
  <c r="P316" i="3" s="1"/>
  <c r="N317" i="3"/>
  <c r="O317" i="3" s="1"/>
  <c r="P317" i="3" s="1"/>
  <c r="N318" i="3"/>
  <c r="O318" i="3" s="1"/>
  <c r="P318" i="3" s="1"/>
  <c r="N319" i="3"/>
  <c r="O319" i="3" s="1"/>
  <c r="P319" i="3" s="1"/>
  <c r="N320" i="3"/>
  <c r="O320" i="3" s="1"/>
  <c r="P320" i="3" s="1"/>
  <c r="N321" i="3"/>
  <c r="O321" i="3" s="1"/>
  <c r="P321" i="3" s="1"/>
  <c r="N322" i="3"/>
  <c r="O322" i="3" s="1"/>
  <c r="P322" i="3" s="1"/>
  <c r="N323" i="3"/>
  <c r="O323" i="3" s="1"/>
  <c r="P323" i="3" s="1"/>
  <c r="N324" i="3"/>
  <c r="O324" i="3" s="1"/>
  <c r="P324" i="3" s="1"/>
  <c r="N325" i="3"/>
  <c r="O325" i="3" s="1"/>
  <c r="P325" i="3" s="1"/>
  <c r="N326" i="3"/>
  <c r="O326" i="3" s="1"/>
  <c r="P326" i="3" s="1"/>
  <c r="N327" i="3"/>
  <c r="O327" i="3" s="1"/>
  <c r="P327" i="3" s="1"/>
  <c r="N328" i="3"/>
  <c r="O328" i="3" s="1"/>
  <c r="P328" i="3" s="1"/>
  <c r="N329" i="3"/>
  <c r="O329" i="3" s="1"/>
  <c r="P329" i="3" s="1"/>
  <c r="N330" i="3"/>
  <c r="O330" i="3" s="1"/>
  <c r="P330" i="3" s="1"/>
  <c r="N331" i="3"/>
  <c r="O331" i="3" s="1"/>
  <c r="P331" i="3" s="1"/>
  <c r="N332" i="3"/>
  <c r="O332" i="3" s="1"/>
  <c r="P332" i="3" s="1"/>
  <c r="N333" i="3"/>
  <c r="O333" i="3" s="1"/>
  <c r="P333" i="3" s="1"/>
  <c r="N334" i="3"/>
  <c r="O334" i="3" s="1"/>
  <c r="P334" i="3" s="1"/>
  <c r="N335" i="3"/>
  <c r="O335" i="3" s="1"/>
  <c r="P335" i="3" s="1"/>
  <c r="N336" i="3"/>
  <c r="O336" i="3" s="1"/>
  <c r="P336" i="3" s="1"/>
  <c r="N337" i="3"/>
  <c r="O337" i="3" s="1"/>
  <c r="P337" i="3" s="1"/>
  <c r="N338" i="3"/>
  <c r="O338" i="3" s="1"/>
  <c r="P338" i="3" s="1"/>
  <c r="N339" i="3"/>
  <c r="O339" i="3" s="1"/>
  <c r="P339" i="3" s="1"/>
  <c r="N340" i="3"/>
  <c r="O340" i="3" s="1"/>
  <c r="P340" i="3" s="1"/>
  <c r="N341" i="3"/>
  <c r="O341" i="3" s="1"/>
  <c r="P341" i="3" s="1"/>
  <c r="N342" i="3"/>
  <c r="O342" i="3" s="1"/>
  <c r="P342" i="3" s="1"/>
  <c r="N343" i="3"/>
  <c r="O343" i="3" s="1"/>
  <c r="P343" i="3" s="1"/>
  <c r="N344" i="3"/>
  <c r="O344" i="3" s="1"/>
  <c r="P344" i="3" s="1"/>
  <c r="N345" i="3"/>
  <c r="O345" i="3" s="1"/>
  <c r="P345" i="3" s="1"/>
  <c r="N346" i="3"/>
  <c r="O346" i="3" s="1"/>
  <c r="P346" i="3" s="1"/>
  <c r="N347" i="3"/>
  <c r="O347" i="3" s="1"/>
  <c r="P347" i="3" s="1"/>
  <c r="N348" i="3"/>
  <c r="O348" i="3" s="1"/>
  <c r="P348" i="3" s="1"/>
  <c r="N349" i="3"/>
  <c r="O349" i="3" s="1"/>
  <c r="P349" i="3" s="1"/>
  <c r="N350" i="3"/>
  <c r="O350" i="3" s="1"/>
  <c r="P350" i="3" s="1"/>
  <c r="N351" i="3"/>
  <c r="O351" i="3" s="1"/>
  <c r="P351" i="3" s="1"/>
  <c r="N352" i="3"/>
  <c r="O352" i="3" s="1"/>
  <c r="P352" i="3" s="1"/>
  <c r="N353" i="3"/>
  <c r="O353" i="3" s="1"/>
  <c r="P353" i="3" s="1"/>
  <c r="N354" i="3"/>
  <c r="O354" i="3" s="1"/>
  <c r="P354" i="3" s="1"/>
  <c r="N355" i="3"/>
  <c r="O355" i="3" s="1"/>
  <c r="P355" i="3" s="1"/>
  <c r="N356" i="3"/>
  <c r="O356" i="3" s="1"/>
  <c r="P356" i="3" s="1"/>
  <c r="N357" i="3"/>
  <c r="O357" i="3" s="1"/>
  <c r="P357" i="3" s="1"/>
  <c r="N358" i="3"/>
  <c r="O358" i="3" s="1"/>
  <c r="P358" i="3" s="1"/>
  <c r="N359" i="3"/>
  <c r="O359" i="3" s="1"/>
  <c r="P359" i="3" s="1"/>
  <c r="N360" i="3"/>
  <c r="O360" i="3" s="1"/>
  <c r="P360" i="3" s="1"/>
  <c r="N361" i="3"/>
  <c r="O361" i="3" s="1"/>
  <c r="P361" i="3" s="1"/>
  <c r="N362" i="3"/>
  <c r="O362" i="3" s="1"/>
  <c r="P362" i="3" s="1"/>
  <c r="N363" i="3"/>
  <c r="O363" i="3" s="1"/>
  <c r="P363" i="3" s="1"/>
  <c r="N364" i="3"/>
  <c r="O364" i="3" s="1"/>
  <c r="P364" i="3" s="1"/>
  <c r="N365" i="3"/>
  <c r="O365" i="3" s="1"/>
  <c r="P365" i="3" s="1"/>
  <c r="N366" i="3"/>
  <c r="O366" i="3" s="1"/>
  <c r="P366" i="3" s="1"/>
  <c r="N367" i="3"/>
  <c r="O367" i="3" s="1"/>
  <c r="P367" i="3" s="1"/>
  <c r="N368" i="3"/>
  <c r="O368" i="3" s="1"/>
  <c r="P368" i="3" s="1"/>
  <c r="N369" i="3"/>
  <c r="O369" i="3" s="1"/>
  <c r="P369" i="3" s="1"/>
  <c r="N370" i="3"/>
  <c r="O370" i="3" s="1"/>
  <c r="P370" i="3" s="1"/>
  <c r="N371" i="3"/>
  <c r="O371" i="3" s="1"/>
  <c r="P371" i="3" s="1"/>
  <c r="N372" i="3"/>
  <c r="O372" i="3" s="1"/>
  <c r="P372" i="3" s="1"/>
  <c r="N373" i="3"/>
  <c r="O373" i="3" s="1"/>
  <c r="P373" i="3" s="1"/>
  <c r="N374" i="3"/>
  <c r="O374" i="3" s="1"/>
  <c r="P374" i="3" s="1"/>
  <c r="N375" i="3"/>
  <c r="O375" i="3" s="1"/>
  <c r="P375" i="3" s="1"/>
  <c r="N376" i="3"/>
  <c r="O376" i="3" s="1"/>
  <c r="P376" i="3" s="1"/>
  <c r="N377" i="3"/>
  <c r="O377" i="3" s="1"/>
  <c r="P377" i="3" s="1"/>
  <c r="N378" i="3"/>
  <c r="O378" i="3" s="1"/>
  <c r="P378" i="3" s="1"/>
  <c r="N379" i="3"/>
  <c r="O379" i="3" s="1"/>
  <c r="P379" i="3" s="1"/>
  <c r="N380" i="3"/>
  <c r="O380" i="3" s="1"/>
  <c r="P380" i="3" s="1"/>
  <c r="N381" i="3"/>
  <c r="O381" i="3" s="1"/>
  <c r="P381" i="3" s="1"/>
  <c r="N382" i="3"/>
  <c r="O382" i="3" s="1"/>
  <c r="P382" i="3" s="1"/>
  <c r="N383" i="3"/>
  <c r="O383" i="3" s="1"/>
  <c r="P383" i="3" s="1"/>
  <c r="N384" i="3"/>
  <c r="O384" i="3" s="1"/>
  <c r="P384" i="3" s="1"/>
  <c r="N385" i="3"/>
  <c r="O385" i="3" s="1"/>
  <c r="P385" i="3" s="1"/>
  <c r="N386" i="3"/>
  <c r="O386" i="3" s="1"/>
  <c r="P386" i="3" s="1"/>
  <c r="N387" i="3"/>
  <c r="O387" i="3" s="1"/>
  <c r="P387" i="3" s="1"/>
  <c r="N388" i="3"/>
  <c r="O388" i="3" s="1"/>
  <c r="P388" i="3" s="1"/>
  <c r="N389" i="3"/>
  <c r="O389" i="3" s="1"/>
  <c r="P389" i="3" s="1"/>
  <c r="N390" i="3"/>
  <c r="O390" i="3" s="1"/>
  <c r="P390" i="3" s="1"/>
  <c r="N391" i="3"/>
  <c r="O391" i="3" s="1"/>
  <c r="P391" i="3" s="1"/>
  <c r="N392" i="3"/>
  <c r="O392" i="3" s="1"/>
  <c r="P392" i="3" s="1"/>
  <c r="N393" i="3"/>
  <c r="O393" i="3" s="1"/>
  <c r="P393" i="3" s="1"/>
  <c r="N394" i="3"/>
  <c r="O394" i="3" s="1"/>
  <c r="P394" i="3" s="1"/>
  <c r="N395" i="3"/>
  <c r="O395" i="3" s="1"/>
  <c r="P395" i="3" s="1"/>
  <c r="N396" i="3"/>
  <c r="O396" i="3" s="1"/>
  <c r="P396" i="3" s="1"/>
  <c r="N397" i="3"/>
  <c r="O397" i="3" s="1"/>
  <c r="P397" i="3" s="1"/>
  <c r="N398" i="3"/>
  <c r="O398" i="3" s="1"/>
  <c r="P398" i="3" s="1"/>
  <c r="N399" i="3"/>
  <c r="O399" i="3" s="1"/>
  <c r="P399" i="3" s="1"/>
  <c r="N400" i="3"/>
  <c r="O400" i="3" s="1"/>
  <c r="P400" i="3" s="1"/>
  <c r="N401" i="3"/>
  <c r="O401" i="3" s="1"/>
  <c r="P401" i="3" s="1"/>
  <c r="N402" i="3"/>
  <c r="O402" i="3" s="1"/>
  <c r="P402" i="3" s="1"/>
  <c r="N403" i="3"/>
  <c r="O403" i="3" s="1"/>
  <c r="P403" i="3" s="1"/>
  <c r="N404" i="3"/>
  <c r="O404" i="3" s="1"/>
  <c r="P404" i="3" s="1"/>
  <c r="N405" i="3"/>
  <c r="O405" i="3" s="1"/>
  <c r="P405" i="3" s="1"/>
  <c r="N406" i="3"/>
  <c r="O406" i="3" s="1"/>
  <c r="P406" i="3" s="1"/>
  <c r="N407" i="3"/>
  <c r="O407" i="3" s="1"/>
  <c r="P407" i="3" s="1"/>
  <c r="N408" i="3"/>
  <c r="O408" i="3" s="1"/>
  <c r="P408" i="3" s="1"/>
  <c r="N409" i="3"/>
  <c r="O409" i="3" s="1"/>
  <c r="P409" i="3" s="1"/>
  <c r="N410" i="3"/>
  <c r="O410" i="3" s="1"/>
  <c r="P410" i="3" s="1"/>
  <c r="N411" i="3"/>
  <c r="O411" i="3" s="1"/>
  <c r="P411" i="3" s="1"/>
  <c r="N412" i="3"/>
  <c r="O412" i="3" s="1"/>
  <c r="P412" i="3" s="1"/>
  <c r="N413" i="3"/>
  <c r="O413" i="3" s="1"/>
  <c r="P413" i="3" s="1"/>
  <c r="N414" i="3"/>
  <c r="O414" i="3" s="1"/>
  <c r="P414" i="3" s="1"/>
  <c r="N415" i="3"/>
  <c r="O415" i="3" s="1"/>
  <c r="P415" i="3" s="1"/>
  <c r="N416" i="3"/>
  <c r="O416" i="3" s="1"/>
  <c r="P416" i="3" s="1"/>
  <c r="N417" i="3"/>
  <c r="O417" i="3" s="1"/>
  <c r="P417" i="3" s="1"/>
  <c r="N418" i="3"/>
  <c r="O418" i="3" s="1"/>
  <c r="P418" i="3" s="1"/>
  <c r="N419" i="3"/>
  <c r="O419" i="3" s="1"/>
  <c r="P419" i="3" s="1"/>
  <c r="N420" i="3"/>
  <c r="O420" i="3" s="1"/>
  <c r="P420" i="3" s="1"/>
  <c r="N421" i="3"/>
  <c r="O421" i="3" s="1"/>
  <c r="P421" i="3" s="1"/>
  <c r="N422" i="3"/>
  <c r="O422" i="3" s="1"/>
  <c r="P422" i="3" s="1"/>
  <c r="N423" i="3"/>
  <c r="O423" i="3" s="1"/>
  <c r="P423" i="3" s="1"/>
  <c r="N424" i="3"/>
  <c r="O424" i="3" s="1"/>
  <c r="P424" i="3" s="1"/>
  <c r="N425" i="3"/>
  <c r="O425" i="3" s="1"/>
  <c r="P425" i="3" s="1"/>
  <c r="N426" i="3"/>
  <c r="O426" i="3" s="1"/>
  <c r="P426" i="3" s="1"/>
  <c r="N427" i="3"/>
  <c r="O427" i="3" s="1"/>
  <c r="P427" i="3" s="1"/>
  <c r="N428" i="3"/>
  <c r="O428" i="3" s="1"/>
  <c r="P428" i="3" s="1"/>
  <c r="N429" i="3"/>
  <c r="O429" i="3" s="1"/>
  <c r="P429" i="3" s="1"/>
  <c r="N430" i="3"/>
  <c r="O430" i="3" s="1"/>
  <c r="P430" i="3" s="1"/>
  <c r="N431" i="3"/>
  <c r="O431" i="3" s="1"/>
  <c r="P431" i="3" s="1"/>
  <c r="N432" i="3"/>
  <c r="O432" i="3" s="1"/>
  <c r="P432" i="3" s="1"/>
  <c r="N433" i="3"/>
  <c r="O433" i="3" s="1"/>
  <c r="P433" i="3" s="1"/>
  <c r="N434" i="3"/>
  <c r="O434" i="3" s="1"/>
  <c r="P434" i="3" s="1"/>
  <c r="N435" i="3"/>
  <c r="O435" i="3" s="1"/>
  <c r="P435" i="3" s="1"/>
  <c r="N436" i="3"/>
  <c r="O436" i="3" s="1"/>
  <c r="P436" i="3" s="1"/>
  <c r="N437" i="3"/>
  <c r="O437" i="3" s="1"/>
  <c r="P437" i="3" s="1"/>
  <c r="N438" i="3"/>
  <c r="O438" i="3" s="1"/>
  <c r="P438" i="3" s="1"/>
  <c r="N439" i="3"/>
  <c r="O439" i="3" s="1"/>
  <c r="P439" i="3" s="1"/>
  <c r="N440" i="3"/>
  <c r="O440" i="3" s="1"/>
  <c r="P440" i="3" s="1"/>
  <c r="N441" i="3"/>
  <c r="O441" i="3" s="1"/>
  <c r="P441" i="3" s="1"/>
  <c r="N442" i="3"/>
  <c r="O442" i="3" s="1"/>
  <c r="P442" i="3" s="1"/>
  <c r="N443" i="3"/>
  <c r="O443" i="3" s="1"/>
  <c r="P443" i="3" s="1"/>
  <c r="N444" i="3"/>
  <c r="O444" i="3" s="1"/>
  <c r="P444" i="3" s="1"/>
  <c r="N445" i="3"/>
  <c r="O445" i="3" s="1"/>
  <c r="P445" i="3" s="1"/>
  <c r="N446" i="3"/>
  <c r="O446" i="3" s="1"/>
  <c r="P446" i="3" s="1"/>
  <c r="N447" i="3"/>
  <c r="O447" i="3" s="1"/>
  <c r="P447" i="3" s="1"/>
  <c r="N448" i="3"/>
  <c r="O448" i="3" s="1"/>
  <c r="P448" i="3" s="1"/>
  <c r="N449" i="3"/>
  <c r="O449" i="3" s="1"/>
  <c r="P449" i="3" s="1"/>
  <c r="N450" i="3"/>
  <c r="O450" i="3" s="1"/>
  <c r="P450" i="3" s="1"/>
  <c r="N451" i="3"/>
  <c r="O451" i="3" s="1"/>
  <c r="P451" i="3" s="1"/>
  <c r="N452" i="3"/>
  <c r="O452" i="3" s="1"/>
  <c r="P452" i="3" s="1"/>
  <c r="N453" i="3"/>
  <c r="O453" i="3" s="1"/>
  <c r="P453" i="3" s="1"/>
  <c r="N454" i="3"/>
  <c r="O454" i="3" s="1"/>
  <c r="P454" i="3" s="1"/>
  <c r="N455" i="3"/>
  <c r="O455" i="3" s="1"/>
  <c r="P455" i="3" s="1"/>
  <c r="N456" i="3"/>
  <c r="O456" i="3" s="1"/>
  <c r="P456" i="3" s="1"/>
  <c r="N457" i="3"/>
  <c r="O457" i="3" s="1"/>
  <c r="P457" i="3" s="1"/>
  <c r="N458" i="3"/>
  <c r="O458" i="3" s="1"/>
  <c r="P458" i="3" s="1"/>
  <c r="N459" i="3"/>
  <c r="O459" i="3" s="1"/>
  <c r="P459" i="3" s="1"/>
  <c r="N460" i="3"/>
  <c r="O460" i="3" s="1"/>
  <c r="P460" i="3" s="1"/>
  <c r="N461" i="3"/>
  <c r="O461" i="3" s="1"/>
  <c r="P461" i="3" s="1"/>
  <c r="N462" i="3"/>
  <c r="O462" i="3" s="1"/>
  <c r="P462" i="3" s="1"/>
  <c r="N463" i="3"/>
  <c r="O463" i="3" s="1"/>
  <c r="P463" i="3" s="1"/>
  <c r="N464" i="3"/>
  <c r="O464" i="3" s="1"/>
  <c r="P464" i="3" s="1"/>
  <c r="N465" i="3"/>
  <c r="O465" i="3" s="1"/>
  <c r="P465" i="3" s="1"/>
  <c r="N466" i="3"/>
  <c r="O466" i="3" s="1"/>
  <c r="P466" i="3" s="1"/>
  <c r="N467" i="3"/>
  <c r="O467" i="3" s="1"/>
  <c r="P467" i="3" s="1"/>
  <c r="N468" i="3"/>
  <c r="O468" i="3" s="1"/>
  <c r="P468" i="3" s="1"/>
  <c r="N469" i="3"/>
  <c r="O469" i="3" s="1"/>
  <c r="P469" i="3" s="1"/>
  <c r="N470" i="3"/>
  <c r="O470" i="3" s="1"/>
  <c r="P470" i="3" s="1"/>
  <c r="N471" i="3"/>
  <c r="O471" i="3" s="1"/>
  <c r="P471" i="3" s="1"/>
  <c r="N472" i="3"/>
  <c r="O472" i="3" s="1"/>
  <c r="P472" i="3" s="1"/>
  <c r="N473" i="3"/>
  <c r="O473" i="3" s="1"/>
  <c r="P473" i="3" s="1"/>
  <c r="N474" i="3"/>
  <c r="O474" i="3" s="1"/>
  <c r="P474" i="3" s="1"/>
  <c r="N475" i="3"/>
  <c r="O475" i="3" s="1"/>
  <c r="P475" i="3" s="1"/>
  <c r="N476" i="3"/>
  <c r="O476" i="3" s="1"/>
  <c r="P476" i="3" s="1"/>
  <c r="N477" i="3"/>
  <c r="O477" i="3" s="1"/>
  <c r="P477" i="3" s="1"/>
  <c r="N478" i="3"/>
  <c r="O478" i="3" s="1"/>
  <c r="P478" i="3" s="1"/>
  <c r="N479" i="3"/>
  <c r="O479" i="3" s="1"/>
  <c r="P479" i="3" s="1"/>
  <c r="N480" i="3"/>
  <c r="O480" i="3" s="1"/>
  <c r="P480" i="3" s="1"/>
  <c r="N481" i="3"/>
  <c r="O481" i="3" s="1"/>
  <c r="P481" i="3" s="1"/>
  <c r="N482" i="3"/>
  <c r="O482" i="3" s="1"/>
  <c r="P482" i="3" s="1"/>
  <c r="N483" i="3"/>
  <c r="O483" i="3" s="1"/>
  <c r="P483" i="3" s="1"/>
  <c r="N484" i="3"/>
  <c r="O484" i="3" s="1"/>
  <c r="P484" i="3" s="1"/>
  <c r="N485" i="3"/>
  <c r="O485" i="3" s="1"/>
  <c r="P485" i="3" s="1"/>
  <c r="N486" i="3"/>
  <c r="O486" i="3" s="1"/>
  <c r="P486" i="3" s="1"/>
  <c r="N487" i="3"/>
  <c r="O487" i="3" s="1"/>
  <c r="P487" i="3" s="1"/>
  <c r="N488" i="3"/>
  <c r="O488" i="3" s="1"/>
  <c r="P488" i="3" s="1"/>
  <c r="N489" i="3"/>
  <c r="O489" i="3" s="1"/>
  <c r="P489" i="3" s="1"/>
  <c r="N490" i="3"/>
  <c r="O490" i="3" s="1"/>
  <c r="P490" i="3" s="1"/>
  <c r="N491" i="3"/>
  <c r="O491" i="3" s="1"/>
  <c r="P491" i="3" s="1"/>
  <c r="N492" i="3"/>
  <c r="O492" i="3" s="1"/>
  <c r="P492" i="3" s="1"/>
  <c r="N493" i="3"/>
  <c r="O493" i="3" s="1"/>
  <c r="P493" i="3" s="1"/>
  <c r="N494" i="3"/>
  <c r="O494" i="3" s="1"/>
  <c r="P494" i="3" s="1"/>
  <c r="N495" i="3"/>
  <c r="O495" i="3" s="1"/>
  <c r="P495" i="3" s="1"/>
  <c r="N496" i="3"/>
  <c r="O496" i="3" s="1"/>
  <c r="P496" i="3" s="1"/>
  <c r="N497" i="3"/>
  <c r="O497" i="3" s="1"/>
  <c r="P497" i="3" s="1"/>
  <c r="N498" i="3"/>
  <c r="O498" i="3" s="1"/>
  <c r="P498" i="3" s="1"/>
  <c r="N499" i="3"/>
  <c r="O499" i="3" s="1"/>
  <c r="P499" i="3" s="1"/>
  <c r="N500" i="3"/>
  <c r="O500" i="3" s="1"/>
  <c r="P500" i="3" s="1"/>
  <c r="N501" i="3"/>
  <c r="O501" i="3" s="1"/>
  <c r="P501" i="3" s="1"/>
  <c r="N502" i="3"/>
  <c r="O502" i="3" s="1"/>
  <c r="P502" i="3" s="1"/>
  <c r="N503" i="3"/>
  <c r="O503" i="3" s="1"/>
  <c r="P503" i="3" s="1"/>
  <c r="N504" i="3"/>
  <c r="O504" i="3" s="1"/>
  <c r="P504" i="3" s="1"/>
  <c r="N505" i="3"/>
  <c r="O505" i="3" s="1"/>
  <c r="P505" i="3" s="1"/>
  <c r="N506" i="3"/>
  <c r="O506" i="3" s="1"/>
  <c r="P506" i="3" s="1"/>
  <c r="N507" i="3"/>
  <c r="O507" i="3" s="1"/>
  <c r="P507" i="3" s="1"/>
  <c r="N508" i="3"/>
  <c r="O508" i="3" s="1"/>
  <c r="P508" i="3" s="1"/>
  <c r="N509" i="3"/>
  <c r="O509" i="3" s="1"/>
  <c r="P509" i="3" s="1"/>
  <c r="N510" i="3"/>
  <c r="O510" i="3" s="1"/>
  <c r="P510" i="3" s="1"/>
  <c r="N511" i="3"/>
  <c r="O511" i="3" s="1"/>
  <c r="P511" i="3" s="1"/>
  <c r="N512" i="3"/>
  <c r="O512" i="3" s="1"/>
  <c r="P512" i="3" s="1"/>
  <c r="N513" i="3"/>
  <c r="O513" i="3" s="1"/>
  <c r="P513" i="3" s="1"/>
  <c r="N514" i="3"/>
  <c r="O514" i="3" s="1"/>
  <c r="P514" i="3" s="1"/>
  <c r="N515" i="3"/>
  <c r="O515" i="3" s="1"/>
  <c r="P515" i="3" s="1"/>
  <c r="N516" i="3"/>
  <c r="O516" i="3" s="1"/>
  <c r="P516" i="3" s="1"/>
  <c r="N517" i="3"/>
  <c r="O517" i="3" s="1"/>
  <c r="P517" i="3" s="1"/>
  <c r="N518" i="3"/>
  <c r="O518" i="3" s="1"/>
  <c r="P518" i="3" s="1"/>
  <c r="N519" i="3"/>
  <c r="O519" i="3" s="1"/>
  <c r="P519" i="3" s="1"/>
  <c r="N520" i="3"/>
  <c r="O520" i="3" s="1"/>
  <c r="P520" i="3" s="1"/>
  <c r="N521" i="3"/>
  <c r="O521" i="3" s="1"/>
  <c r="P521" i="3" s="1"/>
  <c r="N522" i="3"/>
  <c r="O522" i="3" s="1"/>
  <c r="P522" i="3" s="1"/>
  <c r="N523" i="3"/>
  <c r="O523" i="3" s="1"/>
  <c r="P523" i="3" s="1"/>
  <c r="N524" i="3"/>
  <c r="O524" i="3" s="1"/>
  <c r="P524" i="3" s="1"/>
  <c r="N525" i="3"/>
  <c r="O525" i="3" s="1"/>
  <c r="P525" i="3" s="1"/>
  <c r="N526" i="3"/>
  <c r="O526" i="3" s="1"/>
  <c r="P526" i="3" s="1"/>
  <c r="N527" i="3"/>
  <c r="O527" i="3" s="1"/>
  <c r="P527" i="3" s="1"/>
  <c r="N528" i="3"/>
  <c r="O528" i="3" s="1"/>
  <c r="P528" i="3" s="1"/>
  <c r="N529" i="3"/>
  <c r="O529" i="3" s="1"/>
  <c r="P529" i="3" s="1"/>
  <c r="N530" i="3"/>
  <c r="O530" i="3" s="1"/>
  <c r="P530" i="3" s="1"/>
  <c r="N531" i="3"/>
  <c r="O531" i="3" s="1"/>
  <c r="P531" i="3" s="1"/>
  <c r="N532" i="3"/>
  <c r="O532" i="3" s="1"/>
  <c r="P532" i="3" s="1"/>
  <c r="N533" i="3"/>
  <c r="O533" i="3" s="1"/>
  <c r="P533" i="3" s="1"/>
  <c r="N534" i="3"/>
  <c r="O534" i="3" s="1"/>
  <c r="P534" i="3" s="1"/>
  <c r="N535" i="3"/>
  <c r="O535" i="3" s="1"/>
  <c r="P535" i="3" s="1"/>
  <c r="N536" i="3"/>
  <c r="O536" i="3" s="1"/>
  <c r="P536" i="3" s="1"/>
  <c r="N537" i="3"/>
  <c r="O537" i="3" s="1"/>
  <c r="P537" i="3" s="1"/>
  <c r="N538" i="3"/>
  <c r="O538" i="3" s="1"/>
  <c r="P538" i="3" s="1"/>
  <c r="N539" i="3"/>
  <c r="O539" i="3" s="1"/>
  <c r="P539" i="3" s="1"/>
  <c r="N540" i="3"/>
  <c r="O540" i="3" s="1"/>
  <c r="P540" i="3" s="1"/>
  <c r="N541" i="3"/>
  <c r="O541" i="3" s="1"/>
  <c r="P541" i="3" s="1"/>
  <c r="N542" i="3"/>
  <c r="O542" i="3" s="1"/>
  <c r="P542" i="3" s="1"/>
  <c r="N543" i="3"/>
  <c r="O543" i="3" s="1"/>
  <c r="P543" i="3" s="1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O1359" i="3" s="1"/>
  <c r="P1359" i="3" s="1"/>
  <c r="N1360" i="3"/>
  <c r="O1360" i="3" s="1"/>
  <c r="P1360" i="3" s="1"/>
  <c r="N1361" i="3"/>
  <c r="O1361" i="3" s="1"/>
  <c r="P1361" i="3" s="1"/>
  <c r="N1362" i="3"/>
  <c r="O1362" i="3" s="1"/>
  <c r="P1362" i="3" s="1"/>
  <c r="N1363" i="3"/>
  <c r="O1363" i="3" s="1"/>
  <c r="P1363" i="3" s="1"/>
  <c r="N1364" i="3"/>
  <c r="O1364" i="3" s="1"/>
  <c r="P1364" i="3" s="1"/>
  <c r="N1365" i="3"/>
  <c r="O1365" i="3" s="1"/>
  <c r="P1365" i="3" s="1"/>
  <c r="N1366" i="3"/>
  <c r="O1366" i="3" s="1"/>
  <c r="P1366" i="3" s="1"/>
  <c r="N1367" i="3"/>
  <c r="O1367" i="3" s="1"/>
  <c r="P1367" i="3" s="1"/>
  <c r="N1368" i="3"/>
  <c r="O1368" i="3" s="1"/>
  <c r="P1368" i="3" s="1"/>
  <c r="N1369" i="3"/>
  <c r="O1369" i="3" s="1"/>
  <c r="P1369" i="3" s="1"/>
  <c r="N1370" i="3"/>
  <c r="O1370" i="3" s="1"/>
  <c r="P1370" i="3" s="1"/>
  <c r="N1371" i="3"/>
  <c r="O1371" i="3" s="1"/>
  <c r="P1371" i="3" s="1"/>
  <c r="N1372" i="3"/>
  <c r="O1372" i="3" s="1"/>
  <c r="P1372" i="3" s="1"/>
  <c r="N1373" i="3"/>
  <c r="O1373" i="3" s="1"/>
  <c r="P1373" i="3" s="1"/>
  <c r="N1374" i="3"/>
  <c r="O1374" i="3" s="1"/>
  <c r="P1374" i="3" s="1"/>
  <c r="N1375" i="3"/>
  <c r="O1375" i="3" s="1"/>
  <c r="P1375" i="3" s="1"/>
  <c r="N1376" i="3"/>
  <c r="O1376" i="3" s="1"/>
  <c r="P1376" i="3" s="1"/>
  <c r="N1377" i="3"/>
  <c r="O1377" i="3" s="1"/>
  <c r="P1377" i="3" s="1"/>
  <c r="N1378" i="3"/>
  <c r="O1378" i="3" s="1"/>
  <c r="P1378" i="3" s="1"/>
  <c r="N1379" i="3"/>
  <c r="O1379" i="3" s="1"/>
  <c r="P1379" i="3" s="1"/>
  <c r="N1380" i="3"/>
  <c r="O1380" i="3" s="1"/>
  <c r="P1380" i="3" s="1"/>
  <c r="N1381" i="3"/>
  <c r="O1381" i="3" s="1"/>
  <c r="P1381" i="3" s="1"/>
  <c r="N1382" i="3"/>
  <c r="O1382" i="3" s="1"/>
  <c r="P1382" i="3" s="1"/>
  <c r="N1383" i="3"/>
  <c r="O1383" i="3" s="1"/>
  <c r="P1383" i="3" s="1"/>
  <c r="N1384" i="3"/>
  <c r="O1384" i="3" s="1"/>
  <c r="P1384" i="3" s="1"/>
  <c r="N1385" i="3"/>
  <c r="O1385" i="3" s="1"/>
  <c r="P1385" i="3" s="1"/>
  <c r="N1386" i="3"/>
  <c r="O1386" i="3" s="1"/>
  <c r="P1386" i="3" s="1"/>
  <c r="N1387" i="3"/>
  <c r="O1387" i="3" s="1"/>
  <c r="P1387" i="3" s="1"/>
  <c r="N1388" i="3"/>
  <c r="O1388" i="3" s="1"/>
  <c r="P1388" i="3" s="1"/>
  <c r="N1389" i="3"/>
  <c r="O1389" i="3" s="1"/>
  <c r="P1389" i="3" s="1"/>
  <c r="N1390" i="3"/>
  <c r="O1390" i="3" s="1"/>
  <c r="P1390" i="3" s="1"/>
  <c r="N1391" i="3"/>
  <c r="O1391" i="3" s="1"/>
  <c r="P1391" i="3" s="1"/>
  <c r="N1392" i="3"/>
  <c r="O1392" i="3" s="1"/>
  <c r="P1392" i="3" s="1"/>
  <c r="N1393" i="3"/>
  <c r="O1393" i="3" s="1"/>
  <c r="P1393" i="3" s="1"/>
  <c r="N1394" i="3"/>
  <c r="O1394" i="3" s="1"/>
  <c r="P1394" i="3" s="1"/>
  <c r="N1395" i="3"/>
  <c r="O1395" i="3" s="1"/>
  <c r="P1395" i="3" s="1"/>
  <c r="N1396" i="3"/>
  <c r="O1396" i="3" s="1"/>
  <c r="P1396" i="3" s="1"/>
  <c r="N1397" i="3"/>
  <c r="O1397" i="3" s="1"/>
  <c r="P1397" i="3" s="1"/>
  <c r="N1398" i="3"/>
  <c r="O1398" i="3" s="1"/>
  <c r="P1398" i="3" s="1"/>
  <c r="N1399" i="3"/>
  <c r="O1399" i="3" s="1"/>
  <c r="P1399" i="3" s="1"/>
  <c r="N1400" i="3"/>
  <c r="O1400" i="3" s="1"/>
  <c r="P1400" i="3" s="1"/>
  <c r="N1401" i="3"/>
  <c r="O1401" i="3" s="1"/>
  <c r="P1401" i="3" s="1"/>
  <c r="N1402" i="3"/>
  <c r="O1402" i="3" s="1"/>
  <c r="P1402" i="3" s="1"/>
  <c r="N1403" i="3"/>
  <c r="O1403" i="3" s="1"/>
  <c r="P1403" i="3" s="1"/>
  <c r="N1404" i="3"/>
  <c r="O1404" i="3" s="1"/>
  <c r="P1404" i="3" s="1"/>
  <c r="N1405" i="3"/>
  <c r="O1405" i="3" s="1"/>
  <c r="P1405" i="3" s="1"/>
  <c r="N1406" i="3"/>
  <c r="O1406" i="3" s="1"/>
  <c r="P1406" i="3" s="1"/>
  <c r="N1407" i="3"/>
  <c r="O1407" i="3" s="1"/>
  <c r="P1407" i="3" s="1"/>
  <c r="N1408" i="3"/>
  <c r="O1408" i="3" s="1"/>
  <c r="P1408" i="3" s="1"/>
  <c r="N1409" i="3"/>
  <c r="O1409" i="3" s="1"/>
  <c r="P1409" i="3" s="1"/>
  <c r="N1410" i="3"/>
  <c r="O1410" i="3" s="1"/>
  <c r="P1410" i="3" s="1"/>
  <c r="N1411" i="3"/>
  <c r="O1411" i="3" s="1"/>
  <c r="P1411" i="3" s="1"/>
  <c r="N1412" i="3"/>
  <c r="O1412" i="3" s="1"/>
  <c r="P1412" i="3" s="1"/>
  <c r="N1413" i="3"/>
  <c r="O1413" i="3" s="1"/>
  <c r="P1413" i="3" s="1"/>
  <c r="N1414" i="3"/>
  <c r="O1414" i="3" s="1"/>
  <c r="P1414" i="3" s="1"/>
  <c r="N1415" i="3"/>
  <c r="O1415" i="3" s="1"/>
  <c r="P1415" i="3" s="1"/>
  <c r="N1416" i="3"/>
  <c r="O1416" i="3" s="1"/>
  <c r="P1416" i="3" s="1"/>
  <c r="N1417" i="3"/>
  <c r="O1417" i="3" s="1"/>
  <c r="P1417" i="3" s="1"/>
  <c r="N1418" i="3"/>
  <c r="O1418" i="3" s="1"/>
  <c r="P1418" i="3" s="1"/>
  <c r="N1419" i="3"/>
  <c r="O1419" i="3" s="1"/>
  <c r="P1419" i="3" s="1"/>
  <c r="N1420" i="3"/>
  <c r="O1420" i="3" s="1"/>
  <c r="P1420" i="3" s="1"/>
  <c r="N1421" i="3"/>
  <c r="O1421" i="3" s="1"/>
  <c r="P1421" i="3" s="1"/>
  <c r="N1422" i="3"/>
  <c r="O1422" i="3" s="1"/>
  <c r="P1422" i="3" s="1"/>
  <c r="N1423" i="3"/>
  <c r="O1423" i="3" s="1"/>
  <c r="P1423" i="3" s="1"/>
  <c r="N1424" i="3"/>
  <c r="O1424" i="3" s="1"/>
  <c r="P1424" i="3" s="1"/>
  <c r="N1425" i="3"/>
  <c r="O1425" i="3" s="1"/>
  <c r="P1425" i="3" s="1"/>
  <c r="N1426" i="3"/>
  <c r="O1426" i="3" s="1"/>
  <c r="P1426" i="3" s="1"/>
  <c r="N1427" i="3"/>
  <c r="O1427" i="3" s="1"/>
  <c r="P1427" i="3" s="1"/>
  <c r="N1428" i="3"/>
  <c r="O1428" i="3" s="1"/>
  <c r="P1428" i="3" s="1"/>
  <c r="N1429" i="3"/>
  <c r="O1429" i="3" s="1"/>
  <c r="P1429" i="3" s="1"/>
  <c r="N1430" i="3"/>
  <c r="O1430" i="3" s="1"/>
  <c r="P1430" i="3" s="1"/>
  <c r="N1431" i="3"/>
  <c r="O1431" i="3" s="1"/>
  <c r="P1431" i="3" s="1"/>
  <c r="N1432" i="3"/>
  <c r="O1432" i="3" s="1"/>
  <c r="P1432" i="3" s="1"/>
  <c r="N1433" i="3"/>
  <c r="O1433" i="3" s="1"/>
  <c r="P1433" i="3" s="1"/>
  <c r="N1434" i="3"/>
  <c r="O1434" i="3" s="1"/>
  <c r="P1434" i="3" s="1"/>
  <c r="N1435" i="3"/>
  <c r="O1435" i="3" s="1"/>
  <c r="P1435" i="3" s="1"/>
  <c r="N1436" i="3"/>
  <c r="O1436" i="3" s="1"/>
  <c r="P1436" i="3" s="1"/>
  <c r="N1437" i="3"/>
  <c r="O1437" i="3" s="1"/>
  <c r="P1437" i="3" s="1"/>
  <c r="N1438" i="3"/>
  <c r="O1438" i="3" s="1"/>
  <c r="P1438" i="3" s="1"/>
  <c r="N1439" i="3"/>
  <c r="O1439" i="3" s="1"/>
  <c r="P1439" i="3" s="1"/>
  <c r="N1440" i="3"/>
  <c r="O1440" i="3" s="1"/>
  <c r="P1440" i="3" s="1"/>
  <c r="N1441" i="3"/>
  <c r="O1441" i="3" s="1"/>
  <c r="P1441" i="3" s="1"/>
  <c r="N1442" i="3"/>
  <c r="O1442" i="3" s="1"/>
  <c r="P1442" i="3" s="1"/>
  <c r="N1443" i="3"/>
  <c r="O1443" i="3" s="1"/>
  <c r="P1443" i="3" s="1"/>
  <c r="N1444" i="3"/>
  <c r="O1444" i="3" s="1"/>
  <c r="P1444" i="3" s="1"/>
  <c r="N1445" i="3"/>
  <c r="O1445" i="3" s="1"/>
  <c r="P1445" i="3" s="1"/>
  <c r="N1446" i="3"/>
  <c r="O1446" i="3" s="1"/>
  <c r="P1446" i="3" s="1"/>
  <c r="N1447" i="3"/>
  <c r="O1447" i="3" s="1"/>
  <c r="P1447" i="3" s="1"/>
  <c r="N1448" i="3"/>
  <c r="O1448" i="3" s="1"/>
  <c r="P1448" i="3" s="1"/>
  <c r="N1449" i="3"/>
  <c r="O1449" i="3" s="1"/>
  <c r="P1449" i="3" s="1"/>
  <c r="N1450" i="3"/>
  <c r="O1450" i="3" s="1"/>
  <c r="P1450" i="3" s="1"/>
  <c r="N1451" i="3"/>
  <c r="O1451" i="3" s="1"/>
  <c r="P1451" i="3" s="1"/>
  <c r="N1452" i="3"/>
  <c r="O1452" i="3" s="1"/>
  <c r="P1452" i="3" s="1"/>
  <c r="N1453" i="3"/>
  <c r="O1453" i="3" s="1"/>
  <c r="P1453" i="3" s="1"/>
  <c r="N1454" i="3"/>
  <c r="O1454" i="3" s="1"/>
  <c r="P1454" i="3" s="1"/>
  <c r="N1455" i="3"/>
  <c r="O1455" i="3" s="1"/>
  <c r="P1455" i="3" s="1"/>
  <c r="N1456" i="3"/>
  <c r="O1456" i="3" s="1"/>
  <c r="P1456" i="3" s="1"/>
  <c r="N1457" i="3"/>
  <c r="O1457" i="3" s="1"/>
  <c r="P1457" i="3" s="1"/>
  <c r="N1458" i="3"/>
  <c r="O1458" i="3" s="1"/>
  <c r="P1458" i="3" s="1"/>
  <c r="N1459" i="3"/>
  <c r="O1459" i="3" s="1"/>
  <c r="P1459" i="3" s="1"/>
  <c r="N1460" i="3"/>
  <c r="O1460" i="3" s="1"/>
  <c r="P1460" i="3" s="1"/>
  <c r="N1461" i="3"/>
  <c r="O1461" i="3" s="1"/>
  <c r="P1461" i="3" s="1"/>
  <c r="N1462" i="3"/>
  <c r="O1462" i="3" s="1"/>
  <c r="P1462" i="3" s="1"/>
  <c r="N1463" i="3"/>
  <c r="O1463" i="3" s="1"/>
  <c r="P1463" i="3" s="1"/>
  <c r="N1464" i="3"/>
  <c r="O1464" i="3" s="1"/>
  <c r="P1464" i="3" s="1"/>
  <c r="N1465" i="3"/>
  <c r="O1465" i="3" s="1"/>
  <c r="P1465" i="3" s="1"/>
  <c r="N1466" i="3"/>
  <c r="O1466" i="3" s="1"/>
  <c r="P1466" i="3" s="1"/>
  <c r="N1467" i="3"/>
  <c r="O1467" i="3" s="1"/>
  <c r="P1467" i="3" s="1"/>
  <c r="N1468" i="3"/>
  <c r="O1468" i="3" s="1"/>
  <c r="P1468" i="3" s="1"/>
  <c r="N1469" i="3"/>
  <c r="O1469" i="3" s="1"/>
  <c r="P1469" i="3" s="1"/>
  <c r="N1470" i="3"/>
  <c r="O1470" i="3" s="1"/>
  <c r="P1470" i="3" s="1"/>
  <c r="N1471" i="3"/>
  <c r="O1471" i="3" s="1"/>
  <c r="P1471" i="3" s="1"/>
  <c r="N1472" i="3"/>
  <c r="O1472" i="3" s="1"/>
  <c r="P1472" i="3" s="1"/>
  <c r="N1473" i="3"/>
  <c r="O1473" i="3" s="1"/>
  <c r="P1473" i="3" s="1"/>
  <c r="N1474" i="3"/>
  <c r="O1474" i="3" s="1"/>
  <c r="P1474" i="3" s="1"/>
  <c r="N1475" i="3"/>
  <c r="O1475" i="3" s="1"/>
  <c r="P1475" i="3" s="1"/>
  <c r="N1476" i="3"/>
  <c r="O1476" i="3" s="1"/>
  <c r="P1476" i="3" s="1"/>
  <c r="N1477" i="3"/>
  <c r="O1477" i="3" s="1"/>
  <c r="P1477" i="3" s="1"/>
  <c r="N1478" i="3"/>
  <c r="O1478" i="3" s="1"/>
  <c r="P1478" i="3" s="1"/>
  <c r="N1479" i="3"/>
  <c r="O1479" i="3" s="1"/>
  <c r="P1479" i="3" s="1"/>
  <c r="N1480" i="3"/>
  <c r="O1480" i="3" s="1"/>
  <c r="P1480" i="3" s="1"/>
  <c r="N1481" i="3"/>
  <c r="O1481" i="3" s="1"/>
  <c r="P1481" i="3" s="1"/>
  <c r="N1482" i="3"/>
  <c r="O1482" i="3" s="1"/>
  <c r="P1482" i="3" s="1"/>
  <c r="N1483" i="3"/>
  <c r="O1483" i="3" s="1"/>
  <c r="P1483" i="3" s="1"/>
  <c r="N1484" i="3"/>
  <c r="O1484" i="3" s="1"/>
  <c r="P1484" i="3" s="1"/>
  <c r="N1485" i="3"/>
  <c r="O1485" i="3" s="1"/>
  <c r="P1485" i="3" s="1"/>
  <c r="N1486" i="3"/>
  <c r="O1486" i="3" s="1"/>
  <c r="P1486" i="3" s="1"/>
  <c r="N1487" i="3"/>
  <c r="O1487" i="3" s="1"/>
  <c r="P1487" i="3" s="1"/>
  <c r="N1488" i="3"/>
  <c r="O1488" i="3" s="1"/>
  <c r="P1488" i="3" s="1"/>
  <c r="N1489" i="3"/>
  <c r="O1489" i="3" s="1"/>
  <c r="P1489" i="3" s="1"/>
  <c r="N1490" i="3"/>
  <c r="O1490" i="3" s="1"/>
  <c r="P1490" i="3" s="1"/>
  <c r="N1491" i="3"/>
  <c r="O1491" i="3" s="1"/>
  <c r="P1491" i="3" s="1"/>
  <c r="N1492" i="3"/>
  <c r="O1492" i="3" s="1"/>
  <c r="P1492" i="3" s="1"/>
  <c r="N1493" i="3"/>
  <c r="O1493" i="3" s="1"/>
  <c r="P1493" i="3" s="1"/>
  <c r="N1494" i="3"/>
  <c r="O1494" i="3" s="1"/>
  <c r="P1494" i="3" s="1"/>
  <c r="N1495" i="3"/>
  <c r="O1495" i="3" s="1"/>
  <c r="P1495" i="3" s="1"/>
  <c r="N1496" i="3"/>
  <c r="O1496" i="3" s="1"/>
  <c r="P1496" i="3" s="1"/>
  <c r="N1497" i="3"/>
  <c r="O1497" i="3" s="1"/>
  <c r="P1497" i="3" s="1"/>
  <c r="N1498" i="3"/>
  <c r="O1498" i="3" s="1"/>
  <c r="P1498" i="3" s="1"/>
  <c r="N1499" i="3"/>
  <c r="O1499" i="3" s="1"/>
  <c r="P1499" i="3" s="1"/>
  <c r="N1500" i="3"/>
  <c r="O1500" i="3" s="1"/>
  <c r="P1500" i="3" s="1"/>
  <c r="N1501" i="3"/>
  <c r="O1501" i="3" s="1"/>
  <c r="P1501" i="3" s="1"/>
  <c r="N1502" i="3"/>
  <c r="O1502" i="3" s="1"/>
  <c r="P1502" i="3" s="1"/>
  <c r="N1503" i="3"/>
  <c r="O1503" i="3" s="1"/>
  <c r="P1503" i="3" s="1"/>
  <c r="N1504" i="3"/>
  <c r="O1504" i="3" s="1"/>
  <c r="P1504" i="3" s="1"/>
  <c r="N1505" i="3"/>
  <c r="O1505" i="3" s="1"/>
  <c r="P1505" i="3" s="1"/>
  <c r="N1506" i="3"/>
  <c r="O1506" i="3" s="1"/>
  <c r="P1506" i="3" s="1"/>
  <c r="N1507" i="3"/>
  <c r="O1507" i="3" s="1"/>
  <c r="P1507" i="3" s="1"/>
  <c r="N1508" i="3"/>
  <c r="O1508" i="3" s="1"/>
  <c r="P1508" i="3" s="1"/>
  <c r="N1509" i="3"/>
  <c r="O1509" i="3" s="1"/>
  <c r="P1509" i="3" s="1"/>
  <c r="N1510" i="3"/>
  <c r="O1510" i="3" s="1"/>
  <c r="P1510" i="3" s="1"/>
  <c r="N1511" i="3"/>
  <c r="O1511" i="3" s="1"/>
  <c r="P1511" i="3" s="1"/>
  <c r="N1512" i="3"/>
  <c r="O1512" i="3" s="1"/>
  <c r="P1512" i="3" s="1"/>
  <c r="N1513" i="3"/>
  <c r="O1513" i="3" s="1"/>
  <c r="P1513" i="3" s="1"/>
  <c r="N1514" i="3"/>
  <c r="O1514" i="3" s="1"/>
  <c r="P1514" i="3" s="1"/>
  <c r="N1515" i="3"/>
  <c r="O1515" i="3" s="1"/>
  <c r="P1515" i="3" s="1"/>
  <c r="N1516" i="3"/>
  <c r="O1516" i="3" s="1"/>
  <c r="P1516" i="3" s="1"/>
  <c r="N1517" i="3"/>
  <c r="O1517" i="3" s="1"/>
  <c r="P1517" i="3" s="1"/>
  <c r="N1518" i="3"/>
  <c r="O1518" i="3" s="1"/>
  <c r="P1518" i="3" s="1"/>
  <c r="N1519" i="3"/>
  <c r="O1519" i="3" s="1"/>
  <c r="P1519" i="3" s="1"/>
  <c r="N1520" i="3"/>
  <c r="O1520" i="3" s="1"/>
  <c r="P1520" i="3" s="1"/>
  <c r="N1521" i="3"/>
  <c r="O1521" i="3" s="1"/>
  <c r="P1521" i="3" s="1"/>
  <c r="N1522" i="3"/>
  <c r="O1522" i="3" s="1"/>
  <c r="P1522" i="3" s="1"/>
  <c r="N1523" i="3"/>
  <c r="O1523" i="3" s="1"/>
  <c r="P1523" i="3" s="1"/>
  <c r="N1524" i="3"/>
  <c r="O1524" i="3" s="1"/>
  <c r="P1524" i="3" s="1"/>
  <c r="N1525" i="3"/>
  <c r="O1525" i="3" s="1"/>
  <c r="P1525" i="3" s="1"/>
  <c r="N1526" i="3"/>
  <c r="O1526" i="3" s="1"/>
  <c r="P1526" i="3" s="1"/>
  <c r="N1527" i="3"/>
  <c r="O1527" i="3" s="1"/>
  <c r="P1527" i="3" s="1"/>
  <c r="N1528" i="3"/>
  <c r="O1528" i="3" s="1"/>
  <c r="P1528" i="3" s="1"/>
  <c r="N1529" i="3"/>
  <c r="O1529" i="3" s="1"/>
  <c r="P1529" i="3" s="1"/>
  <c r="N1530" i="3"/>
  <c r="O1530" i="3" s="1"/>
  <c r="P1530" i="3" s="1"/>
  <c r="N1531" i="3"/>
  <c r="O1531" i="3" s="1"/>
  <c r="P1531" i="3" s="1"/>
  <c r="N1532" i="3"/>
  <c r="O1532" i="3" s="1"/>
  <c r="P1532" i="3" s="1"/>
  <c r="N1533" i="3"/>
  <c r="O1533" i="3" s="1"/>
  <c r="P1533" i="3" s="1"/>
  <c r="N1534" i="3"/>
  <c r="O1534" i="3" s="1"/>
  <c r="P1534" i="3" s="1"/>
  <c r="N1535" i="3"/>
  <c r="O1535" i="3" s="1"/>
  <c r="P1535" i="3" s="1"/>
  <c r="N1536" i="3"/>
  <c r="O1536" i="3" s="1"/>
  <c r="P1536" i="3" s="1"/>
  <c r="N1537" i="3"/>
  <c r="O1537" i="3" s="1"/>
  <c r="P1537" i="3" s="1"/>
  <c r="N1538" i="3"/>
  <c r="O1538" i="3" s="1"/>
  <c r="P1538" i="3" s="1"/>
  <c r="N1539" i="3"/>
  <c r="O1539" i="3" s="1"/>
  <c r="P1539" i="3" s="1"/>
  <c r="N1540" i="3"/>
  <c r="O1540" i="3" s="1"/>
  <c r="P1540" i="3" s="1"/>
  <c r="N1541" i="3"/>
  <c r="O1541" i="3" s="1"/>
  <c r="P1541" i="3" s="1"/>
  <c r="N1542" i="3"/>
  <c r="O1542" i="3" s="1"/>
  <c r="P1542" i="3" s="1"/>
  <c r="N1543" i="3"/>
  <c r="O1543" i="3" s="1"/>
  <c r="P1543" i="3" s="1"/>
  <c r="N1544" i="3"/>
  <c r="O1544" i="3" s="1"/>
  <c r="P1544" i="3" s="1"/>
  <c r="N1545" i="3"/>
  <c r="O1545" i="3" s="1"/>
  <c r="P1545" i="3" s="1"/>
  <c r="N1546" i="3"/>
  <c r="O1546" i="3" s="1"/>
  <c r="P1546" i="3" s="1"/>
  <c r="N1547" i="3"/>
  <c r="O1547" i="3" s="1"/>
  <c r="P1547" i="3" s="1"/>
  <c r="N1548" i="3"/>
  <c r="O1548" i="3" s="1"/>
  <c r="P1548" i="3" s="1"/>
  <c r="N1549" i="3"/>
  <c r="O1549" i="3" s="1"/>
  <c r="P1549" i="3" s="1"/>
  <c r="N1550" i="3"/>
  <c r="O1550" i="3" s="1"/>
  <c r="P1550" i="3" s="1"/>
  <c r="N1551" i="3"/>
  <c r="O1551" i="3" s="1"/>
  <c r="P1551" i="3" s="1"/>
  <c r="N1552" i="3"/>
  <c r="O1552" i="3" s="1"/>
  <c r="P1552" i="3" s="1"/>
  <c r="N1553" i="3"/>
  <c r="O1553" i="3" s="1"/>
  <c r="P1553" i="3" s="1"/>
  <c r="N1554" i="3"/>
  <c r="O1554" i="3" s="1"/>
  <c r="P1554" i="3" s="1"/>
  <c r="N1555" i="3"/>
  <c r="O1555" i="3" s="1"/>
  <c r="P1555" i="3" s="1"/>
  <c r="N1556" i="3"/>
  <c r="O1556" i="3" s="1"/>
  <c r="P1556" i="3" s="1"/>
  <c r="N1557" i="3"/>
  <c r="O1557" i="3" s="1"/>
  <c r="P1557" i="3" s="1"/>
  <c r="N1558" i="3"/>
  <c r="O1558" i="3" s="1"/>
  <c r="P1558" i="3" s="1"/>
  <c r="N1559" i="3"/>
  <c r="O1559" i="3" s="1"/>
  <c r="P1559" i="3" s="1"/>
  <c r="N1560" i="3"/>
  <c r="O1560" i="3" s="1"/>
  <c r="P1560" i="3" s="1"/>
  <c r="N1561" i="3"/>
  <c r="O1561" i="3" s="1"/>
  <c r="P1561" i="3" s="1"/>
  <c r="N1562" i="3"/>
  <c r="O1562" i="3" s="1"/>
  <c r="P1562" i="3" s="1"/>
  <c r="N1563" i="3"/>
  <c r="O1563" i="3" s="1"/>
  <c r="P1563" i="3" s="1"/>
  <c r="N1564" i="3"/>
  <c r="O1564" i="3" s="1"/>
  <c r="P1564" i="3" s="1"/>
  <c r="N1565" i="3"/>
  <c r="O1565" i="3" s="1"/>
  <c r="P1565" i="3" s="1"/>
  <c r="N1566" i="3"/>
  <c r="O1566" i="3" s="1"/>
  <c r="P1566" i="3" s="1"/>
  <c r="N1567" i="3"/>
  <c r="O1567" i="3" s="1"/>
  <c r="P1567" i="3" s="1"/>
  <c r="N1568" i="3"/>
  <c r="O1568" i="3" s="1"/>
  <c r="P1568" i="3" s="1"/>
  <c r="N1569" i="3"/>
  <c r="O1569" i="3" s="1"/>
  <c r="P1569" i="3" s="1"/>
  <c r="N1570" i="3"/>
  <c r="O1570" i="3" s="1"/>
  <c r="P1570" i="3" s="1"/>
  <c r="N1571" i="3"/>
  <c r="O1571" i="3" s="1"/>
  <c r="P1571" i="3" s="1"/>
  <c r="N1572" i="3"/>
  <c r="O1572" i="3" s="1"/>
  <c r="P1572" i="3" s="1"/>
  <c r="N1573" i="3"/>
  <c r="O1573" i="3" s="1"/>
  <c r="P1573" i="3" s="1"/>
  <c r="N1574" i="3"/>
  <c r="O1574" i="3" s="1"/>
  <c r="P1574" i="3" s="1"/>
  <c r="N1575" i="3"/>
  <c r="O1575" i="3" s="1"/>
  <c r="P1575" i="3" s="1"/>
  <c r="N1576" i="3"/>
  <c r="O1576" i="3" s="1"/>
  <c r="P1576" i="3" s="1"/>
  <c r="N1577" i="3"/>
  <c r="O1577" i="3" s="1"/>
  <c r="P1577" i="3" s="1"/>
  <c r="N1578" i="3"/>
  <c r="O1578" i="3" s="1"/>
  <c r="P1578" i="3" s="1"/>
  <c r="N1579" i="3"/>
  <c r="O1579" i="3" s="1"/>
  <c r="P1579" i="3" s="1"/>
  <c r="N1580" i="3"/>
  <c r="O1580" i="3" s="1"/>
  <c r="P1580" i="3" s="1"/>
  <c r="N1581" i="3"/>
  <c r="O1581" i="3" s="1"/>
  <c r="P1581" i="3" s="1"/>
  <c r="N1582" i="3"/>
  <c r="O1582" i="3" s="1"/>
  <c r="P1582" i="3" s="1"/>
  <c r="N1583" i="3"/>
  <c r="O1583" i="3" s="1"/>
  <c r="P1583" i="3" s="1"/>
  <c r="N1584" i="3"/>
  <c r="O1584" i="3" s="1"/>
  <c r="P1584" i="3" s="1"/>
  <c r="N1585" i="3"/>
  <c r="O1585" i="3" s="1"/>
  <c r="P1585" i="3" s="1"/>
  <c r="N1586" i="3"/>
  <c r="O1586" i="3" s="1"/>
  <c r="P1586" i="3" s="1"/>
  <c r="N1587" i="3"/>
  <c r="O1587" i="3" s="1"/>
  <c r="P1587" i="3" s="1"/>
  <c r="N1588" i="3"/>
  <c r="O1588" i="3" s="1"/>
  <c r="P1588" i="3" s="1"/>
  <c r="N1589" i="3"/>
  <c r="O1589" i="3" s="1"/>
  <c r="P1589" i="3" s="1"/>
  <c r="N1590" i="3"/>
  <c r="O1590" i="3" s="1"/>
  <c r="P1590" i="3" s="1"/>
  <c r="N1591" i="3"/>
  <c r="O1591" i="3" s="1"/>
  <c r="P1591" i="3" s="1"/>
  <c r="N1592" i="3"/>
  <c r="O1592" i="3" s="1"/>
  <c r="P1592" i="3" s="1"/>
  <c r="N1593" i="3"/>
  <c r="O1593" i="3" s="1"/>
  <c r="P1593" i="3" s="1"/>
  <c r="N1594" i="3"/>
  <c r="O1594" i="3" s="1"/>
  <c r="P1594" i="3" s="1"/>
  <c r="N1595" i="3"/>
  <c r="O1595" i="3" s="1"/>
  <c r="P1595" i="3" s="1"/>
  <c r="N1596" i="3"/>
  <c r="O1596" i="3" s="1"/>
  <c r="P1596" i="3" s="1"/>
  <c r="N1597" i="3"/>
  <c r="O1597" i="3" s="1"/>
  <c r="P1597" i="3" s="1"/>
  <c r="N1598" i="3"/>
  <c r="O1598" i="3" s="1"/>
  <c r="P1598" i="3" s="1"/>
  <c r="N1599" i="3"/>
  <c r="O1599" i="3" s="1"/>
  <c r="P1599" i="3" s="1"/>
  <c r="N1600" i="3"/>
  <c r="O1600" i="3" s="1"/>
  <c r="P1600" i="3" s="1"/>
  <c r="N1601" i="3"/>
  <c r="O1601" i="3" s="1"/>
  <c r="P1601" i="3" s="1"/>
  <c r="N1602" i="3"/>
  <c r="O1602" i="3" s="1"/>
  <c r="P1602" i="3" s="1"/>
  <c r="N1603" i="3"/>
  <c r="O1603" i="3" s="1"/>
  <c r="P1603" i="3" s="1"/>
  <c r="N1604" i="3"/>
  <c r="O1604" i="3" s="1"/>
  <c r="P1604" i="3" s="1"/>
  <c r="N1605" i="3"/>
  <c r="O1605" i="3" s="1"/>
  <c r="P1605" i="3" s="1"/>
  <c r="N1606" i="3"/>
  <c r="O1606" i="3" s="1"/>
  <c r="P1606" i="3" s="1"/>
  <c r="N1607" i="3"/>
  <c r="O1607" i="3" s="1"/>
  <c r="P1607" i="3" s="1"/>
  <c r="N1608" i="3"/>
  <c r="O1608" i="3" s="1"/>
  <c r="P1608" i="3" s="1"/>
  <c r="N1609" i="3"/>
  <c r="O1609" i="3" s="1"/>
  <c r="P1609" i="3" s="1"/>
  <c r="N1610" i="3"/>
  <c r="O1610" i="3" s="1"/>
  <c r="P1610" i="3" s="1"/>
  <c r="N1611" i="3"/>
  <c r="O1611" i="3" s="1"/>
  <c r="P1611" i="3" s="1"/>
  <c r="N1612" i="3"/>
  <c r="O1612" i="3" s="1"/>
  <c r="P1612" i="3" s="1"/>
  <c r="N1613" i="3"/>
  <c r="O1613" i="3" s="1"/>
  <c r="P1613" i="3" s="1"/>
  <c r="N1614" i="3"/>
  <c r="O1614" i="3" s="1"/>
  <c r="P1614" i="3" s="1"/>
  <c r="N1615" i="3"/>
  <c r="O1615" i="3" s="1"/>
  <c r="P1615" i="3" s="1"/>
  <c r="N1616" i="3"/>
  <c r="O1616" i="3" s="1"/>
  <c r="P1616" i="3" s="1"/>
  <c r="N1617" i="3"/>
  <c r="O1617" i="3" s="1"/>
  <c r="P1617" i="3" s="1"/>
  <c r="N1618" i="3"/>
  <c r="O1618" i="3" s="1"/>
  <c r="P1618" i="3" s="1"/>
  <c r="N1619" i="3"/>
  <c r="O1619" i="3" s="1"/>
  <c r="P1619" i="3" s="1"/>
  <c r="N1620" i="3"/>
  <c r="O1620" i="3" s="1"/>
  <c r="P1620" i="3" s="1"/>
  <c r="N1621" i="3"/>
  <c r="O1621" i="3" s="1"/>
  <c r="P1621" i="3" s="1"/>
  <c r="N1622" i="3"/>
  <c r="O1622" i="3" s="1"/>
  <c r="P1622" i="3" s="1"/>
  <c r="N1623" i="3"/>
  <c r="O1623" i="3" s="1"/>
  <c r="P1623" i="3" s="1"/>
  <c r="N1624" i="3"/>
  <c r="O1624" i="3" s="1"/>
  <c r="P1624" i="3" s="1"/>
  <c r="N1625" i="3"/>
  <c r="O1625" i="3" s="1"/>
  <c r="P1625" i="3" s="1"/>
  <c r="N1626" i="3"/>
  <c r="O1626" i="3" s="1"/>
  <c r="P1626" i="3" s="1"/>
  <c r="N1627" i="3"/>
  <c r="O1627" i="3" s="1"/>
  <c r="P1627" i="3" s="1"/>
  <c r="N1628" i="3"/>
  <c r="N1629" i="3"/>
  <c r="N1630" i="3"/>
  <c r="N1631" i="3"/>
  <c r="N1632" i="3"/>
  <c r="N1633" i="3"/>
  <c r="N1634" i="3"/>
  <c r="N1635" i="3"/>
  <c r="N1636" i="3"/>
  <c r="N1637" i="3"/>
  <c r="N1638" i="3"/>
  <c r="N1639" i="3"/>
  <c r="N1640" i="3"/>
  <c r="N1641" i="3"/>
  <c r="N1642" i="3"/>
  <c r="N1643" i="3"/>
  <c r="N1644" i="3"/>
  <c r="N1645" i="3"/>
  <c r="N1646" i="3"/>
  <c r="N1647" i="3"/>
  <c r="N1648" i="3"/>
  <c r="N1649" i="3"/>
  <c r="N1650" i="3"/>
  <c r="N1651" i="3"/>
  <c r="N1652" i="3"/>
  <c r="N1653" i="3"/>
  <c r="N1654" i="3"/>
  <c r="N1655" i="3"/>
  <c r="N1656" i="3"/>
  <c r="N1657" i="3"/>
  <c r="N1658" i="3"/>
  <c r="N1659" i="3"/>
  <c r="N1660" i="3"/>
  <c r="N1661" i="3"/>
  <c r="N1662" i="3"/>
  <c r="N1663" i="3"/>
  <c r="N1664" i="3"/>
  <c r="N1665" i="3"/>
  <c r="N1666" i="3"/>
  <c r="N1667" i="3"/>
  <c r="N1668" i="3"/>
  <c r="N1669" i="3"/>
  <c r="N1670" i="3"/>
  <c r="N1671" i="3"/>
  <c r="N1672" i="3"/>
  <c r="N1673" i="3"/>
  <c r="N1674" i="3"/>
  <c r="N1675" i="3"/>
  <c r="N1676" i="3"/>
  <c r="N1677" i="3"/>
  <c r="N1678" i="3"/>
  <c r="N1679" i="3"/>
  <c r="N1680" i="3"/>
  <c r="N1681" i="3"/>
  <c r="N1682" i="3"/>
  <c r="N1683" i="3"/>
  <c r="N1684" i="3"/>
  <c r="N1685" i="3"/>
  <c r="N1686" i="3"/>
  <c r="N1687" i="3"/>
  <c r="N1688" i="3"/>
  <c r="N1689" i="3"/>
  <c r="N1690" i="3"/>
  <c r="N1691" i="3"/>
  <c r="N1692" i="3"/>
  <c r="N1693" i="3"/>
  <c r="N1694" i="3"/>
  <c r="N1695" i="3"/>
  <c r="N1696" i="3"/>
  <c r="N1697" i="3"/>
  <c r="N1698" i="3"/>
  <c r="N1699" i="3"/>
  <c r="N1700" i="3"/>
  <c r="N1701" i="3"/>
  <c r="N1702" i="3"/>
  <c r="N1703" i="3"/>
  <c r="N1704" i="3"/>
  <c r="N1705" i="3"/>
  <c r="N1706" i="3"/>
  <c r="N1707" i="3"/>
  <c r="N1708" i="3"/>
  <c r="N1709" i="3"/>
  <c r="N1710" i="3"/>
  <c r="N1711" i="3"/>
  <c r="N1712" i="3"/>
  <c r="N1713" i="3"/>
  <c r="N1714" i="3"/>
  <c r="N1715" i="3"/>
  <c r="N1716" i="3"/>
  <c r="N1717" i="3"/>
  <c r="N1718" i="3"/>
  <c r="N1719" i="3"/>
  <c r="N1720" i="3"/>
  <c r="N1721" i="3"/>
  <c r="N1722" i="3"/>
  <c r="N1723" i="3"/>
  <c r="N1724" i="3"/>
  <c r="N1725" i="3"/>
  <c r="N1726" i="3"/>
  <c r="N1727" i="3"/>
  <c r="N1728" i="3"/>
  <c r="N1729" i="3"/>
  <c r="N1730" i="3"/>
  <c r="N1731" i="3"/>
  <c r="N1732" i="3"/>
  <c r="N1733" i="3"/>
  <c r="N1734" i="3"/>
  <c r="N1735" i="3"/>
  <c r="N1736" i="3"/>
  <c r="N1737" i="3"/>
  <c r="N1738" i="3"/>
  <c r="N1739" i="3"/>
  <c r="N1740" i="3"/>
  <c r="N1741" i="3"/>
  <c r="N1742" i="3"/>
  <c r="N1743" i="3"/>
  <c r="N1744" i="3"/>
  <c r="N1745" i="3"/>
  <c r="N1746" i="3"/>
  <c r="N1747" i="3"/>
  <c r="N1748" i="3"/>
  <c r="N1749" i="3"/>
  <c r="N1750" i="3"/>
  <c r="N1751" i="3"/>
  <c r="N1752" i="3"/>
  <c r="N1753" i="3"/>
  <c r="N1754" i="3"/>
  <c r="N1755" i="3"/>
  <c r="N1756" i="3"/>
  <c r="N1757" i="3"/>
  <c r="N1758" i="3"/>
  <c r="N1759" i="3"/>
  <c r="N1760" i="3"/>
  <c r="N1761" i="3"/>
  <c r="N1762" i="3"/>
  <c r="N1763" i="3"/>
  <c r="N1764" i="3"/>
  <c r="N1765" i="3"/>
  <c r="N1766" i="3"/>
  <c r="N1767" i="3"/>
  <c r="N1768" i="3"/>
  <c r="N1769" i="3"/>
  <c r="N1770" i="3"/>
  <c r="N1771" i="3"/>
  <c r="N1772" i="3"/>
  <c r="N1773" i="3"/>
  <c r="N1774" i="3"/>
  <c r="N1775" i="3"/>
  <c r="N1776" i="3"/>
  <c r="N1777" i="3"/>
  <c r="N1778" i="3"/>
  <c r="N1779" i="3"/>
  <c r="N1780" i="3"/>
  <c r="N1781" i="3"/>
  <c r="N1782" i="3"/>
  <c r="N1783" i="3"/>
  <c r="N1784" i="3"/>
  <c r="N1785" i="3"/>
  <c r="N1786" i="3"/>
  <c r="N1787" i="3"/>
  <c r="N1788" i="3"/>
  <c r="N1789" i="3"/>
  <c r="N1790" i="3"/>
  <c r="N1791" i="3"/>
  <c r="N1792" i="3"/>
  <c r="N1793" i="3"/>
  <c r="N1794" i="3"/>
  <c r="N1795" i="3"/>
  <c r="N1796" i="3"/>
  <c r="N1797" i="3"/>
  <c r="N1798" i="3"/>
  <c r="N1799" i="3"/>
  <c r="N1800" i="3"/>
  <c r="N1801" i="3"/>
  <c r="N1802" i="3"/>
  <c r="N1803" i="3"/>
  <c r="N1804" i="3"/>
  <c r="N1805" i="3"/>
  <c r="N1806" i="3"/>
  <c r="N1807" i="3"/>
  <c r="N1808" i="3"/>
  <c r="N1809" i="3"/>
  <c r="N1810" i="3"/>
  <c r="N1811" i="3"/>
  <c r="N1812" i="3"/>
  <c r="N1813" i="3"/>
  <c r="N1814" i="3"/>
  <c r="N1815" i="3"/>
  <c r="N1816" i="3"/>
  <c r="N1817" i="3"/>
  <c r="N1818" i="3"/>
  <c r="N1819" i="3"/>
  <c r="N1820" i="3"/>
  <c r="N1821" i="3"/>
  <c r="N1822" i="3"/>
  <c r="N1823" i="3"/>
  <c r="N1824" i="3"/>
  <c r="N1825" i="3"/>
  <c r="N1826" i="3"/>
  <c r="N1827" i="3"/>
  <c r="N1828" i="3"/>
  <c r="N1829" i="3"/>
  <c r="N1830" i="3"/>
  <c r="N1831" i="3"/>
  <c r="N1832" i="3"/>
  <c r="N1833" i="3"/>
  <c r="N1834" i="3"/>
  <c r="N1835" i="3"/>
  <c r="N1836" i="3"/>
  <c r="N1837" i="3"/>
  <c r="N1838" i="3"/>
  <c r="N1839" i="3"/>
  <c r="N1840" i="3"/>
  <c r="N1841" i="3"/>
  <c r="N1842" i="3"/>
  <c r="N1843" i="3"/>
  <c r="N1844" i="3"/>
  <c r="N1845" i="3"/>
  <c r="N1846" i="3"/>
  <c r="N1847" i="3"/>
  <c r="N1848" i="3"/>
  <c r="N1849" i="3"/>
  <c r="N1850" i="3"/>
  <c r="N1851" i="3"/>
  <c r="N1852" i="3"/>
  <c r="N1853" i="3"/>
  <c r="N1854" i="3"/>
  <c r="N1855" i="3"/>
  <c r="N1856" i="3"/>
  <c r="N1857" i="3"/>
  <c r="N1858" i="3"/>
  <c r="N1859" i="3"/>
  <c r="N1860" i="3"/>
  <c r="N1861" i="3"/>
  <c r="N1862" i="3"/>
  <c r="N1863" i="3"/>
  <c r="N1864" i="3"/>
  <c r="N1865" i="3"/>
  <c r="N1866" i="3"/>
  <c r="N1867" i="3"/>
  <c r="N1868" i="3"/>
  <c r="N1869" i="3"/>
  <c r="N1870" i="3"/>
  <c r="N1871" i="3"/>
  <c r="N1872" i="3"/>
  <c r="N1873" i="3"/>
  <c r="N1874" i="3"/>
  <c r="N1875" i="3"/>
  <c r="N1876" i="3"/>
  <c r="N1877" i="3"/>
  <c r="N1878" i="3"/>
  <c r="N1879" i="3"/>
  <c r="N1880" i="3"/>
  <c r="N1881" i="3"/>
  <c r="N1882" i="3"/>
  <c r="N1883" i="3"/>
  <c r="N1884" i="3"/>
  <c r="N1885" i="3"/>
  <c r="N1886" i="3"/>
  <c r="N1887" i="3"/>
  <c r="N1888" i="3"/>
  <c r="N1889" i="3"/>
  <c r="N1890" i="3"/>
  <c r="N1891" i="3"/>
  <c r="N1892" i="3"/>
  <c r="N1893" i="3"/>
  <c r="N1894" i="3"/>
  <c r="N1895" i="3"/>
  <c r="N1896" i="3"/>
  <c r="N1897" i="3"/>
  <c r="N1898" i="3"/>
  <c r="N1899" i="3"/>
  <c r="N1900" i="3"/>
  <c r="N1901" i="3"/>
  <c r="N1902" i="3"/>
  <c r="N1903" i="3"/>
  <c r="N1904" i="3"/>
  <c r="N1905" i="3"/>
  <c r="N1906" i="3"/>
  <c r="N1907" i="3"/>
  <c r="N1908" i="3"/>
  <c r="N1909" i="3"/>
  <c r="N1910" i="3"/>
  <c r="N1911" i="3"/>
  <c r="N1912" i="3"/>
  <c r="N1913" i="3"/>
  <c r="N1914" i="3"/>
  <c r="N1915" i="3"/>
  <c r="N1916" i="3"/>
  <c r="N1917" i="3"/>
  <c r="N1918" i="3"/>
  <c r="N1919" i="3"/>
  <c r="N1920" i="3"/>
  <c r="N1921" i="3"/>
  <c r="N1922" i="3"/>
  <c r="N1923" i="3"/>
  <c r="N1924" i="3"/>
  <c r="N1925" i="3"/>
  <c r="N1926" i="3"/>
  <c r="N1927" i="3"/>
  <c r="N1928" i="3"/>
  <c r="N1929" i="3"/>
  <c r="N1930" i="3"/>
  <c r="N1931" i="3"/>
  <c r="N1932" i="3"/>
  <c r="N1933" i="3"/>
  <c r="N1934" i="3"/>
  <c r="N1935" i="3"/>
  <c r="N1936" i="3"/>
  <c r="N1937" i="3"/>
  <c r="N1938" i="3"/>
  <c r="N1939" i="3"/>
  <c r="N1940" i="3"/>
  <c r="N1941" i="3"/>
  <c r="N1942" i="3"/>
  <c r="N1943" i="3"/>
  <c r="N1944" i="3"/>
  <c r="N1945" i="3"/>
  <c r="N1946" i="3"/>
  <c r="N1947" i="3"/>
  <c r="N1948" i="3"/>
  <c r="N1949" i="3"/>
  <c r="N1950" i="3"/>
  <c r="N1951" i="3"/>
  <c r="N1952" i="3"/>
  <c r="N1953" i="3"/>
  <c r="N1954" i="3"/>
  <c r="N1955" i="3"/>
  <c r="N1956" i="3"/>
  <c r="N1957" i="3"/>
  <c r="N1958" i="3"/>
  <c r="N1959" i="3"/>
  <c r="N1960" i="3"/>
  <c r="N1961" i="3"/>
  <c r="N1962" i="3"/>
  <c r="N1963" i="3"/>
  <c r="N1964" i="3"/>
  <c r="N1965" i="3"/>
  <c r="N1966" i="3"/>
  <c r="N1967" i="3"/>
  <c r="N1968" i="3"/>
  <c r="N1969" i="3"/>
  <c r="N1970" i="3"/>
  <c r="N1971" i="3"/>
  <c r="N1972" i="3"/>
  <c r="N1973" i="3"/>
  <c r="N1974" i="3"/>
  <c r="N1975" i="3"/>
  <c r="N1976" i="3"/>
  <c r="N1977" i="3"/>
  <c r="N1978" i="3"/>
  <c r="N1979" i="3"/>
  <c r="N1980" i="3"/>
  <c r="N1981" i="3"/>
  <c r="N1982" i="3"/>
  <c r="N1983" i="3"/>
  <c r="N1984" i="3"/>
  <c r="N1985" i="3"/>
  <c r="N1986" i="3"/>
  <c r="N1987" i="3"/>
  <c r="N1988" i="3"/>
  <c r="N1989" i="3"/>
  <c r="N1990" i="3"/>
  <c r="N1991" i="3"/>
  <c r="N1992" i="3"/>
  <c r="N1993" i="3"/>
  <c r="N1994" i="3"/>
  <c r="N1995" i="3"/>
  <c r="N1996" i="3"/>
  <c r="N1997" i="3"/>
  <c r="N1998" i="3"/>
  <c r="N1999" i="3"/>
  <c r="N2000" i="3"/>
  <c r="N2001" i="3"/>
  <c r="N2002" i="3"/>
  <c r="N2003" i="3"/>
  <c r="N2004" i="3"/>
  <c r="N2005" i="3"/>
  <c r="N2006" i="3"/>
  <c r="N2007" i="3"/>
  <c r="N2008" i="3"/>
  <c r="N2009" i="3"/>
  <c r="N2010" i="3"/>
  <c r="N2011" i="3"/>
  <c r="N2012" i="3"/>
  <c r="N2013" i="3"/>
  <c r="N2014" i="3"/>
  <c r="N2015" i="3"/>
  <c r="N2016" i="3"/>
  <c r="N2017" i="3"/>
  <c r="N2018" i="3"/>
  <c r="N2019" i="3"/>
  <c r="N2020" i="3"/>
  <c r="N2021" i="3"/>
  <c r="N2022" i="3"/>
  <c r="N2023" i="3"/>
  <c r="N2024" i="3"/>
  <c r="N2025" i="3"/>
  <c r="N2026" i="3"/>
  <c r="N2027" i="3"/>
  <c r="N2028" i="3"/>
  <c r="N2029" i="3"/>
  <c r="N2030" i="3"/>
  <c r="N2031" i="3"/>
  <c r="N2032" i="3"/>
  <c r="N2033" i="3"/>
  <c r="N2034" i="3"/>
  <c r="N2035" i="3"/>
  <c r="N2036" i="3"/>
  <c r="N2037" i="3"/>
  <c r="N2038" i="3"/>
  <c r="N2039" i="3"/>
  <c r="N2040" i="3"/>
  <c r="N2041" i="3"/>
  <c r="N2042" i="3"/>
  <c r="N2043" i="3"/>
  <c r="N2044" i="3"/>
  <c r="N2045" i="3"/>
  <c r="N2046" i="3"/>
  <c r="N2047" i="3"/>
  <c r="N2048" i="3"/>
  <c r="N2049" i="3"/>
  <c r="N2050" i="3"/>
  <c r="N2051" i="3"/>
  <c r="N2052" i="3"/>
  <c r="N2053" i="3"/>
  <c r="N2054" i="3"/>
  <c r="N2055" i="3"/>
  <c r="N2056" i="3"/>
  <c r="N2057" i="3"/>
  <c r="N2058" i="3"/>
  <c r="N2059" i="3"/>
  <c r="N2060" i="3"/>
  <c r="N2061" i="3"/>
  <c r="N2062" i="3"/>
  <c r="N2063" i="3"/>
  <c r="N2064" i="3"/>
  <c r="N2065" i="3"/>
  <c r="N2066" i="3"/>
  <c r="N2067" i="3"/>
  <c r="N2068" i="3"/>
  <c r="N2069" i="3"/>
  <c r="N2070" i="3"/>
  <c r="N2071" i="3"/>
  <c r="N2072" i="3"/>
  <c r="N2073" i="3"/>
  <c r="N2074" i="3"/>
  <c r="N2075" i="3"/>
  <c r="N2076" i="3"/>
  <c r="N2077" i="3"/>
  <c r="N2078" i="3"/>
  <c r="N2079" i="3"/>
  <c r="N2080" i="3"/>
  <c r="N2081" i="3"/>
  <c r="N2082" i="3"/>
  <c r="N2083" i="3"/>
  <c r="N2084" i="3"/>
  <c r="N2085" i="3"/>
  <c r="N2086" i="3"/>
  <c r="N2087" i="3"/>
  <c r="N2088" i="3"/>
  <c r="N2089" i="3"/>
  <c r="N2090" i="3"/>
  <c r="N2091" i="3"/>
  <c r="N2092" i="3"/>
  <c r="N2093" i="3"/>
  <c r="N2094" i="3"/>
  <c r="N2095" i="3"/>
  <c r="N2096" i="3"/>
  <c r="N2097" i="3"/>
  <c r="N2098" i="3"/>
  <c r="N2099" i="3"/>
  <c r="N2100" i="3"/>
  <c r="N2101" i="3"/>
  <c r="N2102" i="3"/>
  <c r="N2103" i="3"/>
  <c r="N2104" i="3"/>
  <c r="N2105" i="3"/>
  <c r="N2106" i="3"/>
  <c r="N2107" i="3"/>
  <c r="N2108" i="3"/>
  <c r="N2109" i="3"/>
  <c r="N2110" i="3"/>
  <c r="N2111" i="3"/>
  <c r="N2112" i="3"/>
  <c r="N2113" i="3"/>
  <c r="N2114" i="3"/>
  <c r="N2115" i="3"/>
  <c r="N2116" i="3"/>
  <c r="N2117" i="3"/>
  <c r="N2118" i="3"/>
  <c r="N2119" i="3"/>
  <c r="N2120" i="3"/>
  <c r="N2121" i="3"/>
  <c r="N2122" i="3"/>
  <c r="N2123" i="3"/>
  <c r="N2124" i="3"/>
  <c r="N2125" i="3"/>
  <c r="N2126" i="3"/>
  <c r="N2127" i="3"/>
  <c r="N2128" i="3"/>
  <c r="N2129" i="3"/>
  <c r="N2130" i="3"/>
  <c r="N2131" i="3"/>
  <c r="N2132" i="3"/>
  <c r="N2133" i="3"/>
  <c r="N2134" i="3"/>
  <c r="N2135" i="3"/>
  <c r="N2136" i="3"/>
  <c r="N2137" i="3"/>
  <c r="N2138" i="3"/>
  <c r="N2139" i="3"/>
  <c r="N2140" i="3"/>
  <c r="N2141" i="3"/>
  <c r="N2142" i="3"/>
  <c r="N2143" i="3"/>
  <c r="N2144" i="3"/>
  <c r="N2145" i="3"/>
  <c r="N2146" i="3"/>
  <c r="N2147" i="3"/>
  <c r="N2148" i="3"/>
  <c r="N2149" i="3"/>
  <c r="N2150" i="3"/>
  <c r="N2151" i="3"/>
  <c r="N2152" i="3"/>
  <c r="N2153" i="3"/>
  <c r="N2154" i="3"/>
  <c r="N2155" i="3"/>
  <c r="N2156" i="3"/>
  <c r="N2157" i="3"/>
  <c r="N2158" i="3"/>
  <c r="N2159" i="3"/>
  <c r="N2160" i="3"/>
  <c r="N2161" i="3"/>
  <c r="N2162" i="3"/>
  <c r="N2163" i="3"/>
  <c r="N2164" i="3"/>
  <c r="N2165" i="3"/>
  <c r="N2166" i="3"/>
  <c r="N2167" i="3"/>
  <c r="N2168" i="3"/>
  <c r="N2169" i="3"/>
  <c r="N2170" i="3"/>
  <c r="N2171" i="3"/>
  <c r="N2172" i="3"/>
  <c r="N2173" i="3"/>
  <c r="N2174" i="3"/>
  <c r="N2175" i="3"/>
  <c r="N2176" i="3"/>
  <c r="N2177" i="3"/>
  <c r="N2178" i="3"/>
  <c r="N2179" i="3"/>
  <c r="N2180" i="3"/>
  <c r="N2181" i="3"/>
  <c r="N2182" i="3"/>
  <c r="N2183" i="3"/>
  <c r="N2184" i="3"/>
  <c r="N2185" i="3"/>
  <c r="N2186" i="3"/>
  <c r="N2187" i="3"/>
  <c r="N2188" i="3"/>
  <c r="N2189" i="3"/>
  <c r="N2190" i="3"/>
  <c r="N2191" i="3"/>
  <c r="N2192" i="3"/>
  <c r="N2193" i="3"/>
  <c r="N2194" i="3"/>
  <c r="N2195" i="3"/>
  <c r="N2196" i="3"/>
  <c r="N2197" i="3"/>
  <c r="N2198" i="3"/>
  <c r="N2199" i="3"/>
  <c r="N2200" i="3"/>
  <c r="N2201" i="3"/>
  <c r="N2202" i="3"/>
  <c r="N2203" i="3"/>
  <c r="N2204" i="3"/>
  <c r="N2205" i="3"/>
  <c r="N2206" i="3"/>
  <c r="N2207" i="3"/>
  <c r="N2208" i="3"/>
  <c r="N2209" i="3"/>
  <c r="N2210" i="3"/>
  <c r="N2211" i="3"/>
  <c r="N2212" i="3"/>
  <c r="N2213" i="3"/>
  <c r="N2214" i="3"/>
  <c r="N2215" i="3"/>
  <c r="N2216" i="3"/>
  <c r="N2217" i="3"/>
  <c r="N2218" i="3"/>
  <c r="N2219" i="3"/>
  <c r="N2220" i="3"/>
  <c r="N2221" i="3"/>
  <c r="N2222" i="3"/>
  <c r="N2223" i="3"/>
  <c r="N2224" i="3"/>
  <c r="N2225" i="3"/>
  <c r="N2226" i="3"/>
  <c r="N2227" i="3"/>
  <c r="N2228" i="3"/>
  <c r="N2229" i="3"/>
  <c r="N2230" i="3"/>
  <c r="N2231" i="3"/>
  <c r="N2232" i="3"/>
  <c r="N2233" i="3"/>
  <c r="N2234" i="3"/>
  <c r="N2235" i="3"/>
  <c r="N2236" i="3"/>
  <c r="N2237" i="3"/>
  <c r="N2238" i="3"/>
  <c r="N2239" i="3"/>
  <c r="N2240" i="3"/>
  <c r="N2241" i="3"/>
  <c r="N2242" i="3"/>
  <c r="N2243" i="3"/>
  <c r="N2244" i="3"/>
  <c r="N2245" i="3"/>
  <c r="N2246" i="3"/>
  <c r="N2247" i="3"/>
  <c r="N2248" i="3"/>
  <c r="N2249" i="3"/>
  <c r="N2250" i="3"/>
  <c r="N2251" i="3"/>
  <c r="N2252" i="3"/>
  <c r="N2253" i="3"/>
  <c r="N2254" i="3"/>
  <c r="N2255" i="3"/>
  <c r="N2256" i="3"/>
  <c r="N2257" i="3"/>
  <c r="N2258" i="3"/>
  <c r="N2259" i="3"/>
  <c r="N2260" i="3"/>
  <c r="N2261" i="3"/>
  <c r="N2262" i="3"/>
  <c r="N2263" i="3"/>
  <c r="N2264" i="3"/>
  <c r="N2265" i="3"/>
  <c r="N2266" i="3"/>
  <c r="N2267" i="3"/>
  <c r="N2268" i="3"/>
  <c r="N2269" i="3"/>
  <c r="N2270" i="3"/>
  <c r="N2271" i="3"/>
  <c r="N2272" i="3"/>
  <c r="N2273" i="3"/>
  <c r="N2274" i="3"/>
  <c r="N2275" i="3"/>
  <c r="N2276" i="3"/>
  <c r="N2277" i="3"/>
  <c r="N2278" i="3"/>
  <c r="N2279" i="3"/>
  <c r="N2280" i="3"/>
  <c r="N2281" i="3"/>
  <c r="N2282" i="3"/>
  <c r="N2283" i="3"/>
  <c r="N2284" i="3"/>
  <c r="N2285" i="3"/>
  <c r="N2286" i="3"/>
  <c r="N2287" i="3"/>
  <c r="N2288" i="3"/>
  <c r="N2289" i="3"/>
  <c r="N2290" i="3"/>
  <c r="N2291" i="3"/>
  <c r="N2292" i="3"/>
  <c r="N2293" i="3"/>
  <c r="N2294" i="3"/>
  <c r="N2295" i="3"/>
  <c r="N2296" i="3"/>
  <c r="N2297" i="3"/>
  <c r="N2298" i="3"/>
  <c r="N2299" i="3"/>
  <c r="N2300" i="3"/>
  <c r="N2301" i="3"/>
  <c r="N2302" i="3"/>
  <c r="N2303" i="3"/>
  <c r="N2304" i="3"/>
  <c r="N2305" i="3"/>
  <c r="N2306" i="3"/>
  <c r="N2307" i="3"/>
  <c r="N2308" i="3"/>
  <c r="N2309" i="3"/>
  <c r="N2310" i="3"/>
  <c r="N2311" i="3"/>
  <c r="N2312" i="3"/>
  <c r="N2313" i="3"/>
  <c r="N2314" i="3"/>
  <c r="N2315" i="3"/>
  <c r="N2316" i="3"/>
  <c r="N2317" i="3"/>
  <c r="N2318" i="3"/>
  <c r="N2319" i="3"/>
  <c r="N2320" i="3"/>
  <c r="N2321" i="3"/>
  <c r="N2322" i="3"/>
  <c r="N2323" i="3"/>
  <c r="N2324" i="3"/>
  <c r="N2325" i="3"/>
  <c r="N2326" i="3"/>
  <c r="N2327" i="3"/>
  <c r="N2328" i="3"/>
  <c r="N2329" i="3"/>
  <c r="N2330" i="3"/>
  <c r="N2331" i="3"/>
  <c r="N2332" i="3"/>
  <c r="N2333" i="3"/>
  <c r="N2334" i="3"/>
  <c r="N2335" i="3"/>
  <c r="N2336" i="3"/>
  <c r="N2337" i="3"/>
  <c r="N2338" i="3"/>
  <c r="N2339" i="3"/>
  <c r="N2340" i="3"/>
  <c r="N2341" i="3"/>
  <c r="N2342" i="3"/>
  <c r="N2343" i="3"/>
  <c r="N2344" i="3"/>
  <c r="N2345" i="3"/>
  <c r="N2346" i="3"/>
  <c r="N2347" i="3"/>
  <c r="N2348" i="3"/>
  <c r="N2349" i="3"/>
  <c r="N2350" i="3"/>
  <c r="N2351" i="3"/>
  <c r="N2352" i="3"/>
  <c r="N2353" i="3"/>
  <c r="N2354" i="3"/>
  <c r="N2355" i="3"/>
  <c r="N2356" i="3"/>
  <c r="N2357" i="3"/>
  <c r="N2358" i="3"/>
  <c r="N2359" i="3"/>
  <c r="N2360" i="3"/>
  <c r="N2361" i="3"/>
  <c r="N2362" i="3"/>
  <c r="N2363" i="3"/>
  <c r="N2364" i="3"/>
  <c r="N2365" i="3"/>
  <c r="N2366" i="3"/>
  <c r="N2367" i="3"/>
  <c r="N2368" i="3"/>
  <c r="N2369" i="3"/>
  <c r="N2370" i="3"/>
  <c r="N2371" i="3"/>
  <c r="N2372" i="3"/>
  <c r="N2373" i="3"/>
  <c r="N2374" i="3"/>
  <c r="N2375" i="3"/>
  <c r="N2376" i="3"/>
  <c r="N2377" i="3"/>
  <c r="N2378" i="3"/>
  <c r="N2379" i="3"/>
  <c r="N2380" i="3"/>
  <c r="N2381" i="3"/>
  <c r="N2382" i="3"/>
  <c r="N2383" i="3"/>
  <c r="N2384" i="3"/>
  <c r="N2385" i="3"/>
  <c r="N2386" i="3"/>
  <c r="N2387" i="3"/>
  <c r="N2388" i="3"/>
  <c r="N2389" i="3"/>
  <c r="N2390" i="3"/>
  <c r="N2391" i="3"/>
  <c r="N2392" i="3"/>
  <c r="N2393" i="3"/>
  <c r="N2394" i="3"/>
  <c r="N2395" i="3"/>
  <c r="N2396" i="3"/>
  <c r="N2397" i="3"/>
  <c r="N2398" i="3"/>
  <c r="N2399" i="3"/>
  <c r="N2400" i="3"/>
  <c r="N2401" i="3"/>
  <c r="N2402" i="3"/>
  <c r="N2403" i="3"/>
  <c r="N2404" i="3"/>
  <c r="N2405" i="3"/>
  <c r="N2406" i="3"/>
  <c r="N2407" i="3"/>
  <c r="N2408" i="3"/>
  <c r="N2409" i="3"/>
  <c r="N2410" i="3"/>
  <c r="N2411" i="3"/>
  <c r="N2412" i="3"/>
  <c r="N2413" i="3"/>
  <c r="N2414" i="3"/>
  <c r="N2415" i="3"/>
  <c r="N2416" i="3"/>
  <c r="N2417" i="3"/>
  <c r="N2418" i="3"/>
  <c r="N2419" i="3"/>
  <c r="N2420" i="3"/>
  <c r="N2421" i="3"/>
  <c r="N2422" i="3"/>
  <c r="N2423" i="3"/>
  <c r="N2424" i="3"/>
  <c r="N2425" i="3"/>
  <c r="N2426" i="3"/>
  <c r="N2427" i="3"/>
  <c r="N2428" i="3"/>
  <c r="N2429" i="3"/>
  <c r="N2430" i="3"/>
  <c r="N2431" i="3"/>
  <c r="N2432" i="3"/>
  <c r="N2433" i="3"/>
  <c r="N2434" i="3"/>
  <c r="N2435" i="3"/>
  <c r="N2436" i="3"/>
  <c r="N2437" i="3"/>
  <c r="N2438" i="3"/>
  <c r="N2439" i="3"/>
  <c r="N2440" i="3"/>
  <c r="M6" i="3"/>
  <c r="O6" i="3" s="1"/>
  <c r="P6" i="3" s="1"/>
  <c r="M7" i="3"/>
  <c r="O7" i="3" s="1"/>
  <c r="P7" i="3" s="1"/>
  <c r="M8" i="3"/>
  <c r="O8" i="3" s="1"/>
  <c r="P8" i="3" s="1"/>
  <c r="M9" i="3"/>
  <c r="O9" i="3" s="1"/>
  <c r="P9" i="3" s="1"/>
  <c r="M10" i="3"/>
  <c r="O10" i="3" s="1"/>
  <c r="P10" i="3" s="1"/>
  <c r="M11" i="3"/>
  <c r="O11" i="3" s="1"/>
  <c r="P11" i="3" s="1"/>
  <c r="M12" i="3"/>
  <c r="O12" i="3" s="1"/>
  <c r="P12" i="3" s="1"/>
  <c r="M13" i="3"/>
  <c r="O13" i="3" s="1"/>
  <c r="P13" i="3" s="1"/>
  <c r="M14" i="3"/>
  <c r="O14" i="3" s="1"/>
  <c r="P14" i="3" s="1"/>
  <c r="M15" i="3"/>
  <c r="O15" i="3" s="1"/>
  <c r="P15" i="3" s="1"/>
  <c r="M16" i="3"/>
  <c r="O16" i="3" s="1"/>
  <c r="P16" i="3" s="1"/>
  <c r="M17" i="3"/>
  <c r="O17" i="3" s="1"/>
  <c r="P17" i="3" s="1"/>
  <c r="M18" i="3"/>
  <c r="O18" i="3" s="1"/>
  <c r="P18" i="3" s="1"/>
  <c r="M19" i="3"/>
  <c r="O19" i="3" s="1"/>
  <c r="P19" i="3" s="1"/>
  <c r="M20" i="3"/>
  <c r="O20" i="3" s="1"/>
  <c r="P20" i="3" s="1"/>
  <c r="M21" i="3"/>
  <c r="O21" i="3" s="1"/>
  <c r="P21" i="3" s="1"/>
  <c r="M22" i="3"/>
  <c r="O22" i="3" s="1"/>
  <c r="P22" i="3" s="1"/>
  <c r="M23" i="3"/>
  <c r="O23" i="3" s="1"/>
  <c r="P23" i="3" s="1"/>
  <c r="M24" i="3"/>
  <c r="O24" i="3" s="1"/>
  <c r="P24" i="3" s="1"/>
  <c r="M25" i="3"/>
  <c r="O25" i="3" s="1"/>
  <c r="P25" i="3" s="1"/>
  <c r="M26" i="3"/>
  <c r="O26" i="3" s="1"/>
  <c r="P26" i="3" s="1"/>
  <c r="M27" i="3"/>
  <c r="O27" i="3" s="1"/>
  <c r="P27" i="3" s="1"/>
  <c r="M28" i="3"/>
  <c r="O28" i="3" s="1"/>
  <c r="P28" i="3" s="1"/>
  <c r="M29" i="3"/>
  <c r="O29" i="3" s="1"/>
  <c r="P29" i="3" s="1"/>
  <c r="M30" i="3"/>
  <c r="O30" i="3" s="1"/>
  <c r="P30" i="3" s="1"/>
  <c r="M31" i="3"/>
  <c r="O31" i="3" s="1"/>
  <c r="P31" i="3" s="1"/>
  <c r="M32" i="3"/>
  <c r="O32" i="3" s="1"/>
  <c r="P32" i="3" s="1"/>
  <c r="M33" i="3"/>
  <c r="O33" i="3" s="1"/>
  <c r="P33" i="3" s="1"/>
  <c r="M34" i="3"/>
  <c r="O34" i="3" s="1"/>
  <c r="P34" i="3" s="1"/>
  <c r="M35" i="3"/>
  <c r="O35" i="3" s="1"/>
  <c r="P35" i="3" s="1"/>
  <c r="M36" i="3"/>
  <c r="O36" i="3" s="1"/>
  <c r="P36" i="3" s="1"/>
  <c r="M37" i="3"/>
  <c r="O37" i="3" s="1"/>
  <c r="P37" i="3" s="1"/>
  <c r="M38" i="3"/>
  <c r="O38" i="3" s="1"/>
  <c r="P38" i="3" s="1"/>
  <c r="M39" i="3"/>
  <c r="O39" i="3" s="1"/>
  <c r="P39" i="3" s="1"/>
  <c r="M40" i="3"/>
  <c r="O40" i="3" s="1"/>
  <c r="P40" i="3" s="1"/>
  <c r="M41" i="3"/>
  <c r="O41" i="3" s="1"/>
  <c r="P41" i="3" s="1"/>
  <c r="M42" i="3"/>
  <c r="O42" i="3" s="1"/>
  <c r="P42" i="3" s="1"/>
  <c r="M43" i="3"/>
  <c r="O43" i="3" s="1"/>
  <c r="P43" i="3" s="1"/>
  <c r="M44" i="3"/>
  <c r="O44" i="3" s="1"/>
  <c r="P44" i="3" s="1"/>
  <c r="M45" i="3"/>
  <c r="O45" i="3" s="1"/>
  <c r="P45" i="3" s="1"/>
  <c r="M46" i="3"/>
  <c r="O46" i="3" s="1"/>
  <c r="P46" i="3" s="1"/>
  <c r="M47" i="3"/>
  <c r="O47" i="3" s="1"/>
  <c r="P47" i="3" s="1"/>
  <c r="M48" i="3"/>
  <c r="O48" i="3" s="1"/>
  <c r="P48" i="3" s="1"/>
  <c r="M49" i="3"/>
  <c r="O49" i="3" s="1"/>
  <c r="P49" i="3" s="1"/>
  <c r="M50" i="3"/>
  <c r="O50" i="3" s="1"/>
  <c r="P50" i="3" s="1"/>
  <c r="M51" i="3"/>
  <c r="O51" i="3" s="1"/>
  <c r="P51" i="3" s="1"/>
  <c r="M52" i="3"/>
  <c r="O52" i="3" s="1"/>
  <c r="P52" i="3" s="1"/>
  <c r="M53" i="3"/>
  <c r="O53" i="3" s="1"/>
  <c r="P53" i="3" s="1"/>
  <c r="M54" i="3"/>
  <c r="O54" i="3" s="1"/>
  <c r="P54" i="3" s="1"/>
  <c r="M55" i="3"/>
  <c r="O55" i="3" s="1"/>
  <c r="P55" i="3" s="1"/>
  <c r="M56" i="3"/>
  <c r="O56" i="3" s="1"/>
  <c r="P56" i="3" s="1"/>
  <c r="M57" i="3"/>
  <c r="O57" i="3" s="1"/>
  <c r="P57" i="3" s="1"/>
  <c r="M58" i="3"/>
  <c r="O58" i="3" s="1"/>
  <c r="P58" i="3" s="1"/>
  <c r="M59" i="3"/>
  <c r="O59" i="3" s="1"/>
  <c r="P59" i="3" s="1"/>
  <c r="M60" i="3"/>
  <c r="O60" i="3" s="1"/>
  <c r="P60" i="3" s="1"/>
  <c r="M61" i="3"/>
  <c r="O61" i="3" s="1"/>
  <c r="P61" i="3" s="1"/>
  <c r="M62" i="3"/>
  <c r="O62" i="3" s="1"/>
  <c r="P62" i="3" s="1"/>
  <c r="M63" i="3"/>
  <c r="O63" i="3" s="1"/>
  <c r="P63" i="3" s="1"/>
  <c r="M64" i="3"/>
  <c r="O64" i="3" s="1"/>
  <c r="P64" i="3" s="1"/>
  <c r="M65" i="3"/>
  <c r="O65" i="3" s="1"/>
  <c r="P65" i="3" s="1"/>
  <c r="M66" i="3"/>
  <c r="O66" i="3" s="1"/>
  <c r="P66" i="3" s="1"/>
  <c r="M67" i="3"/>
  <c r="O67" i="3" s="1"/>
  <c r="P67" i="3" s="1"/>
  <c r="M68" i="3"/>
  <c r="O68" i="3" s="1"/>
  <c r="P68" i="3" s="1"/>
  <c r="M69" i="3"/>
  <c r="O69" i="3" s="1"/>
  <c r="P69" i="3" s="1"/>
  <c r="M70" i="3"/>
  <c r="O70" i="3" s="1"/>
  <c r="P70" i="3" s="1"/>
  <c r="M71" i="3"/>
  <c r="O71" i="3" s="1"/>
  <c r="P71" i="3" s="1"/>
  <c r="M72" i="3"/>
  <c r="O72" i="3" s="1"/>
  <c r="P72" i="3" s="1"/>
  <c r="M73" i="3"/>
  <c r="O73" i="3" s="1"/>
  <c r="P73" i="3" s="1"/>
  <c r="M74" i="3"/>
  <c r="O74" i="3" s="1"/>
  <c r="P74" i="3" s="1"/>
  <c r="M75" i="3"/>
  <c r="O75" i="3" s="1"/>
  <c r="P75" i="3" s="1"/>
  <c r="M76" i="3"/>
  <c r="O76" i="3" s="1"/>
  <c r="P76" i="3" s="1"/>
  <c r="M77" i="3"/>
  <c r="O77" i="3" s="1"/>
  <c r="P77" i="3" s="1"/>
  <c r="M78" i="3"/>
  <c r="O78" i="3" s="1"/>
  <c r="P78" i="3" s="1"/>
  <c r="M79" i="3"/>
  <c r="O79" i="3" s="1"/>
  <c r="P79" i="3" s="1"/>
  <c r="M80" i="3"/>
  <c r="O80" i="3" s="1"/>
  <c r="P80" i="3" s="1"/>
  <c r="M81" i="3"/>
  <c r="O81" i="3" s="1"/>
  <c r="P81" i="3" s="1"/>
  <c r="M82" i="3"/>
  <c r="O82" i="3" s="1"/>
  <c r="P82" i="3" s="1"/>
  <c r="M83" i="3"/>
  <c r="O83" i="3" s="1"/>
  <c r="P83" i="3" s="1"/>
  <c r="M84" i="3"/>
  <c r="O84" i="3" s="1"/>
  <c r="P84" i="3" s="1"/>
  <c r="M85" i="3"/>
  <c r="O85" i="3" s="1"/>
  <c r="P85" i="3" s="1"/>
  <c r="M86" i="3"/>
  <c r="O86" i="3" s="1"/>
  <c r="P86" i="3" s="1"/>
  <c r="M87" i="3"/>
  <c r="O87" i="3" s="1"/>
  <c r="P87" i="3" s="1"/>
  <c r="M88" i="3"/>
  <c r="O88" i="3" s="1"/>
  <c r="P88" i="3" s="1"/>
  <c r="M89" i="3"/>
  <c r="O89" i="3" s="1"/>
  <c r="P89" i="3" s="1"/>
  <c r="M90" i="3"/>
  <c r="O90" i="3" s="1"/>
  <c r="P90" i="3" s="1"/>
  <c r="M91" i="3"/>
  <c r="O91" i="3" s="1"/>
  <c r="P91" i="3" s="1"/>
  <c r="M92" i="3"/>
  <c r="O92" i="3" s="1"/>
  <c r="P92" i="3" s="1"/>
  <c r="M93" i="3"/>
  <c r="O93" i="3" s="1"/>
  <c r="P93" i="3" s="1"/>
  <c r="M94" i="3"/>
  <c r="O94" i="3" s="1"/>
  <c r="P94" i="3" s="1"/>
  <c r="M95" i="3"/>
  <c r="O95" i="3" s="1"/>
  <c r="P95" i="3" s="1"/>
  <c r="M96" i="3"/>
  <c r="O96" i="3" s="1"/>
  <c r="P96" i="3" s="1"/>
  <c r="M97" i="3"/>
  <c r="O97" i="3" s="1"/>
  <c r="P97" i="3" s="1"/>
  <c r="M98" i="3"/>
  <c r="O98" i="3" s="1"/>
  <c r="P98" i="3" s="1"/>
  <c r="M99" i="3"/>
  <c r="O99" i="3" s="1"/>
  <c r="P99" i="3" s="1"/>
  <c r="M100" i="3"/>
  <c r="O100" i="3" s="1"/>
  <c r="P100" i="3" s="1"/>
  <c r="M101" i="3"/>
  <c r="O101" i="3" s="1"/>
  <c r="P101" i="3" s="1"/>
  <c r="M102" i="3"/>
  <c r="O102" i="3" s="1"/>
  <c r="P102" i="3" s="1"/>
  <c r="M103" i="3"/>
  <c r="O103" i="3" s="1"/>
  <c r="P103" i="3" s="1"/>
  <c r="M104" i="3"/>
  <c r="O104" i="3" s="1"/>
  <c r="P104" i="3" s="1"/>
  <c r="M105" i="3"/>
  <c r="O105" i="3" s="1"/>
  <c r="P105" i="3" s="1"/>
  <c r="M106" i="3"/>
  <c r="O106" i="3" s="1"/>
  <c r="P106" i="3" s="1"/>
  <c r="M107" i="3"/>
  <c r="O107" i="3" s="1"/>
  <c r="P107" i="3" s="1"/>
  <c r="M108" i="3"/>
  <c r="O108" i="3" s="1"/>
  <c r="P108" i="3" s="1"/>
  <c r="M109" i="3"/>
  <c r="O109" i="3" s="1"/>
  <c r="P109" i="3" s="1"/>
  <c r="M110" i="3"/>
  <c r="O110" i="3" s="1"/>
  <c r="P110" i="3" s="1"/>
  <c r="M111" i="3"/>
  <c r="O111" i="3" s="1"/>
  <c r="P111" i="3" s="1"/>
  <c r="M112" i="3"/>
  <c r="O112" i="3" s="1"/>
  <c r="P112" i="3" s="1"/>
  <c r="M113" i="3"/>
  <c r="O113" i="3" s="1"/>
  <c r="P113" i="3" s="1"/>
  <c r="M114" i="3"/>
  <c r="O114" i="3" s="1"/>
  <c r="P114" i="3" s="1"/>
  <c r="M115" i="3"/>
  <c r="O115" i="3" s="1"/>
  <c r="P115" i="3" s="1"/>
  <c r="M116" i="3"/>
  <c r="O116" i="3" s="1"/>
  <c r="P116" i="3" s="1"/>
  <c r="M117" i="3"/>
  <c r="O117" i="3" s="1"/>
  <c r="P117" i="3" s="1"/>
  <c r="M118" i="3"/>
  <c r="O118" i="3" s="1"/>
  <c r="P118" i="3" s="1"/>
  <c r="M119" i="3"/>
  <c r="O119" i="3" s="1"/>
  <c r="P119" i="3" s="1"/>
  <c r="M120" i="3"/>
  <c r="O120" i="3" s="1"/>
  <c r="P120" i="3" s="1"/>
  <c r="M121" i="3"/>
  <c r="O121" i="3" s="1"/>
  <c r="P121" i="3" s="1"/>
  <c r="M122" i="3"/>
  <c r="O122" i="3" s="1"/>
  <c r="P122" i="3" s="1"/>
  <c r="M123" i="3"/>
  <c r="O123" i="3" s="1"/>
  <c r="P123" i="3" s="1"/>
  <c r="M124" i="3"/>
  <c r="O124" i="3" s="1"/>
  <c r="P124" i="3" s="1"/>
  <c r="M125" i="3"/>
  <c r="O125" i="3" s="1"/>
  <c r="P125" i="3" s="1"/>
  <c r="M126" i="3"/>
  <c r="O126" i="3" s="1"/>
  <c r="P126" i="3" s="1"/>
  <c r="M127" i="3"/>
  <c r="O127" i="3" s="1"/>
  <c r="P127" i="3" s="1"/>
  <c r="M128" i="3"/>
  <c r="O128" i="3" s="1"/>
  <c r="P128" i="3" s="1"/>
  <c r="M129" i="3"/>
  <c r="O129" i="3" s="1"/>
  <c r="P129" i="3" s="1"/>
  <c r="M130" i="3"/>
  <c r="O130" i="3" s="1"/>
  <c r="P130" i="3" s="1"/>
  <c r="M131" i="3"/>
  <c r="O131" i="3" s="1"/>
  <c r="P131" i="3" s="1"/>
  <c r="M132" i="3"/>
  <c r="O132" i="3" s="1"/>
  <c r="P132" i="3" s="1"/>
  <c r="M133" i="3"/>
  <c r="O133" i="3" s="1"/>
  <c r="P133" i="3" s="1"/>
  <c r="M134" i="3"/>
  <c r="O134" i="3" s="1"/>
  <c r="P134" i="3" s="1"/>
  <c r="M135" i="3"/>
  <c r="O135" i="3" s="1"/>
  <c r="P135" i="3" s="1"/>
  <c r="M136" i="3"/>
  <c r="O136" i="3" s="1"/>
  <c r="P136" i="3" s="1"/>
  <c r="M137" i="3"/>
  <c r="O137" i="3" s="1"/>
  <c r="P137" i="3" s="1"/>
  <c r="M138" i="3"/>
  <c r="O138" i="3" s="1"/>
  <c r="P138" i="3" s="1"/>
  <c r="M139" i="3"/>
  <c r="O139" i="3" s="1"/>
  <c r="P139" i="3" s="1"/>
  <c r="M140" i="3"/>
  <c r="O140" i="3" s="1"/>
  <c r="P140" i="3" s="1"/>
  <c r="M141" i="3"/>
  <c r="O141" i="3" s="1"/>
  <c r="P141" i="3" s="1"/>
  <c r="M142" i="3"/>
  <c r="O142" i="3" s="1"/>
  <c r="P142" i="3" s="1"/>
  <c r="M143" i="3"/>
  <c r="O143" i="3" s="1"/>
  <c r="P143" i="3" s="1"/>
  <c r="M144" i="3"/>
  <c r="O144" i="3" s="1"/>
  <c r="P144" i="3" s="1"/>
  <c r="M145" i="3"/>
  <c r="O145" i="3" s="1"/>
  <c r="P145" i="3" s="1"/>
  <c r="M146" i="3"/>
  <c r="O146" i="3" s="1"/>
  <c r="P146" i="3" s="1"/>
  <c r="M147" i="3"/>
  <c r="O147" i="3" s="1"/>
  <c r="P147" i="3" s="1"/>
  <c r="M148" i="3"/>
  <c r="O148" i="3" s="1"/>
  <c r="P148" i="3" s="1"/>
  <c r="M149" i="3"/>
  <c r="O149" i="3" s="1"/>
  <c r="P149" i="3" s="1"/>
  <c r="M150" i="3"/>
  <c r="O150" i="3" s="1"/>
  <c r="P150" i="3" s="1"/>
  <c r="M151" i="3"/>
  <c r="O151" i="3" s="1"/>
  <c r="P151" i="3" s="1"/>
  <c r="M152" i="3"/>
  <c r="O152" i="3" s="1"/>
  <c r="P152" i="3" s="1"/>
  <c r="M153" i="3"/>
  <c r="O153" i="3" s="1"/>
  <c r="P153" i="3" s="1"/>
  <c r="M154" i="3"/>
  <c r="O154" i="3" s="1"/>
  <c r="P154" i="3" s="1"/>
  <c r="M155" i="3"/>
  <c r="O155" i="3" s="1"/>
  <c r="P155" i="3" s="1"/>
  <c r="M156" i="3"/>
  <c r="O156" i="3" s="1"/>
  <c r="P156" i="3" s="1"/>
  <c r="M157" i="3"/>
  <c r="O157" i="3" s="1"/>
  <c r="P157" i="3" s="1"/>
  <c r="M158" i="3"/>
  <c r="O158" i="3" s="1"/>
  <c r="P158" i="3" s="1"/>
  <c r="M159" i="3"/>
  <c r="O159" i="3" s="1"/>
  <c r="P159" i="3" s="1"/>
  <c r="M160" i="3"/>
  <c r="O160" i="3" s="1"/>
  <c r="P160" i="3" s="1"/>
  <c r="M161" i="3"/>
  <c r="O161" i="3" s="1"/>
  <c r="P161" i="3" s="1"/>
  <c r="M162" i="3"/>
  <c r="O162" i="3" s="1"/>
  <c r="P162" i="3" s="1"/>
  <c r="M163" i="3"/>
  <c r="O163" i="3" s="1"/>
  <c r="P163" i="3" s="1"/>
  <c r="M164" i="3"/>
  <c r="O164" i="3" s="1"/>
  <c r="P164" i="3" s="1"/>
  <c r="M165" i="3"/>
  <c r="O165" i="3" s="1"/>
  <c r="P165" i="3" s="1"/>
  <c r="M166" i="3"/>
  <c r="O166" i="3" s="1"/>
  <c r="P166" i="3" s="1"/>
  <c r="M167" i="3"/>
  <c r="O167" i="3" s="1"/>
  <c r="P167" i="3" s="1"/>
  <c r="M168" i="3"/>
  <c r="O168" i="3" s="1"/>
  <c r="P168" i="3" s="1"/>
  <c r="M169" i="3"/>
  <c r="O169" i="3" s="1"/>
  <c r="P169" i="3" s="1"/>
  <c r="M170" i="3"/>
  <c r="O170" i="3" s="1"/>
  <c r="P170" i="3" s="1"/>
  <c r="M171" i="3"/>
  <c r="O171" i="3" s="1"/>
  <c r="P171" i="3" s="1"/>
  <c r="M172" i="3"/>
  <c r="O172" i="3" s="1"/>
  <c r="P172" i="3" s="1"/>
  <c r="M173" i="3"/>
  <c r="O173" i="3" s="1"/>
  <c r="P173" i="3" s="1"/>
  <c r="M174" i="3"/>
  <c r="O174" i="3" s="1"/>
  <c r="P174" i="3" s="1"/>
  <c r="M175" i="3"/>
  <c r="O175" i="3" s="1"/>
  <c r="P175" i="3" s="1"/>
  <c r="M176" i="3"/>
  <c r="O176" i="3" s="1"/>
  <c r="P176" i="3" s="1"/>
  <c r="M177" i="3"/>
  <c r="O177" i="3" s="1"/>
  <c r="P177" i="3" s="1"/>
  <c r="M178" i="3"/>
  <c r="O178" i="3" s="1"/>
  <c r="P178" i="3" s="1"/>
  <c r="M179" i="3"/>
  <c r="O179" i="3" s="1"/>
  <c r="P179" i="3" s="1"/>
  <c r="M180" i="3"/>
  <c r="O180" i="3" s="1"/>
  <c r="P180" i="3" s="1"/>
  <c r="M181" i="3"/>
  <c r="O181" i="3" s="1"/>
  <c r="P181" i="3" s="1"/>
  <c r="M182" i="3"/>
  <c r="O182" i="3" s="1"/>
  <c r="P182" i="3" s="1"/>
  <c r="M183" i="3"/>
  <c r="O183" i="3" s="1"/>
  <c r="P183" i="3" s="1"/>
  <c r="M184" i="3"/>
  <c r="O184" i="3" s="1"/>
  <c r="P184" i="3" s="1"/>
  <c r="M185" i="3"/>
  <c r="O185" i="3" s="1"/>
  <c r="P185" i="3" s="1"/>
  <c r="M186" i="3"/>
  <c r="O186" i="3" s="1"/>
  <c r="P186" i="3" s="1"/>
  <c r="M187" i="3"/>
  <c r="O187" i="3" s="1"/>
  <c r="P187" i="3" s="1"/>
  <c r="M188" i="3"/>
  <c r="O188" i="3" s="1"/>
  <c r="P188" i="3" s="1"/>
  <c r="M189" i="3"/>
  <c r="O189" i="3" s="1"/>
  <c r="P189" i="3" s="1"/>
  <c r="M190" i="3"/>
  <c r="O190" i="3" s="1"/>
  <c r="P190" i="3" s="1"/>
  <c r="M191" i="3"/>
  <c r="O191" i="3" s="1"/>
  <c r="P191" i="3" s="1"/>
  <c r="M192" i="3"/>
  <c r="O192" i="3" s="1"/>
  <c r="P192" i="3" s="1"/>
  <c r="M193" i="3"/>
  <c r="O193" i="3" s="1"/>
  <c r="P193" i="3" s="1"/>
  <c r="M194" i="3"/>
  <c r="O194" i="3" s="1"/>
  <c r="P194" i="3" s="1"/>
  <c r="M195" i="3"/>
  <c r="O195" i="3" s="1"/>
  <c r="P195" i="3" s="1"/>
  <c r="M196" i="3"/>
  <c r="O196" i="3" s="1"/>
  <c r="P196" i="3" s="1"/>
  <c r="M197" i="3"/>
  <c r="O197" i="3" s="1"/>
  <c r="P197" i="3" s="1"/>
  <c r="M198" i="3"/>
  <c r="O198" i="3" s="1"/>
  <c r="P198" i="3" s="1"/>
  <c r="M199" i="3"/>
  <c r="O199" i="3" s="1"/>
  <c r="P199" i="3" s="1"/>
  <c r="M200" i="3"/>
  <c r="O200" i="3" s="1"/>
  <c r="P200" i="3" s="1"/>
  <c r="M201" i="3"/>
  <c r="O201" i="3" s="1"/>
  <c r="P201" i="3" s="1"/>
  <c r="M202" i="3"/>
  <c r="O202" i="3" s="1"/>
  <c r="P202" i="3" s="1"/>
  <c r="M203" i="3"/>
  <c r="O203" i="3" s="1"/>
  <c r="P203" i="3" s="1"/>
  <c r="M204" i="3"/>
  <c r="O204" i="3" s="1"/>
  <c r="P204" i="3" s="1"/>
  <c r="M205" i="3"/>
  <c r="O205" i="3" s="1"/>
  <c r="P205" i="3" s="1"/>
  <c r="M206" i="3"/>
  <c r="O206" i="3" s="1"/>
  <c r="P206" i="3" s="1"/>
  <c r="M207" i="3"/>
  <c r="O207" i="3" s="1"/>
  <c r="P207" i="3" s="1"/>
  <c r="M208" i="3"/>
  <c r="O208" i="3" s="1"/>
  <c r="P208" i="3" s="1"/>
  <c r="M209" i="3"/>
  <c r="O209" i="3" s="1"/>
  <c r="P209" i="3" s="1"/>
  <c r="M210" i="3"/>
  <c r="O210" i="3" s="1"/>
  <c r="P210" i="3" s="1"/>
  <c r="M211" i="3"/>
  <c r="O211" i="3" s="1"/>
  <c r="P211" i="3" s="1"/>
  <c r="M212" i="3"/>
  <c r="O212" i="3" s="1"/>
  <c r="P212" i="3" s="1"/>
  <c r="M213" i="3"/>
  <c r="O213" i="3" s="1"/>
  <c r="P213" i="3" s="1"/>
  <c r="M214" i="3"/>
  <c r="O214" i="3" s="1"/>
  <c r="P214" i="3" s="1"/>
  <c r="M215" i="3"/>
  <c r="O215" i="3" s="1"/>
  <c r="P215" i="3" s="1"/>
  <c r="M216" i="3"/>
  <c r="O216" i="3" s="1"/>
  <c r="P216" i="3" s="1"/>
  <c r="M217" i="3"/>
  <c r="O217" i="3" s="1"/>
  <c r="P217" i="3" s="1"/>
  <c r="M218" i="3"/>
  <c r="O218" i="3" s="1"/>
  <c r="P218" i="3" s="1"/>
  <c r="M219" i="3"/>
  <c r="O219" i="3" s="1"/>
  <c r="P219" i="3" s="1"/>
  <c r="M220" i="3"/>
  <c r="O220" i="3" s="1"/>
  <c r="P220" i="3" s="1"/>
  <c r="M221" i="3"/>
  <c r="O221" i="3" s="1"/>
  <c r="P221" i="3" s="1"/>
  <c r="M222" i="3"/>
  <c r="O222" i="3" s="1"/>
  <c r="P222" i="3" s="1"/>
  <c r="M223" i="3"/>
  <c r="O223" i="3" s="1"/>
  <c r="P223" i="3" s="1"/>
  <c r="M224" i="3"/>
  <c r="O224" i="3" s="1"/>
  <c r="P224" i="3" s="1"/>
  <c r="M225" i="3"/>
  <c r="O225" i="3" s="1"/>
  <c r="P225" i="3" s="1"/>
  <c r="M226" i="3"/>
  <c r="O226" i="3" s="1"/>
  <c r="P226" i="3" s="1"/>
  <c r="M227" i="3"/>
  <c r="O227" i="3" s="1"/>
  <c r="P227" i="3" s="1"/>
  <c r="M228" i="3"/>
  <c r="O228" i="3" s="1"/>
  <c r="P228" i="3" s="1"/>
  <c r="M229" i="3"/>
  <c r="O229" i="3" s="1"/>
  <c r="P229" i="3" s="1"/>
  <c r="M230" i="3"/>
  <c r="O230" i="3" s="1"/>
  <c r="P230" i="3" s="1"/>
  <c r="M231" i="3"/>
  <c r="O231" i="3" s="1"/>
  <c r="P231" i="3" s="1"/>
  <c r="M232" i="3"/>
  <c r="O232" i="3" s="1"/>
  <c r="P232" i="3" s="1"/>
  <c r="M233" i="3"/>
  <c r="O233" i="3" s="1"/>
  <c r="P233" i="3" s="1"/>
  <c r="M234" i="3"/>
  <c r="O234" i="3" s="1"/>
  <c r="P234" i="3" s="1"/>
  <c r="M235" i="3"/>
  <c r="O235" i="3" s="1"/>
  <c r="P235" i="3" s="1"/>
  <c r="M236" i="3"/>
  <c r="O236" i="3" s="1"/>
  <c r="P236" i="3" s="1"/>
  <c r="M237" i="3"/>
  <c r="O237" i="3" s="1"/>
  <c r="P237" i="3" s="1"/>
  <c r="M238" i="3"/>
  <c r="O238" i="3" s="1"/>
  <c r="P238" i="3" s="1"/>
  <c r="M239" i="3"/>
  <c r="O239" i="3" s="1"/>
  <c r="P239" i="3" s="1"/>
  <c r="M240" i="3"/>
  <c r="O240" i="3" s="1"/>
  <c r="P240" i="3" s="1"/>
  <c r="M241" i="3"/>
  <c r="O241" i="3" s="1"/>
  <c r="P241" i="3" s="1"/>
  <c r="M242" i="3"/>
  <c r="O242" i="3" s="1"/>
  <c r="P242" i="3" s="1"/>
  <c r="M243" i="3"/>
  <c r="O243" i="3" s="1"/>
  <c r="P243" i="3" s="1"/>
  <c r="M244" i="3"/>
  <c r="O244" i="3" s="1"/>
  <c r="P244" i="3" s="1"/>
  <c r="M245" i="3"/>
  <c r="O245" i="3" s="1"/>
  <c r="P245" i="3" s="1"/>
  <c r="M246" i="3"/>
  <c r="O246" i="3" s="1"/>
  <c r="P246" i="3" s="1"/>
  <c r="M247" i="3"/>
  <c r="O247" i="3" s="1"/>
  <c r="P247" i="3" s="1"/>
  <c r="M248" i="3"/>
  <c r="O248" i="3" s="1"/>
  <c r="P248" i="3" s="1"/>
  <c r="M249" i="3"/>
  <c r="O249" i="3" s="1"/>
  <c r="P249" i="3" s="1"/>
  <c r="M250" i="3"/>
  <c r="O250" i="3" s="1"/>
  <c r="P250" i="3" s="1"/>
  <c r="M251" i="3"/>
  <c r="O251" i="3" s="1"/>
  <c r="P251" i="3" s="1"/>
  <c r="M252" i="3"/>
  <c r="O252" i="3" s="1"/>
  <c r="P252" i="3" s="1"/>
  <c r="M253" i="3"/>
  <c r="O253" i="3" s="1"/>
  <c r="P253" i="3" s="1"/>
  <c r="M254" i="3"/>
  <c r="O254" i="3" s="1"/>
  <c r="P254" i="3" s="1"/>
  <c r="M255" i="3"/>
  <c r="O255" i="3" s="1"/>
  <c r="P255" i="3" s="1"/>
  <c r="M256" i="3"/>
  <c r="O256" i="3" s="1"/>
  <c r="P256" i="3" s="1"/>
  <c r="M257" i="3"/>
  <c r="O257" i="3" s="1"/>
  <c r="P257" i="3" s="1"/>
  <c r="M258" i="3"/>
  <c r="O258" i="3" s="1"/>
  <c r="P258" i="3" s="1"/>
  <c r="M259" i="3"/>
  <c r="O259" i="3" s="1"/>
  <c r="P259" i="3" s="1"/>
  <c r="M260" i="3"/>
  <c r="O260" i="3" s="1"/>
  <c r="P260" i="3" s="1"/>
  <c r="M261" i="3"/>
  <c r="O261" i="3" s="1"/>
  <c r="P261" i="3" s="1"/>
  <c r="M262" i="3"/>
  <c r="O262" i="3" s="1"/>
  <c r="P262" i="3" s="1"/>
  <c r="M263" i="3"/>
  <c r="O263" i="3" s="1"/>
  <c r="P263" i="3" s="1"/>
  <c r="M264" i="3"/>
  <c r="O264" i="3" s="1"/>
  <c r="P264" i="3" s="1"/>
  <c r="M265" i="3"/>
  <c r="O265" i="3" s="1"/>
  <c r="P265" i="3" s="1"/>
  <c r="M266" i="3"/>
  <c r="O266" i="3" s="1"/>
  <c r="P266" i="3" s="1"/>
  <c r="M267" i="3"/>
  <c r="O267" i="3" s="1"/>
  <c r="P267" i="3" s="1"/>
  <c r="M268" i="3"/>
  <c r="O268" i="3" s="1"/>
  <c r="P268" i="3" s="1"/>
  <c r="M269" i="3"/>
  <c r="O269" i="3" s="1"/>
  <c r="P269" i="3" s="1"/>
  <c r="M270" i="3"/>
  <c r="O270" i="3" s="1"/>
  <c r="P270" i="3" s="1"/>
  <c r="M271" i="3"/>
  <c r="O271" i="3" s="1"/>
  <c r="P271" i="3" s="1"/>
  <c r="M272" i="3"/>
  <c r="O272" i="3" s="1"/>
  <c r="P272" i="3" s="1"/>
  <c r="M273" i="3"/>
  <c r="O273" i="3" s="1"/>
  <c r="P273" i="3" s="1"/>
  <c r="M274" i="3"/>
  <c r="O274" i="3" s="1"/>
  <c r="P274" i="3" s="1"/>
  <c r="M275" i="3"/>
  <c r="O275" i="3" s="1"/>
  <c r="P275" i="3" s="1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O592" i="3" s="1"/>
  <c r="P592" i="3" s="1"/>
  <c r="M593" i="3"/>
  <c r="O593" i="3" s="1"/>
  <c r="P593" i="3" s="1"/>
  <c r="M594" i="3"/>
  <c r="O594" i="3" s="1"/>
  <c r="P594" i="3" s="1"/>
  <c r="M595" i="3"/>
  <c r="O595" i="3" s="1"/>
  <c r="P595" i="3" s="1"/>
  <c r="M596" i="3"/>
  <c r="O596" i="3" s="1"/>
  <c r="P596" i="3" s="1"/>
  <c r="M597" i="3"/>
  <c r="O597" i="3" s="1"/>
  <c r="P597" i="3" s="1"/>
  <c r="M598" i="3"/>
  <c r="O598" i="3" s="1"/>
  <c r="P598" i="3" s="1"/>
  <c r="M599" i="3"/>
  <c r="O599" i="3" s="1"/>
  <c r="P599" i="3" s="1"/>
  <c r="M600" i="3"/>
  <c r="O600" i="3" s="1"/>
  <c r="P600" i="3" s="1"/>
  <c r="M601" i="3"/>
  <c r="O601" i="3" s="1"/>
  <c r="P601" i="3" s="1"/>
  <c r="M602" i="3"/>
  <c r="O602" i="3" s="1"/>
  <c r="P602" i="3" s="1"/>
  <c r="M603" i="3"/>
  <c r="O603" i="3" s="1"/>
  <c r="P603" i="3" s="1"/>
  <c r="M604" i="3"/>
  <c r="O604" i="3" s="1"/>
  <c r="P604" i="3" s="1"/>
  <c r="M605" i="3"/>
  <c r="O605" i="3" s="1"/>
  <c r="P605" i="3" s="1"/>
  <c r="M606" i="3"/>
  <c r="O606" i="3" s="1"/>
  <c r="P606" i="3" s="1"/>
  <c r="M607" i="3"/>
  <c r="O607" i="3" s="1"/>
  <c r="P607" i="3" s="1"/>
  <c r="M608" i="3"/>
  <c r="O608" i="3" s="1"/>
  <c r="P608" i="3" s="1"/>
  <c r="M609" i="3"/>
  <c r="O609" i="3" s="1"/>
  <c r="P609" i="3" s="1"/>
  <c r="M610" i="3"/>
  <c r="O610" i="3" s="1"/>
  <c r="P610" i="3" s="1"/>
  <c r="M611" i="3"/>
  <c r="O611" i="3" s="1"/>
  <c r="P611" i="3" s="1"/>
  <c r="M612" i="3"/>
  <c r="O612" i="3" s="1"/>
  <c r="P612" i="3" s="1"/>
  <c r="M613" i="3"/>
  <c r="O613" i="3" s="1"/>
  <c r="P613" i="3" s="1"/>
  <c r="M614" i="3"/>
  <c r="O614" i="3" s="1"/>
  <c r="P614" i="3" s="1"/>
  <c r="M615" i="3"/>
  <c r="O615" i="3" s="1"/>
  <c r="P615" i="3" s="1"/>
  <c r="M616" i="3"/>
  <c r="O616" i="3" s="1"/>
  <c r="P616" i="3" s="1"/>
  <c r="M617" i="3"/>
  <c r="O617" i="3" s="1"/>
  <c r="P617" i="3" s="1"/>
  <c r="M618" i="3"/>
  <c r="O618" i="3" s="1"/>
  <c r="P618" i="3" s="1"/>
  <c r="M619" i="3"/>
  <c r="O619" i="3" s="1"/>
  <c r="P619" i="3" s="1"/>
  <c r="M620" i="3"/>
  <c r="O620" i="3" s="1"/>
  <c r="P620" i="3" s="1"/>
  <c r="M621" i="3"/>
  <c r="O621" i="3" s="1"/>
  <c r="P621" i="3" s="1"/>
  <c r="M622" i="3"/>
  <c r="O622" i="3" s="1"/>
  <c r="P622" i="3" s="1"/>
  <c r="M623" i="3"/>
  <c r="O623" i="3" s="1"/>
  <c r="P623" i="3" s="1"/>
  <c r="M624" i="3"/>
  <c r="O624" i="3" s="1"/>
  <c r="P624" i="3" s="1"/>
  <c r="M625" i="3"/>
  <c r="O625" i="3" s="1"/>
  <c r="P625" i="3" s="1"/>
  <c r="M626" i="3"/>
  <c r="O626" i="3" s="1"/>
  <c r="P626" i="3" s="1"/>
  <c r="M627" i="3"/>
  <c r="O627" i="3" s="1"/>
  <c r="P627" i="3" s="1"/>
  <c r="M628" i="3"/>
  <c r="O628" i="3" s="1"/>
  <c r="P628" i="3" s="1"/>
  <c r="M629" i="3"/>
  <c r="O629" i="3" s="1"/>
  <c r="P629" i="3" s="1"/>
  <c r="M630" i="3"/>
  <c r="O630" i="3" s="1"/>
  <c r="P630" i="3" s="1"/>
  <c r="M631" i="3"/>
  <c r="O631" i="3" s="1"/>
  <c r="P631" i="3" s="1"/>
  <c r="M632" i="3"/>
  <c r="O632" i="3" s="1"/>
  <c r="P632" i="3" s="1"/>
  <c r="M633" i="3"/>
  <c r="O633" i="3" s="1"/>
  <c r="P633" i="3" s="1"/>
  <c r="M634" i="3"/>
  <c r="O634" i="3" s="1"/>
  <c r="P634" i="3" s="1"/>
  <c r="M635" i="3"/>
  <c r="O635" i="3" s="1"/>
  <c r="P635" i="3" s="1"/>
  <c r="M636" i="3"/>
  <c r="O636" i="3" s="1"/>
  <c r="P636" i="3" s="1"/>
  <c r="M637" i="3"/>
  <c r="O637" i="3" s="1"/>
  <c r="P637" i="3" s="1"/>
  <c r="M638" i="3"/>
  <c r="O638" i="3" s="1"/>
  <c r="P638" i="3" s="1"/>
  <c r="M639" i="3"/>
  <c r="O639" i="3" s="1"/>
  <c r="P639" i="3" s="1"/>
  <c r="M640" i="3"/>
  <c r="O640" i="3" s="1"/>
  <c r="P640" i="3" s="1"/>
  <c r="M641" i="3"/>
  <c r="O641" i="3" s="1"/>
  <c r="P641" i="3" s="1"/>
  <c r="M642" i="3"/>
  <c r="O642" i="3" s="1"/>
  <c r="P642" i="3" s="1"/>
  <c r="M643" i="3"/>
  <c r="O643" i="3" s="1"/>
  <c r="P643" i="3" s="1"/>
  <c r="M644" i="3"/>
  <c r="O644" i="3" s="1"/>
  <c r="P644" i="3" s="1"/>
  <c r="M645" i="3"/>
  <c r="O645" i="3" s="1"/>
  <c r="P645" i="3" s="1"/>
  <c r="M646" i="3"/>
  <c r="O646" i="3" s="1"/>
  <c r="P646" i="3" s="1"/>
  <c r="M647" i="3"/>
  <c r="O647" i="3" s="1"/>
  <c r="P647" i="3" s="1"/>
  <c r="M648" i="3"/>
  <c r="O648" i="3" s="1"/>
  <c r="P648" i="3" s="1"/>
  <c r="M649" i="3"/>
  <c r="O649" i="3" s="1"/>
  <c r="P649" i="3" s="1"/>
  <c r="M650" i="3"/>
  <c r="O650" i="3" s="1"/>
  <c r="P650" i="3" s="1"/>
  <c r="M651" i="3"/>
  <c r="O651" i="3" s="1"/>
  <c r="P651" i="3" s="1"/>
  <c r="M652" i="3"/>
  <c r="O652" i="3" s="1"/>
  <c r="P652" i="3" s="1"/>
  <c r="M653" i="3"/>
  <c r="O653" i="3" s="1"/>
  <c r="P653" i="3" s="1"/>
  <c r="M654" i="3"/>
  <c r="O654" i="3" s="1"/>
  <c r="P654" i="3" s="1"/>
  <c r="M655" i="3"/>
  <c r="O655" i="3" s="1"/>
  <c r="P655" i="3" s="1"/>
  <c r="M656" i="3"/>
  <c r="O656" i="3" s="1"/>
  <c r="P656" i="3" s="1"/>
  <c r="M657" i="3"/>
  <c r="O657" i="3" s="1"/>
  <c r="P657" i="3" s="1"/>
  <c r="M658" i="3"/>
  <c r="O658" i="3" s="1"/>
  <c r="P658" i="3" s="1"/>
  <c r="M659" i="3"/>
  <c r="O659" i="3" s="1"/>
  <c r="P659" i="3" s="1"/>
  <c r="M660" i="3"/>
  <c r="O660" i="3" s="1"/>
  <c r="P660" i="3" s="1"/>
  <c r="M661" i="3"/>
  <c r="O661" i="3" s="1"/>
  <c r="P661" i="3" s="1"/>
  <c r="M662" i="3"/>
  <c r="O662" i="3" s="1"/>
  <c r="P662" i="3" s="1"/>
  <c r="M663" i="3"/>
  <c r="O663" i="3" s="1"/>
  <c r="P663" i="3" s="1"/>
  <c r="M664" i="3"/>
  <c r="O664" i="3" s="1"/>
  <c r="P664" i="3" s="1"/>
  <c r="M665" i="3"/>
  <c r="O665" i="3" s="1"/>
  <c r="P665" i="3" s="1"/>
  <c r="M666" i="3"/>
  <c r="O666" i="3" s="1"/>
  <c r="P666" i="3" s="1"/>
  <c r="M667" i="3"/>
  <c r="O667" i="3" s="1"/>
  <c r="P667" i="3" s="1"/>
  <c r="M668" i="3"/>
  <c r="O668" i="3" s="1"/>
  <c r="P668" i="3" s="1"/>
  <c r="M669" i="3"/>
  <c r="O669" i="3" s="1"/>
  <c r="P669" i="3" s="1"/>
  <c r="M670" i="3"/>
  <c r="O670" i="3" s="1"/>
  <c r="P670" i="3" s="1"/>
  <c r="M671" i="3"/>
  <c r="O671" i="3" s="1"/>
  <c r="P671" i="3" s="1"/>
  <c r="M672" i="3"/>
  <c r="O672" i="3" s="1"/>
  <c r="P672" i="3" s="1"/>
  <c r="M673" i="3"/>
  <c r="O673" i="3" s="1"/>
  <c r="P673" i="3" s="1"/>
  <c r="M674" i="3"/>
  <c r="O674" i="3" s="1"/>
  <c r="P674" i="3" s="1"/>
  <c r="M675" i="3"/>
  <c r="O675" i="3" s="1"/>
  <c r="P675" i="3" s="1"/>
  <c r="M676" i="3"/>
  <c r="O676" i="3" s="1"/>
  <c r="P676" i="3" s="1"/>
  <c r="M677" i="3"/>
  <c r="O677" i="3" s="1"/>
  <c r="P677" i="3" s="1"/>
  <c r="M678" i="3"/>
  <c r="O678" i="3" s="1"/>
  <c r="P678" i="3" s="1"/>
  <c r="M679" i="3"/>
  <c r="O679" i="3" s="1"/>
  <c r="P679" i="3" s="1"/>
  <c r="M680" i="3"/>
  <c r="O680" i="3" s="1"/>
  <c r="P680" i="3" s="1"/>
  <c r="M681" i="3"/>
  <c r="O681" i="3" s="1"/>
  <c r="P681" i="3" s="1"/>
  <c r="M682" i="3"/>
  <c r="O682" i="3" s="1"/>
  <c r="P682" i="3" s="1"/>
  <c r="M683" i="3"/>
  <c r="O683" i="3" s="1"/>
  <c r="P683" i="3" s="1"/>
  <c r="M684" i="3"/>
  <c r="O684" i="3" s="1"/>
  <c r="P684" i="3" s="1"/>
  <c r="M685" i="3"/>
  <c r="O685" i="3" s="1"/>
  <c r="P685" i="3" s="1"/>
  <c r="M686" i="3"/>
  <c r="O686" i="3" s="1"/>
  <c r="P686" i="3" s="1"/>
  <c r="M687" i="3"/>
  <c r="O687" i="3" s="1"/>
  <c r="P687" i="3" s="1"/>
  <c r="M688" i="3"/>
  <c r="O688" i="3" s="1"/>
  <c r="P688" i="3" s="1"/>
  <c r="M689" i="3"/>
  <c r="O689" i="3" s="1"/>
  <c r="P689" i="3" s="1"/>
  <c r="M690" i="3"/>
  <c r="O690" i="3" s="1"/>
  <c r="P690" i="3" s="1"/>
  <c r="M691" i="3"/>
  <c r="O691" i="3" s="1"/>
  <c r="P691" i="3" s="1"/>
  <c r="M692" i="3"/>
  <c r="O692" i="3" s="1"/>
  <c r="P692" i="3" s="1"/>
  <c r="M693" i="3"/>
  <c r="O693" i="3" s="1"/>
  <c r="P693" i="3" s="1"/>
  <c r="M694" i="3"/>
  <c r="O694" i="3" s="1"/>
  <c r="P694" i="3" s="1"/>
  <c r="M695" i="3"/>
  <c r="O695" i="3" s="1"/>
  <c r="P695" i="3" s="1"/>
  <c r="M696" i="3"/>
  <c r="O696" i="3" s="1"/>
  <c r="P696" i="3" s="1"/>
  <c r="M697" i="3"/>
  <c r="O697" i="3" s="1"/>
  <c r="P697" i="3" s="1"/>
  <c r="M698" i="3"/>
  <c r="O698" i="3" s="1"/>
  <c r="P698" i="3" s="1"/>
  <c r="M699" i="3"/>
  <c r="O699" i="3" s="1"/>
  <c r="P699" i="3" s="1"/>
  <c r="M700" i="3"/>
  <c r="O700" i="3" s="1"/>
  <c r="P700" i="3" s="1"/>
  <c r="M701" i="3"/>
  <c r="O701" i="3" s="1"/>
  <c r="P701" i="3" s="1"/>
  <c r="M702" i="3"/>
  <c r="O702" i="3" s="1"/>
  <c r="P702" i="3" s="1"/>
  <c r="M703" i="3"/>
  <c r="O703" i="3" s="1"/>
  <c r="P703" i="3" s="1"/>
  <c r="M704" i="3"/>
  <c r="O704" i="3" s="1"/>
  <c r="P704" i="3" s="1"/>
  <c r="M705" i="3"/>
  <c r="O705" i="3" s="1"/>
  <c r="P705" i="3" s="1"/>
  <c r="M706" i="3"/>
  <c r="O706" i="3" s="1"/>
  <c r="P706" i="3" s="1"/>
  <c r="M707" i="3"/>
  <c r="O707" i="3" s="1"/>
  <c r="P707" i="3" s="1"/>
  <c r="M708" i="3"/>
  <c r="O708" i="3" s="1"/>
  <c r="P708" i="3" s="1"/>
  <c r="M709" i="3"/>
  <c r="O709" i="3" s="1"/>
  <c r="P709" i="3" s="1"/>
  <c r="M710" i="3"/>
  <c r="O710" i="3" s="1"/>
  <c r="P710" i="3" s="1"/>
  <c r="M711" i="3"/>
  <c r="O711" i="3" s="1"/>
  <c r="P711" i="3" s="1"/>
  <c r="M712" i="3"/>
  <c r="O712" i="3" s="1"/>
  <c r="P712" i="3" s="1"/>
  <c r="M713" i="3"/>
  <c r="O713" i="3" s="1"/>
  <c r="P713" i="3" s="1"/>
  <c r="M714" i="3"/>
  <c r="O714" i="3" s="1"/>
  <c r="P714" i="3" s="1"/>
  <c r="M715" i="3"/>
  <c r="O715" i="3" s="1"/>
  <c r="P715" i="3" s="1"/>
  <c r="M716" i="3"/>
  <c r="O716" i="3" s="1"/>
  <c r="P716" i="3" s="1"/>
  <c r="M717" i="3"/>
  <c r="O717" i="3" s="1"/>
  <c r="P717" i="3" s="1"/>
  <c r="M718" i="3"/>
  <c r="O718" i="3" s="1"/>
  <c r="P718" i="3" s="1"/>
  <c r="M719" i="3"/>
  <c r="O719" i="3" s="1"/>
  <c r="P719" i="3" s="1"/>
  <c r="M720" i="3"/>
  <c r="O720" i="3" s="1"/>
  <c r="P720" i="3" s="1"/>
  <c r="M721" i="3"/>
  <c r="O721" i="3" s="1"/>
  <c r="P721" i="3" s="1"/>
  <c r="M722" i="3"/>
  <c r="O722" i="3" s="1"/>
  <c r="P722" i="3" s="1"/>
  <c r="M723" i="3"/>
  <c r="O723" i="3" s="1"/>
  <c r="P723" i="3" s="1"/>
  <c r="M724" i="3"/>
  <c r="O724" i="3" s="1"/>
  <c r="P724" i="3" s="1"/>
  <c r="M725" i="3"/>
  <c r="O725" i="3" s="1"/>
  <c r="P725" i="3" s="1"/>
  <c r="M726" i="3"/>
  <c r="O726" i="3" s="1"/>
  <c r="P726" i="3" s="1"/>
  <c r="M727" i="3"/>
  <c r="O727" i="3" s="1"/>
  <c r="P727" i="3" s="1"/>
  <c r="M728" i="3"/>
  <c r="O728" i="3" s="1"/>
  <c r="P728" i="3" s="1"/>
  <c r="M729" i="3"/>
  <c r="O729" i="3" s="1"/>
  <c r="P729" i="3" s="1"/>
  <c r="M730" i="3"/>
  <c r="O730" i="3" s="1"/>
  <c r="P730" i="3" s="1"/>
  <c r="M731" i="3"/>
  <c r="O731" i="3" s="1"/>
  <c r="P731" i="3" s="1"/>
  <c r="M732" i="3"/>
  <c r="O732" i="3" s="1"/>
  <c r="P732" i="3" s="1"/>
  <c r="M733" i="3"/>
  <c r="O733" i="3" s="1"/>
  <c r="P733" i="3" s="1"/>
  <c r="M734" i="3"/>
  <c r="O734" i="3" s="1"/>
  <c r="P734" i="3" s="1"/>
  <c r="M735" i="3"/>
  <c r="O735" i="3" s="1"/>
  <c r="P735" i="3" s="1"/>
  <c r="M736" i="3"/>
  <c r="O736" i="3" s="1"/>
  <c r="P736" i="3" s="1"/>
  <c r="M737" i="3"/>
  <c r="O737" i="3" s="1"/>
  <c r="P737" i="3" s="1"/>
  <c r="M738" i="3"/>
  <c r="O738" i="3" s="1"/>
  <c r="P738" i="3" s="1"/>
  <c r="M739" i="3"/>
  <c r="O739" i="3" s="1"/>
  <c r="P739" i="3" s="1"/>
  <c r="M740" i="3"/>
  <c r="O740" i="3" s="1"/>
  <c r="P740" i="3" s="1"/>
  <c r="M741" i="3"/>
  <c r="O741" i="3" s="1"/>
  <c r="P741" i="3" s="1"/>
  <c r="M742" i="3"/>
  <c r="O742" i="3" s="1"/>
  <c r="P742" i="3" s="1"/>
  <c r="M743" i="3"/>
  <c r="O743" i="3" s="1"/>
  <c r="P743" i="3" s="1"/>
  <c r="M744" i="3"/>
  <c r="O744" i="3" s="1"/>
  <c r="P744" i="3" s="1"/>
  <c r="M745" i="3"/>
  <c r="O745" i="3" s="1"/>
  <c r="P745" i="3" s="1"/>
  <c r="M746" i="3"/>
  <c r="O746" i="3" s="1"/>
  <c r="P746" i="3" s="1"/>
  <c r="M747" i="3"/>
  <c r="O747" i="3" s="1"/>
  <c r="P747" i="3" s="1"/>
  <c r="M748" i="3"/>
  <c r="O748" i="3" s="1"/>
  <c r="P748" i="3" s="1"/>
  <c r="M749" i="3"/>
  <c r="O749" i="3" s="1"/>
  <c r="P749" i="3" s="1"/>
  <c r="M750" i="3"/>
  <c r="O750" i="3" s="1"/>
  <c r="P750" i="3" s="1"/>
  <c r="M751" i="3"/>
  <c r="O751" i="3" s="1"/>
  <c r="P751" i="3" s="1"/>
  <c r="M752" i="3"/>
  <c r="O752" i="3" s="1"/>
  <c r="P752" i="3" s="1"/>
  <c r="M753" i="3"/>
  <c r="O753" i="3" s="1"/>
  <c r="P753" i="3" s="1"/>
  <c r="M754" i="3"/>
  <c r="O754" i="3" s="1"/>
  <c r="P754" i="3" s="1"/>
  <c r="M755" i="3"/>
  <c r="O755" i="3" s="1"/>
  <c r="P755" i="3" s="1"/>
  <c r="M756" i="3"/>
  <c r="O756" i="3" s="1"/>
  <c r="P756" i="3" s="1"/>
  <c r="M757" i="3"/>
  <c r="O757" i="3" s="1"/>
  <c r="P757" i="3" s="1"/>
  <c r="M758" i="3"/>
  <c r="O758" i="3" s="1"/>
  <c r="P758" i="3" s="1"/>
  <c r="M759" i="3"/>
  <c r="O759" i="3" s="1"/>
  <c r="P759" i="3" s="1"/>
  <c r="M760" i="3"/>
  <c r="O760" i="3" s="1"/>
  <c r="P760" i="3" s="1"/>
  <c r="M761" i="3"/>
  <c r="O761" i="3" s="1"/>
  <c r="P761" i="3" s="1"/>
  <c r="M762" i="3"/>
  <c r="O762" i="3" s="1"/>
  <c r="P762" i="3" s="1"/>
  <c r="M763" i="3"/>
  <c r="O763" i="3" s="1"/>
  <c r="P763" i="3" s="1"/>
  <c r="M764" i="3"/>
  <c r="O764" i="3" s="1"/>
  <c r="P764" i="3" s="1"/>
  <c r="M765" i="3"/>
  <c r="O765" i="3" s="1"/>
  <c r="P765" i="3" s="1"/>
  <c r="M766" i="3"/>
  <c r="O766" i="3" s="1"/>
  <c r="P766" i="3" s="1"/>
  <c r="M767" i="3"/>
  <c r="O767" i="3" s="1"/>
  <c r="P767" i="3" s="1"/>
  <c r="M768" i="3"/>
  <c r="O768" i="3" s="1"/>
  <c r="P768" i="3" s="1"/>
  <c r="M769" i="3"/>
  <c r="O769" i="3" s="1"/>
  <c r="P769" i="3" s="1"/>
  <c r="M770" i="3"/>
  <c r="O770" i="3" s="1"/>
  <c r="P770" i="3" s="1"/>
  <c r="M771" i="3"/>
  <c r="O771" i="3" s="1"/>
  <c r="P771" i="3" s="1"/>
  <c r="M772" i="3"/>
  <c r="O772" i="3" s="1"/>
  <c r="P772" i="3" s="1"/>
  <c r="M773" i="3"/>
  <c r="O773" i="3" s="1"/>
  <c r="P773" i="3" s="1"/>
  <c r="M774" i="3"/>
  <c r="O774" i="3" s="1"/>
  <c r="P774" i="3" s="1"/>
  <c r="M775" i="3"/>
  <c r="O775" i="3" s="1"/>
  <c r="P775" i="3" s="1"/>
  <c r="M776" i="3"/>
  <c r="O776" i="3" s="1"/>
  <c r="P776" i="3" s="1"/>
  <c r="M777" i="3"/>
  <c r="O777" i="3" s="1"/>
  <c r="P777" i="3" s="1"/>
  <c r="M778" i="3"/>
  <c r="O778" i="3" s="1"/>
  <c r="P778" i="3" s="1"/>
  <c r="M779" i="3"/>
  <c r="O779" i="3" s="1"/>
  <c r="P779" i="3" s="1"/>
  <c r="M780" i="3"/>
  <c r="O780" i="3" s="1"/>
  <c r="P780" i="3" s="1"/>
  <c r="M781" i="3"/>
  <c r="O781" i="3" s="1"/>
  <c r="P781" i="3" s="1"/>
  <c r="M782" i="3"/>
  <c r="O782" i="3" s="1"/>
  <c r="P782" i="3" s="1"/>
  <c r="M783" i="3"/>
  <c r="O783" i="3" s="1"/>
  <c r="P783" i="3" s="1"/>
  <c r="M784" i="3"/>
  <c r="O784" i="3" s="1"/>
  <c r="P784" i="3" s="1"/>
  <c r="M785" i="3"/>
  <c r="O785" i="3" s="1"/>
  <c r="P785" i="3" s="1"/>
  <c r="M786" i="3"/>
  <c r="O786" i="3" s="1"/>
  <c r="P786" i="3" s="1"/>
  <c r="M787" i="3"/>
  <c r="O787" i="3" s="1"/>
  <c r="P787" i="3" s="1"/>
  <c r="M788" i="3"/>
  <c r="O788" i="3" s="1"/>
  <c r="P788" i="3" s="1"/>
  <c r="M789" i="3"/>
  <c r="O789" i="3" s="1"/>
  <c r="P789" i="3" s="1"/>
  <c r="M790" i="3"/>
  <c r="O790" i="3" s="1"/>
  <c r="P790" i="3" s="1"/>
  <c r="M791" i="3"/>
  <c r="O791" i="3" s="1"/>
  <c r="P791" i="3" s="1"/>
  <c r="M792" i="3"/>
  <c r="O792" i="3" s="1"/>
  <c r="P792" i="3" s="1"/>
  <c r="M793" i="3"/>
  <c r="O793" i="3" s="1"/>
  <c r="P793" i="3" s="1"/>
  <c r="M794" i="3"/>
  <c r="O794" i="3" s="1"/>
  <c r="P794" i="3" s="1"/>
  <c r="M795" i="3"/>
  <c r="O795" i="3" s="1"/>
  <c r="P795" i="3" s="1"/>
  <c r="M796" i="3"/>
  <c r="O796" i="3" s="1"/>
  <c r="P796" i="3" s="1"/>
  <c r="M797" i="3"/>
  <c r="O797" i="3" s="1"/>
  <c r="P797" i="3" s="1"/>
  <c r="M798" i="3"/>
  <c r="O798" i="3" s="1"/>
  <c r="P798" i="3" s="1"/>
  <c r="M799" i="3"/>
  <c r="O799" i="3" s="1"/>
  <c r="P799" i="3" s="1"/>
  <c r="M800" i="3"/>
  <c r="O800" i="3" s="1"/>
  <c r="P800" i="3" s="1"/>
  <c r="M801" i="3"/>
  <c r="O801" i="3" s="1"/>
  <c r="P801" i="3" s="1"/>
  <c r="M802" i="3"/>
  <c r="O802" i="3" s="1"/>
  <c r="P802" i="3" s="1"/>
  <c r="M803" i="3"/>
  <c r="O803" i="3" s="1"/>
  <c r="P803" i="3" s="1"/>
  <c r="M804" i="3"/>
  <c r="O804" i="3" s="1"/>
  <c r="P804" i="3" s="1"/>
  <c r="M805" i="3"/>
  <c r="O805" i="3" s="1"/>
  <c r="P805" i="3" s="1"/>
  <c r="M806" i="3"/>
  <c r="O806" i="3" s="1"/>
  <c r="P806" i="3" s="1"/>
  <c r="M807" i="3"/>
  <c r="O807" i="3" s="1"/>
  <c r="P807" i="3" s="1"/>
  <c r="M808" i="3"/>
  <c r="O808" i="3" s="1"/>
  <c r="P808" i="3" s="1"/>
  <c r="M809" i="3"/>
  <c r="O809" i="3" s="1"/>
  <c r="P809" i="3" s="1"/>
  <c r="M810" i="3"/>
  <c r="O810" i="3" s="1"/>
  <c r="P810" i="3" s="1"/>
  <c r="M811" i="3"/>
  <c r="O811" i="3" s="1"/>
  <c r="P811" i="3" s="1"/>
  <c r="M812" i="3"/>
  <c r="O812" i="3" s="1"/>
  <c r="P812" i="3" s="1"/>
  <c r="M813" i="3"/>
  <c r="O813" i="3" s="1"/>
  <c r="P813" i="3" s="1"/>
  <c r="M814" i="3"/>
  <c r="O814" i="3" s="1"/>
  <c r="P814" i="3" s="1"/>
  <c r="M815" i="3"/>
  <c r="O815" i="3" s="1"/>
  <c r="P815" i="3" s="1"/>
  <c r="M816" i="3"/>
  <c r="O816" i="3" s="1"/>
  <c r="P816" i="3" s="1"/>
  <c r="M817" i="3"/>
  <c r="O817" i="3" s="1"/>
  <c r="P817" i="3" s="1"/>
  <c r="M818" i="3"/>
  <c r="O818" i="3" s="1"/>
  <c r="P818" i="3" s="1"/>
  <c r="M819" i="3"/>
  <c r="O819" i="3" s="1"/>
  <c r="P819" i="3" s="1"/>
  <c r="M820" i="3"/>
  <c r="O820" i="3" s="1"/>
  <c r="P820" i="3" s="1"/>
  <c r="M821" i="3"/>
  <c r="O821" i="3" s="1"/>
  <c r="P821" i="3" s="1"/>
  <c r="M822" i="3"/>
  <c r="O822" i="3" s="1"/>
  <c r="P822" i="3" s="1"/>
  <c r="M823" i="3"/>
  <c r="O823" i="3" s="1"/>
  <c r="P823" i="3" s="1"/>
  <c r="M824" i="3"/>
  <c r="O824" i="3" s="1"/>
  <c r="P824" i="3" s="1"/>
  <c r="M825" i="3"/>
  <c r="O825" i="3" s="1"/>
  <c r="P825" i="3" s="1"/>
  <c r="M826" i="3"/>
  <c r="O826" i="3" s="1"/>
  <c r="P826" i="3" s="1"/>
  <c r="M827" i="3"/>
  <c r="O827" i="3" s="1"/>
  <c r="P827" i="3" s="1"/>
  <c r="M828" i="3"/>
  <c r="O828" i="3" s="1"/>
  <c r="P828" i="3" s="1"/>
  <c r="M829" i="3"/>
  <c r="O829" i="3" s="1"/>
  <c r="P829" i="3" s="1"/>
  <c r="M830" i="3"/>
  <c r="O830" i="3" s="1"/>
  <c r="P830" i="3" s="1"/>
  <c r="M831" i="3"/>
  <c r="O831" i="3" s="1"/>
  <c r="P831" i="3" s="1"/>
  <c r="M832" i="3"/>
  <c r="O832" i="3" s="1"/>
  <c r="P832" i="3" s="1"/>
  <c r="M833" i="3"/>
  <c r="O833" i="3" s="1"/>
  <c r="P833" i="3" s="1"/>
  <c r="M834" i="3"/>
  <c r="O834" i="3" s="1"/>
  <c r="P834" i="3" s="1"/>
  <c r="M835" i="3"/>
  <c r="O835" i="3" s="1"/>
  <c r="P835" i="3" s="1"/>
  <c r="M836" i="3"/>
  <c r="O836" i="3" s="1"/>
  <c r="P836" i="3" s="1"/>
  <c r="M837" i="3"/>
  <c r="O837" i="3" s="1"/>
  <c r="P837" i="3" s="1"/>
  <c r="M838" i="3"/>
  <c r="O838" i="3" s="1"/>
  <c r="P838" i="3" s="1"/>
  <c r="M839" i="3"/>
  <c r="O839" i="3" s="1"/>
  <c r="P839" i="3" s="1"/>
  <c r="M840" i="3"/>
  <c r="O840" i="3" s="1"/>
  <c r="P840" i="3" s="1"/>
  <c r="M841" i="3"/>
  <c r="O841" i="3" s="1"/>
  <c r="P841" i="3" s="1"/>
  <c r="M842" i="3"/>
  <c r="O842" i="3" s="1"/>
  <c r="P842" i="3" s="1"/>
  <c r="M843" i="3"/>
  <c r="O843" i="3" s="1"/>
  <c r="P843" i="3" s="1"/>
  <c r="M844" i="3"/>
  <c r="O844" i="3" s="1"/>
  <c r="P844" i="3" s="1"/>
  <c r="M845" i="3"/>
  <c r="O845" i="3" s="1"/>
  <c r="P845" i="3" s="1"/>
  <c r="M846" i="3"/>
  <c r="O846" i="3" s="1"/>
  <c r="P846" i="3" s="1"/>
  <c r="M847" i="3"/>
  <c r="O847" i="3" s="1"/>
  <c r="P847" i="3" s="1"/>
  <c r="M848" i="3"/>
  <c r="O848" i="3" s="1"/>
  <c r="P848" i="3" s="1"/>
  <c r="M849" i="3"/>
  <c r="O849" i="3" s="1"/>
  <c r="P849" i="3" s="1"/>
  <c r="M850" i="3"/>
  <c r="O850" i="3" s="1"/>
  <c r="P850" i="3" s="1"/>
  <c r="M851" i="3"/>
  <c r="O851" i="3" s="1"/>
  <c r="P851" i="3" s="1"/>
  <c r="M852" i="3"/>
  <c r="O852" i="3" s="1"/>
  <c r="P852" i="3" s="1"/>
  <c r="M853" i="3"/>
  <c r="O853" i="3" s="1"/>
  <c r="P853" i="3" s="1"/>
  <c r="M854" i="3"/>
  <c r="O854" i="3" s="1"/>
  <c r="P854" i="3" s="1"/>
  <c r="M855" i="3"/>
  <c r="O855" i="3" s="1"/>
  <c r="P855" i="3" s="1"/>
  <c r="M856" i="3"/>
  <c r="O856" i="3" s="1"/>
  <c r="P856" i="3" s="1"/>
  <c r="M857" i="3"/>
  <c r="O857" i="3" s="1"/>
  <c r="P857" i="3" s="1"/>
  <c r="M858" i="3"/>
  <c r="O858" i="3" s="1"/>
  <c r="P858" i="3" s="1"/>
  <c r="M859" i="3"/>
  <c r="O859" i="3" s="1"/>
  <c r="P859" i="3" s="1"/>
  <c r="M860" i="3"/>
  <c r="O860" i="3" s="1"/>
  <c r="P860" i="3" s="1"/>
  <c r="M861" i="3"/>
  <c r="O861" i="3" s="1"/>
  <c r="P861" i="3" s="1"/>
  <c r="M862" i="3"/>
  <c r="O862" i="3" s="1"/>
  <c r="P862" i="3" s="1"/>
  <c r="M863" i="3"/>
  <c r="O863" i="3" s="1"/>
  <c r="P863" i="3" s="1"/>
  <c r="M864" i="3"/>
  <c r="O864" i="3" s="1"/>
  <c r="P864" i="3" s="1"/>
  <c r="M865" i="3"/>
  <c r="O865" i="3" s="1"/>
  <c r="P865" i="3" s="1"/>
  <c r="M866" i="3"/>
  <c r="O866" i="3" s="1"/>
  <c r="P866" i="3" s="1"/>
  <c r="M867" i="3"/>
  <c r="O867" i="3" s="1"/>
  <c r="P867" i="3" s="1"/>
  <c r="M868" i="3"/>
  <c r="O868" i="3" s="1"/>
  <c r="P868" i="3" s="1"/>
  <c r="M869" i="3"/>
  <c r="O869" i="3" s="1"/>
  <c r="P869" i="3" s="1"/>
  <c r="M870" i="3"/>
  <c r="O870" i="3" s="1"/>
  <c r="P870" i="3" s="1"/>
  <c r="M871" i="3"/>
  <c r="O871" i="3" s="1"/>
  <c r="P871" i="3" s="1"/>
  <c r="M872" i="3"/>
  <c r="O872" i="3" s="1"/>
  <c r="P872" i="3" s="1"/>
  <c r="M873" i="3"/>
  <c r="O873" i="3" s="1"/>
  <c r="P873" i="3" s="1"/>
  <c r="M874" i="3"/>
  <c r="O874" i="3" s="1"/>
  <c r="P874" i="3" s="1"/>
  <c r="M875" i="3"/>
  <c r="O875" i="3" s="1"/>
  <c r="P875" i="3" s="1"/>
  <c r="M876" i="3"/>
  <c r="O876" i="3" s="1"/>
  <c r="P876" i="3" s="1"/>
  <c r="M877" i="3"/>
  <c r="O877" i="3" s="1"/>
  <c r="P877" i="3" s="1"/>
  <c r="M878" i="3"/>
  <c r="O878" i="3" s="1"/>
  <c r="P878" i="3" s="1"/>
  <c r="M879" i="3"/>
  <c r="O879" i="3" s="1"/>
  <c r="P879" i="3" s="1"/>
  <c r="M880" i="3"/>
  <c r="O880" i="3" s="1"/>
  <c r="P880" i="3" s="1"/>
  <c r="M881" i="3"/>
  <c r="O881" i="3" s="1"/>
  <c r="P881" i="3" s="1"/>
  <c r="M882" i="3"/>
  <c r="O882" i="3" s="1"/>
  <c r="P882" i="3" s="1"/>
  <c r="M883" i="3"/>
  <c r="O883" i="3" s="1"/>
  <c r="P883" i="3" s="1"/>
  <c r="M884" i="3"/>
  <c r="O884" i="3" s="1"/>
  <c r="P884" i="3" s="1"/>
  <c r="M885" i="3"/>
  <c r="O885" i="3" s="1"/>
  <c r="P885" i="3" s="1"/>
  <c r="M886" i="3"/>
  <c r="O886" i="3" s="1"/>
  <c r="P886" i="3" s="1"/>
  <c r="M887" i="3"/>
  <c r="O887" i="3" s="1"/>
  <c r="P887" i="3" s="1"/>
  <c r="M888" i="3"/>
  <c r="O888" i="3" s="1"/>
  <c r="P888" i="3" s="1"/>
  <c r="M889" i="3"/>
  <c r="O889" i="3" s="1"/>
  <c r="P889" i="3" s="1"/>
  <c r="M890" i="3"/>
  <c r="O890" i="3" s="1"/>
  <c r="P890" i="3" s="1"/>
  <c r="M891" i="3"/>
  <c r="O891" i="3" s="1"/>
  <c r="P891" i="3" s="1"/>
  <c r="M892" i="3"/>
  <c r="O892" i="3" s="1"/>
  <c r="P892" i="3" s="1"/>
  <c r="M893" i="3"/>
  <c r="O893" i="3" s="1"/>
  <c r="P893" i="3" s="1"/>
  <c r="M894" i="3"/>
  <c r="O894" i="3" s="1"/>
  <c r="P894" i="3" s="1"/>
  <c r="M895" i="3"/>
  <c r="O895" i="3" s="1"/>
  <c r="P895" i="3" s="1"/>
  <c r="M896" i="3"/>
  <c r="O896" i="3" s="1"/>
  <c r="P896" i="3" s="1"/>
  <c r="M897" i="3"/>
  <c r="O897" i="3" s="1"/>
  <c r="P897" i="3" s="1"/>
  <c r="M898" i="3"/>
  <c r="O898" i="3" s="1"/>
  <c r="P898" i="3" s="1"/>
  <c r="M899" i="3"/>
  <c r="O899" i="3" s="1"/>
  <c r="P899" i="3" s="1"/>
  <c r="M900" i="3"/>
  <c r="O900" i="3" s="1"/>
  <c r="P900" i="3" s="1"/>
  <c r="M901" i="3"/>
  <c r="O901" i="3" s="1"/>
  <c r="P901" i="3" s="1"/>
  <c r="M902" i="3"/>
  <c r="O902" i="3" s="1"/>
  <c r="P902" i="3" s="1"/>
  <c r="M903" i="3"/>
  <c r="O903" i="3" s="1"/>
  <c r="P903" i="3" s="1"/>
  <c r="M904" i="3"/>
  <c r="O904" i="3" s="1"/>
  <c r="P904" i="3" s="1"/>
  <c r="M905" i="3"/>
  <c r="O905" i="3" s="1"/>
  <c r="P905" i="3" s="1"/>
  <c r="M906" i="3"/>
  <c r="O906" i="3" s="1"/>
  <c r="P906" i="3" s="1"/>
  <c r="M907" i="3"/>
  <c r="O907" i="3" s="1"/>
  <c r="P907" i="3" s="1"/>
  <c r="M908" i="3"/>
  <c r="O908" i="3" s="1"/>
  <c r="P908" i="3" s="1"/>
  <c r="M909" i="3"/>
  <c r="O909" i="3" s="1"/>
  <c r="P909" i="3" s="1"/>
  <c r="M910" i="3"/>
  <c r="O910" i="3" s="1"/>
  <c r="P910" i="3" s="1"/>
  <c r="M911" i="3"/>
  <c r="O911" i="3" s="1"/>
  <c r="P911" i="3" s="1"/>
  <c r="M912" i="3"/>
  <c r="O912" i="3" s="1"/>
  <c r="P912" i="3" s="1"/>
  <c r="M913" i="3"/>
  <c r="O913" i="3" s="1"/>
  <c r="P913" i="3" s="1"/>
  <c r="M914" i="3"/>
  <c r="O914" i="3" s="1"/>
  <c r="P914" i="3" s="1"/>
  <c r="M915" i="3"/>
  <c r="O915" i="3" s="1"/>
  <c r="P915" i="3" s="1"/>
  <c r="M916" i="3"/>
  <c r="O916" i="3" s="1"/>
  <c r="P916" i="3" s="1"/>
  <c r="M917" i="3"/>
  <c r="O917" i="3" s="1"/>
  <c r="P917" i="3" s="1"/>
  <c r="M918" i="3"/>
  <c r="O918" i="3" s="1"/>
  <c r="P918" i="3" s="1"/>
  <c r="M919" i="3"/>
  <c r="O919" i="3" s="1"/>
  <c r="P919" i="3" s="1"/>
  <c r="M920" i="3"/>
  <c r="O920" i="3" s="1"/>
  <c r="P920" i="3" s="1"/>
  <c r="M921" i="3"/>
  <c r="O921" i="3" s="1"/>
  <c r="P921" i="3" s="1"/>
  <c r="M922" i="3"/>
  <c r="O922" i="3" s="1"/>
  <c r="P922" i="3" s="1"/>
  <c r="M923" i="3"/>
  <c r="O923" i="3" s="1"/>
  <c r="P923" i="3" s="1"/>
  <c r="M924" i="3"/>
  <c r="O924" i="3" s="1"/>
  <c r="P924" i="3" s="1"/>
  <c r="M925" i="3"/>
  <c r="O925" i="3" s="1"/>
  <c r="P925" i="3" s="1"/>
  <c r="M926" i="3"/>
  <c r="O926" i="3" s="1"/>
  <c r="P926" i="3" s="1"/>
  <c r="M927" i="3"/>
  <c r="O927" i="3" s="1"/>
  <c r="P927" i="3" s="1"/>
  <c r="M928" i="3"/>
  <c r="O928" i="3" s="1"/>
  <c r="P928" i="3" s="1"/>
  <c r="M929" i="3"/>
  <c r="O929" i="3" s="1"/>
  <c r="P929" i="3" s="1"/>
  <c r="M930" i="3"/>
  <c r="O930" i="3" s="1"/>
  <c r="P930" i="3" s="1"/>
  <c r="M931" i="3"/>
  <c r="O931" i="3" s="1"/>
  <c r="P931" i="3" s="1"/>
  <c r="M932" i="3"/>
  <c r="O932" i="3" s="1"/>
  <c r="P932" i="3" s="1"/>
  <c r="M933" i="3"/>
  <c r="O933" i="3" s="1"/>
  <c r="P933" i="3" s="1"/>
  <c r="M934" i="3"/>
  <c r="O934" i="3" s="1"/>
  <c r="P934" i="3" s="1"/>
  <c r="M935" i="3"/>
  <c r="O935" i="3" s="1"/>
  <c r="P935" i="3" s="1"/>
  <c r="M936" i="3"/>
  <c r="O936" i="3" s="1"/>
  <c r="P936" i="3" s="1"/>
  <c r="M937" i="3"/>
  <c r="O937" i="3" s="1"/>
  <c r="P937" i="3" s="1"/>
  <c r="M938" i="3"/>
  <c r="O938" i="3" s="1"/>
  <c r="P938" i="3" s="1"/>
  <c r="M939" i="3"/>
  <c r="O939" i="3" s="1"/>
  <c r="P939" i="3" s="1"/>
  <c r="M940" i="3"/>
  <c r="O940" i="3" s="1"/>
  <c r="P940" i="3" s="1"/>
  <c r="M941" i="3"/>
  <c r="O941" i="3" s="1"/>
  <c r="P941" i="3" s="1"/>
  <c r="M942" i="3"/>
  <c r="O942" i="3" s="1"/>
  <c r="P942" i="3" s="1"/>
  <c r="M943" i="3"/>
  <c r="O943" i="3" s="1"/>
  <c r="P943" i="3" s="1"/>
  <c r="M944" i="3"/>
  <c r="O944" i="3" s="1"/>
  <c r="P944" i="3" s="1"/>
  <c r="M945" i="3"/>
  <c r="O945" i="3" s="1"/>
  <c r="P945" i="3" s="1"/>
  <c r="M946" i="3"/>
  <c r="O946" i="3" s="1"/>
  <c r="P946" i="3" s="1"/>
  <c r="M947" i="3"/>
  <c r="O947" i="3" s="1"/>
  <c r="P947" i="3" s="1"/>
  <c r="M948" i="3"/>
  <c r="O948" i="3" s="1"/>
  <c r="P948" i="3" s="1"/>
  <c r="M949" i="3"/>
  <c r="O949" i="3" s="1"/>
  <c r="P949" i="3" s="1"/>
  <c r="M950" i="3"/>
  <c r="O950" i="3" s="1"/>
  <c r="P950" i="3" s="1"/>
  <c r="M951" i="3"/>
  <c r="O951" i="3" s="1"/>
  <c r="P951" i="3" s="1"/>
  <c r="M952" i="3"/>
  <c r="O952" i="3" s="1"/>
  <c r="P952" i="3" s="1"/>
  <c r="M953" i="3"/>
  <c r="O953" i="3" s="1"/>
  <c r="P953" i="3" s="1"/>
  <c r="M954" i="3"/>
  <c r="O954" i="3" s="1"/>
  <c r="P954" i="3" s="1"/>
  <c r="M955" i="3"/>
  <c r="O955" i="3" s="1"/>
  <c r="P955" i="3" s="1"/>
  <c r="M956" i="3"/>
  <c r="O956" i="3" s="1"/>
  <c r="P956" i="3" s="1"/>
  <c r="M957" i="3"/>
  <c r="O957" i="3" s="1"/>
  <c r="P957" i="3" s="1"/>
  <c r="M958" i="3"/>
  <c r="O958" i="3" s="1"/>
  <c r="P958" i="3" s="1"/>
  <c r="M959" i="3"/>
  <c r="O959" i="3" s="1"/>
  <c r="P959" i="3" s="1"/>
  <c r="M960" i="3"/>
  <c r="O960" i="3" s="1"/>
  <c r="P960" i="3" s="1"/>
  <c r="M961" i="3"/>
  <c r="O961" i="3" s="1"/>
  <c r="P961" i="3" s="1"/>
  <c r="M962" i="3"/>
  <c r="O962" i="3" s="1"/>
  <c r="P962" i="3" s="1"/>
  <c r="M963" i="3"/>
  <c r="O963" i="3" s="1"/>
  <c r="P963" i="3" s="1"/>
  <c r="M964" i="3"/>
  <c r="O964" i="3" s="1"/>
  <c r="P964" i="3" s="1"/>
  <c r="M965" i="3"/>
  <c r="O965" i="3" s="1"/>
  <c r="P965" i="3" s="1"/>
  <c r="M966" i="3"/>
  <c r="O966" i="3" s="1"/>
  <c r="P966" i="3" s="1"/>
  <c r="M967" i="3"/>
  <c r="O967" i="3" s="1"/>
  <c r="P967" i="3" s="1"/>
  <c r="M968" i="3"/>
  <c r="O968" i="3" s="1"/>
  <c r="P968" i="3" s="1"/>
  <c r="M969" i="3"/>
  <c r="O969" i="3" s="1"/>
  <c r="P969" i="3" s="1"/>
  <c r="M970" i="3"/>
  <c r="O970" i="3" s="1"/>
  <c r="P970" i="3" s="1"/>
  <c r="M971" i="3"/>
  <c r="O971" i="3" s="1"/>
  <c r="P971" i="3" s="1"/>
  <c r="M972" i="3"/>
  <c r="O972" i="3" s="1"/>
  <c r="P972" i="3" s="1"/>
  <c r="M973" i="3"/>
  <c r="O973" i="3" s="1"/>
  <c r="P973" i="3" s="1"/>
  <c r="M974" i="3"/>
  <c r="O974" i="3" s="1"/>
  <c r="P974" i="3" s="1"/>
  <c r="M975" i="3"/>
  <c r="O975" i="3" s="1"/>
  <c r="P975" i="3" s="1"/>
  <c r="M976" i="3"/>
  <c r="O976" i="3" s="1"/>
  <c r="P976" i="3" s="1"/>
  <c r="M977" i="3"/>
  <c r="O977" i="3" s="1"/>
  <c r="P977" i="3" s="1"/>
  <c r="M978" i="3"/>
  <c r="O978" i="3" s="1"/>
  <c r="P978" i="3" s="1"/>
  <c r="M979" i="3"/>
  <c r="O979" i="3" s="1"/>
  <c r="P979" i="3" s="1"/>
  <c r="M980" i="3"/>
  <c r="O980" i="3" s="1"/>
  <c r="P980" i="3" s="1"/>
  <c r="M981" i="3"/>
  <c r="O981" i="3" s="1"/>
  <c r="P981" i="3" s="1"/>
  <c r="M982" i="3"/>
  <c r="O982" i="3" s="1"/>
  <c r="P982" i="3" s="1"/>
  <c r="M983" i="3"/>
  <c r="O983" i="3" s="1"/>
  <c r="P983" i="3" s="1"/>
  <c r="M984" i="3"/>
  <c r="O984" i="3" s="1"/>
  <c r="P984" i="3" s="1"/>
  <c r="M985" i="3"/>
  <c r="O985" i="3" s="1"/>
  <c r="P985" i="3" s="1"/>
  <c r="M986" i="3"/>
  <c r="O986" i="3" s="1"/>
  <c r="P986" i="3" s="1"/>
  <c r="M987" i="3"/>
  <c r="O987" i="3" s="1"/>
  <c r="P987" i="3" s="1"/>
  <c r="M988" i="3"/>
  <c r="O988" i="3" s="1"/>
  <c r="P988" i="3" s="1"/>
  <c r="M989" i="3"/>
  <c r="O989" i="3" s="1"/>
  <c r="P989" i="3" s="1"/>
  <c r="M990" i="3"/>
  <c r="O990" i="3" s="1"/>
  <c r="P990" i="3" s="1"/>
  <c r="M991" i="3"/>
  <c r="O991" i="3" s="1"/>
  <c r="P991" i="3" s="1"/>
  <c r="M992" i="3"/>
  <c r="O992" i="3" s="1"/>
  <c r="P992" i="3" s="1"/>
  <c r="M993" i="3"/>
  <c r="O993" i="3" s="1"/>
  <c r="P993" i="3" s="1"/>
  <c r="M994" i="3"/>
  <c r="O994" i="3" s="1"/>
  <c r="P994" i="3" s="1"/>
  <c r="M995" i="3"/>
  <c r="O995" i="3" s="1"/>
  <c r="P995" i="3" s="1"/>
  <c r="M996" i="3"/>
  <c r="O996" i="3" s="1"/>
  <c r="P996" i="3" s="1"/>
  <c r="M997" i="3"/>
  <c r="O997" i="3" s="1"/>
  <c r="P997" i="3" s="1"/>
  <c r="M998" i="3"/>
  <c r="O998" i="3" s="1"/>
  <c r="P998" i="3" s="1"/>
  <c r="M999" i="3"/>
  <c r="O999" i="3" s="1"/>
  <c r="P999" i="3" s="1"/>
  <c r="M1000" i="3"/>
  <c r="O1000" i="3" s="1"/>
  <c r="P1000" i="3" s="1"/>
  <c r="M1001" i="3"/>
  <c r="O1001" i="3" s="1"/>
  <c r="P1001" i="3" s="1"/>
  <c r="M1002" i="3"/>
  <c r="O1002" i="3" s="1"/>
  <c r="P1002" i="3" s="1"/>
  <c r="M1003" i="3"/>
  <c r="O1003" i="3" s="1"/>
  <c r="P1003" i="3" s="1"/>
  <c r="M1004" i="3"/>
  <c r="O1004" i="3" s="1"/>
  <c r="P1004" i="3" s="1"/>
  <c r="M1005" i="3"/>
  <c r="O1005" i="3" s="1"/>
  <c r="P1005" i="3" s="1"/>
  <c r="M1006" i="3"/>
  <c r="O1006" i="3" s="1"/>
  <c r="P1006" i="3" s="1"/>
  <c r="M1007" i="3"/>
  <c r="O1007" i="3" s="1"/>
  <c r="P1007" i="3" s="1"/>
  <c r="M1008" i="3"/>
  <c r="O1008" i="3" s="1"/>
  <c r="P1008" i="3" s="1"/>
  <c r="M1009" i="3"/>
  <c r="O1009" i="3" s="1"/>
  <c r="P1009" i="3" s="1"/>
  <c r="M1010" i="3"/>
  <c r="O1010" i="3" s="1"/>
  <c r="P1010" i="3" s="1"/>
  <c r="M1011" i="3"/>
  <c r="O1011" i="3" s="1"/>
  <c r="P1011" i="3" s="1"/>
  <c r="M1012" i="3"/>
  <c r="O1012" i="3" s="1"/>
  <c r="P1012" i="3" s="1"/>
  <c r="M1013" i="3"/>
  <c r="O1013" i="3" s="1"/>
  <c r="P1013" i="3" s="1"/>
  <c r="M1014" i="3"/>
  <c r="O1014" i="3" s="1"/>
  <c r="P1014" i="3" s="1"/>
  <c r="M1015" i="3"/>
  <c r="O1015" i="3" s="1"/>
  <c r="P1015" i="3" s="1"/>
  <c r="M1016" i="3"/>
  <c r="O1016" i="3" s="1"/>
  <c r="P1016" i="3" s="1"/>
  <c r="M1017" i="3"/>
  <c r="O1017" i="3" s="1"/>
  <c r="P1017" i="3" s="1"/>
  <c r="M1018" i="3"/>
  <c r="O1018" i="3" s="1"/>
  <c r="P1018" i="3" s="1"/>
  <c r="M1019" i="3"/>
  <c r="O1019" i="3" s="1"/>
  <c r="P1019" i="3" s="1"/>
  <c r="M1020" i="3"/>
  <c r="O1020" i="3" s="1"/>
  <c r="P1020" i="3" s="1"/>
  <c r="M1021" i="3"/>
  <c r="O1021" i="3" s="1"/>
  <c r="P1021" i="3" s="1"/>
  <c r="M1022" i="3"/>
  <c r="O1022" i="3" s="1"/>
  <c r="P1022" i="3" s="1"/>
  <c r="M1023" i="3"/>
  <c r="O1023" i="3" s="1"/>
  <c r="P1023" i="3" s="1"/>
  <c r="M1024" i="3"/>
  <c r="O1024" i="3" s="1"/>
  <c r="P1024" i="3" s="1"/>
  <c r="M1025" i="3"/>
  <c r="O1025" i="3" s="1"/>
  <c r="P1025" i="3" s="1"/>
  <c r="M1026" i="3"/>
  <c r="O1026" i="3" s="1"/>
  <c r="P1026" i="3" s="1"/>
  <c r="M1027" i="3"/>
  <c r="O1027" i="3" s="1"/>
  <c r="P1027" i="3" s="1"/>
  <c r="M1028" i="3"/>
  <c r="O1028" i="3" s="1"/>
  <c r="P1028" i="3" s="1"/>
  <c r="M1029" i="3"/>
  <c r="O1029" i="3" s="1"/>
  <c r="P1029" i="3" s="1"/>
  <c r="M1030" i="3"/>
  <c r="O1030" i="3" s="1"/>
  <c r="P1030" i="3" s="1"/>
  <c r="M1031" i="3"/>
  <c r="O1031" i="3" s="1"/>
  <c r="P1031" i="3" s="1"/>
  <c r="M1032" i="3"/>
  <c r="O1032" i="3" s="1"/>
  <c r="P1032" i="3" s="1"/>
  <c r="M1033" i="3"/>
  <c r="O1033" i="3" s="1"/>
  <c r="P1033" i="3" s="1"/>
  <c r="M1034" i="3"/>
  <c r="O1034" i="3" s="1"/>
  <c r="P1034" i="3" s="1"/>
  <c r="M1035" i="3"/>
  <c r="O1035" i="3" s="1"/>
  <c r="P1035" i="3" s="1"/>
  <c r="M1036" i="3"/>
  <c r="O1036" i="3" s="1"/>
  <c r="P1036" i="3" s="1"/>
  <c r="M1037" i="3"/>
  <c r="O1037" i="3" s="1"/>
  <c r="P1037" i="3" s="1"/>
  <c r="M1038" i="3"/>
  <c r="O1038" i="3" s="1"/>
  <c r="P1038" i="3" s="1"/>
  <c r="M1039" i="3"/>
  <c r="O1039" i="3" s="1"/>
  <c r="P1039" i="3" s="1"/>
  <c r="M1040" i="3"/>
  <c r="O1040" i="3" s="1"/>
  <c r="P1040" i="3" s="1"/>
  <c r="M1041" i="3"/>
  <c r="O1041" i="3" s="1"/>
  <c r="P1041" i="3" s="1"/>
  <c r="M1042" i="3"/>
  <c r="O1042" i="3" s="1"/>
  <c r="P1042" i="3" s="1"/>
  <c r="M1043" i="3"/>
  <c r="O1043" i="3" s="1"/>
  <c r="P1043" i="3" s="1"/>
  <c r="M1044" i="3"/>
  <c r="O1044" i="3" s="1"/>
  <c r="P1044" i="3" s="1"/>
  <c r="M1045" i="3"/>
  <c r="O1045" i="3" s="1"/>
  <c r="P1045" i="3" s="1"/>
  <c r="M1046" i="3"/>
  <c r="O1046" i="3" s="1"/>
  <c r="P1046" i="3" s="1"/>
  <c r="M1047" i="3"/>
  <c r="O1047" i="3" s="1"/>
  <c r="P1047" i="3" s="1"/>
  <c r="M1048" i="3"/>
  <c r="O1048" i="3" s="1"/>
  <c r="P1048" i="3" s="1"/>
  <c r="M1049" i="3"/>
  <c r="O1049" i="3" s="1"/>
  <c r="P1049" i="3" s="1"/>
  <c r="M1050" i="3"/>
  <c r="O1050" i="3" s="1"/>
  <c r="P1050" i="3" s="1"/>
  <c r="M1051" i="3"/>
  <c r="O1051" i="3" s="1"/>
  <c r="P1051" i="3" s="1"/>
  <c r="M1052" i="3"/>
  <c r="O1052" i="3" s="1"/>
  <c r="P1052" i="3" s="1"/>
  <c r="M1053" i="3"/>
  <c r="O1053" i="3" s="1"/>
  <c r="P1053" i="3" s="1"/>
  <c r="M1054" i="3"/>
  <c r="O1054" i="3" s="1"/>
  <c r="P1054" i="3" s="1"/>
  <c r="M1055" i="3"/>
  <c r="O1055" i="3" s="1"/>
  <c r="P1055" i="3" s="1"/>
  <c r="M1056" i="3"/>
  <c r="O1056" i="3" s="1"/>
  <c r="P1056" i="3" s="1"/>
  <c r="M1057" i="3"/>
  <c r="O1057" i="3" s="1"/>
  <c r="P1057" i="3" s="1"/>
  <c r="M1058" i="3"/>
  <c r="O1058" i="3" s="1"/>
  <c r="P1058" i="3" s="1"/>
  <c r="M1059" i="3"/>
  <c r="O1059" i="3" s="1"/>
  <c r="P1059" i="3" s="1"/>
  <c r="M1060" i="3"/>
  <c r="O1060" i="3" s="1"/>
  <c r="P1060" i="3" s="1"/>
  <c r="M1061" i="3"/>
  <c r="O1061" i="3" s="1"/>
  <c r="P1061" i="3" s="1"/>
  <c r="M1062" i="3"/>
  <c r="O1062" i="3" s="1"/>
  <c r="P1062" i="3" s="1"/>
  <c r="M1063" i="3"/>
  <c r="O1063" i="3" s="1"/>
  <c r="P1063" i="3" s="1"/>
  <c r="M1064" i="3"/>
  <c r="O1064" i="3" s="1"/>
  <c r="P1064" i="3" s="1"/>
  <c r="M1065" i="3"/>
  <c r="O1065" i="3" s="1"/>
  <c r="P1065" i="3" s="1"/>
  <c r="M1066" i="3"/>
  <c r="O1066" i="3" s="1"/>
  <c r="P1066" i="3" s="1"/>
  <c r="M1067" i="3"/>
  <c r="O1067" i="3" s="1"/>
  <c r="P1067" i="3" s="1"/>
  <c r="M1068" i="3"/>
  <c r="O1068" i="3" s="1"/>
  <c r="P1068" i="3" s="1"/>
  <c r="M1069" i="3"/>
  <c r="O1069" i="3" s="1"/>
  <c r="P1069" i="3" s="1"/>
  <c r="M1070" i="3"/>
  <c r="O1070" i="3" s="1"/>
  <c r="P1070" i="3" s="1"/>
  <c r="M1071" i="3"/>
  <c r="O1071" i="3" s="1"/>
  <c r="P1071" i="3" s="1"/>
  <c r="M1072" i="3"/>
  <c r="O1072" i="3" s="1"/>
  <c r="P1072" i="3" s="1"/>
  <c r="M1073" i="3"/>
  <c r="O1073" i="3" s="1"/>
  <c r="P1073" i="3" s="1"/>
  <c r="M1074" i="3"/>
  <c r="O1074" i="3" s="1"/>
  <c r="P1074" i="3" s="1"/>
  <c r="M1075" i="3"/>
  <c r="O1075" i="3" s="1"/>
  <c r="P1075" i="3" s="1"/>
  <c r="M1076" i="3"/>
  <c r="O1076" i="3" s="1"/>
  <c r="P1076" i="3" s="1"/>
  <c r="M1077" i="3"/>
  <c r="O1077" i="3" s="1"/>
  <c r="P1077" i="3" s="1"/>
  <c r="M1078" i="3"/>
  <c r="O1078" i="3" s="1"/>
  <c r="P1078" i="3" s="1"/>
  <c r="M1079" i="3"/>
  <c r="O1079" i="3" s="1"/>
  <c r="P1079" i="3" s="1"/>
  <c r="M1080" i="3"/>
  <c r="O1080" i="3" s="1"/>
  <c r="P1080" i="3" s="1"/>
  <c r="M1081" i="3"/>
  <c r="O1081" i="3" s="1"/>
  <c r="P1081" i="3" s="1"/>
  <c r="M1082" i="3"/>
  <c r="O1082" i="3" s="1"/>
  <c r="P1082" i="3" s="1"/>
  <c r="M1083" i="3"/>
  <c r="O1083" i="3" s="1"/>
  <c r="P1083" i="3" s="1"/>
  <c r="M1084" i="3"/>
  <c r="O1084" i="3" s="1"/>
  <c r="P1084" i="3" s="1"/>
  <c r="M1085" i="3"/>
  <c r="O1085" i="3" s="1"/>
  <c r="P1085" i="3" s="1"/>
  <c r="M1086" i="3"/>
  <c r="O1086" i="3" s="1"/>
  <c r="P1086" i="3" s="1"/>
  <c r="M1087" i="3"/>
  <c r="O1087" i="3" s="1"/>
  <c r="P1087" i="3" s="1"/>
  <c r="M1088" i="3"/>
  <c r="O1088" i="3" s="1"/>
  <c r="P1088" i="3" s="1"/>
  <c r="M1089" i="3"/>
  <c r="O1089" i="3" s="1"/>
  <c r="P1089" i="3" s="1"/>
  <c r="M1090" i="3"/>
  <c r="O1090" i="3" s="1"/>
  <c r="P1090" i="3" s="1"/>
  <c r="M1091" i="3"/>
  <c r="O1091" i="3" s="1"/>
  <c r="P1091" i="3" s="1"/>
  <c r="M1092" i="3"/>
  <c r="O1092" i="3" s="1"/>
  <c r="P1092" i="3" s="1"/>
  <c r="M1093" i="3"/>
  <c r="O1093" i="3" s="1"/>
  <c r="P1093" i="3" s="1"/>
  <c r="M1094" i="3"/>
  <c r="O1094" i="3" s="1"/>
  <c r="P1094" i="3" s="1"/>
  <c r="M1095" i="3"/>
  <c r="O1095" i="3" s="1"/>
  <c r="P1095" i="3" s="1"/>
  <c r="M1096" i="3"/>
  <c r="O1096" i="3" s="1"/>
  <c r="P1096" i="3" s="1"/>
  <c r="M1097" i="3"/>
  <c r="O1097" i="3" s="1"/>
  <c r="P1097" i="3" s="1"/>
  <c r="M1098" i="3"/>
  <c r="O1098" i="3" s="1"/>
  <c r="P1098" i="3" s="1"/>
  <c r="M1099" i="3"/>
  <c r="O1099" i="3" s="1"/>
  <c r="P1099" i="3" s="1"/>
  <c r="M1100" i="3"/>
  <c r="O1100" i="3" s="1"/>
  <c r="P1100" i="3" s="1"/>
  <c r="M1101" i="3"/>
  <c r="O1101" i="3" s="1"/>
  <c r="P1101" i="3" s="1"/>
  <c r="M1102" i="3"/>
  <c r="O1102" i="3" s="1"/>
  <c r="P1102" i="3" s="1"/>
  <c r="M1103" i="3"/>
  <c r="O1103" i="3" s="1"/>
  <c r="P1103" i="3" s="1"/>
  <c r="M1104" i="3"/>
  <c r="O1104" i="3" s="1"/>
  <c r="P1104" i="3" s="1"/>
  <c r="M1105" i="3"/>
  <c r="O1105" i="3" s="1"/>
  <c r="P1105" i="3" s="1"/>
  <c r="M1106" i="3"/>
  <c r="O1106" i="3" s="1"/>
  <c r="P1106" i="3" s="1"/>
  <c r="M1107" i="3"/>
  <c r="O1107" i="3" s="1"/>
  <c r="P1107" i="3" s="1"/>
  <c r="M1108" i="3"/>
  <c r="O1108" i="3" s="1"/>
  <c r="P1108" i="3" s="1"/>
  <c r="M1109" i="3"/>
  <c r="O1109" i="3" s="1"/>
  <c r="P1109" i="3" s="1"/>
  <c r="M1110" i="3"/>
  <c r="O1110" i="3" s="1"/>
  <c r="P1110" i="3" s="1"/>
  <c r="M1111" i="3"/>
  <c r="O1111" i="3" s="1"/>
  <c r="P1111" i="3" s="1"/>
  <c r="M1112" i="3"/>
  <c r="O1112" i="3" s="1"/>
  <c r="P1112" i="3" s="1"/>
  <c r="M1113" i="3"/>
  <c r="O1113" i="3" s="1"/>
  <c r="P1113" i="3" s="1"/>
  <c r="M1114" i="3"/>
  <c r="O1114" i="3" s="1"/>
  <c r="P1114" i="3" s="1"/>
  <c r="M1115" i="3"/>
  <c r="O1115" i="3" s="1"/>
  <c r="P1115" i="3" s="1"/>
  <c r="M1116" i="3"/>
  <c r="O1116" i="3" s="1"/>
  <c r="P1116" i="3" s="1"/>
  <c r="M1117" i="3"/>
  <c r="O1117" i="3" s="1"/>
  <c r="P1117" i="3" s="1"/>
  <c r="M1118" i="3"/>
  <c r="O1118" i="3" s="1"/>
  <c r="P1118" i="3" s="1"/>
  <c r="M1119" i="3"/>
  <c r="O1119" i="3" s="1"/>
  <c r="P1119" i="3" s="1"/>
  <c r="M1120" i="3"/>
  <c r="O1120" i="3" s="1"/>
  <c r="P1120" i="3" s="1"/>
  <c r="M1121" i="3"/>
  <c r="O1121" i="3" s="1"/>
  <c r="P1121" i="3" s="1"/>
  <c r="M1122" i="3"/>
  <c r="O1122" i="3" s="1"/>
  <c r="P1122" i="3" s="1"/>
  <c r="M1123" i="3"/>
  <c r="O1123" i="3" s="1"/>
  <c r="P1123" i="3" s="1"/>
  <c r="M1124" i="3"/>
  <c r="O1124" i="3" s="1"/>
  <c r="P1124" i="3" s="1"/>
  <c r="M1125" i="3"/>
  <c r="O1125" i="3" s="1"/>
  <c r="P1125" i="3" s="1"/>
  <c r="M1126" i="3"/>
  <c r="O1126" i="3" s="1"/>
  <c r="P1126" i="3" s="1"/>
  <c r="M1127" i="3"/>
  <c r="O1127" i="3" s="1"/>
  <c r="P1127" i="3" s="1"/>
  <c r="M1128" i="3"/>
  <c r="O1128" i="3" s="1"/>
  <c r="P1128" i="3" s="1"/>
  <c r="M1129" i="3"/>
  <c r="O1129" i="3" s="1"/>
  <c r="P1129" i="3" s="1"/>
  <c r="M1130" i="3"/>
  <c r="O1130" i="3" s="1"/>
  <c r="P1130" i="3" s="1"/>
  <c r="M1131" i="3"/>
  <c r="O1131" i="3" s="1"/>
  <c r="P1131" i="3" s="1"/>
  <c r="M1132" i="3"/>
  <c r="O1132" i="3" s="1"/>
  <c r="P1132" i="3" s="1"/>
  <c r="M1133" i="3"/>
  <c r="O1133" i="3" s="1"/>
  <c r="P1133" i="3" s="1"/>
  <c r="M1134" i="3"/>
  <c r="O1134" i="3" s="1"/>
  <c r="P1134" i="3" s="1"/>
  <c r="M1135" i="3"/>
  <c r="O1135" i="3" s="1"/>
  <c r="P1135" i="3" s="1"/>
  <c r="M1136" i="3"/>
  <c r="O1136" i="3" s="1"/>
  <c r="P1136" i="3" s="1"/>
  <c r="M1137" i="3"/>
  <c r="O1137" i="3" s="1"/>
  <c r="P1137" i="3" s="1"/>
  <c r="M1138" i="3"/>
  <c r="O1138" i="3" s="1"/>
  <c r="P1138" i="3" s="1"/>
  <c r="M1139" i="3"/>
  <c r="O1139" i="3" s="1"/>
  <c r="P1139" i="3" s="1"/>
  <c r="M1140" i="3"/>
  <c r="O1140" i="3" s="1"/>
  <c r="P1140" i="3" s="1"/>
  <c r="M1141" i="3"/>
  <c r="O1141" i="3" s="1"/>
  <c r="P1141" i="3" s="1"/>
  <c r="M1142" i="3"/>
  <c r="O1142" i="3" s="1"/>
  <c r="P1142" i="3" s="1"/>
  <c r="M1143" i="3"/>
  <c r="O1143" i="3" s="1"/>
  <c r="P1143" i="3" s="1"/>
  <c r="M1144" i="3"/>
  <c r="O1144" i="3" s="1"/>
  <c r="P1144" i="3" s="1"/>
  <c r="M1145" i="3"/>
  <c r="O1145" i="3" s="1"/>
  <c r="P1145" i="3" s="1"/>
  <c r="M1146" i="3"/>
  <c r="O1146" i="3" s="1"/>
  <c r="P1146" i="3" s="1"/>
  <c r="M1147" i="3"/>
  <c r="O1147" i="3" s="1"/>
  <c r="P1147" i="3" s="1"/>
  <c r="M1148" i="3"/>
  <c r="O1148" i="3" s="1"/>
  <c r="P1148" i="3" s="1"/>
  <c r="M1149" i="3"/>
  <c r="O1149" i="3" s="1"/>
  <c r="P1149" i="3" s="1"/>
  <c r="M1150" i="3"/>
  <c r="O1150" i="3" s="1"/>
  <c r="P1150" i="3" s="1"/>
  <c r="M1151" i="3"/>
  <c r="O1151" i="3" s="1"/>
  <c r="P1151" i="3" s="1"/>
  <c r="M1152" i="3"/>
  <c r="O1152" i="3" s="1"/>
  <c r="P1152" i="3" s="1"/>
  <c r="M1153" i="3"/>
  <c r="O1153" i="3" s="1"/>
  <c r="P1153" i="3" s="1"/>
  <c r="M1154" i="3"/>
  <c r="O1154" i="3" s="1"/>
  <c r="P1154" i="3" s="1"/>
  <c r="M1155" i="3"/>
  <c r="O1155" i="3" s="1"/>
  <c r="P1155" i="3" s="1"/>
  <c r="M1156" i="3"/>
  <c r="O1156" i="3" s="1"/>
  <c r="P1156" i="3" s="1"/>
  <c r="M1157" i="3"/>
  <c r="O1157" i="3" s="1"/>
  <c r="P1157" i="3" s="1"/>
  <c r="M1158" i="3"/>
  <c r="O1158" i="3" s="1"/>
  <c r="P1158" i="3" s="1"/>
  <c r="M1159" i="3"/>
  <c r="O1159" i="3" s="1"/>
  <c r="P1159" i="3" s="1"/>
  <c r="M1160" i="3"/>
  <c r="O1160" i="3" s="1"/>
  <c r="P1160" i="3" s="1"/>
  <c r="M1161" i="3"/>
  <c r="O1161" i="3" s="1"/>
  <c r="P1161" i="3" s="1"/>
  <c r="M1162" i="3"/>
  <c r="O1162" i="3" s="1"/>
  <c r="P1162" i="3" s="1"/>
  <c r="M1163" i="3"/>
  <c r="O1163" i="3" s="1"/>
  <c r="P1163" i="3" s="1"/>
  <c r="M1164" i="3"/>
  <c r="O1164" i="3" s="1"/>
  <c r="P1164" i="3" s="1"/>
  <c r="M1165" i="3"/>
  <c r="O1165" i="3" s="1"/>
  <c r="P1165" i="3" s="1"/>
  <c r="M1166" i="3"/>
  <c r="O1166" i="3" s="1"/>
  <c r="P1166" i="3" s="1"/>
  <c r="M1167" i="3"/>
  <c r="O1167" i="3" s="1"/>
  <c r="P1167" i="3" s="1"/>
  <c r="M1168" i="3"/>
  <c r="O1168" i="3" s="1"/>
  <c r="P1168" i="3" s="1"/>
  <c r="M1169" i="3"/>
  <c r="O1169" i="3" s="1"/>
  <c r="P1169" i="3" s="1"/>
  <c r="M1170" i="3"/>
  <c r="O1170" i="3" s="1"/>
  <c r="P1170" i="3" s="1"/>
  <c r="M1171" i="3"/>
  <c r="O1171" i="3" s="1"/>
  <c r="P1171" i="3" s="1"/>
  <c r="M1172" i="3"/>
  <c r="O1172" i="3" s="1"/>
  <c r="P1172" i="3" s="1"/>
  <c r="M1173" i="3"/>
  <c r="O1173" i="3" s="1"/>
  <c r="P1173" i="3" s="1"/>
  <c r="M1174" i="3"/>
  <c r="O1174" i="3" s="1"/>
  <c r="P1174" i="3" s="1"/>
  <c r="M1175" i="3"/>
  <c r="O1175" i="3" s="1"/>
  <c r="P1175" i="3" s="1"/>
  <c r="M1176" i="3"/>
  <c r="O1176" i="3" s="1"/>
  <c r="P1176" i="3" s="1"/>
  <c r="M1177" i="3"/>
  <c r="O1177" i="3" s="1"/>
  <c r="P1177" i="3" s="1"/>
  <c r="M1178" i="3"/>
  <c r="O1178" i="3" s="1"/>
  <c r="P1178" i="3" s="1"/>
  <c r="M1179" i="3"/>
  <c r="O1179" i="3" s="1"/>
  <c r="P1179" i="3" s="1"/>
  <c r="M1180" i="3"/>
  <c r="O1180" i="3" s="1"/>
  <c r="P1180" i="3" s="1"/>
  <c r="M1181" i="3"/>
  <c r="O1181" i="3" s="1"/>
  <c r="P1181" i="3" s="1"/>
  <c r="M1182" i="3"/>
  <c r="O1182" i="3" s="1"/>
  <c r="P1182" i="3" s="1"/>
  <c r="M1183" i="3"/>
  <c r="O1183" i="3" s="1"/>
  <c r="P1183" i="3" s="1"/>
  <c r="M1184" i="3"/>
  <c r="O1184" i="3" s="1"/>
  <c r="P1184" i="3" s="1"/>
  <c r="M1185" i="3"/>
  <c r="O1185" i="3" s="1"/>
  <c r="P1185" i="3" s="1"/>
  <c r="M1186" i="3"/>
  <c r="O1186" i="3" s="1"/>
  <c r="P1186" i="3" s="1"/>
  <c r="M1187" i="3"/>
  <c r="O1187" i="3" s="1"/>
  <c r="P1187" i="3" s="1"/>
  <c r="M1188" i="3"/>
  <c r="O1188" i="3" s="1"/>
  <c r="P1188" i="3" s="1"/>
  <c r="M1189" i="3"/>
  <c r="O1189" i="3" s="1"/>
  <c r="P1189" i="3" s="1"/>
  <c r="M1190" i="3"/>
  <c r="O1190" i="3" s="1"/>
  <c r="P1190" i="3" s="1"/>
  <c r="M1191" i="3"/>
  <c r="O1191" i="3" s="1"/>
  <c r="P1191" i="3" s="1"/>
  <c r="M1192" i="3"/>
  <c r="O1192" i="3" s="1"/>
  <c r="P1192" i="3" s="1"/>
  <c r="M1193" i="3"/>
  <c r="O1193" i="3" s="1"/>
  <c r="P1193" i="3" s="1"/>
  <c r="M1194" i="3"/>
  <c r="O1194" i="3" s="1"/>
  <c r="P1194" i="3" s="1"/>
  <c r="M1195" i="3"/>
  <c r="O1195" i="3" s="1"/>
  <c r="P1195" i="3" s="1"/>
  <c r="M1196" i="3"/>
  <c r="O1196" i="3" s="1"/>
  <c r="P1196" i="3" s="1"/>
  <c r="M1197" i="3"/>
  <c r="O1197" i="3" s="1"/>
  <c r="P1197" i="3" s="1"/>
  <c r="M1198" i="3"/>
  <c r="O1198" i="3" s="1"/>
  <c r="P1198" i="3" s="1"/>
  <c r="M1199" i="3"/>
  <c r="O1199" i="3" s="1"/>
  <c r="P1199" i="3" s="1"/>
  <c r="M1200" i="3"/>
  <c r="O1200" i="3" s="1"/>
  <c r="P1200" i="3" s="1"/>
  <c r="M1201" i="3"/>
  <c r="O1201" i="3" s="1"/>
  <c r="P1201" i="3" s="1"/>
  <c r="M1202" i="3"/>
  <c r="O1202" i="3" s="1"/>
  <c r="P1202" i="3" s="1"/>
  <c r="M1203" i="3"/>
  <c r="O1203" i="3" s="1"/>
  <c r="P1203" i="3" s="1"/>
  <c r="M1204" i="3"/>
  <c r="O1204" i="3" s="1"/>
  <c r="P1204" i="3" s="1"/>
  <c r="M1205" i="3"/>
  <c r="O1205" i="3" s="1"/>
  <c r="P1205" i="3" s="1"/>
  <c r="M1206" i="3"/>
  <c r="O1206" i="3" s="1"/>
  <c r="P1206" i="3" s="1"/>
  <c r="M1207" i="3"/>
  <c r="O1207" i="3" s="1"/>
  <c r="P1207" i="3" s="1"/>
  <c r="M1208" i="3"/>
  <c r="O1208" i="3" s="1"/>
  <c r="P1208" i="3" s="1"/>
  <c r="M1209" i="3"/>
  <c r="O1209" i="3" s="1"/>
  <c r="P1209" i="3" s="1"/>
  <c r="M1210" i="3"/>
  <c r="O1210" i="3" s="1"/>
  <c r="P1210" i="3" s="1"/>
  <c r="M1211" i="3"/>
  <c r="O1211" i="3" s="1"/>
  <c r="P1211" i="3" s="1"/>
  <c r="M1212" i="3"/>
  <c r="O1212" i="3" s="1"/>
  <c r="P1212" i="3" s="1"/>
  <c r="M1213" i="3"/>
  <c r="O1213" i="3" s="1"/>
  <c r="P1213" i="3" s="1"/>
  <c r="M1214" i="3"/>
  <c r="O1214" i="3" s="1"/>
  <c r="P1214" i="3" s="1"/>
  <c r="M1215" i="3"/>
  <c r="O1215" i="3" s="1"/>
  <c r="P1215" i="3" s="1"/>
  <c r="M1216" i="3"/>
  <c r="O1216" i="3" s="1"/>
  <c r="P1216" i="3" s="1"/>
  <c r="M1217" i="3"/>
  <c r="O1217" i="3" s="1"/>
  <c r="P1217" i="3" s="1"/>
  <c r="M1218" i="3"/>
  <c r="O1218" i="3" s="1"/>
  <c r="P1218" i="3" s="1"/>
  <c r="M1219" i="3"/>
  <c r="O1219" i="3" s="1"/>
  <c r="P1219" i="3" s="1"/>
  <c r="M1220" i="3"/>
  <c r="O1220" i="3" s="1"/>
  <c r="P1220" i="3" s="1"/>
  <c r="M1221" i="3"/>
  <c r="O1221" i="3" s="1"/>
  <c r="P1221" i="3" s="1"/>
  <c r="M1222" i="3"/>
  <c r="O1222" i="3" s="1"/>
  <c r="P1222" i="3" s="1"/>
  <c r="M1223" i="3"/>
  <c r="O1223" i="3" s="1"/>
  <c r="P1223" i="3" s="1"/>
  <c r="M1224" i="3"/>
  <c r="O1224" i="3" s="1"/>
  <c r="P1224" i="3" s="1"/>
  <c r="M1225" i="3"/>
  <c r="O1225" i="3" s="1"/>
  <c r="P1225" i="3" s="1"/>
  <c r="M1226" i="3"/>
  <c r="O1226" i="3" s="1"/>
  <c r="P1226" i="3" s="1"/>
  <c r="M1227" i="3"/>
  <c r="O1227" i="3" s="1"/>
  <c r="P1227" i="3" s="1"/>
  <c r="M1228" i="3"/>
  <c r="O1228" i="3" s="1"/>
  <c r="P1228" i="3" s="1"/>
  <c r="M1229" i="3"/>
  <c r="O1229" i="3" s="1"/>
  <c r="P1229" i="3" s="1"/>
  <c r="M1230" i="3"/>
  <c r="O1230" i="3" s="1"/>
  <c r="P1230" i="3" s="1"/>
  <c r="M1231" i="3"/>
  <c r="O1231" i="3" s="1"/>
  <c r="P1231" i="3" s="1"/>
  <c r="M1232" i="3"/>
  <c r="O1232" i="3" s="1"/>
  <c r="P1232" i="3" s="1"/>
  <c r="M1233" i="3"/>
  <c r="O1233" i="3" s="1"/>
  <c r="P1233" i="3" s="1"/>
  <c r="M1234" i="3"/>
  <c r="O1234" i="3" s="1"/>
  <c r="P1234" i="3" s="1"/>
  <c r="M1235" i="3"/>
  <c r="O1235" i="3" s="1"/>
  <c r="P1235" i="3" s="1"/>
  <c r="M1236" i="3"/>
  <c r="O1236" i="3" s="1"/>
  <c r="P1236" i="3" s="1"/>
  <c r="M1237" i="3"/>
  <c r="O1237" i="3" s="1"/>
  <c r="P1237" i="3" s="1"/>
  <c r="M1238" i="3"/>
  <c r="O1238" i="3" s="1"/>
  <c r="P1238" i="3" s="1"/>
  <c r="M1239" i="3"/>
  <c r="O1239" i="3" s="1"/>
  <c r="P1239" i="3" s="1"/>
  <c r="M1240" i="3"/>
  <c r="O1240" i="3" s="1"/>
  <c r="P1240" i="3" s="1"/>
  <c r="M1241" i="3"/>
  <c r="O1241" i="3" s="1"/>
  <c r="P1241" i="3" s="1"/>
  <c r="M1242" i="3"/>
  <c r="O1242" i="3" s="1"/>
  <c r="P1242" i="3" s="1"/>
  <c r="M1243" i="3"/>
  <c r="O1243" i="3" s="1"/>
  <c r="P1243" i="3" s="1"/>
  <c r="M1244" i="3"/>
  <c r="O1244" i="3" s="1"/>
  <c r="P1244" i="3" s="1"/>
  <c r="M1245" i="3"/>
  <c r="O1245" i="3" s="1"/>
  <c r="P1245" i="3" s="1"/>
  <c r="M1246" i="3"/>
  <c r="O1246" i="3" s="1"/>
  <c r="P1246" i="3" s="1"/>
  <c r="M1247" i="3"/>
  <c r="O1247" i="3" s="1"/>
  <c r="P1247" i="3" s="1"/>
  <c r="M1248" i="3"/>
  <c r="O1248" i="3" s="1"/>
  <c r="P1248" i="3" s="1"/>
  <c r="M1249" i="3"/>
  <c r="O1249" i="3" s="1"/>
  <c r="P1249" i="3" s="1"/>
  <c r="M1250" i="3"/>
  <c r="O1250" i="3" s="1"/>
  <c r="P1250" i="3" s="1"/>
  <c r="M1251" i="3"/>
  <c r="O1251" i="3" s="1"/>
  <c r="P1251" i="3" s="1"/>
  <c r="M1252" i="3"/>
  <c r="O1252" i="3" s="1"/>
  <c r="P1252" i="3" s="1"/>
  <c r="M1253" i="3"/>
  <c r="O1253" i="3" s="1"/>
  <c r="P1253" i="3" s="1"/>
  <c r="M1254" i="3"/>
  <c r="O1254" i="3" s="1"/>
  <c r="P1254" i="3" s="1"/>
  <c r="M1255" i="3"/>
  <c r="O1255" i="3" s="1"/>
  <c r="P1255" i="3" s="1"/>
  <c r="M1256" i="3"/>
  <c r="O1256" i="3" s="1"/>
  <c r="P1256" i="3" s="1"/>
  <c r="M1257" i="3"/>
  <c r="O1257" i="3" s="1"/>
  <c r="P1257" i="3" s="1"/>
  <c r="M1258" i="3"/>
  <c r="O1258" i="3" s="1"/>
  <c r="P1258" i="3" s="1"/>
  <c r="M1259" i="3"/>
  <c r="O1259" i="3" s="1"/>
  <c r="P1259" i="3" s="1"/>
  <c r="M1260" i="3"/>
  <c r="O1260" i="3" s="1"/>
  <c r="P1260" i="3" s="1"/>
  <c r="M1261" i="3"/>
  <c r="O1261" i="3" s="1"/>
  <c r="P1261" i="3" s="1"/>
  <c r="M1262" i="3"/>
  <c r="O1262" i="3" s="1"/>
  <c r="P1262" i="3" s="1"/>
  <c r="M1263" i="3"/>
  <c r="O1263" i="3" s="1"/>
  <c r="P1263" i="3" s="1"/>
  <c r="M1264" i="3"/>
  <c r="O1264" i="3" s="1"/>
  <c r="P1264" i="3" s="1"/>
  <c r="M1265" i="3"/>
  <c r="O1265" i="3" s="1"/>
  <c r="P1265" i="3" s="1"/>
  <c r="M1266" i="3"/>
  <c r="O1266" i="3" s="1"/>
  <c r="P1266" i="3" s="1"/>
  <c r="M1267" i="3"/>
  <c r="O1267" i="3" s="1"/>
  <c r="P1267" i="3" s="1"/>
  <c r="M1268" i="3"/>
  <c r="O1268" i="3" s="1"/>
  <c r="P1268" i="3" s="1"/>
  <c r="M1269" i="3"/>
  <c r="O1269" i="3" s="1"/>
  <c r="P1269" i="3" s="1"/>
  <c r="M1270" i="3"/>
  <c r="O1270" i="3" s="1"/>
  <c r="P1270" i="3" s="1"/>
  <c r="M1271" i="3"/>
  <c r="O1271" i="3" s="1"/>
  <c r="P1271" i="3" s="1"/>
  <c r="M1272" i="3"/>
  <c r="O1272" i="3" s="1"/>
  <c r="P1272" i="3" s="1"/>
  <c r="M1273" i="3"/>
  <c r="O1273" i="3" s="1"/>
  <c r="P1273" i="3" s="1"/>
  <c r="M1274" i="3"/>
  <c r="O1274" i="3" s="1"/>
  <c r="P1274" i="3" s="1"/>
  <c r="M1275" i="3"/>
  <c r="O1275" i="3" s="1"/>
  <c r="P1275" i="3" s="1"/>
  <c r="M1276" i="3"/>
  <c r="O1276" i="3" s="1"/>
  <c r="P1276" i="3" s="1"/>
  <c r="M1277" i="3"/>
  <c r="O1277" i="3" s="1"/>
  <c r="P1277" i="3" s="1"/>
  <c r="M1278" i="3"/>
  <c r="O1278" i="3" s="1"/>
  <c r="P1278" i="3" s="1"/>
  <c r="M1279" i="3"/>
  <c r="O1279" i="3" s="1"/>
  <c r="P1279" i="3" s="1"/>
  <c r="M1280" i="3"/>
  <c r="O1280" i="3" s="1"/>
  <c r="P1280" i="3" s="1"/>
  <c r="M1281" i="3"/>
  <c r="O1281" i="3" s="1"/>
  <c r="P1281" i="3" s="1"/>
  <c r="M1282" i="3"/>
  <c r="O1282" i="3" s="1"/>
  <c r="P1282" i="3" s="1"/>
  <c r="M1283" i="3"/>
  <c r="O1283" i="3" s="1"/>
  <c r="P1283" i="3" s="1"/>
  <c r="M1284" i="3"/>
  <c r="O1284" i="3" s="1"/>
  <c r="P1284" i="3" s="1"/>
  <c r="M1285" i="3"/>
  <c r="O1285" i="3" s="1"/>
  <c r="P1285" i="3" s="1"/>
  <c r="M1286" i="3"/>
  <c r="O1286" i="3" s="1"/>
  <c r="P1286" i="3" s="1"/>
  <c r="M1287" i="3"/>
  <c r="O1287" i="3" s="1"/>
  <c r="P1287" i="3" s="1"/>
  <c r="M1288" i="3"/>
  <c r="O1288" i="3" s="1"/>
  <c r="P1288" i="3" s="1"/>
  <c r="M1289" i="3"/>
  <c r="O1289" i="3" s="1"/>
  <c r="P1289" i="3" s="1"/>
  <c r="M1290" i="3"/>
  <c r="O1290" i="3" s="1"/>
  <c r="P1290" i="3" s="1"/>
  <c r="M1291" i="3"/>
  <c r="O1291" i="3" s="1"/>
  <c r="P1291" i="3" s="1"/>
  <c r="M1292" i="3"/>
  <c r="O1292" i="3" s="1"/>
  <c r="P1292" i="3" s="1"/>
  <c r="M1293" i="3"/>
  <c r="O1293" i="3" s="1"/>
  <c r="P1293" i="3" s="1"/>
  <c r="M1294" i="3"/>
  <c r="O1294" i="3" s="1"/>
  <c r="P1294" i="3" s="1"/>
  <c r="M1295" i="3"/>
  <c r="O1295" i="3" s="1"/>
  <c r="P1295" i="3" s="1"/>
  <c r="M1296" i="3"/>
  <c r="O1296" i="3" s="1"/>
  <c r="P1296" i="3" s="1"/>
  <c r="M1297" i="3"/>
  <c r="O1297" i="3" s="1"/>
  <c r="P1297" i="3" s="1"/>
  <c r="M1298" i="3"/>
  <c r="O1298" i="3" s="1"/>
  <c r="P1298" i="3" s="1"/>
  <c r="M1299" i="3"/>
  <c r="O1299" i="3" s="1"/>
  <c r="P1299" i="3" s="1"/>
  <c r="M1300" i="3"/>
  <c r="O1300" i="3" s="1"/>
  <c r="P1300" i="3" s="1"/>
  <c r="M1301" i="3"/>
  <c r="O1301" i="3" s="1"/>
  <c r="P1301" i="3" s="1"/>
  <c r="M1302" i="3"/>
  <c r="O1302" i="3" s="1"/>
  <c r="P1302" i="3" s="1"/>
  <c r="M1303" i="3"/>
  <c r="O1303" i="3" s="1"/>
  <c r="P1303" i="3" s="1"/>
  <c r="M1304" i="3"/>
  <c r="O1304" i="3" s="1"/>
  <c r="P1304" i="3" s="1"/>
  <c r="M1305" i="3"/>
  <c r="O1305" i="3" s="1"/>
  <c r="P1305" i="3" s="1"/>
  <c r="M1306" i="3"/>
  <c r="O1306" i="3" s="1"/>
  <c r="P1306" i="3" s="1"/>
  <c r="M1307" i="3"/>
  <c r="O1307" i="3" s="1"/>
  <c r="P1307" i="3" s="1"/>
  <c r="M1308" i="3"/>
  <c r="O1308" i="3" s="1"/>
  <c r="P1308" i="3" s="1"/>
  <c r="M1309" i="3"/>
  <c r="O1309" i="3" s="1"/>
  <c r="P1309" i="3" s="1"/>
  <c r="M1310" i="3"/>
  <c r="O1310" i="3" s="1"/>
  <c r="P1310" i="3" s="1"/>
  <c r="M1311" i="3"/>
  <c r="O1311" i="3" s="1"/>
  <c r="P1311" i="3" s="1"/>
  <c r="M1312" i="3"/>
  <c r="O1312" i="3" s="1"/>
  <c r="P1312" i="3" s="1"/>
  <c r="M1313" i="3"/>
  <c r="O1313" i="3" s="1"/>
  <c r="P1313" i="3" s="1"/>
  <c r="M1314" i="3"/>
  <c r="O1314" i="3" s="1"/>
  <c r="P1314" i="3" s="1"/>
  <c r="M1315" i="3"/>
  <c r="O1315" i="3" s="1"/>
  <c r="P1315" i="3" s="1"/>
  <c r="M1316" i="3"/>
  <c r="O1316" i="3" s="1"/>
  <c r="P1316" i="3" s="1"/>
  <c r="M1317" i="3"/>
  <c r="O1317" i="3" s="1"/>
  <c r="P1317" i="3" s="1"/>
  <c r="M1318" i="3"/>
  <c r="O1318" i="3" s="1"/>
  <c r="P1318" i="3" s="1"/>
  <c r="M1319" i="3"/>
  <c r="O1319" i="3" s="1"/>
  <c r="P1319" i="3" s="1"/>
  <c r="M1320" i="3"/>
  <c r="O1320" i="3" s="1"/>
  <c r="P1320" i="3" s="1"/>
  <c r="M1321" i="3"/>
  <c r="O1321" i="3" s="1"/>
  <c r="P1321" i="3" s="1"/>
  <c r="M1322" i="3"/>
  <c r="O1322" i="3" s="1"/>
  <c r="P1322" i="3" s="1"/>
  <c r="M1323" i="3"/>
  <c r="O1323" i="3" s="1"/>
  <c r="P1323" i="3" s="1"/>
  <c r="M1324" i="3"/>
  <c r="O1324" i="3" s="1"/>
  <c r="P1324" i="3" s="1"/>
  <c r="M1325" i="3"/>
  <c r="O1325" i="3" s="1"/>
  <c r="P1325" i="3" s="1"/>
  <c r="M1326" i="3"/>
  <c r="O1326" i="3" s="1"/>
  <c r="P1326" i="3" s="1"/>
  <c r="M1327" i="3"/>
  <c r="O1327" i="3" s="1"/>
  <c r="P1327" i="3" s="1"/>
  <c r="M1328" i="3"/>
  <c r="O1328" i="3" s="1"/>
  <c r="P1328" i="3" s="1"/>
  <c r="M1329" i="3"/>
  <c r="O1329" i="3" s="1"/>
  <c r="P1329" i="3" s="1"/>
  <c r="M1330" i="3"/>
  <c r="O1330" i="3" s="1"/>
  <c r="P1330" i="3" s="1"/>
  <c r="M1331" i="3"/>
  <c r="O1331" i="3" s="1"/>
  <c r="P1331" i="3" s="1"/>
  <c r="M1332" i="3"/>
  <c r="O1332" i="3" s="1"/>
  <c r="P1332" i="3" s="1"/>
  <c r="M1333" i="3"/>
  <c r="O1333" i="3" s="1"/>
  <c r="P1333" i="3" s="1"/>
  <c r="M1334" i="3"/>
  <c r="O1334" i="3" s="1"/>
  <c r="P1334" i="3" s="1"/>
  <c r="M1335" i="3"/>
  <c r="O1335" i="3" s="1"/>
  <c r="P1335" i="3" s="1"/>
  <c r="M1336" i="3"/>
  <c r="O1336" i="3" s="1"/>
  <c r="P1336" i="3" s="1"/>
  <c r="M1337" i="3"/>
  <c r="O1337" i="3" s="1"/>
  <c r="P1337" i="3" s="1"/>
  <c r="M1338" i="3"/>
  <c r="O1338" i="3" s="1"/>
  <c r="P1338" i="3" s="1"/>
  <c r="M1339" i="3"/>
  <c r="O1339" i="3" s="1"/>
  <c r="P1339" i="3" s="1"/>
  <c r="M1340" i="3"/>
  <c r="O1340" i="3" s="1"/>
  <c r="P1340" i="3" s="1"/>
  <c r="M1341" i="3"/>
  <c r="O1341" i="3" s="1"/>
  <c r="P1341" i="3" s="1"/>
  <c r="M1342" i="3"/>
  <c r="O1342" i="3" s="1"/>
  <c r="P1342" i="3" s="1"/>
  <c r="M1343" i="3"/>
  <c r="O1343" i="3" s="1"/>
  <c r="P1343" i="3" s="1"/>
  <c r="M1344" i="3"/>
  <c r="O1344" i="3" s="1"/>
  <c r="P1344" i="3" s="1"/>
  <c r="M1345" i="3"/>
  <c r="O1345" i="3" s="1"/>
  <c r="P1345" i="3" s="1"/>
  <c r="M1346" i="3"/>
  <c r="O1346" i="3" s="1"/>
  <c r="P1346" i="3" s="1"/>
  <c r="M1347" i="3"/>
  <c r="O1347" i="3" s="1"/>
  <c r="P1347" i="3" s="1"/>
  <c r="M1348" i="3"/>
  <c r="O1348" i="3" s="1"/>
  <c r="P1348" i="3" s="1"/>
  <c r="M1349" i="3"/>
  <c r="O1349" i="3" s="1"/>
  <c r="P1349" i="3" s="1"/>
  <c r="M1350" i="3"/>
  <c r="O1350" i="3" s="1"/>
  <c r="P1350" i="3" s="1"/>
  <c r="M1351" i="3"/>
  <c r="O1351" i="3" s="1"/>
  <c r="P1351" i="3" s="1"/>
  <c r="M1352" i="3"/>
  <c r="O1352" i="3" s="1"/>
  <c r="P1352" i="3" s="1"/>
  <c r="M1353" i="3"/>
  <c r="O1353" i="3" s="1"/>
  <c r="P1353" i="3" s="1"/>
  <c r="M1354" i="3"/>
  <c r="O1354" i="3" s="1"/>
  <c r="P1354" i="3" s="1"/>
  <c r="M1355" i="3"/>
  <c r="O1355" i="3" s="1"/>
  <c r="P1355" i="3" s="1"/>
  <c r="M1356" i="3"/>
  <c r="O1356" i="3" s="1"/>
  <c r="P1356" i="3" s="1"/>
  <c r="M1357" i="3"/>
  <c r="O1357" i="3" s="1"/>
  <c r="P1357" i="3" s="1"/>
  <c r="M1358" i="3"/>
  <c r="O1358" i="3" s="1"/>
  <c r="P1358" i="3" s="1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1528" i="3"/>
  <c r="M1529" i="3"/>
  <c r="M1530" i="3"/>
  <c r="M1531" i="3"/>
  <c r="M1532" i="3"/>
  <c r="M1533" i="3"/>
  <c r="M1534" i="3"/>
  <c r="M1535" i="3"/>
  <c r="M1536" i="3"/>
  <c r="M1537" i="3"/>
  <c r="M1538" i="3"/>
  <c r="M1539" i="3"/>
  <c r="M1540" i="3"/>
  <c r="M1541" i="3"/>
  <c r="M1542" i="3"/>
  <c r="M1543" i="3"/>
  <c r="M1544" i="3"/>
  <c r="M1545" i="3"/>
  <c r="M1546" i="3"/>
  <c r="M1547" i="3"/>
  <c r="M1548" i="3"/>
  <c r="M1549" i="3"/>
  <c r="M1550" i="3"/>
  <c r="M1551" i="3"/>
  <c r="M1552" i="3"/>
  <c r="M1553" i="3"/>
  <c r="M1554" i="3"/>
  <c r="M1555" i="3"/>
  <c r="M1556" i="3"/>
  <c r="M1557" i="3"/>
  <c r="M1558" i="3"/>
  <c r="M1559" i="3"/>
  <c r="M1560" i="3"/>
  <c r="M1561" i="3"/>
  <c r="M1562" i="3"/>
  <c r="M1563" i="3"/>
  <c r="M1564" i="3"/>
  <c r="M1565" i="3"/>
  <c r="M1566" i="3"/>
  <c r="M1567" i="3"/>
  <c r="M1568" i="3"/>
  <c r="M1569" i="3"/>
  <c r="M1570" i="3"/>
  <c r="M1571" i="3"/>
  <c r="M1572" i="3"/>
  <c r="M1573" i="3"/>
  <c r="M1574" i="3"/>
  <c r="M1575" i="3"/>
  <c r="M1576" i="3"/>
  <c r="M1577" i="3"/>
  <c r="M1578" i="3"/>
  <c r="M1579" i="3"/>
  <c r="M1580" i="3"/>
  <c r="M1581" i="3"/>
  <c r="M1582" i="3"/>
  <c r="M1583" i="3"/>
  <c r="M1584" i="3"/>
  <c r="M1585" i="3"/>
  <c r="M1586" i="3"/>
  <c r="M1587" i="3"/>
  <c r="M1588" i="3"/>
  <c r="M1589" i="3"/>
  <c r="M1590" i="3"/>
  <c r="M1591" i="3"/>
  <c r="M1592" i="3"/>
  <c r="M1593" i="3"/>
  <c r="M1594" i="3"/>
  <c r="M1595" i="3"/>
  <c r="M1596" i="3"/>
  <c r="M1597" i="3"/>
  <c r="M1598" i="3"/>
  <c r="M1599" i="3"/>
  <c r="M1600" i="3"/>
  <c r="M1601" i="3"/>
  <c r="M1602" i="3"/>
  <c r="M1603" i="3"/>
  <c r="M1604" i="3"/>
  <c r="M1605" i="3"/>
  <c r="M1606" i="3"/>
  <c r="M1607" i="3"/>
  <c r="M1608" i="3"/>
  <c r="M1609" i="3"/>
  <c r="M1610" i="3"/>
  <c r="M1611" i="3"/>
  <c r="M1612" i="3"/>
  <c r="M1613" i="3"/>
  <c r="M1614" i="3"/>
  <c r="M1615" i="3"/>
  <c r="M1616" i="3"/>
  <c r="M1617" i="3"/>
  <c r="M1618" i="3"/>
  <c r="M1619" i="3"/>
  <c r="M1620" i="3"/>
  <c r="M1621" i="3"/>
  <c r="M1622" i="3"/>
  <c r="M1623" i="3"/>
  <c r="M1624" i="3"/>
  <c r="M1625" i="3"/>
  <c r="M1626" i="3"/>
  <c r="M1627" i="3"/>
  <c r="M1628" i="3"/>
  <c r="M1629" i="3"/>
  <c r="M1630" i="3"/>
  <c r="M1631" i="3"/>
  <c r="M1632" i="3"/>
  <c r="M1633" i="3"/>
  <c r="M1634" i="3"/>
  <c r="M1635" i="3"/>
  <c r="M1636" i="3"/>
  <c r="M1637" i="3"/>
  <c r="M1638" i="3"/>
  <c r="M1639" i="3"/>
  <c r="M1640" i="3"/>
  <c r="M1641" i="3"/>
  <c r="M1642" i="3"/>
  <c r="M1643" i="3"/>
  <c r="M1644" i="3"/>
  <c r="M1645" i="3"/>
  <c r="M1646" i="3"/>
  <c r="M1647" i="3"/>
  <c r="M1648" i="3"/>
  <c r="M1649" i="3"/>
  <c r="M1650" i="3"/>
  <c r="M1651" i="3"/>
  <c r="M1652" i="3"/>
  <c r="M1653" i="3"/>
  <c r="M1654" i="3"/>
  <c r="M1655" i="3"/>
  <c r="M1656" i="3"/>
  <c r="M1657" i="3"/>
  <c r="M1658" i="3"/>
  <c r="M1659" i="3"/>
  <c r="M1660" i="3"/>
  <c r="M1661" i="3"/>
  <c r="M1662" i="3"/>
  <c r="M1663" i="3"/>
  <c r="M1664" i="3"/>
  <c r="M1665" i="3"/>
  <c r="M1666" i="3"/>
  <c r="M1667" i="3"/>
  <c r="M1668" i="3"/>
  <c r="M1669" i="3"/>
  <c r="M1670" i="3"/>
  <c r="M1671" i="3"/>
  <c r="M1672" i="3"/>
  <c r="M1673" i="3"/>
  <c r="M1674" i="3"/>
  <c r="O1674" i="3" s="1"/>
  <c r="P1674" i="3" s="1"/>
  <c r="M1675" i="3"/>
  <c r="O1675" i="3" s="1"/>
  <c r="P1675" i="3" s="1"/>
  <c r="M1676" i="3"/>
  <c r="O1676" i="3" s="1"/>
  <c r="P1676" i="3" s="1"/>
  <c r="M1677" i="3"/>
  <c r="O1677" i="3" s="1"/>
  <c r="P1677" i="3" s="1"/>
  <c r="M1678" i="3"/>
  <c r="O1678" i="3" s="1"/>
  <c r="P1678" i="3" s="1"/>
  <c r="M1679" i="3"/>
  <c r="O1679" i="3" s="1"/>
  <c r="P1679" i="3" s="1"/>
  <c r="M1680" i="3"/>
  <c r="O1680" i="3" s="1"/>
  <c r="P1680" i="3" s="1"/>
  <c r="M1681" i="3"/>
  <c r="O1681" i="3" s="1"/>
  <c r="P1681" i="3" s="1"/>
  <c r="M1682" i="3"/>
  <c r="O1682" i="3" s="1"/>
  <c r="P1682" i="3" s="1"/>
  <c r="M1683" i="3"/>
  <c r="O1683" i="3" s="1"/>
  <c r="P1683" i="3" s="1"/>
  <c r="M1684" i="3"/>
  <c r="O1684" i="3" s="1"/>
  <c r="P1684" i="3" s="1"/>
  <c r="M1685" i="3"/>
  <c r="O1685" i="3" s="1"/>
  <c r="P1685" i="3" s="1"/>
  <c r="M1686" i="3"/>
  <c r="O1686" i="3" s="1"/>
  <c r="P1686" i="3" s="1"/>
  <c r="M1687" i="3"/>
  <c r="O1687" i="3" s="1"/>
  <c r="P1687" i="3" s="1"/>
  <c r="M1688" i="3"/>
  <c r="O1688" i="3" s="1"/>
  <c r="P1688" i="3" s="1"/>
  <c r="M1689" i="3"/>
  <c r="O1689" i="3" s="1"/>
  <c r="P1689" i="3" s="1"/>
  <c r="M1690" i="3"/>
  <c r="O1690" i="3" s="1"/>
  <c r="P1690" i="3" s="1"/>
  <c r="M1691" i="3"/>
  <c r="O1691" i="3" s="1"/>
  <c r="P1691" i="3" s="1"/>
  <c r="M1692" i="3"/>
  <c r="O1692" i="3" s="1"/>
  <c r="P1692" i="3" s="1"/>
  <c r="M1693" i="3"/>
  <c r="O1693" i="3" s="1"/>
  <c r="P1693" i="3" s="1"/>
  <c r="M1694" i="3"/>
  <c r="O1694" i="3" s="1"/>
  <c r="P1694" i="3" s="1"/>
  <c r="M1695" i="3"/>
  <c r="O1695" i="3" s="1"/>
  <c r="P1695" i="3" s="1"/>
  <c r="M1696" i="3"/>
  <c r="O1696" i="3" s="1"/>
  <c r="P1696" i="3" s="1"/>
  <c r="M1697" i="3"/>
  <c r="O1697" i="3" s="1"/>
  <c r="P1697" i="3" s="1"/>
  <c r="M1698" i="3"/>
  <c r="O1698" i="3" s="1"/>
  <c r="P1698" i="3" s="1"/>
  <c r="M1699" i="3"/>
  <c r="O1699" i="3" s="1"/>
  <c r="P1699" i="3" s="1"/>
  <c r="M1700" i="3"/>
  <c r="O1700" i="3" s="1"/>
  <c r="P1700" i="3" s="1"/>
  <c r="M1701" i="3"/>
  <c r="O1701" i="3" s="1"/>
  <c r="P1701" i="3" s="1"/>
  <c r="M1702" i="3"/>
  <c r="O1702" i="3" s="1"/>
  <c r="P1702" i="3" s="1"/>
  <c r="M1703" i="3"/>
  <c r="O1703" i="3" s="1"/>
  <c r="P1703" i="3" s="1"/>
  <c r="M1704" i="3"/>
  <c r="O1704" i="3" s="1"/>
  <c r="P1704" i="3" s="1"/>
  <c r="M1705" i="3"/>
  <c r="O1705" i="3" s="1"/>
  <c r="P1705" i="3" s="1"/>
  <c r="M1706" i="3"/>
  <c r="O1706" i="3" s="1"/>
  <c r="P1706" i="3" s="1"/>
  <c r="M1707" i="3"/>
  <c r="O1707" i="3" s="1"/>
  <c r="P1707" i="3" s="1"/>
  <c r="M1708" i="3"/>
  <c r="O1708" i="3" s="1"/>
  <c r="P1708" i="3" s="1"/>
  <c r="M1709" i="3"/>
  <c r="O1709" i="3" s="1"/>
  <c r="P1709" i="3" s="1"/>
  <c r="M1710" i="3"/>
  <c r="O1710" i="3" s="1"/>
  <c r="P1710" i="3" s="1"/>
  <c r="M1711" i="3"/>
  <c r="O1711" i="3" s="1"/>
  <c r="P1711" i="3" s="1"/>
  <c r="M1712" i="3"/>
  <c r="O1712" i="3" s="1"/>
  <c r="P1712" i="3" s="1"/>
  <c r="M1713" i="3"/>
  <c r="O1713" i="3" s="1"/>
  <c r="P1713" i="3" s="1"/>
  <c r="M1714" i="3"/>
  <c r="O1714" i="3" s="1"/>
  <c r="P1714" i="3" s="1"/>
  <c r="M1715" i="3"/>
  <c r="O1715" i="3" s="1"/>
  <c r="P1715" i="3" s="1"/>
  <c r="M1716" i="3"/>
  <c r="O1716" i="3" s="1"/>
  <c r="P1716" i="3" s="1"/>
  <c r="M1717" i="3"/>
  <c r="O1717" i="3" s="1"/>
  <c r="P1717" i="3" s="1"/>
  <c r="M1718" i="3"/>
  <c r="O1718" i="3" s="1"/>
  <c r="P1718" i="3" s="1"/>
  <c r="M1719" i="3"/>
  <c r="O1719" i="3" s="1"/>
  <c r="P1719" i="3" s="1"/>
  <c r="M1720" i="3"/>
  <c r="O1720" i="3" s="1"/>
  <c r="P1720" i="3" s="1"/>
  <c r="M1721" i="3"/>
  <c r="O1721" i="3" s="1"/>
  <c r="P1721" i="3" s="1"/>
  <c r="M1722" i="3"/>
  <c r="O1722" i="3" s="1"/>
  <c r="P1722" i="3" s="1"/>
  <c r="M1723" i="3"/>
  <c r="O1723" i="3" s="1"/>
  <c r="P1723" i="3" s="1"/>
  <c r="M1724" i="3"/>
  <c r="O1724" i="3" s="1"/>
  <c r="P1724" i="3" s="1"/>
  <c r="M1725" i="3"/>
  <c r="O1725" i="3" s="1"/>
  <c r="P1725" i="3" s="1"/>
  <c r="M1726" i="3"/>
  <c r="O1726" i="3" s="1"/>
  <c r="P1726" i="3" s="1"/>
  <c r="M1727" i="3"/>
  <c r="O1727" i="3" s="1"/>
  <c r="P1727" i="3" s="1"/>
  <c r="M1728" i="3"/>
  <c r="O1728" i="3" s="1"/>
  <c r="P1728" i="3" s="1"/>
  <c r="M1729" i="3"/>
  <c r="O1729" i="3" s="1"/>
  <c r="P1729" i="3" s="1"/>
  <c r="M1730" i="3"/>
  <c r="O1730" i="3" s="1"/>
  <c r="P1730" i="3" s="1"/>
  <c r="M1731" i="3"/>
  <c r="O1731" i="3" s="1"/>
  <c r="P1731" i="3" s="1"/>
  <c r="M1732" i="3"/>
  <c r="O1732" i="3" s="1"/>
  <c r="P1732" i="3" s="1"/>
  <c r="M1733" i="3"/>
  <c r="O1733" i="3" s="1"/>
  <c r="P1733" i="3" s="1"/>
  <c r="M1734" i="3"/>
  <c r="O1734" i="3" s="1"/>
  <c r="P1734" i="3" s="1"/>
  <c r="M1735" i="3"/>
  <c r="O1735" i="3" s="1"/>
  <c r="P1735" i="3" s="1"/>
  <c r="M1736" i="3"/>
  <c r="O1736" i="3" s="1"/>
  <c r="P1736" i="3" s="1"/>
  <c r="M1737" i="3"/>
  <c r="O1737" i="3" s="1"/>
  <c r="P1737" i="3" s="1"/>
  <c r="M1738" i="3"/>
  <c r="O1738" i="3" s="1"/>
  <c r="P1738" i="3" s="1"/>
  <c r="M1739" i="3"/>
  <c r="O1739" i="3" s="1"/>
  <c r="P1739" i="3" s="1"/>
  <c r="M1740" i="3"/>
  <c r="O1740" i="3" s="1"/>
  <c r="P1740" i="3" s="1"/>
  <c r="M1741" i="3"/>
  <c r="O1741" i="3" s="1"/>
  <c r="P1741" i="3" s="1"/>
  <c r="M1742" i="3"/>
  <c r="O1742" i="3" s="1"/>
  <c r="P1742" i="3" s="1"/>
  <c r="M1743" i="3"/>
  <c r="O1743" i="3" s="1"/>
  <c r="P1743" i="3" s="1"/>
  <c r="M1744" i="3"/>
  <c r="O1744" i="3" s="1"/>
  <c r="P1744" i="3" s="1"/>
  <c r="M1745" i="3"/>
  <c r="O1745" i="3" s="1"/>
  <c r="P1745" i="3" s="1"/>
  <c r="M1746" i="3"/>
  <c r="O1746" i="3" s="1"/>
  <c r="P1746" i="3" s="1"/>
  <c r="M1747" i="3"/>
  <c r="O1747" i="3" s="1"/>
  <c r="P1747" i="3" s="1"/>
  <c r="M1748" i="3"/>
  <c r="O1748" i="3" s="1"/>
  <c r="P1748" i="3" s="1"/>
  <c r="M1749" i="3"/>
  <c r="O1749" i="3" s="1"/>
  <c r="P1749" i="3" s="1"/>
  <c r="M1750" i="3"/>
  <c r="O1750" i="3" s="1"/>
  <c r="P1750" i="3" s="1"/>
  <c r="M1751" i="3"/>
  <c r="O1751" i="3" s="1"/>
  <c r="P1751" i="3" s="1"/>
  <c r="M1752" i="3"/>
  <c r="O1752" i="3" s="1"/>
  <c r="P1752" i="3" s="1"/>
  <c r="M1753" i="3"/>
  <c r="O1753" i="3" s="1"/>
  <c r="P1753" i="3" s="1"/>
  <c r="M1754" i="3"/>
  <c r="O1754" i="3" s="1"/>
  <c r="P1754" i="3" s="1"/>
  <c r="M1755" i="3"/>
  <c r="O1755" i="3" s="1"/>
  <c r="P1755" i="3" s="1"/>
  <c r="M1756" i="3"/>
  <c r="O1756" i="3" s="1"/>
  <c r="P1756" i="3" s="1"/>
  <c r="M1757" i="3"/>
  <c r="O1757" i="3" s="1"/>
  <c r="P1757" i="3" s="1"/>
  <c r="M1758" i="3"/>
  <c r="O1758" i="3" s="1"/>
  <c r="P1758" i="3" s="1"/>
  <c r="M1759" i="3"/>
  <c r="O1759" i="3" s="1"/>
  <c r="P1759" i="3" s="1"/>
  <c r="M1760" i="3"/>
  <c r="O1760" i="3" s="1"/>
  <c r="P1760" i="3" s="1"/>
  <c r="M1761" i="3"/>
  <c r="O1761" i="3" s="1"/>
  <c r="P1761" i="3" s="1"/>
  <c r="M1762" i="3"/>
  <c r="O1762" i="3" s="1"/>
  <c r="P1762" i="3" s="1"/>
  <c r="M1763" i="3"/>
  <c r="O1763" i="3" s="1"/>
  <c r="P1763" i="3" s="1"/>
  <c r="M1764" i="3"/>
  <c r="O1764" i="3" s="1"/>
  <c r="P1764" i="3" s="1"/>
  <c r="M1765" i="3"/>
  <c r="O1765" i="3" s="1"/>
  <c r="P1765" i="3" s="1"/>
  <c r="M1766" i="3"/>
  <c r="O1766" i="3" s="1"/>
  <c r="P1766" i="3" s="1"/>
  <c r="M1767" i="3"/>
  <c r="O1767" i="3" s="1"/>
  <c r="P1767" i="3" s="1"/>
  <c r="M1768" i="3"/>
  <c r="O1768" i="3" s="1"/>
  <c r="P1768" i="3" s="1"/>
  <c r="M1769" i="3"/>
  <c r="O1769" i="3" s="1"/>
  <c r="P1769" i="3" s="1"/>
  <c r="M1770" i="3"/>
  <c r="O1770" i="3" s="1"/>
  <c r="P1770" i="3" s="1"/>
  <c r="M1771" i="3"/>
  <c r="O1771" i="3" s="1"/>
  <c r="P1771" i="3" s="1"/>
  <c r="M1772" i="3"/>
  <c r="O1772" i="3" s="1"/>
  <c r="P1772" i="3" s="1"/>
  <c r="M1773" i="3"/>
  <c r="O1773" i="3" s="1"/>
  <c r="P1773" i="3" s="1"/>
  <c r="M1774" i="3"/>
  <c r="O1774" i="3" s="1"/>
  <c r="P1774" i="3" s="1"/>
  <c r="M1775" i="3"/>
  <c r="O1775" i="3" s="1"/>
  <c r="P1775" i="3" s="1"/>
  <c r="M1776" i="3"/>
  <c r="O1776" i="3" s="1"/>
  <c r="P1776" i="3" s="1"/>
  <c r="M1777" i="3"/>
  <c r="O1777" i="3" s="1"/>
  <c r="P1777" i="3" s="1"/>
  <c r="M1778" i="3"/>
  <c r="O1778" i="3" s="1"/>
  <c r="P1778" i="3" s="1"/>
  <c r="M1779" i="3"/>
  <c r="O1779" i="3" s="1"/>
  <c r="P1779" i="3" s="1"/>
  <c r="M1780" i="3"/>
  <c r="O1780" i="3" s="1"/>
  <c r="P1780" i="3" s="1"/>
  <c r="M1781" i="3"/>
  <c r="O1781" i="3" s="1"/>
  <c r="P1781" i="3" s="1"/>
  <c r="M1782" i="3"/>
  <c r="O1782" i="3" s="1"/>
  <c r="P1782" i="3" s="1"/>
  <c r="M1783" i="3"/>
  <c r="O1783" i="3" s="1"/>
  <c r="P1783" i="3" s="1"/>
  <c r="M1784" i="3"/>
  <c r="O1784" i="3" s="1"/>
  <c r="P1784" i="3" s="1"/>
  <c r="M1785" i="3"/>
  <c r="O1785" i="3" s="1"/>
  <c r="P1785" i="3" s="1"/>
  <c r="M1786" i="3"/>
  <c r="O1786" i="3" s="1"/>
  <c r="P1786" i="3" s="1"/>
  <c r="M1787" i="3"/>
  <c r="O1787" i="3" s="1"/>
  <c r="P1787" i="3" s="1"/>
  <c r="M1788" i="3"/>
  <c r="O1788" i="3" s="1"/>
  <c r="P1788" i="3" s="1"/>
  <c r="M1789" i="3"/>
  <c r="O1789" i="3" s="1"/>
  <c r="P1789" i="3" s="1"/>
  <c r="M1790" i="3"/>
  <c r="O1790" i="3" s="1"/>
  <c r="P1790" i="3" s="1"/>
  <c r="M1791" i="3"/>
  <c r="O1791" i="3" s="1"/>
  <c r="P1791" i="3" s="1"/>
  <c r="M1792" i="3"/>
  <c r="O1792" i="3" s="1"/>
  <c r="P1792" i="3" s="1"/>
  <c r="M1793" i="3"/>
  <c r="O1793" i="3" s="1"/>
  <c r="P1793" i="3" s="1"/>
  <c r="M1794" i="3"/>
  <c r="O1794" i="3" s="1"/>
  <c r="P1794" i="3" s="1"/>
  <c r="M1795" i="3"/>
  <c r="O1795" i="3" s="1"/>
  <c r="P1795" i="3" s="1"/>
  <c r="M1796" i="3"/>
  <c r="O1796" i="3" s="1"/>
  <c r="P1796" i="3" s="1"/>
  <c r="M1797" i="3"/>
  <c r="O1797" i="3" s="1"/>
  <c r="P1797" i="3" s="1"/>
  <c r="M1798" i="3"/>
  <c r="O1798" i="3" s="1"/>
  <c r="P1798" i="3" s="1"/>
  <c r="M1799" i="3"/>
  <c r="O1799" i="3" s="1"/>
  <c r="P1799" i="3" s="1"/>
  <c r="M1800" i="3"/>
  <c r="O1800" i="3" s="1"/>
  <c r="P1800" i="3" s="1"/>
  <c r="M1801" i="3"/>
  <c r="O1801" i="3" s="1"/>
  <c r="P1801" i="3" s="1"/>
  <c r="M1802" i="3"/>
  <c r="O1802" i="3" s="1"/>
  <c r="P1802" i="3" s="1"/>
  <c r="M1803" i="3"/>
  <c r="O1803" i="3" s="1"/>
  <c r="P1803" i="3" s="1"/>
  <c r="M1804" i="3"/>
  <c r="O1804" i="3" s="1"/>
  <c r="P1804" i="3" s="1"/>
  <c r="M1805" i="3"/>
  <c r="O1805" i="3" s="1"/>
  <c r="P1805" i="3" s="1"/>
  <c r="M1806" i="3"/>
  <c r="O1806" i="3" s="1"/>
  <c r="P1806" i="3" s="1"/>
  <c r="M1807" i="3"/>
  <c r="O1807" i="3" s="1"/>
  <c r="P1807" i="3" s="1"/>
  <c r="M1808" i="3"/>
  <c r="O1808" i="3" s="1"/>
  <c r="P1808" i="3" s="1"/>
  <c r="M1809" i="3"/>
  <c r="O1809" i="3" s="1"/>
  <c r="P1809" i="3" s="1"/>
  <c r="M1810" i="3"/>
  <c r="O1810" i="3" s="1"/>
  <c r="P1810" i="3" s="1"/>
  <c r="M1811" i="3"/>
  <c r="O1811" i="3" s="1"/>
  <c r="P1811" i="3" s="1"/>
  <c r="M1812" i="3"/>
  <c r="O1812" i="3" s="1"/>
  <c r="P1812" i="3" s="1"/>
  <c r="M1813" i="3"/>
  <c r="O1813" i="3" s="1"/>
  <c r="P1813" i="3" s="1"/>
  <c r="M1814" i="3"/>
  <c r="O1814" i="3" s="1"/>
  <c r="P1814" i="3" s="1"/>
  <c r="M1815" i="3"/>
  <c r="O1815" i="3" s="1"/>
  <c r="P1815" i="3" s="1"/>
  <c r="M1816" i="3"/>
  <c r="O1816" i="3" s="1"/>
  <c r="P1816" i="3" s="1"/>
  <c r="M1817" i="3"/>
  <c r="O1817" i="3" s="1"/>
  <c r="P1817" i="3" s="1"/>
  <c r="M1818" i="3"/>
  <c r="O1818" i="3" s="1"/>
  <c r="P1818" i="3" s="1"/>
  <c r="M1819" i="3"/>
  <c r="O1819" i="3" s="1"/>
  <c r="P1819" i="3" s="1"/>
  <c r="M1820" i="3"/>
  <c r="O1820" i="3" s="1"/>
  <c r="P1820" i="3" s="1"/>
  <c r="M1821" i="3"/>
  <c r="O1821" i="3" s="1"/>
  <c r="P1821" i="3" s="1"/>
  <c r="M1822" i="3"/>
  <c r="O1822" i="3" s="1"/>
  <c r="P1822" i="3" s="1"/>
  <c r="M1823" i="3"/>
  <c r="O1823" i="3" s="1"/>
  <c r="P1823" i="3" s="1"/>
  <c r="M1824" i="3"/>
  <c r="O1824" i="3" s="1"/>
  <c r="P1824" i="3" s="1"/>
  <c r="M1825" i="3"/>
  <c r="O1825" i="3" s="1"/>
  <c r="P1825" i="3" s="1"/>
  <c r="M1826" i="3"/>
  <c r="O1826" i="3" s="1"/>
  <c r="P1826" i="3" s="1"/>
  <c r="M1827" i="3"/>
  <c r="O1827" i="3" s="1"/>
  <c r="P1827" i="3" s="1"/>
  <c r="M1828" i="3"/>
  <c r="O1828" i="3" s="1"/>
  <c r="P1828" i="3" s="1"/>
  <c r="M1829" i="3"/>
  <c r="O1829" i="3" s="1"/>
  <c r="P1829" i="3" s="1"/>
  <c r="M1830" i="3"/>
  <c r="O1830" i="3" s="1"/>
  <c r="P1830" i="3" s="1"/>
  <c r="M1831" i="3"/>
  <c r="O1831" i="3" s="1"/>
  <c r="P1831" i="3" s="1"/>
  <c r="M1832" i="3"/>
  <c r="O1832" i="3" s="1"/>
  <c r="P1832" i="3" s="1"/>
  <c r="M1833" i="3"/>
  <c r="O1833" i="3" s="1"/>
  <c r="P1833" i="3" s="1"/>
  <c r="M1834" i="3"/>
  <c r="O1834" i="3" s="1"/>
  <c r="P1834" i="3" s="1"/>
  <c r="M1835" i="3"/>
  <c r="O1835" i="3" s="1"/>
  <c r="P1835" i="3" s="1"/>
  <c r="M1836" i="3"/>
  <c r="O1836" i="3" s="1"/>
  <c r="P1836" i="3" s="1"/>
  <c r="M1837" i="3"/>
  <c r="O1837" i="3" s="1"/>
  <c r="P1837" i="3" s="1"/>
  <c r="M1838" i="3"/>
  <c r="O1838" i="3" s="1"/>
  <c r="P1838" i="3" s="1"/>
  <c r="M1839" i="3"/>
  <c r="O1839" i="3" s="1"/>
  <c r="P1839" i="3" s="1"/>
  <c r="M1840" i="3"/>
  <c r="O1840" i="3" s="1"/>
  <c r="P1840" i="3" s="1"/>
  <c r="M1841" i="3"/>
  <c r="O1841" i="3" s="1"/>
  <c r="P1841" i="3" s="1"/>
  <c r="M1842" i="3"/>
  <c r="O1842" i="3" s="1"/>
  <c r="P1842" i="3" s="1"/>
  <c r="M1843" i="3"/>
  <c r="O1843" i="3" s="1"/>
  <c r="P1843" i="3" s="1"/>
  <c r="M1844" i="3"/>
  <c r="O1844" i="3" s="1"/>
  <c r="P1844" i="3" s="1"/>
  <c r="M1845" i="3"/>
  <c r="O1845" i="3" s="1"/>
  <c r="P1845" i="3" s="1"/>
  <c r="M1846" i="3"/>
  <c r="O1846" i="3" s="1"/>
  <c r="P1846" i="3" s="1"/>
  <c r="M1847" i="3"/>
  <c r="O1847" i="3" s="1"/>
  <c r="P1847" i="3" s="1"/>
  <c r="M1848" i="3"/>
  <c r="O1848" i="3" s="1"/>
  <c r="P1848" i="3" s="1"/>
  <c r="M1849" i="3"/>
  <c r="O1849" i="3" s="1"/>
  <c r="P1849" i="3" s="1"/>
  <c r="M1850" i="3"/>
  <c r="O1850" i="3" s="1"/>
  <c r="P1850" i="3" s="1"/>
  <c r="M1851" i="3"/>
  <c r="O1851" i="3" s="1"/>
  <c r="P1851" i="3" s="1"/>
  <c r="M1852" i="3"/>
  <c r="O1852" i="3" s="1"/>
  <c r="P1852" i="3" s="1"/>
  <c r="M1853" i="3"/>
  <c r="O1853" i="3" s="1"/>
  <c r="P1853" i="3" s="1"/>
  <c r="M1854" i="3"/>
  <c r="O1854" i="3" s="1"/>
  <c r="P1854" i="3" s="1"/>
  <c r="M1855" i="3"/>
  <c r="O1855" i="3" s="1"/>
  <c r="P1855" i="3" s="1"/>
  <c r="M1856" i="3"/>
  <c r="O1856" i="3" s="1"/>
  <c r="P1856" i="3" s="1"/>
  <c r="M1857" i="3"/>
  <c r="O1857" i="3" s="1"/>
  <c r="P1857" i="3" s="1"/>
  <c r="M1858" i="3"/>
  <c r="O1858" i="3" s="1"/>
  <c r="P1858" i="3" s="1"/>
  <c r="M1859" i="3"/>
  <c r="O1859" i="3" s="1"/>
  <c r="P1859" i="3" s="1"/>
  <c r="M1860" i="3"/>
  <c r="O1860" i="3" s="1"/>
  <c r="P1860" i="3" s="1"/>
  <c r="M1861" i="3"/>
  <c r="O1861" i="3" s="1"/>
  <c r="P1861" i="3" s="1"/>
  <c r="M1862" i="3"/>
  <c r="O1862" i="3" s="1"/>
  <c r="P1862" i="3" s="1"/>
  <c r="M1863" i="3"/>
  <c r="O1863" i="3" s="1"/>
  <c r="P1863" i="3" s="1"/>
  <c r="M1864" i="3"/>
  <c r="O1864" i="3" s="1"/>
  <c r="P1864" i="3" s="1"/>
  <c r="M1865" i="3"/>
  <c r="O1865" i="3" s="1"/>
  <c r="P1865" i="3" s="1"/>
  <c r="M1866" i="3"/>
  <c r="O1866" i="3" s="1"/>
  <c r="P1866" i="3" s="1"/>
  <c r="M1867" i="3"/>
  <c r="O1867" i="3" s="1"/>
  <c r="P1867" i="3" s="1"/>
  <c r="M1868" i="3"/>
  <c r="O1868" i="3" s="1"/>
  <c r="P1868" i="3" s="1"/>
  <c r="M1869" i="3"/>
  <c r="O1869" i="3" s="1"/>
  <c r="P1869" i="3" s="1"/>
  <c r="M1870" i="3"/>
  <c r="O1870" i="3" s="1"/>
  <c r="P1870" i="3" s="1"/>
  <c r="M1871" i="3"/>
  <c r="O1871" i="3" s="1"/>
  <c r="P1871" i="3" s="1"/>
  <c r="M1872" i="3"/>
  <c r="O1872" i="3" s="1"/>
  <c r="P1872" i="3" s="1"/>
  <c r="M1873" i="3"/>
  <c r="O1873" i="3" s="1"/>
  <c r="P1873" i="3" s="1"/>
  <c r="M1874" i="3"/>
  <c r="O1874" i="3" s="1"/>
  <c r="P1874" i="3" s="1"/>
  <c r="M1875" i="3"/>
  <c r="O1875" i="3" s="1"/>
  <c r="P1875" i="3" s="1"/>
  <c r="M1876" i="3"/>
  <c r="O1876" i="3" s="1"/>
  <c r="P1876" i="3" s="1"/>
  <c r="M1877" i="3"/>
  <c r="O1877" i="3" s="1"/>
  <c r="P1877" i="3" s="1"/>
  <c r="M1878" i="3"/>
  <c r="O1878" i="3" s="1"/>
  <c r="P1878" i="3" s="1"/>
  <c r="M1879" i="3"/>
  <c r="O1879" i="3" s="1"/>
  <c r="P1879" i="3" s="1"/>
  <c r="M1880" i="3"/>
  <c r="O1880" i="3" s="1"/>
  <c r="P1880" i="3" s="1"/>
  <c r="M1881" i="3"/>
  <c r="O1881" i="3" s="1"/>
  <c r="P1881" i="3" s="1"/>
  <c r="M1882" i="3"/>
  <c r="O1882" i="3" s="1"/>
  <c r="P1882" i="3" s="1"/>
  <c r="M1883" i="3"/>
  <c r="O1883" i="3" s="1"/>
  <c r="P1883" i="3" s="1"/>
  <c r="M1884" i="3"/>
  <c r="O1884" i="3" s="1"/>
  <c r="P1884" i="3" s="1"/>
  <c r="M1885" i="3"/>
  <c r="O1885" i="3" s="1"/>
  <c r="P1885" i="3" s="1"/>
  <c r="M1886" i="3"/>
  <c r="O1886" i="3" s="1"/>
  <c r="P1886" i="3" s="1"/>
  <c r="M1887" i="3"/>
  <c r="O1887" i="3" s="1"/>
  <c r="P1887" i="3" s="1"/>
  <c r="M1888" i="3"/>
  <c r="O1888" i="3" s="1"/>
  <c r="P1888" i="3" s="1"/>
  <c r="M1889" i="3"/>
  <c r="O1889" i="3" s="1"/>
  <c r="P1889" i="3" s="1"/>
  <c r="M1890" i="3"/>
  <c r="O1890" i="3" s="1"/>
  <c r="P1890" i="3" s="1"/>
  <c r="M1891" i="3"/>
  <c r="O1891" i="3" s="1"/>
  <c r="P1891" i="3" s="1"/>
  <c r="M1892" i="3"/>
  <c r="O1892" i="3" s="1"/>
  <c r="P1892" i="3" s="1"/>
  <c r="M1893" i="3"/>
  <c r="O1893" i="3" s="1"/>
  <c r="P1893" i="3" s="1"/>
  <c r="M1894" i="3"/>
  <c r="O1894" i="3" s="1"/>
  <c r="P1894" i="3" s="1"/>
  <c r="M1895" i="3"/>
  <c r="O1895" i="3" s="1"/>
  <c r="P1895" i="3" s="1"/>
  <c r="M1896" i="3"/>
  <c r="O1896" i="3" s="1"/>
  <c r="P1896" i="3" s="1"/>
  <c r="M1897" i="3"/>
  <c r="O1897" i="3" s="1"/>
  <c r="P1897" i="3" s="1"/>
  <c r="M1898" i="3"/>
  <c r="O1898" i="3" s="1"/>
  <c r="P1898" i="3" s="1"/>
  <c r="M1899" i="3"/>
  <c r="O1899" i="3" s="1"/>
  <c r="P1899" i="3" s="1"/>
  <c r="M1900" i="3"/>
  <c r="O1900" i="3" s="1"/>
  <c r="P1900" i="3" s="1"/>
  <c r="M1901" i="3"/>
  <c r="O1901" i="3" s="1"/>
  <c r="P1901" i="3" s="1"/>
  <c r="M1902" i="3"/>
  <c r="O1902" i="3" s="1"/>
  <c r="P1902" i="3" s="1"/>
  <c r="M1903" i="3"/>
  <c r="O1903" i="3" s="1"/>
  <c r="P1903" i="3" s="1"/>
  <c r="M1904" i="3"/>
  <c r="O1904" i="3" s="1"/>
  <c r="P1904" i="3" s="1"/>
  <c r="M1905" i="3"/>
  <c r="O1905" i="3" s="1"/>
  <c r="P1905" i="3" s="1"/>
  <c r="M1906" i="3"/>
  <c r="O1906" i="3" s="1"/>
  <c r="P1906" i="3" s="1"/>
  <c r="M1907" i="3"/>
  <c r="O1907" i="3" s="1"/>
  <c r="P1907" i="3" s="1"/>
  <c r="M1908" i="3"/>
  <c r="O1908" i="3" s="1"/>
  <c r="P1908" i="3" s="1"/>
  <c r="M1909" i="3"/>
  <c r="O1909" i="3" s="1"/>
  <c r="P1909" i="3" s="1"/>
  <c r="M1910" i="3"/>
  <c r="O1910" i="3" s="1"/>
  <c r="P1910" i="3" s="1"/>
  <c r="M1911" i="3"/>
  <c r="O1911" i="3" s="1"/>
  <c r="P1911" i="3" s="1"/>
  <c r="M1912" i="3"/>
  <c r="O1912" i="3" s="1"/>
  <c r="P1912" i="3" s="1"/>
  <c r="M1913" i="3"/>
  <c r="O1913" i="3" s="1"/>
  <c r="P1913" i="3" s="1"/>
  <c r="M1914" i="3"/>
  <c r="O1914" i="3" s="1"/>
  <c r="P1914" i="3" s="1"/>
  <c r="M1915" i="3"/>
  <c r="O1915" i="3" s="1"/>
  <c r="P1915" i="3" s="1"/>
  <c r="M1916" i="3"/>
  <c r="O1916" i="3" s="1"/>
  <c r="P1916" i="3" s="1"/>
  <c r="M1917" i="3"/>
  <c r="O1917" i="3" s="1"/>
  <c r="P1917" i="3" s="1"/>
  <c r="M1918" i="3"/>
  <c r="O1918" i="3" s="1"/>
  <c r="P1918" i="3" s="1"/>
  <c r="M1919" i="3"/>
  <c r="O1919" i="3" s="1"/>
  <c r="P1919" i="3" s="1"/>
  <c r="M1920" i="3"/>
  <c r="O1920" i="3" s="1"/>
  <c r="P1920" i="3" s="1"/>
  <c r="M1921" i="3"/>
  <c r="O1921" i="3" s="1"/>
  <c r="P1921" i="3" s="1"/>
  <c r="M1922" i="3"/>
  <c r="O1922" i="3" s="1"/>
  <c r="P1922" i="3" s="1"/>
  <c r="M1923" i="3"/>
  <c r="O1923" i="3" s="1"/>
  <c r="P1923" i="3" s="1"/>
  <c r="M1924" i="3"/>
  <c r="O1924" i="3" s="1"/>
  <c r="P1924" i="3" s="1"/>
  <c r="M1925" i="3"/>
  <c r="O1925" i="3" s="1"/>
  <c r="P1925" i="3" s="1"/>
  <c r="M1926" i="3"/>
  <c r="O1926" i="3" s="1"/>
  <c r="P1926" i="3" s="1"/>
  <c r="M1927" i="3"/>
  <c r="O1927" i="3" s="1"/>
  <c r="P1927" i="3" s="1"/>
  <c r="M1928" i="3"/>
  <c r="O1928" i="3" s="1"/>
  <c r="P1928" i="3" s="1"/>
  <c r="M1929" i="3"/>
  <c r="O1929" i="3" s="1"/>
  <c r="P1929" i="3" s="1"/>
  <c r="M1930" i="3"/>
  <c r="O1930" i="3" s="1"/>
  <c r="P1930" i="3" s="1"/>
  <c r="M1931" i="3"/>
  <c r="O1931" i="3" s="1"/>
  <c r="P1931" i="3" s="1"/>
  <c r="M1932" i="3"/>
  <c r="O1932" i="3" s="1"/>
  <c r="P1932" i="3" s="1"/>
  <c r="M1933" i="3"/>
  <c r="O1933" i="3" s="1"/>
  <c r="P1933" i="3" s="1"/>
  <c r="M1934" i="3"/>
  <c r="O1934" i="3" s="1"/>
  <c r="P1934" i="3" s="1"/>
  <c r="M1935" i="3"/>
  <c r="O1935" i="3" s="1"/>
  <c r="P1935" i="3" s="1"/>
  <c r="M1936" i="3"/>
  <c r="O1936" i="3" s="1"/>
  <c r="P1936" i="3" s="1"/>
  <c r="M1937" i="3"/>
  <c r="O1937" i="3" s="1"/>
  <c r="P1937" i="3" s="1"/>
  <c r="M1938" i="3"/>
  <c r="O1938" i="3" s="1"/>
  <c r="P1938" i="3" s="1"/>
  <c r="M1939" i="3"/>
  <c r="O1939" i="3" s="1"/>
  <c r="P1939" i="3" s="1"/>
  <c r="M1940" i="3"/>
  <c r="O1940" i="3" s="1"/>
  <c r="P1940" i="3" s="1"/>
  <c r="M1941" i="3"/>
  <c r="O1941" i="3" s="1"/>
  <c r="P1941" i="3" s="1"/>
  <c r="M1942" i="3"/>
  <c r="O1942" i="3" s="1"/>
  <c r="P1942" i="3" s="1"/>
  <c r="M1943" i="3"/>
  <c r="O1943" i="3" s="1"/>
  <c r="P1943" i="3" s="1"/>
  <c r="M1944" i="3"/>
  <c r="O1944" i="3" s="1"/>
  <c r="P1944" i="3" s="1"/>
  <c r="M1945" i="3"/>
  <c r="O1945" i="3" s="1"/>
  <c r="P1945" i="3" s="1"/>
  <c r="M1946" i="3"/>
  <c r="O1946" i="3" s="1"/>
  <c r="P1946" i="3" s="1"/>
  <c r="M1947" i="3"/>
  <c r="O1947" i="3" s="1"/>
  <c r="P1947" i="3" s="1"/>
  <c r="M1948" i="3"/>
  <c r="O1948" i="3" s="1"/>
  <c r="P1948" i="3" s="1"/>
  <c r="M1949" i="3"/>
  <c r="O1949" i="3" s="1"/>
  <c r="P1949" i="3" s="1"/>
  <c r="M1950" i="3"/>
  <c r="O1950" i="3" s="1"/>
  <c r="P1950" i="3" s="1"/>
  <c r="M1951" i="3"/>
  <c r="O1951" i="3" s="1"/>
  <c r="P1951" i="3" s="1"/>
  <c r="M1952" i="3"/>
  <c r="O1952" i="3" s="1"/>
  <c r="P1952" i="3" s="1"/>
  <c r="M1953" i="3"/>
  <c r="O1953" i="3" s="1"/>
  <c r="P1953" i="3" s="1"/>
  <c r="M1954" i="3"/>
  <c r="O1954" i="3" s="1"/>
  <c r="P1954" i="3" s="1"/>
  <c r="M1955" i="3"/>
  <c r="O1955" i="3" s="1"/>
  <c r="P1955" i="3" s="1"/>
  <c r="M1956" i="3"/>
  <c r="O1956" i="3" s="1"/>
  <c r="P1956" i="3" s="1"/>
  <c r="M1957" i="3"/>
  <c r="O1957" i="3" s="1"/>
  <c r="P1957" i="3" s="1"/>
  <c r="M1958" i="3"/>
  <c r="O1958" i="3" s="1"/>
  <c r="P1958" i="3" s="1"/>
  <c r="M1959" i="3"/>
  <c r="O1959" i="3" s="1"/>
  <c r="P1959" i="3" s="1"/>
  <c r="M1960" i="3"/>
  <c r="O1960" i="3" s="1"/>
  <c r="P1960" i="3" s="1"/>
  <c r="M1961" i="3"/>
  <c r="O1961" i="3" s="1"/>
  <c r="P1961" i="3" s="1"/>
  <c r="M1962" i="3"/>
  <c r="O1962" i="3" s="1"/>
  <c r="P1962" i="3" s="1"/>
  <c r="M1963" i="3"/>
  <c r="O1963" i="3" s="1"/>
  <c r="P1963" i="3" s="1"/>
  <c r="M1964" i="3"/>
  <c r="O1964" i="3" s="1"/>
  <c r="P1964" i="3" s="1"/>
  <c r="M1965" i="3"/>
  <c r="O1965" i="3" s="1"/>
  <c r="P1965" i="3" s="1"/>
  <c r="M1966" i="3"/>
  <c r="O1966" i="3" s="1"/>
  <c r="P1966" i="3" s="1"/>
  <c r="M1967" i="3"/>
  <c r="O1967" i="3" s="1"/>
  <c r="P1967" i="3" s="1"/>
  <c r="M1968" i="3"/>
  <c r="O1968" i="3" s="1"/>
  <c r="P1968" i="3" s="1"/>
  <c r="M1969" i="3"/>
  <c r="O1969" i="3" s="1"/>
  <c r="P1969" i="3" s="1"/>
  <c r="M1970" i="3"/>
  <c r="O1970" i="3" s="1"/>
  <c r="P1970" i="3" s="1"/>
  <c r="M1971" i="3"/>
  <c r="O1971" i="3" s="1"/>
  <c r="P1971" i="3" s="1"/>
  <c r="M1972" i="3"/>
  <c r="O1972" i="3" s="1"/>
  <c r="P1972" i="3" s="1"/>
  <c r="M1973" i="3"/>
  <c r="O1973" i="3" s="1"/>
  <c r="P1973" i="3" s="1"/>
  <c r="M1974" i="3"/>
  <c r="O1974" i="3" s="1"/>
  <c r="P1974" i="3" s="1"/>
  <c r="M1975" i="3"/>
  <c r="O1975" i="3" s="1"/>
  <c r="P1975" i="3" s="1"/>
  <c r="M1976" i="3"/>
  <c r="O1976" i="3" s="1"/>
  <c r="P1976" i="3" s="1"/>
  <c r="M1977" i="3"/>
  <c r="O1977" i="3" s="1"/>
  <c r="P1977" i="3" s="1"/>
  <c r="M1978" i="3"/>
  <c r="O1978" i="3" s="1"/>
  <c r="P1978" i="3" s="1"/>
  <c r="M1979" i="3"/>
  <c r="O1979" i="3" s="1"/>
  <c r="P1979" i="3" s="1"/>
  <c r="M1980" i="3"/>
  <c r="O1980" i="3" s="1"/>
  <c r="P1980" i="3" s="1"/>
  <c r="M1981" i="3"/>
  <c r="O1981" i="3" s="1"/>
  <c r="P1981" i="3" s="1"/>
  <c r="M1982" i="3"/>
  <c r="O1982" i="3" s="1"/>
  <c r="P1982" i="3" s="1"/>
  <c r="M1983" i="3"/>
  <c r="O1983" i="3" s="1"/>
  <c r="P1983" i="3" s="1"/>
  <c r="M1984" i="3"/>
  <c r="O1984" i="3" s="1"/>
  <c r="P1984" i="3" s="1"/>
  <c r="M1985" i="3"/>
  <c r="O1985" i="3" s="1"/>
  <c r="P1985" i="3" s="1"/>
  <c r="M1986" i="3"/>
  <c r="O1986" i="3" s="1"/>
  <c r="P1986" i="3" s="1"/>
  <c r="M1987" i="3"/>
  <c r="O1987" i="3" s="1"/>
  <c r="P1987" i="3" s="1"/>
  <c r="M1988" i="3"/>
  <c r="O1988" i="3" s="1"/>
  <c r="P1988" i="3" s="1"/>
  <c r="M1989" i="3"/>
  <c r="O1989" i="3" s="1"/>
  <c r="P1989" i="3" s="1"/>
  <c r="M1990" i="3"/>
  <c r="O1990" i="3" s="1"/>
  <c r="P1990" i="3" s="1"/>
  <c r="M1991" i="3"/>
  <c r="O1991" i="3" s="1"/>
  <c r="P1991" i="3" s="1"/>
  <c r="M1992" i="3"/>
  <c r="O1992" i="3" s="1"/>
  <c r="P1992" i="3" s="1"/>
  <c r="M1993" i="3"/>
  <c r="O1993" i="3" s="1"/>
  <c r="P1993" i="3" s="1"/>
  <c r="M1994" i="3"/>
  <c r="O1994" i="3" s="1"/>
  <c r="P1994" i="3" s="1"/>
  <c r="M1995" i="3"/>
  <c r="O1995" i="3" s="1"/>
  <c r="P1995" i="3" s="1"/>
  <c r="M1996" i="3"/>
  <c r="O1996" i="3" s="1"/>
  <c r="P1996" i="3" s="1"/>
  <c r="M1997" i="3"/>
  <c r="O1997" i="3" s="1"/>
  <c r="P1997" i="3" s="1"/>
  <c r="M1998" i="3"/>
  <c r="O1998" i="3" s="1"/>
  <c r="P1998" i="3" s="1"/>
  <c r="M1999" i="3"/>
  <c r="O1999" i="3" s="1"/>
  <c r="P1999" i="3" s="1"/>
  <c r="M2000" i="3"/>
  <c r="O2000" i="3" s="1"/>
  <c r="P2000" i="3" s="1"/>
  <c r="M2001" i="3"/>
  <c r="O2001" i="3" s="1"/>
  <c r="P2001" i="3" s="1"/>
  <c r="M2002" i="3"/>
  <c r="O2002" i="3" s="1"/>
  <c r="P2002" i="3" s="1"/>
  <c r="M2003" i="3"/>
  <c r="O2003" i="3" s="1"/>
  <c r="P2003" i="3" s="1"/>
  <c r="M2004" i="3"/>
  <c r="O2004" i="3" s="1"/>
  <c r="P2004" i="3" s="1"/>
  <c r="M2005" i="3"/>
  <c r="O2005" i="3" s="1"/>
  <c r="P2005" i="3" s="1"/>
  <c r="M2006" i="3"/>
  <c r="O2006" i="3" s="1"/>
  <c r="P2006" i="3" s="1"/>
  <c r="M2007" i="3"/>
  <c r="O2007" i="3" s="1"/>
  <c r="P2007" i="3" s="1"/>
  <c r="M2008" i="3"/>
  <c r="O2008" i="3" s="1"/>
  <c r="P2008" i="3" s="1"/>
  <c r="M2009" i="3"/>
  <c r="O2009" i="3" s="1"/>
  <c r="P2009" i="3" s="1"/>
  <c r="M2010" i="3"/>
  <c r="O2010" i="3" s="1"/>
  <c r="P2010" i="3" s="1"/>
  <c r="M2011" i="3"/>
  <c r="O2011" i="3" s="1"/>
  <c r="P2011" i="3" s="1"/>
  <c r="M2012" i="3"/>
  <c r="O2012" i="3" s="1"/>
  <c r="P2012" i="3" s="1"/>
  <c r="M2013" i="3"/>
  <c r="O2013" i="3" s="1"/>
  <c r="P2013" i="3" s="1"/>
  <c r="M2014" i="3"/>
  <c r="O2014" i="3" s="1"/>
  <c r="P2014" i="3" s="1"/>
  <c r="M2015" i="3"/>
  <c r="O2015" i="3" s="1"/>
  <c r="P2015" i="3" s="1"/>
  <c r="M2016" i="3"/>
  <c r="O2016" i="3" s="1"/>
  <c r="P2016" i="3" s="1"/>
  <c r="M2017" i="3"/>
  <c r="O2017" i="3" s="1"/>
  <c r="P2017" i="3" s="1"/>
  <c r="M2018" i="3"/>
  <c r="O2018" i="3" s="1"/>
  <c r="P2018" i="3" s="1"/>
  <c r="M2019" i="3"/>
  <c r="O2019" i="3" s="1"/>
  <c r="P2019" i="3" s="1"/>
  <c r="M2020" i="3"/>
  <c r="O2020" i="3" s="1"/>
  <c r="P2020" i="3" s="1"/>
  <c r="M2021" i="3"/>
  <c r="O2021" i="3" s="1"/>
  <c r="P2021" i="3" s="1"/>
  <c r="M2022" i="3"/>
  <c r="O2022" i="3" s="1"/>
  <c r="P2022" i="3" s="1"/>
  <c r="M2023" i="3"/>
  <c r="O2023" i="3" s="1"/>
  <c r="P2023" i="3" s="1"/>
  <c r="M2024" i="3"/>
  <c r="O2024" i="3" s="1"/>
  <c r="P2024" i="3" s="1"/>
  <c r="M2025" i="3"/>
  <c r="O2025" i="3" s="1"/>
  <c r="P2025" i="3" s="1"/>
  <c r="M2026" i="3"/>
  <c r="O2026" i="3" s="1"/>
  <c r="P2026" i="3" s="1"/>
  <c r="M2027" i="3"/>
  <c r="O2027" i="3" s="1"/>
  <c r="P2027" i="3" s="1"/>
  <c r="M2028" i="3"/>
  <c r="O2028" i="3" s="1"/>
  <c r="P2028" i="3" s="1"/>
  <c r="M2029" i="3"/>
  <c r="O2029" i="3" s="1"/>
  <c r="P2029" i="3" s="1"/>
  <c r="M2030" i="3"/>
  <c r="O2030" i="3" s="1"/>
  <c r="P2030" i="3" s="1"/>
  <c r="M2031" i="3"/>
  <c r="O2031" i="3" s="1"/>
  <c r="P2031" i="3" s="1"/>
  <c r="M2032" i="3"/>
  <c r="O2032" i="3" s="1"/>
  <c r="P2032" i="3" s="1"/>
  <c r="M2033" i="3"/>
  <c r="O2033" i="3" s="1"/>
  <c r="P2033" i="3" s="1"/>
  <c r="M2034" i="3"/>
  <c r="O2034" i="3" s="1"/>
  <c r="P2034" i="3" s="1"/>
  <c r="M2035" i="3"/>
  <c r="O2035" i="3" s="1"/>
  <c r="P2035" i="3" s="1"/>
  <c r="M2036" i="3"/>
  <c r="O2036" i="3" s="1"/>
  <c r="P2036" i="3" s="1"/>
  <c r="M2037" i="3"/>
  <c r="O2037" i="3" s="1"/>
  <c r="P2037" i="3" s="1"/>
  <c r="M2038" i="3"/>
  <c r="O2038" i="3" s="1"/>
  <c r="P2038" i="3" s="1"/>
  <c r="M2039" i="3"/>
  <c r="O2039" i="3" s="1"/>
  <c r="P2039" i="3" s="1"/>
  <c r="M2040" i="3"/>
  <c r="O2040" i="3" s="1"/>
  <c r="P2040" i="3" s="1"/>
  <c r="M2041" i="3"/>
  <c r="O2041" i="3" s="1"/>
  <c r="P2041" i="3" s="1"/>
  <c r="M2042" i="3"/>
  <c r="O2042" i="3" s="1"/>
  <c r="P2042" i="3" s="1"/>
  <c r="M2043" i="3"/>
  <c r="O2043" i="3" s="1"/>
  <c r="P2043" i="3" s="1"/>
  <c r="M2044" i="3"/>
  <c r="O2044" i="3" s="1"/>
  <c r="P2044" i="3" s="1"/>
  <c r="M2045" i="3"/>
  <c r="O2045" i="3" s="1"/>
  <c r="P2045" i="3" s="1"/>
  <c r="M2046" i="3"/>
  <c r="O2046" i="3" s="1"/>
  <c r="P2046" i="3" s="1"/>
  <c r="M2047" i="3"/>
  <c r="O2047" i="3" s="1"/>
  <c r="P2047" i="3" s="1"/>
  <c r="M2048" i="3"/>
  <c r="O2048" i="3" s="1"/>
  <c r="P2048" i="3" s="1"/>
  <c r="M2049" i="3"/>
  <c r="O2049" i="3" s="1"/>
  <c r="P2049" i="3" s="1"/>
  <c r="M2050" i="3"/>
  <c r="O2050" i="3" s="1"/>
  <c r="P2050" i="3" s="1"/>
  <c r="M2051" i="3"/>
  <c r="O2051" i="3" s="1"/>
  <c r="P2051" i="3" s="1"/>
  <c r="M2052" i="3"/>
  <c r="O2052" i="3" s="1"/>
  <c r="P2052" i="3" s="1"/>
  <c r="M2053" i="3"/>
  <c r="O2053" i="3" s="1"/>
  <c r="P2053" i="3" s="1"/>
  <c r="M2054" i="3"/>
  <c r="O2054" i="3" s="1"/>
  <c r="P2054" i="3" s="1"/>
  <c r="M2055" i="3"/>
  <c r="O2055" i="3" s="1"/>
  <c r="P2055" i="3" s="1"/>
  <c r="M2056" i="3"/>
  <c r="O2056" i="3" s="1"/>
  <c r="P2056" i="3" s="1"/>
  <c r="M2057" i="3"/>
  <c r="O2057" i="3" s="1"/>
  <c r="P2057" i="3" s="1"/>
  <c r="M2058" i="3"/>
  <c r="O2058" i="3" s="1"/>
  <c r="P2058" i="3" s="1"/>
  <c r="M2059" i="3"/>
  <c r="O2059" i="3" s="1"/>
  <c r="P2059" i="3" s="1"/>
  <c r="M2060" i="3"/>
  <c r="O2060" i="3" s="1"/>
  <c r="P2060" i="3" s="1"/>
  <c r="M2061" i="3"/>
  <c r="O2061" i="3" s="1"/>
  <c r="P2061" i="3" s="1"/>
  <c r="M2062" i="3"/>
  <c r="O2062" i="3" s="1"/>
  <c r="P2062" i="3" s="1"/>
  <c r="M2063" i="3"/>
  <c r="O2063" i="3" s="1"/>
  <c r="P2063" i="3" s="1"/>
  <c r="M2064" i="3"/>
  <c r="O2064" i="3" s="1"/>
  <c r="P2064" i="3" s="1"/>
  <c r="M2065" i="3"/>
  <c r="O2065" i="3" s="1"/>
  <c r="P2065" i="3" s="1"/>
  <c r="M2066" i="3"/>
  <c r="O2066" i="3" s="1"/>
  <c r="P2066" i="3" s="1"/>
  <c r="M2067" i="3"/>
  <c r="O2067" i="3" s="1"/>
  <c r="P2067" i="3" s="1"/>
  <c r="M2068" i="3"/>
  <c r="O2068" i="3" s="1"/>
  <c r="P2068" i="3" s="1"/>
  <c r="M2069" i="3"/>
  <c r="O2069" i="3" s="1"/>
  <c r="P2069" i="3" s="1"/>
  <c r="M2070" i="3"/>
  <c r="O2070" i="3" s="1"/>
  <c r="P2070" i="3" s="1"/>
  <c r="M2071" i="3"/>
  <c r="O2071" i="3" s="1"/>
  <c r="P2071" i="3" s="1"/>
  <c r="M2072" i="3"/>
  <c r="O2072" i="3" s="1"/>
  <c r="P2072" i="3" s="1"/>
  <c r="M2073" i="3"/>
  <c r="O2073" i="3" s="1"/>
  <c r="P2073" i="3" s="1"/>
  <c r="M2074" i="3"/>
  <c r="O2074" i="3" s="1"/>
  <c r="P2074" i="3" s="1"/>
  <c r="M2075" i="3"/>
  <c r="O2075" i="3" s="1"/>
  <c r="P2075" i="3" s="1"/>
  <c r="M2076" i="3"/>
  <c r="O2076" i="3" s="1"/>
  <c r="P2076" i="3" s="1"/>
  <c r="M2077" i="3"/>
  <c r="O2077" i="3" s="1"/>
  <c r="P2077" i="3" s="1"/>
  <c r="M2078" i="3"/>
  <c r="O2078" i="3" s="1"/>
  <c r="P2078" i="3" s="1"/>
  <c r="M2079" i="3"/>
  <c r="O2079" i="3" s="1"/>
  <c r="P2079" i="3" s="1"/>
  <c r="M2080" i="3"/>
  <c r="O2080" i="3" s="1"/>
  <c r="P2080" i="3" s="1"/>
  <c r="M2081" i="3"/>
  <c r="O2081" i="3" s="1"/>
  <c r="P2081" i="3" s="1"/>
  <c r="M2082" i="3"/>
  <c r="O2082" i="3" s="1"/>
  <c r="P2082" i="3" s="1"/>
  <c r="M2083" i="3"/>
  <c r="O2083" i="3" s="1"/>
  <c r="P2083" i="3" s="1"/>
  <c r="M2084" i="3"/>
  <c r="O2084" i="3" s="1"/>
  <c r="P2084" i="3" s="1"/>
  <c r="M2085" i="3"/>
  <c r="O2085" i="3" s="1"/>
  <c r="P2085" i="3" s="1"/>
  <c r="M2086" i="3"/>
  <c r="O2086" i="3" s="1"/>
  <c r="P2086" i="3" s="1"/>
  <c r="M2087" i="3"/>
  <c r="O2087" i="3" s="1"/>
  <c r="P2087" i="3" s="1"/>
  <c r="M2088" i="3"/>
  <c r="O2088" i="3" s="1"/>
  <c r="P2088" i="3" s="1"/>
  <c r="M2089" i="3"/>
  <c r="O2089" i="3" s="1"/>
  <c r="P2089" i="3" s="1"/>
  <c r="M2090" i="3"/>
  <c r="O2090" i="3" s="1"/>
  <c r="P2090" i="3" s="1"/>
  <c r="M2091" i="3"/>
  <c r="O2091" i="3" s="1"/>
  <c r="P2091" i="3" s="1"/>
  <c r="M2092" i="3"/>
  <c r="O2092" i="3" s="1"/>
  <c r="P2092" i="3" s="1"/>
  <c r="M2093" i="3"/>
  <c r="O2093" i="3" s="1"/>
  <c r="P2093" i="3" s="1"/>
  <c r="M2094" i="3"/>
  <c r="O2094" i="3" s="1"/>
  <c r="P2094" i="3" s="1"/>
  <c r="M2095" i="3"/>
  <c r="O2095" i="3" s="1"/>
  <c r="P2095" i="3" s="1"/>
  <c r="M2096" i="3"/>
  <c r="O2096" i="3" s="1"/>
  <c r="P2096" i="3" s="1"/>
  <c r="M2097" i="3"/>
  <c r="O2097" i="3" s="1"/>
  <c r="P2097" i="3" s="1"/>
  <c r="M2098" i="3"/>
  <c r="O2098" i="3" s="1"/>
  <c r="P2098" i="3" s="1"/>
  <c r="M2099" i="3"/>
  <c r="O2099" i="3" s="1"/>
  <c r="P2099" i="3" s="1"/>
  <c r="M2100" i="3"/>
  <c r="O2100" i="3" s="1"/>
  <c r="P2100" i="3" s="1"/>
  <c r="M2101" i="3"/>
  <c r="O2101" i="3" s="1"/>
  <c r="P2101" i="3" s="1"/>
  <c r="M2102" i="3"/>
  <c r="O2102" i="3" s="1"/>
  <c r="P2102" i="3" s="1"/>
  <c r="M2103" i="3"/>
  <c r="O2103" i="3" s="1"/>
  <c r="P2103" i="3" s="1"/>
  <c r="M2104" i="3"/>
  <c r="O2104" i="3" s="1"/>
  <c r="P2104" i="3" s="1"/>
  <c r="M2105" i="3"/>
  <c r="O2105" i="3" s="1"/>
  <c r="P2105" i="3" s="1"/>
  <c r="M2106" i="3"/>
  <c r="O2106" i="3" s="1"/>
  <c r="P2106" i="3" s="1"/>
  <c r="M2107" i="3"/>
  <c r="O2107" i="3" s="1"/>
  <c r="P2107" i="3" s="1"/>
  <c r="M2108" i="3"/>
  <c r="O2108" i="3" s="1"/>
  <c r="P2108" i="3" s="1"/>
  <c r="M2109" i="3"/>
  <c r="O2109" i="3" s="1"/>
  <c r="P2109" i="3" s="1"/>
  <c r="M2110" i="3"/>
  <c r="O2110" i="3" s="1"/>
  <c r="P2110" i="3" s="1"/>
  <c r="M2111" i="3"/>
  <c r="O2111" i="3" s="1"/>
  <c r="P2111" i="3" s="1"/>
  <c r="M2112" i="3"/>
  <c r="O2112" i="3" s="1"/>
  <c r="P2112" i="3" s="1"/>
  <c r="M2113" i="3"/>
  <c r="O2113" i="3" s="1"/>
  <c r="P2113" i="3" s="1"/>
  <c r="M2114" i="3"/>
  <c r="O2114" i="3" s="1"/>
  <c r="P2114" i="3" s="1"/>
  <c r="M2115" i="3"/>
  <c r="O2115" i="3" s="1"/>
  <c r="P2115" i="3" s="1"/>
  <c r="M2116" i="3"/>
  <c r="O2116" i="3" s="1"/>
  <c r="P2116" i="3" s="1"/>
  <c r="M2117" i="3"/>
  <c r="O2117" i="3" s="1"/>
  <c r="P2117" i="3" s="1"/>
  <c r="M2118" i="3"/>
  <c r="O2118" i="3" s="1"/>
  <c r="P2118" i="3" s="1"/>
  <c r="M2119" i="3"/>
  <c r="O2119" i="3" s="1"/>
  <c r="P2119" i="3" s="1"/>
  <c r="M2120" i="3"/>
  <c r="O2120" i="3" s="1"/>
  <c r="P2120" i="3" s="1"/>
  <c r="M2121" i="3"/>
  <c r="O2121" i="3" s="1"/>
  <c r="P2121" i="3" s="1"/>
  <c r="M2122" i="3"/>
  <c r="O2122" i="3" s="1"/>
  <c r="P2122" i="3" s="1"/>
  <c r="M2123" i="3"/>
  <c r="O2123" i="3" s="1"/>
  <c r="P2123" i="3" s="1"/>
  <c r="M2124" i="3"/>
  <c r="O2124" i="3" s="1"/>
  <c r="P2124" i="3" s="1"/>
  <c r="M2125" i="3"/>
  <c r="O2125" i="3" s="1"/>
  <c r="P2125" i="3" s="1"/>
  <c r="M2126" i="3"/>
  <c r="O2126" i="3" s="1"/>
  <c r="P2126" i="3" s="1"/>
  <c r="M2127" i="3"/>
  <c r="O2127" i="3" s="1"/>
  <c r="P2127" i="3" s="1"/>
  <c r="M2128" i="3"/>
  <c r="O2128" i="3" s="1"/>
  <c r="P2128" i="3" s="1"/>
  <c r="M2129" i="3"/>
  <c r="O2129" i="3" s="1"/>
  <c r="P2129" i="3" s="1"/>
  <c r="M2130" i="3"/>
  <c r="O2130" i="3" s="1"/>
  <c r="P2130" i="3" s="1"/>
  <c r="M2131" i="3"/>
  <c r="O2131" i="3" s="1"/>
  <c r="P2131" i="3" s="1"/>
  <c r="M2132" i="3"/>
  <c r="O2132" i="3" s="1"/>
  <c r="P2132" i="3" s="1"/>
  <c r="M2133" i="3"/>
  <c r="O2133" i="3" s="1"/>
  <c r="P2133" i="3" s="1"/>
  <c r="M2134" i="3"/>
  <c r="O2134" i="3" s="1"/>
  <c r="P2134" i="3" s="1"/>
  <c r="M2135" i="3"/>
  <c r="O2135" i="3" s="1"/>
  <c r="P2135" i="3" s="1"/>
  <c r="M2136" i="3"/>
  <c r="O2136" i="3" s="1"/>
  <c r="P2136" i="3" s="1"/>
  <c r="M2137" i="3"/>
  <c r="O2137" i="3" s="1"/>
  <c r="P2137" i="3" s="1"/>
  <c r="M2138" i="3"/>
  <c r="O2138" i="3" s="1"/>
  <c r="P2138" i="3" s="1"/>
  <c r="M2139" i="3"/>
  <c r="O2139" i="3" s="1"/>
  <c r="P2139" i="3" s="1"/>
  <c r="M2140" i="3"/>
  <c r="O2140" i="3" s="1"/>
  <c r="P2140" i="3" s="1"/>
  <c r="M2141" i="3"/>
  <c r="O2141" i="3" s="1"/>
  <c r="P2141" i="3" s="1"/>
  <c r="M2142" i="3"/>
  <c r="O2142" i="3" s="1"/>
  <c r="P2142" i="3" s="1"/>
  <c r="M2143" i="3"/>
  <c r="O2143" i="3" s="1"/>
  <c r="P2143" i="3" s="1"/>
  <c r="M2144" i="3"/>
  <c r="O2144" i="3" s="1"/>
  <c r="P2144" i="3" s="1"/>
  <c r="M2145" i="3"/>
  <c r="O2145" i="3" s="1"/>
  <c r="P2145" i="3" s="1"/>
  <c r="M2146" i="3"/>
  <c r="O2146" i="3" s="1"/>
  <c r="P2146" i="3" s="1"/>
  <c r="M2147" i="3"/>
  <c r="O2147" i="3" s="1"/>
  <c r="P2147" i="3" s="1"/>
  <c r="M2148" i="3"/>
  <c r="O2148" i="3" s="1"/>
  <c r="P2148" i="3" s="1"/>
  <c r="M2149" i="3"/>
  <c r="O2149" i="3" s="1"/>
  <c r="P2149" i="3" s="1"/>
  <c r="M2150" i="3"/>
  <c r="O2150" i="3" s="1"/>
  <c r="P2150" i="3" s="1"/>
  <c r="M2151" i="3"/>
  <c r="O2151" i="3" s="1"/>
  <c r="P2151" i="3" s="1"/>
  <c r="M2152" i="3"/>
  <c r="O2152" i="3" s="1"/>
  <c r="P2152" i="3" s="1"/>
  <c r="M2153" i="3"/>
  <c r="O2153" i="3" s="1"/>
  <c r="P2153" i="3" s="1"/>
  <c r="M2154" i="3"/>
  <c r="O2154" i="3" s="1"/>
  <c r="P2154" i="3" s="1"/>
  <c r="M2155" i="3"/>
  <c r="O2155" i="3" s="1"/>
  <c r="P2155" i="3" s="1"/>
  <c r="M2156" i="3"/>
  <c r="O2156" i="3" s="1"/>
  <c r="P2156" i="3" s="1"/>
  <c r="M2157" i="3"/>
  <c r="O2157" i="3" s="1"/>
  <c r="P2157" i="3" s="1"/>
  <c r="M2158" i="3"/>
  <c r="O2158" i="3" s="1"/>
  <c r="P2158" i="3" s="1"/>
  <c r="M2159" i="3"/>
  <c r="O2159" i="3" s="1"/>
  <c r="P2159" i="3" s="1"/>
  <c r="M2160" i="3"/>
  <c r="O2160" i="3" s="1"/>
  <c r="P2160" i="3" s="1"/>
  <c r="M2161" i="3"/>
  <c r="O2161" i="3" s="1"/>
  <c r="P2161" i="3" s="1"/>
  <c r="M2162" i="3"/>
  <c r="O2162" i="3" s="1"/>
  <c r="P2162" i="3" s="1"/>
  <c r="M2163" i="3"/>
  <c r="O2163" i="3" s="1"/>
  <c r="P2163" i="3" s="1"/>
  <c r="M2164" i="3"/>
  <c r="O2164" i="3" s="1"/>
  <c r="P2164" i="3" s="1"/>
  <c r="M2165" i="3"/>
  <c r="O2165" i="3" s="1"/>
  <c r="P2165" i="3" s="1"/>
  <c r="M2166" i="3"/>
  <c r="O2166" i="3" s="1"/>
  <c r="P2166" i="3" s="1"/>
  <c r="M2167" i="3"/>
  <c r="O2167" i="3" s="1"/>
  <c r="P2167" i="3" s="1"/>
  <c r="M2168" i="3"/>
  <c r="O2168" i="3" s="1"/>
  <c r="P2168" i="3" s="1"/>
  <c r="M2169" i="3"/>
  <c r="O2169" i="3" s="1"/>
  <c r="P2169" i="3" s="1"/>
  <c r="M2170" i="3"/>
  <c r="O2170" i="3" s="1"/>
  <c r="P2170" i="3" s="1"/>
  <c r="M2171" i="3"/>
  <c r="O2171" i="3" s="1"/>
  <c r="P2171" i="3" s="1"/>
  <c r="M2172" i="3"/>
  <c r="O2172" i="3" s="1"/>
  <c r="P2172" i="3" s="1"/>
  <c r="M2173" i="3"/>
  <c r="O2173" i="3" s="1"/>
  <c r="P2173" i="3" s="1"/>
  <c r="M2174" i="3"/>
  <c r="O2174" i="3" s="1"/>
  <c r="P2174" i="3" s="1"/>
  <c r="M2175" i="3"/>
  <c r="O2175" i="3" s="1"/>
  <c r="P2175" i="3" s="1"/>
  <c r="M2176" i="3"/>
  <c r="O2176" i="3" s="1"/>
  <c r="P2176" i="3" s="1"/>
  <c r="M2177" i="3"/>
  <c r="O2177" i="3" s="1"/>
  <c r="P2177" i="3" s="1"/>
  <c r="M2178" i="3"/>
  <c r="O2178" i="3" s="1"/>
  <c r="P2178" i="3" s="1"/>
  <c r="M2179" i="3"/>
  <c r="O2179" i="3" s="1"/>
  <c r="P2179" i="3" s="1"/>
  <c r="M2180" i="3"/>
  <c r="O2180" i="3" s="1"/>
  <c r="P2180" i="3" s="1"/>
  <c r="M2181" i="3"/>
  <c r="O2181" i="3" s="1"/>
  <c r="P2181" i="3" s="1"/>
  <c r="M2182" i="3"/>
  <c r="O2182" i="3" s="1"/>
  <c r="P2182" i="3" s="1"/>
  <c r="M2183" i="3"/>
  <c r="O2183" i="3" s="1"/>
  <c r="P2183" i="3" s="1"/>
  <c r="M2184" i="3"/>
  <c r="O2184" i="3" s="1"/>
  <c r="P2184" i="3" s="1"/>
  <c r="M2185" i="3"/>
  <c r="O2185" i="3" s="1"/>
  <c r="P2185" i="3" s="1"/>
  <c r="M2186" i="3"/>
  <c r="O2186" i="3" s="1"/>
  <c r="P2186" i="3" s="1"/>
  <c r="M2187" i="3"/>
  <c r="O2187" i="3" s="1"/>
  <c r="P2187" i="3" s="1"/>
  <c r="M2188" i="3"/>
  <c r="O2188" i="3" s="1"/>
  <c r="P2188" i="3" s="1"/>
  <c r="M2189" i="3"/>
  <c r="O2189" i="3" s="1"/>
  <c r="P2189" i="3" s="1"/>
  <c r="M2190" i="3"/>
  <c r="O2190" i="3" s="1"/>
  <c r="P2190" i="3" s="1"/>
  <c r="M2191" i="3"/>
  <c r="O2191" i="3" s="1"/>
  <c r="P2191" i="3" s="1"/>
  <c r="M2192" i="3"/>
  <c r="O2192" i="3" s="1"/>
  <c r="P2192" i="3" s="1"/>
  <c r="M2193" i="3"/>
  <c r="O2193" i="3" s="1"/>
  <c r="P2193" i="3" s="1"/>
  <c r="M2194" i="3"/>
  <c r="O2194" i="3" s="1"/>
  <c r="P2194" i="3" s="1"/>
  <c r="M2195" i="3"/>
  <c r="O2195" i="3" s="1"/>
  <c r="P2195" i="3" s="1"/>
  <c r="M2196" i="3"/>
  <c r="O2196" i="3" s="1"/>
  <c r="P2196" i="3" s="1"/>
  <c r="M2197" i="3"/>
  <c r="O2197" i="3" s="1"/>
  <c r="P2197" i="3" s="1"/>
  <c r="M2198" i="3"/>
  <c r="O2198" i="3" s="1"/>
  <c r="P2198" i="3" s="1"/>
  <c r="M2199" i="3"/>
  <c r="O2199" i="3" s="1"/>
  <c r="P2199" i="3" s="1"/>
  <c r="M2200" i="3"/>
  <c r="O2200" i="3" s="1"/>
  <c r="P2200" i="3" s="1"/>
  <c r="M2201" i="3"/>
  <c r="O2201" i="3" s="1"/>
  <c r="P2201" i="3" s="1"/>
  <c r="M2202" i="3"/>
  <c r="O2202" i="3" s="1"/>
  <c r="P2202" i="3" s="1"/>
  <c r="M2203" i="3"/>
  <c r="O2203" i="3" s="1"/>
  <c r="P2203" i="3" s="1"/>
  <c r="M2204" i="3"/>
  <c r="O2204" i="3" s="1"/>
  <c r="P2204" i="3" s="1"/>
  <c r="M2205" i="3"/>
  <c r="O2205" i="3" s="1"/>
  <c r="P2205" i="3" s="1"/>
  <c r="M2206" i="3"/>
  <c r="O2206" i="3" s="1"/>
  <c r="P2206" i="3" s="1"/>
  <c r="M2207" i="3"/>
  <c r="O2207" i="3" s="1"/>
  <c r="P2207" i="3" s="1"/>
  <c r="M2208" i="3"/>
  <c r="O2208" i="3" s="1"/>
  <c r="P2208" i="3" s="1"/>
  <c r="M2209" i="3"/>
  <c r="O2209" i="3" s="1"/>
  <c r="P2209" i="3" s="1"/>
  <c r="M2210" i="3"/>
  <c r="O2210" i="3" s="1"/>
  <c r="P2210" i="3" s="1"/>
  <c r="M2211" i="3"/>
  <c r="O2211" i="3" s="1"/>
  <c r="P2211" i="3" s="1"/>
  <c r="M2212" i="3"/>
  <c r="O2212" i="3" s="1"/>
  <c r="P2212" i="3" s="1"/>
  <c r="M2213" i="3"/>
  <c r="O2213" i="3" s="1"/>
  <c r="P2213" i="3" s="1"/>
  <c r="M2214" i="3"/>
  <c r="O2214" i="3" s="1"/>
  <c r="P2214" i="3" s="1"/>
  <c r="M2215" i="3"/>
  <c r="O2215" i="3" s="1"/>
  <c r="P2215" i="3" s="1"/>
  <c r="M2216" i="3"/>
  <c r="O2216" i="3" s="1"/>
  <c r="P2216" i="3" s="1"/>
  <c r="M2217" i="3"/>
  <c r="O2217" i="3" s="1"/>
  <c r="P2217" i="3" s="1"/>
  <c r="M2218" i="3"/>
  <c r="O2218" i="3" s="1"/>
  <c r="P2218" i="3" s="1"/>
  <c r="M2219" i="3"/>
  <c r="O2219" i="3" s="1"/>
  <c r="P2219" i="3" s="1"/>
  <c r="M2220" i="3"/>
  <c r="O2220" i="3" s="1"/>
  <c r="P2220" i="3" s="1"/>
  <c r="M2221" i="3"/>
  <c r="O2221" i="3" s="1"/>
  <c r="P2221" i="3" s="1"/>
  <c r="M2222" i="3"/>
  <c r="O2222" i="3" s="1"/>
  <c r="P2222" i="3" s="1"/>
  <c r="M2223" i="3"/>
  <c r="O2223" i="3" s="1"/>
  <c r="P2223" i="3" s="1"/>
  <c r="M2224" i="3"/>
  <c r="O2224" i="3" s="1"/>
  <c r="P2224" i="3" s="1"/>
  <c r="M2225" i="3"/>
  <c r="O2225" i="3" s="1"/>
  <c r="P2225" i="3" s="1"/>
  <c r="M2226" i="3"/>
  <c r="O2226" i="3" s="1"/>
  <c r="P2226" i="3" s="1"/>
  <c r="M2227" i="3"/>
  <c r="O2227" i="3" s="1"/>
  <c r="P2227" i="3" s="1"/>
  <c r="M2228" i="3"/>
  <c r="O2228" i="3" s="1"/>
  <c r="P2228" i="3" s="1"/>
  <c r="M2229" i="3"/>
  <c r="O2229" i="3" s="1"/>
  <c r="P2229" i="3" s="1"/>
  <c r="M2230" i="3"/>
  <c r="O2230" i="3" s="1"/>
  <c r="P2230" i="3" s="1"/>
  <c r="M2231" i="3"/>
  <c r="O2231" i="3" s="1"/>
  <c r="P2231" i="3" s="1"/>
  <c r="M2232" i="3"/>
  <c r="O2232" i="3" s="1"/>
  <c r="P2232" i="3" s="1"/>
  <c r="M2233" i="3"/>
  <c r="O2233" i="3" s="1"/>
  <c r="P2233" i="3" s="1"/>
  <c r="M2234" i="3"/>
  <c r="O2234" i="3" s="1"/>
  <c r="P2234" i="3" s="1"/>
  <c r="M2235" i="3"/>
  <c r="O2235" i="3" s="1"/>
  <c r="P2235" i="3" s="1"/>
  <c r="M2236" i="3"/>
  <c r="O2236" i="3" s="1"/>
  <c r="P2236" i="3" s="1"/>
  <c r="M2237" i="3"/>
  <c r="O2237" i="3" s="1"/>
  <c r="P2237" i="3" s="1"/>
  <c r="M2238" i="3"/>
  <c r="O2238" i="3" s="1"/>
  <c r="P2238" i="3" s="1"/>
  <c r="M2239" i="3"/>
  <c r="O2239" i="3" s="1"/>
  <c r="P2239" i="3" s="1"/>
  <c r="M2240" i="3"/>
  <c r="O2240" i="3" s="1"/>
  <c r="P2240" i="3" s="1"/>
  <c r="M2241" i="3"/>
  <c r="O2241" i="3" s="1"/>
  <c r="P2241" i="3" s="1"/>
  <c r="M2242" i="3"/>
  <c r="O2242" i="3" s="1"/>
  <c r="P2242" i="3" s="1"/>
  <c r="M2243" i="3"/>
  <c r="O2243" i="3" s="1"/>
  <c r="P2243" i="3" s="1"/>
  <c r="M2244" i="3"/>
  <c r="O2244" i="3" s="1"/>
  <c r="P2244" i="3" s="1"/>
  <c r="M2245" i="3"/>
  <c r="O2245" i="3" s="1"/>
  <c r="P2245" i="3" s="1"/>
  <c r="M2246" i="3"/>
  <c r="O2246" i="3" s="1"/>
  <c r="P2246" i="3" s="1"/>
  <c r="M2247" i="3"/>
  <c r="O2247" i="3" s="1"/>
  <c r="P2247" i="3" s="1"/>
  <c r="M2248" i="3"/>
  <c r="O2248" i="3" s="1"/>
  <c r="P2248" i="3" s="1"/>
  <c r="M2249" i="3"/>
  <c r="O2249" i="3" s="1"/>
  <c r="P2249" i="3" s="1"/>
  <c r="M2250" i="3"/>
  <c r="O2250" i="3" s="1"/>
  <c r="P2250" i="3" s="1"/>
  <c r="M2251" i="3"/>
  <c r="O2251" i="3" s="1"/>
  <c r="P2251" i="3" s="1"/>
  <c r="M2252" i="3"/>
  <c r="O2252" i="3" s="1"/>
  <c r="P2252" i="3" s="1"/>
  <c r="M2253" i="3"/>
  <c r="O2253" i="3" s="1"/>
  <c r="P2253" i="3" s="1"/>
  <c r="M2254" i="3"/>
  <c r="O2254" i="3" s="1"/>
  <c r="P2254" i="3" s="1"/>
  <c r="M2255" i="3"/>
  <c r="O2255" i="3" s="1"/>
  <c r="P2255" i="3" s="1"/>
  <c r="M2256" i="3"/>
  <c r="O2256" i="3" s="1"/>
  <c r="P2256" i="3" s="1"/>
  <c r="M2257" i="3"/>
  <c r="O2257" i="3" s="1"/>
  <c r="P2257" i="3" s="1"/>
  <c r="M2258" i="3"/>
  <c r="O2258" i="3" s="1"/>
  <c r="P2258" i="3" s="1"/>
  <c r="M2259" i="3"/>
  <c r="O2259" i="3" s="1"/>
  <c r="P2259" i="3" s="1"/>
  <c r="M2260" i="3"/>
  <c r="O2260" i="3" s="1"/>
  <c r="P2260" i="3" s="1"/>
  <c r="M2261" i="3"/>
  <c r="O2261" i="3" s="1"/>
  <c r="P2261" i="3" s="1"/>
  <c r="M2262" i="3"/>
  <c r="O2262" i="3" s="1"/>
  <c r="P2262" i="3" s="1"/>
  <c r="M2263" i="3"/>
  <c r="O2263" i="3" s="1"/>
  <c r="P2263" i="3" s="1"/>
  <c r="M2264" i="3"/>
  <c r="O2264" i="3" s="1"/>
  <c r="P2264" i="3" s="1"/>
  <c r="M2265" i="3"/>
  <c r="O2265" i="3" s="1"/>
  <c r="P2265" i="3" s="1"/>
  <c r="M2266" i="3"/>
  <c r="O2266" i="3" s="1"/>
  <c r="P2266" i="3" s="1"/>
  <c r="M2267" i="3"/>
  <c r="O2267" i="3" s="1"/>
  <c r="P2267" i="3" s="1"/>
  <c r="M2268" i="3"/>
  <c r="O2268" i="3" s="1"/>
  <c r="P2268" i="3" s="1"/>
  <c r="M2269" i="3"/>
  <c r="O2269" i="3" s="1"/>
  <c r="P2269" i="3" s="1"/>
  <c r="M2270" i="3"/>
  <c r="O2270" i="3" s="1"/>
  <c r="P2270" i="3" s="1"/>
  <c r="M2271" i="3"/>
  <c r="O2271" i="3" s="1"/>
  <c r="P2271" i="3" s="1"/>
  <c r="M2272" i="3"/>
  <c r="O2272" i="3" s="1"/>
  <c r="P2272" i="3" s="1"/>
  <c r="M2273" i="3"/>
  <c r="O2273" i="3" s="1"/>
  <c r="P2273" i="3" s="1"/>
  <c r="M2274" i="3"/>
  <c r="O2274" i="3" s="1"/>
  <c r="P2274" i="3" s="1"/>
  <c r="M2275" i="3"/>
  <c r="O2275" i="3" s="1"/>
  <c r="P2275" i="3" s="1"/>
  <c r="M2276" i="3"/>
  <c r="O2276" i="3" s="1"/>
  <c r="P2276" i="3" s="1"/>
  <c r="M2277" i="3"/>
  <c r="O2277" i="3" s="1"/>
  <c r="P2277" i="3" s="1"/>
  <c r="M2278" i="3"/>
  <c r="O2278" i="3" s="1"/>
  <c r="P2278" i="3" s="1"/>
  <c r="M2279" i="3"/>
  <c r="O2279" i="3" s="1"/>
  <c r="P2279" i="3" s="1"/>
  <c r="M2280" i="3"/>
  <c r="O2280" i="3" s="1"/>
  <c r="P2280" i="3" s="1"/>
  <c r="M2281" i="3"/>
  <c r="O2281" i="3" s="1"/>
  <c r="P2281" i="3" s="1"/>
  <c r="M2282" i="3"/>
  <c r="O2282" i="3" s="1"/>
  <c r="P2282" i="3" s="1"/>
  <c r="M2283" i="3"/>
  <c r="O2283" i="3" s="1"/>
  <c r="P2283" i="3" s="1"/>
  <c r="M2284" i="3"/>
  <c r="O2284" i="3" s="1"/>
  <c r="P2284" i="3" s="1"/>
  <c r="M2285" i="3"/>
  <c r="O2285" i="3" s="1"/>
  <c r="P2285" i="3" s="1"/>
  <c r="M2286" i="3"/>
  <c r="O2286" i="3" s="1"/>
  <c r="P2286" i="3" s="1"/>
  <c r="M2287" i="3"/>
  <c r="O2287" i="3" s="1"/>
  <c r="P2287" i="3" s="1"/>
  <c r="M2288" i="3"/>
  <c r="O2288" i="3" s="1"/>
  <c r="P2288" i="3" s="1"/>
  <c r="M2289" i="3"/>
  <c r="O2289" i="3" s="1"/>
  <c r="P2289" i="3" s="1"/>
  <c r="M2290" i="3"/>
  <c r="O2290" i="3" s="1"/>
  <c r="P2290" i="3" s="1"/>
  <c r="M2291" i="3"/>
  <c r="O2291" i="3" s="1"/>
  <c r="P2291" i="3" s="1"/>
  <c r="M2292" i="3"/>
  <c r="O2292" i="3" s="1"/>
  <c r="P2292" i="3" s="1"/>
  <c r="M2293" i="3"/>
  <c r="O2293" i="3" s="1"/>
  <c r="P2293" i="3" s="1"/>
  <c r="M2294" i="3"/>
  <c r="O2294" i="3" s="1"/>
  <c r="P2294" i="3" s="1"/>
  <c r="M2295" i="3"/>
  <c r="O2295" i="3" s="1"/>
  <c r="P2295" i="3" s="1"/>
  <c r="M2296" i="3"/>
  <c r="O2296" i="3" s="1"/>
  <c r="P2296" i="3" s="1"/>
  <c r="M2297" i="3"/>
  <c r="O2297" i="3" s="1"/>
  <c r="P2297" i="3" s="1"/>
  <c r="M2298" i="3"/>
  <c r="O2298" i="3" s="1"/>
  <c r="P2298" i="3" s="1"/>
  <c r="M2299" i="3"/>
  <c r="O2299" i="3" s="1"/>
  <c r="P2299" i="3" s="1"/>
  <c r="M2300" i="3"/>
  <c r="O2300" i="3" s="1"/>
  <c r="P2300" i="3" s="1"/>
  <c r="M2301" i="3"/>
  <c r="O2301" i="3" s="1"/>
  <c r="P2301" i="3" s="1"/>
  <c r="M2302" i="3"/>
  <c r="O2302" i="3" s="1"/>
  <c r="P2302" i="3" s="1"/>
  <c r="M2303" i="3"/>
  <c r="O2303" i="3" s="1"/>
  <c r="P2303" i="3" s="1"/>
  <c r="M2304" i="3"/>
  <c r="O2304" i="3" s="1"/>
  <c r="P2304" i="3" s="1"/>
  <c r="M2305" i="3"/>
  <c r="O2305" i="3" s="1"/>
  <c r="P2305" i="3" s="1"/>
  <c r="M2306" i="3"/>
  <c r="O2306" i="3" s="1"/>
  <c r="P2306" i="3" s="1"/>
  <c r="M2307" i="3"/>
  <c r="O2307" i="3" s="1"/>
  <c r="P2307" i="3" s="1"/>
  <c r="M2308" i="3"/>
  <c r="O2308" i="3" s="1"/>
  <c r="P2308" i="3" s="1"/>
  <c r="M2309" i="3"/>
  <c r="O2309" i="3" s="1"/>
  <c r="P2309" i="3" s="1"/>
  <c r="M2310" i="3"/>
  <c r="O2310" i="3" s="1"/>
  <c r="P2310" i="3" s="1"/>
  <c r="M2311" i="3"/>
  <c r="O2311" i="3" s="1"/>
  <c r="P2311" i="3" s="1"/>
  <c r="M2312" i="3"/>
  <c r="O2312" i="3" s="1"/>
  <c r="P2312" i="3" s="1"/>
  <c r="M2313" i="3"/>
  <c r="O2313" i="3" s="1"/>
  <c r="P2313" i="3" s="1"/>
  <c r="M2314" i="3"/>
  <c r="O2314" i="3" s="1"/>
  <c r="P2314" i="3" s="1"/>
  <c r="M2315" i="3"/>
  <c r="O2315" i="3" s="1"/>
  <c r="P2315" i="3" s="1"/>
  <c r="M2316" i="3"/>
  <c r="O2316" i="3" s="1"/>
  <c r="P2316" i="3" s="1"/>
  <c r="M2317" i="3"/>
  <c r="O2317" i="3" s="1"/>
  <c r="P2317" i="3" s="1"/>
  <c r="M2318" i="3"/>
  <c r="O2318" i="3" s="1"/>
  <c r="P2318" i="3" s="1"/>
  <c r="M2319" i="3"/>
  <c r="O2319" i="3" s="1"/>
  <c r="P2319" i="3" s="1"/>
  <c r="M2320" i="3"/>
  <c r="O2320" i="3" s="1"/>
  <c r="P2320" i="3" s="1"/>
  <c r="M2321" i="3"/>
  <c r="O2321" i="3" s="1"/>
  <c r="P2321" i="3" s="1"/>
  <c r="M2322" i="3"/>
  <c r="O2322" i="3" s="1"/>
  <c r="P2322" i="3" s="1"/>
  <c r="M2323" i="3"/>
  <c r="O2323" i="3" s="1"/>
  <c r="P2323" i="3" s="1"/>
  <c r="M2324" i="3"/>
  <c r="O2324" i="3" s="1"/>
  <c r="P2324" i="3" s="1"/>
  <c r="M2325" i="3"/>
  <c r="O2325" i="3" s="1"/>
  <c r="P2325" i="3" s="1"/>
  <c r="M2326" i="3"/>
  <c r="O2326" i="3" s="1"/>
  <c r="P2326" i="3" s="1"/>
  <c r="M2327" i="3"/>
  <c r="O2327" i="3" s="1"/>
  <c r="P2327" i="3" s="1"/>
  <c r="M2328" i="3"/>
  <c r="O2328" i="3" s="1"/>
  <c r="P2328" i="3" s="1"/>
  <c r="M2329" i="3"/>
  <c r="O2329" i="3" s="1"/>
  <c r="P2329" i="3" s="1"/>
  <c r="M2330" i="3"/>
  <c r="O2330" i="3" s="1"/>
  <c r="P2330" i="3" s="1"/>
  <c r="M2331" i="3"/>
  <c r="O2331" i="3" s="1"/>
  <c r="P2331" i="3" s="1"/>
  <c r="M2332" i="3"/>
  <c r="O2332" i="3" s="1"/>
  <c r="P2332" i="3" s="1"/>
  <c r="M2333" i="3"/>
  <c r="O2333" i="3" s="1"/>
  <c r="P2333" i="3" s="1"/>
  <c r="M2334" i="3"/>
  <c r="O2334" i="3" s="1"/>
  <c r="P2334" i="3" s="1"/>
  <c r="M2335" i="3"/>
  <c r="O2335" i="3" s="1"/>
  <c r="P2335" i="3" s="1"/>
  <c r="M2336" i="3"/>
  <c r="O2336" i="3" s="1"/>
  <c r="P2336" i="3" s="1"/>
  <c r="M2337" i="3"/>
  <c r="O2337" i="3" s="1"/>
  <c r="P2337" i="3" s="1"/>
  <c r="M2338" i="3"/>
  <c r="O2338" i="3" s="1"/>
  <c r="P2338" i="3" s="1"/>
  <c r="M2339" i="3"/>
  <c r="O2339" i="3" s="1"/>
  <c r="P2339" i="3" s="1"/>
  <c r="M2340" i="3"/>
  <c r="O2340" i="3" s="1"/>
  <c r="P2340" i="3" s="1"/>
  <c r="M2341" i="3"/>
  <c r="O2341" i="3" s="1"/>
  <c r="P2341" i="3" s="1"/>
  <c r="M2342" i="3"/>
  <c r="O2342" i="3" s="1"/>
  <c r="P2342" i="3" s="1"/>
  <c r="M2343" i="3"/>
  <c r="O2343" i="3" s="1"/>
  <c r="P2343" i="3" s="1"/>
  <c r="M2344" i="3"/>
  <c r="O2344" i="3" s="1"/>
  <c r="P2344" i="3" s="1"/>
  <c r="M2345" i="3"/>
  <c r="O2345" i="3" s="1"/>
  <c r="P2345" i="3" s="1"/>
  <c r="M2346" i="3"/>
  <c r="O2346" i="3" s="1"/>
  <c r="P2346" i="3" s="1"/>
  <c r="M2347" i="3"/>
  <c r="O2347" i="3" s="1"/>
  <c r="P2347" i="3" s="1"/>
  <c r="M2348" i="3"/>
  <c r="O2348" i="3" s="1"/>
  <c r="P2348" i="3" s="1"/>
  <c r="M2349" i="3"/>
  <c r="O2349" i="3" s="1"/>
  <c r="P2349" i="3" s="1"/>
  <c r="M2350" i="3"/>
  <c r="O2350" i="3" s="1"/>
  <c r="P2350" i="3" s="1"/>
  <c r="M2351" i="3"/>
  <c r="O2351" i="3" s="1"/>
  <c r="P2351" i="3" s="1"/>
  <c r="M2352" i="3"/>
  <c r="O2352" i="3" s="1"/>
  <c r="P2352" i="3" s="1"/>
  <c r="M2353" i="3"/>
  <c r="O2353" i="3" s="1"/>
  <c r="P2353" i="3" s="1"/>
  <c r="M2354" i="3"/>
  <c r="O2354" i="3" s="1"/>
  <c r="P2354" i="3" s="1"/>
  <c r="M2355" i="3"/>
  <c r="O2355" i="3" s="1"/>
  <c r="P2355" i="3" s="1"/>
  <c r="M2356" i="3"/>
  <c r="O2356" i="3" s="1"/>
  <c r="P2356" i="3" s="1"/>
  <c r="M2357" i="3"/>
  <c r="O2357" i="3" s="1"/>
  <c r="P2357" i="3" s="1"/>
  <c r="M2358" i="3"/>
  <c r="O2358" i="3" s="1"/>
  <c r="P2358" i="3" s="1"/>
  <c r="M2359" i="3"/>
  <c r="O2359" i="3" s="1"/>
  <c r="P2359" i="3" s="1"/>
  <c r="M2360" i="3"/>
  <c r="O2360" i="3" s="1"/>
  <c r="P2360" i="3" s="1"/>
  <c r="M2361" i="3"/>
  <c r="O2361" i="3" s="1"/>
  <c r="P2361" i="3" s="1"/>
  <c r="M2362" i="3"/>
  <c r="O2362" i="3" s="1"/>
  <c r="P2362" i="3" s="1"/>
  <c r="M2363" i="3"/>
  <c r="O2363" i="3" s="1"/>
  <c r="P2363" i="3" s="1"/>
  <c r="M2364" i="3"/>
  <c r="O2364" i="3" s="1"/>
  <c r="P2364" i="3" s="1"/>
  <c r="M2365" i="3"/>
  <c r="O2365" i="3" s="1"/>
  <c r="P2365" i="3" s="1"/>
  <c r="M2366" i="3"/>
  <c r="O2366" i="3" s="1"/>
  <c r="P2366" i="3" s="1"/>
  <c r="M2367" i="3"/>
  <c r="O2367" i="3" s="1"/>
  <c r="P2367" i="3" s="1"/>
  <c r="M2368" i="3"/>
  <c r="O2368" i="3" s="1"/>
  <c r="P2368" i="3" s="1"/>
  <c r="M2369" i="3"/>
  <c r="O2369" i="3" s="1"/>
  <c r="P2369" i="3" s="1"/>
  <c r="M2370" i="3"/>
  <c r="O2370" i="3" s="1"/>
  <c r="P2370" i="3" s="1"/>
  <c r="M2371" i="3"/>
  <c r="O2371" i="3" s="1"/>
  <c r="P2371" i="3" s="1"/>
  <c r="M2372" i="3"/>
  <c r="O2372" i="3" s="1"/>
  <c r="P2372" i="3" s="1"/>
  <c r="M2373" i="3"/>
  <c r="O2373" i="3" s="1"/>
  <c r="P2373" i="3" s="1"/>
  <c r="M2374" i="3"/>
  <c r="O2374" i="3" s="1"/>
  <c r="P2374" i="3" s="1"/>
  <c r="M2375" i="3"/>
  <c r="O2375" i="3" s="1"/>
  <c r="P2375" i="3" s="1"/>
  <c r="M2376" i="3"/>
  <c r="O2376" i="3" s="1"/>
  <c r="P2376" i="3" s="1"/>
  <c r="M2377" i="3"/>
  <c r="O2377" i="3" s="1"/>
  <c r="P2377" i="3" s="1"/>
  <c r="M2378" i="3"/>
  <c r="O2378" i="3" s="1"/>
  <c r="P2378" i="3" s="1"/>
  <c r="M2379" i="3"/>
  <c r="O2379" i="3" s="1"/>
  <c r="P2379" i="3" s="1"/>
  <c r="M2380" i="3"/>
  <c r="O2380" i="3" s="1"/>
  <c r="P2380" i="3" s="1"/>
  <c r="M2381" i="3"/>
  <c r="O2381" i="3" s="1"/>
  <c r="P2381" i="3" s="1"/>
  <c r="M2382" i="3"/>
  <c r="O2382" i="3" s="1"/>
  <c r="P2382" i="3" s="1"/>
  <c r="M2383" i="3"/>
  <c r="O2383" i="3" s="1"/>
  <c r="P2383" i="3" s="1"/>
  <c r="M2384" i="3"/>
  <c r="O2384" i="3" s="1"/>
  <c r="P2384" i="3" s="1"/>
  <c r="M2385" i="3"/>
  <c r="O2385" i="3" s="1"/>
  <c r="P2385" i="3" s="1"/>
  <c r="M2386" i="3"/>
  <c r="O2386" i="3" s="1"/>
  <c r="P2386" i="3" s="1"/>
  <c r="M2387" i="3"/>
  <c r="O2387" i="3" s="1"/>
  <c r="P2387" i="3" s="1"/>
  <c r="M2388" i="3"/>
  <c r="O2388" i="3" s="1"/>
  <c r="P2388" i="3" s="1"/>
  <c r="M2389" i="3"/>
  <c r="O2389" i="3" s="1"/>
  <c r="P2389" i="3" s="1"/>
  <c r="M2390" i="3"/>
  <c r="O2390" i="3" s="1"/>
  <c r="P2390" i="3" s="1"/>
  <c r="M2391" i="3"/>
  <c r="O2391" i="3" s="1"/>
  <c r="P2391" i="3" s="1"/>
  <c r="M2392" i="3"/>
  <c r="O2392" i="3" s="1"/>
  <c r="P2392" i="3" s="1"/>
  <c r="M2393" i="3"/>
  <c r="O2393" i="3" s="1"/>
  <c r="P2393" i="3" s="1"/>
  <c r="M2394" i="3"/>
  <c r="O2394" i="3" s="1"/>
  <c r="P2394" i="3" s="1"/>
  <c r="M2395" i="3"/>
  <c r="O2395" i="3" s="1"/>
  <c r="P2395" i="3" s="1"/>
  <c r="M2396" i="3"/>
  <c r="O2396" i="3" s="1"/>
  <c r="P2396" i="3" s="1"/>
  <c r="M2397" i="3"/>
  <c r="O2397" i="3" s="1"/>
  <c r="P2397" i="3" s="1"/>
  <c r="M2398" i="3"/>
  <c r="O2398" i="3" s="1"/>
  <c r="P2398" i="3" s="1"/>
  <c r="M2399" i="3"/>
  <c r="O2399" i="3" s="1"/>
  <c r="P2399" i="3" s="1"/>
  <c r="M2400" i="3"/>
  <c r="O2400" i="3" s="1"/>
  <c r="P2400" i="3" s="1"/>
  <c r="M2401" i="3"/>
  <c r="O2401" i="3" s="1"/>
  <c r="P2401" i="3" s="1"/>
  <c r="M2402" i="3"/>
  <c r="O2402" i="3" s="1"/>
  <c r="P2402" i="3" s="1"/>
  <c r="M2403" i="3"/>
  <c r="O2403" i="3" s="1"/>
  <c r="P2403" i="3" s="1"/>
  <c r="M2404" i="3"/>
  <c r="O2404" i="3" s="1"/>
  <c r="P2404" i="3" s="1"/>
  <c r="M2405" i="3"/>
  <c r="O2405" i="3" s="1"/>
  <c r="P2405" i="3" s="1"/>
  <c r="M2406" i="3"/>
  <c r="O2406" i="3" s="1"/>
  <c r="P2406" i="3" s="1"/>
  <c r="M2407" i="3"/>
  <c r="O2407" i="3" s="1"/>
  <c r="P2407" i="3" s="1"/>
  <c r="M2408" i="3"/>
  <c r="O2408" i="3" s="1"/>
  <c r="P2408" i="3" s="1"/>
  <c r="M2409" i="3"/>
  <c r="O2409" i="3" s="1"/>
  <c r="P2409" i="3" s="1"/>
  <c r="M2410" i="3"/>
  <c r="O2410" i="3" s="1"/>
  <c r="P2410" i="3" s="1"/>
  <c r="M2411" i="3"/>
  <c r="O2411" i="3" s="1"/>
  <c r="P2411" i="3" s="1"/>
  <c r="M2412" i="3"/>
  <c r="O2412" i="3" s="1"/>
  <c r="P2412" i="3" s="1"/>
  <c r="M2413" i="3"/>
  <c r="O2413" i="3" s="1"/>
  <c r="P2413" i="3" s="1"/>
  <c r="M2414" i="3"/>
  <c r="O2414" i="3" s="1"/>
  <c r="P2414" i="3" s="1"/>
  <c r="M2415" i="3"/>
  <c r="O2415" i="3" s="1"/>
  <c r="P2415" i="3" s="1"/>
  <c r="M2416" i="3"/>
  <c r="O2416" i="3" s="1"/>
  <c r="P2416" i="3" s="1"/>
  <c r="M2417" i="3"/>
  <c r="O2417" i="3" s="1"/>
  <c r="P2417" i="3" s="1"/>
  <c r="M2418" i="3"/>
  <c r="O2418" i="3" s="1"/>
  <c r="P2418" i="3" s="1"/>
  <c r="M2419" i="3"/>
  <c r="O2419" i="3" s="1"/>
  <c r="P2419" i="3" s="1"/>
  <c r="M2420" i="3"/>
  <c r="O2420" i="3" s="1"/>
  <c r="P2420" i="3" s="1"/>
  <c r="M2421" i="3"/>
  <c r="O2421" i="3" s="1"/>
  <c r="P2421" i="3" s="1"/>
  <c r="M2422" i="3"/>
  <c r="O2422" i="3" s="1"/>
  <c r="P2422" i="3" s="1"/>
  <c r="M2423" i="3"/>
  <c r="O2423" i="3" s="1"/>
  <c r="P2423" i="3" s="1"/>
  <c r="M2424" i="3"/>
  <c r="O2424" i="3" s="1"/>
  <c r="P2424" i="3" s="1"/>
  <c r="M2425" i="3"/>
  <c r="O2425" i="3" s="1"/>
  <c r="P2425" i="3" s="1"/>
  <c r="M2426" i="3"/>
  <c r="O2426" i="3" s="1"/>
  <c r="P2426" i="3" s="1"/>
  <c r="M2427" i="3"/>
  <c r="O2427" i="3" s="1"/>
  <c r="P2427" i="3" s="1"/>
  <c r="M2428" i="3"/>
  <c r="O2428" i="3" s="1"/>
  <c r="P2428" i="3" s="1"/>
  <c r="M2429" i="3"/>
  <c r="O2429" i="3" s="1"/>
  <c r="P2429" i="3" s="1"/>
  <c r="M2430" i="3"/>
  <c r="O2430" i="3" s="1"/>
  <c r="P2430" i="3" s="1"/>
  <c r="M2431" i="3"/>
  <c r="O2431" i="3" s="1"/>
  <c r="P2431" i="3" s="1"/>
  <c r="M2432" i="3"/>
  <c r="O2432" i="3" s="1"/>
  <c r="P2432" i="3" s="1"/>
  <c r="M2433" i="3"/>
  <c r="O2433" i="3" s="1"/>
  <c r="P2433" i="3" s="1"/>
  <c r="M2434" i="3"/>
  <c r="O2434" i="3" s="1"/>
  <c r="P2434" i="3" s="1"/>
  <c r="M2435" i="3"/>
  <c r="O2435" i="3" s="1"/>
  <c r="P2435" i="3" s="1"/>
  <c r="M2436" i="3"/>
  <c r="O2436" i="3" s="1"/>
  <c r="P2436" i="3" s="1"/>
  <c r="M2437" i="3"/>
  <c r="O2437" i="3" s="1"/>
  <c r="P2437" i="3" s="1"/>
  <c r="M2438" i="3"/>
  <c r="O2438" i="3" s="1"/>
  <c r="P2438" i="3" s="1"/>
  <c r="M2439" i="3"/>
  <c r="O2439" i="3" s="1"/>
  <c r="P2439" i="3" s="1"/>
  <c r="M2440" i="3"/>
  <c r="O2440" i="3" s="1"/>
  <c r="P2440" i="3" s="1"/>
  <c r="W6" i="2"/>
  <c r="B2" i="2"/>
  <c r="B31" i="6" l="1"/>
  <c r="E41" i="6"/>
  <c r="B41" i="6"/>
  <c r="E34" i="6"/>
  <c r="B34" i="6"/>
  <c r="E36" i="6"/>
  <c r="E40" i="6"/>
  <c r="B40" i="6"/>
  <c r="E30" i="6"/>
  <c r="E32" i="6"/>
  <c r="B8" i="6"/>
  <c r="B7" i="6"/>
  <c r="F40" i="6"/>
  <c r="A40" i="6"/>
  <c r="D40" i="6" s="1"/>
  <c r="A38" i="6"/>
  <c r="A37" i="6"/>
  <c r="F36" i="6"/>
  <c r="D36" i="6"/>
  <c r="A39" i="6"/>
  <c r="F41" i="6"/>
  <c r="A35" i="6"/>
  <c r="A34" i="6"/>
  <c r="A33" i="6"/>
  <c r="A32" i="6"/>
  <c r="F31" i="6"/>
  <c r="A31" i="6"/>
  <c r="D31" i="6" s="1"/>
  <c r="A36" i="6"/>
  <c r="A30" i="6"/>
  <c r="A41" i="6"/>
  <c r="D41" i="6" s="1"/>
  <c r="B6" i="6"/>
  <c r="B19" i="6" l="1"/>
  <c r="B25" i="6"/>
  <c r="B12" i="6"/>
  <c r="B13" i="6"/>
  <c r="B14" i="6" s="1"/>
  <c r="B15" i="6"/>
  <c r="I30" i="6"/>
  <c r="I31" i="6"/>
  <c r="I32" i="6"/>
  <c r="I33" i="6"/>
  <c r="I34" i="6"/>
  <c r="J34" i="6" s="1"/>
  <c r="O30" i="6"/>
  <c r="O31" i="6"/>
  <c r="O32" i="6"/>
  <c r="O33" i="6"/>
  <c r="O34" i="6"/>
  <c r="O35" i="6"/>
  <c r="O36" i="6"/>
  <c r="O37" i="6"/>
  <c r="O38" i="6"/>
  <c r="P38" i="6" s="1"/>
  <c r="O3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V52" i="6" s="1"/>
  <c r="U53" i="6"/>
  <c r="U54" i="6"/>
  <c r="U55" i="6"/>
  <c r="U56" i="6"/>
  <c r="U57" i="6"/>
  <c r="U58" i="6"/>
  <c r="U59" i="6"/>
  <c r="C41" i="6"/>
  <c r="C34" i="6"/>
  <c r="G39" i="6"/>
  <c r="B9" i="6"/>
  <c r="G40" i="6"/>
  <c r="G38" i="6"/>
  <c r="G37" i="6"/>
  <c r="C40" i="6"/>
  <c r="G35" i="6"/>
  <c r="G31" i="6"/>
  <c r="G36" i="6"/>
  <c r="G30" i="6"/>
  <c r="G41" i="6"/>
  <c r="D38" i="6"/>
  <c r="F38" i="6"/>
  <c r="D37" i="6"/>
  <c r="F37" i="6"/>
  <c r="B37" i="6"/>
  <c r="D39" i="6"/>
  <c r="E39" i="6"/>
  <c r="B39" i="6"/>
  <c r="F39" i="6"/>
  <c r="F35" i="6"/>
  <c r="E35" i="6"/>
  <c r="B35" i="6"/>
  <c r="D35" i="6"/>
  <c r="G34" i="6"/>
  <c r="F34" i="6"/>
  <c r="D34" i="6"/>
  <c r="G33" i="6"/>
  <c r="E33" i="6"/>
  <c r="B33" i="6"/>
  <c r="F33" i="6"/>
  <c r="D33" i="6"/>
  <c r="G32" i="6"/>
  <c r="B32" i="6"/>
  <c r="C32" i="6" s="1"/>
  <c r="F32" i="6"/>
  <c r="D32" i="6"/>
  <c r="F30" i="6"/>
  <c r="D30" i="6"/>
  <c r="E37" i="6"/>
  <c r="C37" i="6" s="1"/>
  <c r="E31" i="6"/>
  <c r="C31" i="6" s="1"/>
  <c r="B38" i="6"/>
  <c r="E38" i="6"/>
  <c r="C38" i="6" s="1"/>
  <c r="B36" i="6"/>
  <c r="C36" i="6" s="1"/>
  <c r="B30" i="6"/>
  <c r="C30" i="6" s="1"/>
  <c r="B20" i="6" l="1"/>
  <c r="P33" i="6"/>
  <c r="V54" i="6"/>
  <c r="J30" i="6"/>
  <c r="J31" i="6"/>
  <c r="P30" i="6"/>
  <c r="P31" i="6"/>
  <c r="V33" i="6"/>
  <c r="P35" i="6"/>
  <c r="P36" i="6"/>
  <c r="P37" i="6"/>
  <c r="P39" i="6"/>
  <c r="V30" i="6"/>
  <c r="V31" i="6"/>
  <c r="V32" i="6"/>
  <c r="V39" i="6"/>
  <c r="V35" i="6"/>
  <c r="V36" i="6"/>
  <c r="V37" i="6"/>
  <c r="V38" i="6"/>
  <c r="V40" i="6"/>
  <c r="V41" i="6"/>
  <c r="V42" i="6"/>
  <c r="V43" i="6"/>
  <c r="V45" i="6"/>
  <c r="V46" i="6"/>
  <c r="V47" i="6"/>
  <c r="V50" i="6"/>
  <c r="V51" i="6"/>
  <c r="V55" i="6"/>
  <c r="V56" i="6"/>
  <c r="V57" i="6"/>
  <c r="V58" i="6"/>
  <c r="V59" i="6"/>
  <c r="C35" i="6"/>
  <c r="J32" i="6"/>
  <c r="V44" i="6"/>
  <c r="B24" i="6"/>
  <c r="J33" i="6"/>
  <c r="V34" i="6"/>
  <c r="C39" i="6"/>
  <c r="P32" i="6"/>
  <c r="V49" i="6"/>
  <c r="C33" i="6"/>
  <c r="B16" i="6"/>
  <c r="V48" i="6"/>
  <c r="B22" i="6"/>
  <c r="B23" i="6" s="1"/>
  <c r="B17" i="6"/>
  <c r="P34" i="6"/>
  <c r="V53" i="6"/>
  <c r="L34" i="6" l="1"/>
  <c r="K34" i="6"/>
  <c r="L33" i="6"/>
  <c r="K33" i="6"/>
  <c r="L32" i="6"/>
  <c r="K32" i="6"/>
  <c r="L31" i="6"/>
  <c r="K31" i="6"/>
  <c r="L30" i="6"/>
  <c r="K30" i="6"/>
  <c r="R39" i="6"/>
  <c r="Q39" i="6"/>
  <c r="R38" i="6"/>
  <c r="Q38" i="6"/>
  <c r="R37" i="6"/>
  <c r="Q37" i="6"/>
  <c r="R36" i="6"/>
  <c r="Q36" i="6"/>
  <c r="R35" i="6"/>
  <c r="Q35" i="6"/>
  <c r="R34" i="6"/>
  <c r="Q34" i="6"/>
  <c r="R33" i="6"/>
  <c r="Q33" i="6"/>
  <c r="R32" i="6"/>
  <c r="Q32" i="6"/>
  <c r="R31" i="6"/>
  <c r="Q31" i="6"/>
  <c r="R30" i="6"/>
  <c r="Q30" i="6"/>
  <c r="B21" i="6" s="1"/>
  <c r="X59" i="6"/>
  <c r="W59" i="6"/>
  <c r="X58" i="6"/>
  <c r="W58" i="6"/>
  <c r="X57" i="6"/>
  <c r="W57" i="6"/>
  <c r="X56" i="6"/>
  <c r="W56" i="6"/>
  <c r="X55" i="6"/>
  <c r="W55" i="6"/>
  <c r="X54" i="6"/>
  <c r="W54" i="6"/>
  <c r="X53" i="6"/>
  <c r="W53" i="6"/>
  <c r="X52" i="6"/>
  <c r="W52" i="6"/>
  <c r="X51" i="6"/>
  <c r="W51" i="6"/>
  <c r="X50" i="6"/>
  <c r="W50" i="6"/>
  <c r="X49" i="6"/>
  <c r="W49" i="6"/>
  <c r="X48" i="6"/>
  <c r="W48" i="6"/>
  <c r="X47" i="6"/>
  <c r="W47" i="6"/>
  <c r="X46" i="6"/>
  <c r="W46" i="6"/>
  <c r="X45" i="6"/>
  <c r="W45" i="6"/>
  <c r="X44" i="6"/>
  <c r="W44" i="6"/>
  <c r="X43" i="6"/>
  <c r="W43" i="6"/>
  <c r="X42" i="6"/>
  <c r="W42" i="6"/>
  <c r="X41" i="6"/>
  <c r="W41" i="6"/>
  <c r="X40" i="6"/>
  <c r="W40" i="6"/>
  <c r="X39" i="6"/>
  <c r="W39" i="6"/>
  <c r="X38" i="6"/>
  <c r="W38" i="6"/>
  <c r="X37" i="6"/>
  <c r="W37" i="6"/>
  <c r="X36" i="6"/>
  <c r="W36" i="6"/>
  <c r="X35" i="6"/>
  <c r="W35" i="6"/>
  <c r="X34" i="6"/>
  <c r="W34" i="6"/>
  <c r="X33" i="6"/>
  <c r="W33" i="6"/>
  <c r="X32" i="6"/>
  <c r="W32" i="6"/>
  <c r="X31" i="6"/>
  <c r="W31" i="6"/>
  <c r="X30" i="6"/>
  <c r="W30" i="6"/>
  <c r="B18" i="6"/>
  <c r="P10" i="2"/>
  <c r="B16" i="2"/>
  <c r="W10" i="2"/>
  <c r="I10" i="2"/>
  <c r="B10" i="2"/>
  <c r="P16" i="2" l="1"/>
  <c r="I16" i="2"/>
  <c r="W16" i="2"/>
  <c r="B48" i="2"/>
</calcChain>
</file>

<file path=xl/sharedStrings.xml><?xml version="1.0" encoding="utf-8"?>
<sst xmlns="http://schemas.openxmlformats.org/spreadsheetml/2006/main" count="17528" uniqueCount="5118">
  <si>
    <t>SPRZEDAŻ</t>
  </si>
  <si>
    <t>CELE</t>
  </si>
  <si>
    <t>SŁOWNIKI</t>
  </si>
  <si>
    <t>USTAWIENIA</t>
  </si>
  <si>
    <t>INSTRUKCJA</t>
  </si>
  <si>
    <t>Identyfikator aplikacji</t>
  </si>
  <si>
    <t>ENL_SALES_PRO_V1</t>
  </si>
  <si>
    <t>Firma (fikcyjna)</t>
  </si>
  <si>
    <t>Verdelia Trade | DEMO</t>
  </si>
  <si>
    <t>Waluta</t>
  </si>
  <si>
    <t>PLN</t>
  </si>
  <si>
    <t>Domyślny rok</t>
  </si>
  <si>
    <t>Wersja</t>
  </si>
  <si>
    <t>1.0.0</t>
  </si>
  <si>
    <t>Porównanie</t>
  </si>
  <si>
    <t>Miesiąc: poprzedni miesiąc; rok: analogiczny zakres poprzedniego roku</t>
  </si>
  <si>
    <t>Ostatnia kontrola / odświeżenie</t>
  </si>
  <si>
    <t>Stan danych</t>
  </si>
  <si>
    <t>Dopisuj pozycje pod listą, bez pustych wierszy. Następnie kliknij Odśwież. Produkt wymaga kategorii w kolumnie F.</t>
  </si>
  <si>
    <t>Region</t>
  </si>
  <si>
    <t>Handlowiec</t>
  </si>
  <si>
    <t>Produkt</t>
  </si>
  <si>
    <t>Kategoria produktu</t>
  </si>
  <si>
    <t>Kategoria</t>
  </si>
  <si>
    <t>Klient</t>
  </si>
  <si>
    <t>Miesiąc</t>
  </si>
  <si>
    <t>Lata</t>
  </si>
  <si>
    <t>Region filtra</t>
  </si>
  <si>
    <t>Północ</t>
  </si>
  <si>
    <t>Biuro</t>
  </si>
  <si>
    <t>Południe</t>
  </si>
  <si>
    <t>Ergonomia</t>
  </si>
  <si>
    <t>Centrum</t>
  </si>
  <si>
    <t>Technologia</t>
  </si>
  <si>
    <t>Wschód</t>
  </si>
  <si>
    <t>Archiwizacja</t>
  </si>
  <si>
    <t>Zachód</t>
  </si>
  <si>
    <t>Akcesoria</t>
  </si>
  <si>
    <t>Ada Welnicka</t>
  </si>
  <si>
    <t>Bruno Terski</t>
  </si>
  <si>
    <t>Celina Norwicka</t>
  </si>
  <si>
    <t>Damian Lurawski</t>
  </si>
  <si>
    <t>Eliza Fenicka</t>
  </si>
  <si>
    <t>Feliks Borwian</t>
  </si>
  <si>
    <t>Gaja Mernicka</t>
  </si>
  <si>
    <t>Hubert Selwicki</t>
  </si>
  <si>
    <t>Iga Weltryn</t>
  </si>
  <si>
    <t>Jan Rulwicki</t>
  </si>
  <si>
    <t>Notatnik Vela 01</t>
  </si>
  <si>
    <t>Notatnik Vela 02</t>
  </si>
  <si>
    <t>Notatnik Vela 03</t>
  </si>
  <si>
    <t>Notatnik Vela 04</t>
  </si>
  <si>
    <t>Notatnik Vela 05</t>
  </si>
  <si>
    <t>Notatnik Vela 06</t>
  </si>
  <si>
    <t>Podpora Ergo 01</t>
  </si>
  <si>
    <t>Podpora Ergo 02</t>
  </si>
  <si>
    <t>Podpora Ergo 03</t>
  </si>
  <si>
    <t>Podpora Ergo 04</t>
  </si>
  <si>
    <t>Podpora Ergo 05</t>
  </si>
  <si>
    <t>Podpora Ergo 06</t>
  </si>
  <si>
    <t>Hub Nexa 01</t>
  </si>
  <si>
    <t>Hub Nexa 02</t>
  </si>
  <si>
    <t>Hub Nexa 03</t>
  </si>
  <si>
    <t>Hub Nexa 04</t>
  </si>
  <si>
    <t>Hub Nexa 05</t>
  </si>
  <si>
    <t>Hub Nexa 06</t>
  </si>
  <si>
    <t>Organizer Filo 01</t>
  </si>
  <si>
    <t>Organizer Filo 02</t>
  </si>
  <si>
    <t>Organizer Filo 03</t>
  </si>
  <si>
    <t>Organizer Filo 04</t>
  </si>
  <si>
    <t>Organizer Filo 05</t>
  </si>
  <si>
    <t>Organizer Filo 06</t>
  </si>
  <si>
    <t>Zestaw Mira 01</t>
  </si>
  <si>
    <t>Zestaw Mira 02</t>
  </si>
  <si>
    <t>Zestaw Mira 03</t>
  </si>
  <si>
    <t>Zestaw Mira 04</t>
  </si>
  <si>
    <t>Zestaw Mira 05</t>
  </si>
  <si>
    <t>Zestaw Mira 06</t>
  </si>
  <si>
    <t>Klient DEMO 001</t>
  </si>
  <si>
    <t>Klient DEMO 002</t>
  </si>
  <si>
    <t>Klient DEMO 003</t>
  </si>
  <si>
    <t>Klient DEMO 004</t>
  </si>
  <si>
    <t>Klient DEMO 005</t>
  </si>
  <si>
    <t>Klient DEMO 006</t>
  </si>
  <si>
    <t>Klient DEMO 007</t>
  </si>
  <si>
    <t>Klient DEMO 008</t>
  </si>
  <si>
    <t>Klient DEMO 009</t>
  </si>
  <si>
    <t>Klient DEMO 010</t>
  </si>
  <si>
    <t>Klient DEMO 011</t>
  </si>
  <si>
    <t>Klient DEMO 012</t>
  </si>
  <si>
    <t>Klient DEMO 013</t>
  </si>
  <si>
    <t>Klient DEMO 014</t>
  </si>
  <si>
    <t>Klient DEMO 015</t>
  </si>
  <si>
    <t>Klient DEMO 016</t>
  </si>
  <si>
    <t>Klient DEMO 017</t>
  </si>
  <si>
    <t>Klient DEMO 018</t>
  </si>
  <si>
    <t>Klient DEMO 019</t>
  </si>
  <si>
    <t>Klient DEMO 020</t>
  </si>
  <si>
    <t>Klient DEMO 021</t>
  </si>
  <si>
    <t>Klient DEMO 022</t>
  </si>
  <si>
    <t>Klient DEMO 023</t>
  </si>
  <si>
    <t>Klient DEMO 024</t>
  </si>
  <si>
    <t>Klient DEMO 025</t>
  </si>
  <si>
    <t>Klient DEMO 026</t>
  </si>
  <si>
    <t>Klient DEMO 027</t>
  </si>
  <si>
    <t>Klient DEMO 028</t>
  </si>
  <si>
    <t>Klient DEMO 029</t>
  </si>
  <si>
    <t>Klient DEMO 030</t>
  </si>
  <si>
    <t>Klient DEMO 031</t>
  </si>
  <si>
    <t>Klient DEMO 032</t>
  </si>
  <si>
    <t>Klient DEMO 033</t>
  </si>
  <si>
    <t>Klient DEMO 034</t>
  </si>
  <si>
    <t>Klient DEMO 035</t>
  </si>
  <si>
    <t>Klient DEMO 036</t>
  </si>
  <si>
    <t>Klient DEMO 037</t>
  </si>
  <si>
    <t>Klient DEMO 038</t>
  </si>
  <si>
    <t>Klient DEMO 039</t>
  </si>
  <si>
    <t>Klient DEMO 040</t>
  </si>
  <si>
    <t>Klient DEMO 041</t>
  </si>
  <si>
    <t>Klient DEMO 042</t>
  </si>
  <si>
    <t>Klient DEMO 043</t>
  </si>
  <si>
    <t>Klient DEMO 044</t>
  </si>
  <si>
    <t>Klient DEMO 045</t>
  </si>
  <si>
    <t>Klient DEMO 046</t>
  </si>
  <si>
    <t>Klient DEMO 047</t>
  </si>
  <si>
    <t>Klient DEMO 048</t>
  </si>
  <si>
    <t>Klient DEMO 049</t>
  </si>
  <si>
    <t>Klient DEMO 050</t>
  </si>
  <si>
    <t>Klient DEMO 051</t>
  </si>
  <si>
    <t>Klient DEMO 052</t>
  </si>
  <si>
    <t>Klient DEMO 053</t>
  </si>
  <si>
    <t>Klient DEMO 054</t>
  </si>
  <si>
    <t>Klient DEMO 055</t>
  </si>
  <si>
    <t>Klient DEMO 056</t>
  </si>
  <si>
    <t>Klient DEMO 057</t>
  </si>
  <si>
    <t>Klient DEMO 058</t>
  </si>
  <si>
    <t>Klient DEMO 059</t>
  </si>
  <si>
    <t>Klient DEMO 060</t>
  </si>
  <si>
    <t>Klient DEMO 061</t>
  </si>
  <si>
    <t>Klient DEMO 062</t>
  </si>
  <si>
    <t>Klient DEMO 063</t>
  </si>
  <si>
    <t>Klient DEMO 064</t>
  </si>
  <si>
    <t>Klient DEMO 065</t>
  </si>
  <si>
    <t>Klient DEMO 066</t>
  </si>
  <si>
    <t>Klient DEMO 067</t>
  </si>
  <si>
    <t>Klient DEMO 068</t>
  </si>
  <si>
    <t>Klient DEMO 069</t>
  </si>
  <si>
    <t>Klient DEMO 070</t>
  </si>
  <si>
    <t>Klient DEMO 071</t>
  </si>
  <si>
    <t>Klient DEMO 072</t>
  </si>
  <si>
    <t>Klient DEMO 073</t>
  </si>
  <si>
    <t>Klient DEMO 074</t>
  </si>
  <si>
    <t>Klient DEMO 075</t>
  </si>
  <si>
    <t>Cały rok</t>
  </si>
  <si>
    <t>01 Styczeń</t>
  </si>
  <si>
    <t>02 Luty</t>
  </si>
  <si>
    <t>03 Marzec</t>
  </si>
  <si>
    <t>04 Kwiecień</t>
  </si>
  <si>
    <t>05 Maj</t>
  </si>
  <si>
    <t>06 Czerwiec</t>
  </si>
  <si>
    <t>07 Lipiec</t>
  </si>
  <si>
    <t>08 Sierpień</t>
  </si>
  <si>
    <t>09 Wrzesień</t>
  </si>
  <si>
    <t>10 Październik</t>
  </si>
  <si>
    <t>11 Listopad</t>
  </si>
  <si>
    <t>12 Grudzień</t>
  </si>
  <si>
    <t>ID transakcji</t>
  </si>
  <si>
    <t>Data</t>
  </si>
  <si>
    <t>Numer zamówienia</t>
  </si>
  <si>
    <t>Ilość</t>
  </si>
  <si>
    <t>Cena netto jednostkowa</t>
  </si>
  <si>
    <t>Rabat %</t>
  </si>
  <si>
    <t>Koszt jednostkowy netto</t>
  </si>
  <si>
    <t>Przychód netto</t>
  </si>
  <si>
    <t>Koszt całkowity netto</t>
  </si>
  <si>
    <t>Marża kwotowa</t>
  </si>
  <si>
    <t>Marża %</t>
  </si>
  <si>
    <t>Rok</t>
  </si>
  <si>
    <t>Rok-miesiąc</t>
  </si>
  <si>
    <t>DEMO-000001</t>
  </si>
  <si>
    <t>ZAM-250101-01</t>
  </si>
  <si>
    <t>DEMO-000002</t>
  </si>
  <si>
    <t>ZAM-250101-02</t>
  </si>
  <si>
    <t>DEMO-000003</t>
  </si>
  <si>
    <t>ZAM-250101-03</t>
  </si>
  <si>
    <t>DEMO-000004</t>
  </si>
  <si>
    <t>ZAM-250101-04</t>
  </si>
  <si>
    <t>DEMO-000005</t>
  </si>
  <si>
    <t>ZAM-250102-01</t>
  </si>
  <si>
    <t>DEMO-000006</t>
  </si>
  <si>
    <t>ZAM-250102-02</t>
  </si>
  <si>
    <t>DEMO-000007</t>
  </si>
  <si>
    <t>ZAM-250102-03</t>
  </si>
  <si>
    <t>DEMO-000008</t>
  </si>
  <si>
    <t>ZAM-250103-01</t>
  </si>
  <si>
    <t>DEMO-000009</t>
  </si>
  <si>
    <t>ZAM-250103-02</t>
  </si>
  <si>
    <t>DEMO-000010</t>
  </si>
  <si>
    <t>ZAM-250103-03</t>
  </si>
  <si>
    <t>DEMO-000011</t>
  </si>
  <si>
    <t>ZAM-250103-04</t>
  </si>
  <si>
    <t>DEMO-000012</t>
  </si>
  <si>
    <t>ZAM-250103-05</t>
  </si>
  <si>
    <t>DEMO-000013</t>
  </si>
  <si>
    <t>ZAM-250104-01</t>
  </si>
  <si>
    <t>DEMO-000014</t>
  </si>
  <si>
    <t>ZAM-250104-02</t>
  </si>
  <si>
    <t>DEMO-000015</t>
  </si>
  <si>
    <t>ZAM-250105-01</t>
  </si>
  <si>
    <t>DEMO-000016</t>
  </si>
  <si>
    <t>ZAM-250105-02</t>
  </si>
  <si>
    <t>DEMO-000017</t>
  </si>
  <si>
    <t>ZAM-250106-01</t>
  </si>
  <si>
    <t>DEMO-000018</t>
  </si>
  <si>
    <t>ZAM-250106-02</t>
  </si>
  <si>
    <t>DEMO-000019</t>
  </si>
  <si>
    <t>ZAM-250106-03</t>
  </si>
  <si>
    <t>DEMO-000020</t>
  </si>
  <si>
    <t>ZAM-250106-04</t>
  </si>
  <si>
    <t>DEMO-000021</t>
  </si>
  <si>
    <t>ZAM-250106-05</t>
  </si>
  <si>
    <t>DEMO-000022</t>
  </si>
  <si>
    <t>ZAM-250107-01</t>
  </si>
  <si>
    <t>DEMO-000023</t>
  </si>
  <si>
    <t>ZAM-250107-02</t>
  </si>
  <si>
    <t>DEMO-000024</t>
  </si>
  <si>
    <t>ZAM-250107-03</t>
  </si>
  <si>
    <t>DEMO-000025</t>
  </si>
  <si>
    <t>ZAM-250107-04</t>
  </si>
  <si>
    <t>DEMO-000026</t>
  </si>
  <si>
    <t>ZAM-250108-01</t>
  </si>
  <si>
    <t>DEMO-000027</t>
  </si>
  <si>
    <t>ZAM-250108-02</t>
  </si>
  <si>
    <t>DEMO-000028</t>
  </si>
  <si>
    <t>ZAM-250108-03</t>
  </si>
  <si>
    <t>DEMO-000029</t>
  </si>
  <si>
    <t>ZAM-250108-04</t>
  </si>
  <si>
    <t>DEMO-000030</t>
  </si>
  <si>
    <t>ZAM-250109-01</t>
  </si>
  <si>
    <t>DEMO-000031</t>
  </si>
  <si>
    <t>ZAM-250109-02</t>
  </si>
  <si>
    <t>DEMO-000032</t>
  </si>
  <si>
    <t>ZAM-250109-03</t>
  </si>
  <si>
    <t>DEMO-000033</t>
  </si>
  <si>
    <t>ZAM-250109-04</t>
  </si>
  <si>
    <t>DEMO-000034</t>
  </si>
  <si>
    <t>ZAM-250109-05</t>
  </si>
  <si>
    <t>DEMO-000035</t>
  </si>
  <si>
    <t>ZAM-250110-01</t>
  </si>
  <si>
    <t>DEMO-000036</t>
  </si>
  <si>
    <t>ZAM-250110-02</t>
  </si>
  <si>
    <t>DEMO-000037</t>
  </si>
  <si>
    <t>ZAM-250110-03</t>
  </si>
  <si>
    <t>DEMO-000038</t>
  </si>
  <si>
    <t>ZAM-250111-01</t>
  </si>
  <si>
    <t>DEMO-000039</t>
  </si>
  <si>
    <t>ZAM-250112-01</t>
  </si>
  <si>
    <t>DEMO-000040</t>
  </si>
  <si>
    <t>ZAM-250113-01</t>
  </si>
  <si>
    <t>DEMO-000041</t>
  </si>
  <si>
    <t>ZAM-250113-02</t>
  </si>
  <si>
    <t>DEMO-000042</t>
  </si>
  <si>
    <t>ZAM-250113-03</t>
  </si>
  <si>
    <t>DEMO-000043</t>
  </si>
  <si>
    <t>ZAM-250113-04</t>
  </si>
  <si>
    <t>DEMO-000044</t>
  </si>
  <si>
    <t>ZAM-250114-01</t>
  </si>
  <si>
    <t>DEMO-000045</t>
  </si>
  <si>
    <t>ZAM-250114-02</t>
  </si>
  <si>
    <t>DEMO-000046</t>
  </si>
  <si>
    <t>ZAM-250114-03</t>
  </si>
  <si>
    <t>DEMO-000047</t>
  </si>
  <si>
    <t>ZAM-250115-01</t>
  </si>
  <si>
    <t>DEMO-000048</t>
  </si>
  <si>
    <t>ZAM-250115-02</t>
  </si>
  <si>
    <t>DEMO-000049</t>
  </si>
  <si>
    <t>ZAM-250115-03</t>
  </si>
  <si>
    <t>DEMO-000050</t>
  </si>
  <si>
    <t>ZAM-250116-01</t>
  </si>
  <si>
    <t>DEMO-000051</t>
  </si>
  <si>
    <t>ZAM-250116-02</t>
  </si>
  <si>
    <t>DEMO-000052</t>
  </si>
  <si>
    <t>ZAM-250116-03</t>
  </si>
  <si>
    <t>DEMO-000053</t>
  </si>
  <si>
    <t>ZAM-250116-04</t>
  </si>
  <si>
    <t>DEMO-000054</t>
  </si>
  <si>
    <t>ZAM-250117-01</t>
  </si>
  <si>
    <t>DEMO-000055</t>
  </si>
  <si>
    <t>ZAM-250117-02</t>
  </si>
  <si>
    <t>DEMO-000056</t>
  </si>
  <si>
    <t>ZAM-250117-03</t>
  </si>
  <si>
    <t>DEMO-000057</t>
  </si>
  <si>
    <t>ZAM-250117-04</t>
  </si>
  <si>
    <t>DEMO-000058</t>
  </si>
  <si>
    <t>ZAM-250117-05</t>
  </si>
  <si>
    <t>DEMO-000059</t>
  </si>
  <si>
    <t>ZAM-250118-01</t>
  </si>
  <si>
    <t>DEMO-000060</t>
  </si>
  <si>
    <t>ZAM-250118-02</t>
  </si>
  <si>
    <t>DEMO-000061</t>
  </si>
  <si>
    <t>ZAM-250119-01</t>
  </si>
  <si>
    <t>DEMO-000062</t>
  </si>
  <si>
    <t>ZAM-250120-01</t>
  </si>
  <si>
    <t>DEMO-000063</t>
  </si>
  <si>
    <t>ZAM-250120-02</t>
  </si>
  <si>
    <t>DEMO-000064</t>
  </si>
  <si>
    <t>ZAM-250120-03</t>
  </si>
  <si>
    <t>DEMO-000065</t>
  </si>
  <si>
    <t>ZAM-250120-04</t>
  </si>
  <si>
    <t>DEMO-000066</t>
  </si>
  <si>
    <t>ZAM-250121-01</t>
  </si>
  <si>
    <t>DEMO-000067</t>
  </si>
  <si>
    <t>ZAM-250121-02</t>
  </si>
  <si>
    <t>DEMO-000068</t>
  </si>
  <si>
    <t>ZAM-250121-03</t>
  </si>
  <si>
    <t>DEMO-000069</t>
  </si>
  <si>
    <t>ZAM-250121-04</t>
  </si>
  <si>
    <t>DEMO-000070</t>
  </si>
  <si>
    <t>ZAM-250122-01</t>
  </si>
  <si>
    <t>DEMO-000071</t>
  </si>
  <si>
    <t>ZAM-250122-02</t>
  </si>
  <si>
    <t>DEMO-000072</t>
  </si>
  <si>
    <t>ZAM-250122-03</t>
  </si>
  <si>
    <t>DEMO-000073</t>
  </si>
  <si>
    <t>ZAM-250122-04</t>
  </si>
  <si>
    <t>DEMO-000074</t>
  </si>
  <si>
    <t>ZAM-250123-01</t>
  </si>
  <si>
    <t>DEMO-000075</t>
  </si>
  <si>
    <t>ZAM-250123-02</t>
  </si>
  <si>
    <t>DEMO-000076</t>
  </si>
  <si>
    <t>ZAM-250123-03</t>
  </si>
  <si>
    <t>DEMO-000077</t>
  </si>
  <si>
    <t>ZAM-250123-04</t>
  </si>
  <si>
    <t>DEMO-000078</t>
  </si>
  <si>
    <t>ZAM-250124-01</t>
  </si>
  <si>
    <t>DEMO-000079</t>
  </si>
  <si>
    <t>ZAM-250124-02</t>
  </si>
  <si>
    <t>DEMO-000080</t>
  </si>
  <si>
    <t>ZAM-250124-03</t>
  </si>
  <si>
    <t>DEMO-000081</t>
  </si>
  <si>
    <t>ZAM-250124-04</t>
  </si>
  <si>
    <t>DEMO-000082</t>
  </si>
  <si>
    <t>ZAM-250124-05</t>
  </si>
  <si>
    <t>DEMO-000083</t>
  </si>
  <si>
    <t>ZAM-250125-01</t>
  </si>
  <si>
    <t>DEMO-000084</t>
  </si>
  <si>
    <t>ZAM-250125-02</t>
  </si>
  <si>
    <t>DEMO-000085</t>
  </si>
  <si>
    <t>ZAM-250126-01</t>
  </si>
  <si>
    <t>DEMO-000086</t>
  </si>
  <si>
    <t>ZAM-250127-01</t>
  </si>
  <si>
    <t>DEMO-000087</t>
  </si>
  <si>
    <t>ZAM-250127-02</t>
  </si>
  <si>
    <t>DEMO-000088</t>
  </si>
  <si>
    <t>ZAM-250127-03</t>
  </si>
  <si>
    <t>DEMO-000089</t>
  </si>
  <si>
    <t>ZAM-250128-01</t>
  </si>
  <si>
    <t>DEMO-000090</t>
  </si>
  <si>
    <t>ZAM-250128-02</t>
  </si>
  <si>
    <t>DEMO-000091</t>
  </si>
  <si>
    <t>ZAM-250128-03</t>
  </si>
  <si>
    <t>DEMO-000092</t>
  </si>
  <si>
    <t>ZAM-250128-04</t>
  </si>
  <si>
    <t>DEMO-000093</t>
  </si>
  <si>
    <t>ZAM-250129-01</t>
  </si>
  <si>
    <t>DEMO-000094</t>
  </si>
  <si>
    <t>ZAM-250129-02</t>
  </si>
  <si>
    <t>DEMO-000095</t>
  </si>
  <si>
    <t>ZAM-250129-03</t>
  </si>
  <si>
    <t>DEMO-000096</t>
  </si>
  <si>
    <t>ZAM-250129-04</t>
  </si>
  <si>
    <t>DEMO-000097</t>
  </si>
  <si>
    <t>ZAM-250129-05</t>
  </si>
  <si>
    <t>DEMO-000098</t>
  </si>
  <si>
    <t>ZAM-250130-01</t>
  </si>
  <si>
    <t>DEMO-000099</t>
  </si>
  <si>
    <t>ZAM-250130-02</t>
  </si>
  <si>
    <t>DEMO-000100</t>
  </si>
  <si>
    <t>ZAM-250130-03</t>
  </si>
  <si>
    <t>DEMO-000101</t>
  </si>
  <si>
    <t>ZAM-250131-01</t>
  </si>
  <si>
    <t>DEMO-000102</t>
  </si>
  <si>
    <t>ZAM-250131-02</t>
  </si>
  <si>
    <t>DEMO-000103</t>
  </si>
  <si>
    <t>ZAM-250131-03</t>
  </si>
  <si>
    <t>DEMO-000104</t>
  </si>
  <si>
    <t>ZAM-250131-04</t>
  </si>
  <si>
    <t>DEMO-000105</t>
  </si>
  <si>
    <t>ZAM-250131-05</t>
  </si>
  <si>
    <t>DEMO-000106</t>
  </si>
  <si>
    <t>ZAM-250201-01</t>
  </si>
  <si>
    <t>DEMO-000107</t>
  </si>
  <si>
    <t>ZAM-250202-01</t>
  </si>
  <si>
    <t>DEMO-000108</t>
  </si>
  <si>
    <t>ZAM-250203-01</t>
  </si>
  <si>
    <t>DEMO-000109</t>
  </si>
  <si>
    <t>ZAM-250203-02</t>
  </si>
  <si>
    <t>DEMO-000110</t>
  </si>
  <si>
    <t>ZAM-250203-03</t>
  </si>
  <si>
    <t>DEMO-000111</t>
  </si>
  <si>
    <t>ZAM-250204-01</t>
  </si>
  <si>
    <t>DEMO-000112</t>
  </si>
  <si>
    <t>ZAM-250204-02</t>
  </si>
  <si>
    <t>DEMO-000113</t>
  </si>
  <si>
    <t>ZAM-250204-03</t>
  </si>
  <si>
    <t>DEMO-000114</t>
  </si>
  <si>
    <t>ZAM-250204-04</t>
  </si>
  <si>
    <t>DEMO-000115</t>
  </si>
  <si>
    <t>ZAM-250205-01</t>
  </si>
  <si>
    <t>DEMO-000116</t>
  </si>
  <si>
    <t>ZAM-250205-02</t>
  </si>
  <si>
    <t>DEMO-000117</t>
  </si>
  <si>
    <t>ZAM-250205-03</t>
  </si>
  <si>
    <t>DEMO-000118</t>
  </si>
  <si>
    <t>ZAM-250206-01</t>
  </si>
  <si>
    <t>DEMO-000119</t>
  </si>
  <si>
    <t>ZAM-250206-02</t>
  </si>
  <si>
    <t>DEMO-000120</t>
  </si>
  <si>
    <t>ZAM-250206-03</t>
  </si>
  <si>
    <t>DEMO-000121</t>
  </si>
  <si>
    <t>ZAM-250206-04</t>
  </si>
  <si>
    <t>DEMO-000122</t>
  </si>
  <si>
    <t>ZAM-250206-05</t>
  </si>
  <si>
    <t>DEMO-000123</t>
  </si>
  <si>
    <t>ZAM-250207-01</t>
  </si>
  <si>
    <t>DEMO-000124</t>
  </si>
  <si>
    <t>ZAM-250207-02</t>
  </si>
  <si>
    <t>DEMO-000125</t>
  </si>
  <si>
    <t>ZAM-250207-03</t>
  </si>
  <si>
    <t>DEMO-000126</t>
  </si>
  <si>
    <t>ZAM-250207-04</t>
  </si>
  <si>
    <t>DEMO-000127</t>
  </si>
  <si>
    <t>ZAM-250208-01</t>
  </si>
  <si>
    <t>DEMO-000128</t>
  </si>
  <si>
    <t>ZAM-250208-02</t>
  </si>
  <si>
    <t>DEMO-000129</t>
  </si>
  <si>
    <t>ZAM-250209-01</t>
  </si>
  <si>
    <t>DEMO-000130</t>
  </si>
  <si>
    <t>ZAM-250209-02</t>
  </si>
  <si>
    <t>DEMO-000131</t>
  </si>
  <si>
    <t>ZAM-250210-01</t>
  </si>
  <si>
    <t>DEMO-000132</t>
  </si>
  <si>
    <t>ZAM-250210-02</t>
  </si>
  <si>
    <t>DEMO-000133</t>
  </si>
  <si>
    <t>ZAM-250210-03</t>
  </si>
  <si>
    <t>DEMO-000134</t>
  </si>
  <si>
    <t>ZAM-250210-04</t>
  </si>
  <si>
    <t>DEMO-000135</t>
  </si>
  <si>
    <t>ZAM-250211-01</t>
  </si>
  <si>
    <t>DEMO-000136</t>
  </si>
  <si>
    <t>ZAM-250211-02</t>
  </si>
  <si>
    <t>DEMO-000137</t>
  </si>
  <si>
    <t>ZAM-250211-03</t>
  </si>
  <si>
    <t>DEMO-000138</t>
  </si>
  <si>
    <t>ZAM-250211-04</t>
  </si>
  <si>
    <t>DEMO-000139</t>
  </si>
  <si>
    <t>ZAM-250211-05</t>
  </si>
  <si>
    <t>DEMO-000140</t>
  </si>
  <si>
    <t>ZAM-250212-01</t>
  </si>
  <si>
    <t>DEMO-000141</t>
  </si>
  <si>
    <t>ZAM-250212-02</t>
  </si>
  <si>
    <t>DEMO-000142</t>
  </si>
  <si>
    <t>ZAM-250212-03</t>
  </si>
  <si>
    <t>DEMO-000143</t>
  </si>
  <si>
    <t>ZAM-250212-04</t>
  </si>
  <si>
    <t>DEMO-000144</t>
  </si>
  <si>
    <t>ZAM-250212-05</t>
  </si>
  <si>
    <t>DEMO-000145</t>
  </si>
  <si>
    <t>ZAM-250213-01</t>
  </si>
  <si>
    <t>DEMO-000146</t>
  </si>
  <si>
    <t>ZAM-250213-02</t>
  </si>
  <si>
    <t>DEMO-000147</t>
  </si>
  <si>
    <t>ZAM-250213-03</t>
  </si>
  <si>
    <t>DEMO-000148</t>
  </si>
  <si>
    <t>ZAM-250213-04</t>
  </si>
  <si>
    <t>DEMO-000149</t>
  </si>
  <si>
    <t>ZAM-250213-05</t>
  </si>
  <si>
    <t>DEMO-000150</t>
  </si>
  <si>
    <t>ZAM-250214-01</t>
  </si>
  <si>
    <t>DEMO-000151</t>
  </si>
  <si>
    <t>ZAM-250214-02</t>
  </si>
  <si>
    <t>DEMO-000152</t>
  </si>
  <si>
    <t>ZAM-250214-03</t>
  </si>
  <si>
    <t>DEMO-000153</t>
  </si>
  <si>
    <t>ZAM-250214-04</t>
  </si>
  <si>
    <t>DEMO-000154</t>
  </si>
  <si>
    <t>ZAM-250214-05</t>
  </si>
  <si>
    <t>DEMO-000155</t>
  </si>
  <si>
    <t>ZAM-250215-01</t>
  </si>
  <si>
    <t>DEMO-000156</t>
  </si>
  <si>
    <t>ZAM-250216-01</t>
  </si>
  <si>
    <t>DEMO-000157</t>
  </si>
  <si>
    <t>ZAM-250217-01</t>
  </si>
  <si>
    <t>DEMO-000158</t>
  </si>
  <si>
    <t>ZAM-250217-02</t>
  </si>
  <si>
    <t>DEMO-000159</t>
  </si>
  <si>
    <t>ZAM-250217-03</t>
  </si>
  <si>
    <t>DEMO-000160</t>
  </si>
  <si>
    <t>ZAM-250217-04</t>
  </si>
  <si>
    <t>DEMO-000161</t>
  </si>
  <si>
    <t>ZAM-250217-05</t>
  </si>
  <si>
    <t>DEMO-000162</t>
  </si>
  <si>
    <t>ZAM-250218-01</t>
  </si>
  <si>
    <t>DEMO-000163</t>
  </si>
  <si>
    <t>ZAM-250218-02</t>
  </si>
  <si>
    <t>DEMO-000164</t>
  </si>
  <si>
    <t>ZAM-250218-03</t>
  </si>
  <si>
    <t>DEMO-000165</t>
  </si>
  <si>
    <t>ZAM-250218-04</t>
  </si>
  <si>
    <t>DEMO-000166</t>
  </si>
  <si>
    <t>ZAM-250219-01</t>
  </si>
  <si>
    <t>DEMO-000167</t>
  </si>
  <si>
    <t>ZAM-250219-02</t>
  </si>
  <si>
    <t>DEMO-000168</t>
  </si>
  <si>
    <t>ZAM-250219-03</t>
  </si>
  <si>
    <t>DEMO-000169</t>
  </si>
  <si>
    <t>ZAM-250219-04</t>
  </si>
  <si>
    <t>DEMO-000170</t>
  </si>
  <si>
    <t>ZAM-250219-05</t>
  </si>
  <si>
    <t>DEMO-000171</t>
  </si>
  <si>
    <t>ZAM-250220-01</t>
  </si>
  <si>
    <t>DEMO-000172</t>
  </si>
  <si>
    <t>ZAM-250220-02</t>
  </si>
  <si>
    <t>DEMO-000173</t>
  </si>
  <si>
    <t>ZAM-250220-03</t>
  </si>
  <si>
    <t>DEMO-000174</t>
  </si>
  <si>
    <t>ZAM-250220-04</t>
  </si>
  <si>
    <t>DEMO-000175</t>
  </si>
  <si>
    <t>ZAM-250221-01</t>
  </si>
  <si>
    <t>DEMO-000176</t>
  </si>
  <si>
    <t>ZAM-250221-02</t>
  </si>
  <si>
    <t>DEMO-000177</t>
  </si>
  <si>
    <t>ZAM-250221-03</t>
  </si>
  <si>
    <t>DEMO-000178</t>
  </si>
  <si>
    <t>ZAM-250221-04</t>
  </si>
  <si>
    <t>DEMO-000179</t>
  </si>
  <si>
    <t>ZAM-250221-05</t>
  </si>
  <si>
    <t>DEMO-000180</t>
  </si>
  <si>
    <t>ZAM-250222-01</t>
  </si>
  <si>
    <t>DEMO-000181</t>
  </si>
  <si>
    <t>ZAM-250223-01</t>
  </si>
  <si>
    <t>DEMO-000182</t>
  </si>
  <si>
    <t>ZAM-250223-02</t>
  </si>
  <si>
    <t>DEMO-000183</t>
  </si>
  <si>
    <t>ZAM-250224-01</t>
  </si>
  <si>
    <t>DEMO-000184</t>
  </si>
  <si>
    <t>ZAM-250224-02</t>
  </si>
  <si>
    <t>DEMO-000185</t>
  </si>
  <si>
    <t>ZAM-250224-03</t>
  </si>
  <si>
    <t>DEMO-000186</t>
  </si>
  <si>
    <t>ZAM-250225-01</t>
  </si>
  <si>
    <t>DEMO-000187</t>
  </si>
  <si>
    <t>ZAM-250225-02</t>
  </si>
  <si>
    <t>DEMO-000188</t>
  </si>
  <si>
    <t>ZAM-250225-03</t>
  </si>
  <si>
    <t>DEMO-000189</t>
  </si>
  <si>
    <t>ZAM-250225-04</t>
  </si>
  <si>
    <t>DEMO-000190</t>
  </si>
  <si>
    <t>ZAM-250225-05</t>
  </si>
  <si>
    <t>DEMO-000191</t>
  </si>
  <si>
    <t>ZAM-250226-01</t>
  </si>
  <si>
    <t>DEMO-000192</t>
  </si>
  <si>
    <t>ZAM-250226-02</t>
  </si>
  <si>
    <t>DEMO-000193</t>
  </si>
  <si>
    <t>ZAM-250226-03</t>
  </si>
  <si>
    <t>DEMO-000194</t>
  </si>
  <si>
    <t>ZAM-250226-04</t>
  </si>
  <si>
    <t>DEMO-000195</t>
  </si>
  <si>
    <t>ZAM-250226-05</t>
  </si>
  <si>
    <t>DEMO-000196</t>
  </si>
  <si>
    <t>ZAM-250227-01</t>
  </si>
  <si>
    <t>DEMO-000197</t>
  </si>
  <si>
    <t>ZAM-250227-02</t>
  </si>
  <si>
    <t>DEMO-000198</t>
  </si>
  <si>
    <t>ZAM-250227-03</t>
  </si>
  <si>
    <t>DEMO-000199</t>
  </si>
  <si>
    <t>ZAM-250227-04</t>
  </si>
  <si>
    <t>DEMO-000200</t>
  </si>
  <si>
    <t>ZAM-250227-05</t>
  </si>
  <si>
    <t>DEMO-000201</t>
  </si>
  <si>
    <t>ZAM-250228-01</t>
  </si>
  <si>
    <t>DEMO-000202</t>
  </si>
  <si>
    <t>ZAM-250228-02</t>
  </si>
  <si>
    <t>DEMO-000203</t>
  </si>
  <si>
    <t>ZAM-250228-03</t>
  </si>
  <si>
    <t>DEMO-000204</t>
  </si>
  <si>
    <t>ZAM-250301-01</t>
  </si>
  <si>
    <t>DEMO-000205</t>
  </si>
  <si>
    <t>ZAM-250302-01</t>
  </si>
  <si>
    <t>DEMO-000206</t>
  </si>
  <si>
    <t>ZAM-250303-01</t>
  </si>
  <si>
    <t>DEMO-000207</t>
  </si>
  <si>
    <t>ZAM-250303-02</t>
  </si>
  <si>
    <t>DEMO-000208</t>
  </si>
  <si>
    <t>ZAM-250303-03</t>
  </si>
  <si>
    <t>DEMO-000209</t>
  </si>
  <si>
    <t>ZAM-250303-04</t>
  </si>
  <si>
    <t>DEMO-000210</t>
  </si>
  <si>
    <t>ZAM-250304-01</t>
  </si>
  <si>
    <t>DEMO-000211</t>
  </si>
  <si>
    <t>ZAM-250304-02</t>
  </si>
  <si>
    <t>DEMO-000212</t>
  </si>
  <si>
    <t>ZAM-250304-03</t>
  </si>
  <si>
    <t>DEMO-000213</t>
  </si>
  <si>
    <t>ZAM-250304-04</t>
  </si>
  <si>
    <t>DEMO-000214</t>
  </si>
  <si>
    <t>ZAM-250305-01</t>
  </si>
  <si>
    <t>DEMO-000215</t>
  </si>
  <si>
    <t>ZAM-250305-02</t>
  </si>
  <si>
    <t>DEMO-000216</t>
  </si>
  <si>
    <t>ZAM-250305-03</t>
  </si>
  <si>
    <t>DEMO-000217</t>
  </si>
  <si>
    <t>ZAM-250305-04</t>
  </si>
  <si>
    <t>DEMO-000218</t>
  </si>
  <si>
    <t>ZAM-250305-05</t>
  </si>
  <si>
    <t>DEMO-000219</t>
  </si>
  <si>
    <t>ZAM-250305-06</t>
  </si>
  <si>
    <t>DEMO-000220</t>
  </si>
  <si>
    <t>ZAM-250306-01</t>
  </si>
  <si>
    <t>DEMO-000221</t>
  </si>
  <si>
    <t>ZAM-250306-02</t>
  </si>
  <si>
    <t>DEMO-000222</t>
  </si>
  <si>
    <t>ZAM-250306-03</t>
  </si>
  <si>
    <t>DEMO-000223</t>
  </si>
  <si>
    <t>ZAM-250306-04</t>
  </si>
  <si>
    <t>DEMO-000224</t>
  </si>
  <si>
    <t>ZAM-250307-01</t>
  </si>
  <si>
    <t>DEMO-000225</t>
  </si>
  <si>
    <t>ZAM-250307-02</t>
  </si>
  <si>
    <t>DEMO-000226</t>
  </si>
  <si>
    <t>ZAM-250307-03</t>
  </si>
  <si>
    <t>DEMO-000227</t>
  </si>
  <si>
    <t>ZAM-250307-04</t>
  </si>
  <si>
    <t>DEMO-000228</t>
  </si>
  <si>
    <t>ZAM-250307-05</t>
  </si>
  <si>
    <t>DEMO-000229</t>
  </si>
  <si>
    <t>ZAM-250307-06</t>
  </si>
  <si>
    <t>DEMO-000230</t>
  </si>
  <si>
    <t>ZAM-250308-01</t>
  </si>
  <si>
    <t>DEMO-000231</t>
  </si>
  <si>
    <t>ZAM-250308-02</t>
  </si>
  <si>
    <t>DEMO-000232</t>
  </si>
  <si>
    <t>ZAM-250309-01</t>
  </si>
  <si>
    <t>DEMO-000233</t>
  </si>
  <si>
    <t>ZAM-250310-01</t>
  </si>
  <si>
    <t>DEMO-000234</t>
  </si>
  <si>
    <t>ZAM-250310-02</t>
  </si>
  <si>
    <t>DEMO-000235</t>
  </si>
  <si>
    <t>ZAM-250310-03</t>
  </si>
  <si>
    <t>DEMO-000236</t>
  </si>
  <si>
    <t>ZAM-250310-04</t>
  </si>
  <si>
    <t>DEMO-000237</t>
  </si>
  <si>
    <t>ZAM-250310-05</t>
  </si>
  <si>
    <t>DEMO-000238</t>
  </si>
  <si>
    <t>ZAM-250311-01</t>
  </si>
  <si>
    <t>DEMO-000239</t>
  </si>
  <si>
    <t>ZAM-250311-02</t>
  </si>
  <si>
    <t>DEMO-000240</t>
  </si>
  <si>
    <t>ZAM-250311-03</t>
  </si>
  <si>
    <t>DEMO-000241</t>
  </si>
  <si>
    <t>ZAM-250311-04</t>
  </si>
  <si>
    <t>DEMO-000242</t>
  </si>
  <si>
    <t>ZAM-250311-05</t>
  </si>
  <si>
    <t>DEMO-000243</t>
  </si>
  <si>
    <t>ZAM-250312-01</t>
  </si>
  <si>
    <t>DEMO-000244</t>
  </si>
  <si>
    <t>ZAM-250312-02</t>
  </si>
  <si>
    <t>DEMO-000245</t>
  </si>
  <si>
    <t>ZAM-250312-03</t>
  </si>
  <si>
    <t>DEMO-000246</t>
  </si>
  <si>
    <t>ZAM-250312-04</t>
  </si>
  <si>
    <t>DEMO-000247</t>
  </si>
  <si>
    <t>ZAM-250312-05</t>
  </si>
  <si>
    <t>DEMO-000248</t>
  </si>
  <si>
    <t>ZAM-250312-06</t>
  </si>
  <si>
    <t>DEMO-000249</t>
  </si>
  <si>
    <t>ZAM-250313-01</t>
  </si>
  <si>
    <t>DEMO-000250</t>
  </si>
  <si>
    <t>ZAM-250313-02</t>
  </si>
  <si>
    <t>DEMO-000251</t>
  </si>
  <si>
    <t>ZAM-250313-03</t>
  </si>
  <si>
    <t>DEMO-000252</t>
  </si>
  <si>
    <t>ZAM-250313-04</t>
  </si>
  <si>
    <t>DEMO-000253</t>
  </si>
  <si>
    <t>ZAM-250313-05</t>
  </si>
  <si>
    <t>DEMO-000254</t>
  </si>
  <si>
    <t>ZAM-250314-01</t>
  </si>
  <si>
    <t>DEMO-000255</t>
  </si>
  <si>
    <t>ZAM-250314-02</t>
  </si>
  <si>
    <t>DEMO-000256</t>
  </si>
  <si>
    <t>ZAM-250314-03</t>
  </si>
  <si>
    <t>DEMO-000257</t>
  </si>
  <si>
    <t>ZAM-250314-04</t>
  </si>
  <si>
    <t>DEMO-000258</t>
  </si>
  <si>
    <t>ZAM-250315-01</t>
  </si>
  <si>
    <t>DEMO-000259</t>
  </si>
  <si>
    <t>ZAM-250316-01</t>
  </si>
  <si>
    <t>DEMO-000260</t>
  </si>
  <si>
    <t>ZAM-250317-01</t>
  </si>
  <si>
    <t>DEMO-000261</t>
  </si>
  <si>
    <t>ZAM-250317-02</t>
  </si>
  <si>
    <t>DEMO-000262</t>
  </si>
  <si>
    <t>ZAM-250317-03</t>
  </si>
  <si>
    <t>DEMO-000263</t>
  </si>
  <si>
    <t>ZAM-250317-04</t>
  </si>
  <si>
    <t>DEMO-000264</t>
  </si>
  <si>
    <t>ZAM-250318-01</t>
  </si>
  <si>
    <t>DEMO-000265</t>
  </si>
  <si>
    <t>ZAM-250318-02</t>
  </si>
  <si>
    <t>DEMO-000266</t>
  </si>
  <si>
    <t>ZAM-250318-03</t>
  </si>
  <si>
    <t>DEMO-000267</t>
  </si>
  <si>
    <t>ZAM-250318-04</t>
  </si>
  <si>
    <t>DEMO-000268</t>
  </si>
  <si>
    <t>ZAM-250318-05</t>
  </si>
  <si>
    <t>DEMO-000269</t>
  </si>
  <si>
    <t>ZAM-250319-01</t>
  </si>
  <si>
    <t>DEMO-000270</t>
  </si>
  <si>
    <t>ZAM-250319-02</t>
  </si>
  <si>
    <t>DEMO-000271</t>
  </si>
  <si>
    <t>ZAM-250319-03</t>
  </si>
  <si>
    <t>DEMO-000272</t>
  </si>
  <si>
    <t>ZAM-250319-04</t>
  </si>
  <si>
    <t>DEMO-000273</t>
  </si>
  <si>
    <t>ZAM-250319-05</t>
  </si>
  <si>
    <t>DEMO-000274</t>
  </si>
  <si>
    <t>ZAM-250319-06</t>
  </si>
  <si>
    <t>DEMO-000275</t>
  </si>
  <si>
    <t>ZAM-250320-01</t>
  </si>
  <si>
    <t>DEMO-000276</t>
  </si>
  <si>
    <t>ZAM-250320-02</t>
  </si>
  <si>
    <t>DEMO-000277</t>
  </si>
  <si>
    <t>ZAM-250320-03</t>
  </si>
  <si>
    <t>DEMO-000278</t>
  </si>
  <si>
    <t>ZAM-250320-04</t>
  </si>
  <si>
    <t>DEMO-000279</t>
  </si>
  <si>
    <t>ZAM-250321-01</t>
  </si>
  <si>
    <t>DEMO-000280</t>
  </si>
  <si>
    <t>ZAM-250321-02</t>
  </si>
  <si>
    <t>DEMO-000281</t>
  </si>
  <si>
    <t>ZAM-250321-03</t>
  </si>
  <si>
    <t>DEMO-000282</t>
  </si>
  <si>
    <t>ZAM-250322-01</t>
  </si>
  <si>
    <t>DEMO-000283</t>
  </si>
  <si>
    <t>ZAM-250323-01</t>
  </si>
  <si>
    <t>DEMO-000284</t>
  </si>
  <si>
    <t>ZAM-250324-01</t>
  </si>
  <si>
    <t>DEMO-000285</t>
  </si>
  <si>
    <t>ZAM-250324-02</t>
  </si>
  <si>
    <t>DEMO-000286</t>
  </si>
  <si>
    <t>ZAM-250324-03</t>
  </si>
  <si>
    <t>DEMO-000287</t>
  </si>
  <si>
    <t>ZAM-250324-04</t>
  </si>
  <si>
    <t>DEMO-000288</t>
  </si>
  <si>
    <t>ZAM-250324-05</t>
  </si>
  <si>
    <t>DEMO-000289</t>
  </si>
  <si>
    <t>ZAM-250324-06</t>
  </si>
  <si>
    <t>DEMO-000290</t>
  </si>
  <si>
    <t>ZAM-250325-01</t>
  </si>
  <si>
    <t>DEMO-000291</t>
  </si>
  <si>
    <t>ZAM-250325-02</t>
  </si>
  <si>
    <t>DEMO-000292</t>
  </si>
  <si>
    <t>ZAM-250325-03</t>
  </si>
  <si>
    <t>DEMO-000293</t>
  </si>
  <si>
    <t>ZAM-250325-04</t>
  </si>
  <si>
    <t>DEMO-000294</t>
  </si>
  <si>
    <t>ZAM-250325-05</t>
  </si>
  <si>
    <t>DEMO-000295</t>
  </si>
  <si>
    <t>ZAM-250326-01</t>
  </si>
  <si>
    <t>DEMO-000296</t>
  </si>
  <si>
    <t>ZAM-250326-02</t>
  </si>
  <si>
    <t>DEMO-000297</t>
  </si>
  <si>
    <t>ZAM-250326-03</t>
  </si>
  <si>
    <t>DEMO-000298</t>
  </si>
  <si>
    <t>ZAM-250327-01</t>
  </si>
  <si>
    <t>DEMO-000299</t>
  </si>
  <si>
    <t>ZAM-250327-02</t>
  </si>
  <si>
    <t>DEMO-000300</t>
  </si>
  <si>
    <t>ZAM-250327-03</t>
  </si>
  <si>
    <t>DEMO-000301</t>
  </si>
  <si>
    <t>ZAM-250327-04</t>
  </si>
  <si>
    <t>DEMO-000302</t>
  </si>
  <si>
    <t>ZAM-250328-01</t>
  </si>
  <si>
    <t>DEMO-000303</t>
  </si>
  <si>
    <t>ZAM-250328-02</t>
  </si>
  <si>
    <t>DEMO-000304</t>
  </si>
  <si>
    <t>ZAM-250328-03</t>
  </si>
  <si>
    <t>DEMO-000305</t>
  </si>
  <si>
    <t>ZAM-250328-04</t>
  </si>
  <si>
    <t>DEMO-000306</t>
  </si>
  <si>
    <t>ZAM-250328-05</t>
  </si>
  <si>
    <t>DEMO-000307</t>
  </si>
  <si>
    <t>ZAM-250329-01</t>
  </si>
  <si>
    <t>DEMO-000308</t>
  </si>
  <si>
    <t>ZAM-250329-02</t>
  </si>
  <si>
    <t>DEMO-000309</t>
  </si>
  <si>
    <t>ZAM-250330-01</t>
  </si>
  <si>
    <t>DEMO-000310</t>
  </si>
  <si>
    <t>ZAM-250331-01</t>
  </si>
  <si>
    <t>DEMO-000311</t>
  </si>
  <si>
    <t>ZAM-250331-02</t>
  </si>
  <si>
    <t>DEMO-000312</t>
  </si>
  <si>
    <t>ZAM-250331-03</t>
  </si>
  <si>
    <t>DEMO-000313</t>
  </si>
  <si>
    <t>ZAM-250401-01</t>
  </si>
  <si>
    <t>DEMO-000314</t>
  </si>
  <si>
    <t>ZAM-250401-02</t>
  </si>
  <si>
    <t>DEMO-000315</t>
  </si>
  <si>
    <t>ZAM-250401-03</t>
  </si>
  <si>
    <t>DEMO-000316</t>
  </si>
  <si>
    <t>ZAM-250401-04</t>
  </si>
  <si>
    <t>DEMO-000317</t>
  </si>
  <si>
    <t>ZAM-250402-01</t>
  </si>
  <si>
    <t>DEMO-000318</t>
  </si>
  <si>
    <t>ZAM-250402-02</t>
  </si>
  <si>
    <t>DEMO-000319</t>
  </si>
  <si>
    <t>ZAM-250402-03</t>
  </si>
  <si>
    <t>DEMO-000320</t>
  </si>
  <si>
    <t>ZAM-250402-04</t>
  </si>
  <si>
    <t>DEMO-000321</t>
  </si>
  <si>
    <t>ZAM-250402-05</t>
  </si>
  <si>
    <t>DEMO-000322</t>
  </si>
  <si>
    <t>ZAM-250402-06</t>
  </si>
  <si>
    <t>DEMO-000323</t>
  </si>
  <si>
    <t>ZAM-250403-01</t>
  </si>
  <si>
    <t>DEMO-000324</t>
  </si>
  <si>
    <t>ZAM-250403-02</t>
  </si>
  <si>
    <t>DEMO-000325</t>
  </si>
  <si>
    <t>ZAM-250403-03</t>
  </si>
  <si>
    <t>DEMO-000326</t>
  </si>
  <si>
    <t>ZAM-250404-01</t>
  </si>
  <si>
    <t>DEMO-000327</t>
  </si>
  <si>
    <t>ZAM-250404-02</t>
  </si>
  <si>
    <t>DEMO-000328</t>
  </si>
  <si>
    <t>ZAM-250404-03</t>
  </si>
  <si>
    <t>DEMO-000329</t>
  </si>
  <si>
    <t>ZAM-250404-04</t>
  </si>
  <si>
    <t>DEMO-000330</t>
  </si>
  <si>
    <t>ZAM-250404-05</t>
  </si>
  <si>
    <t>DEMO-000331</t>
  </si>
  <si>
    <t>ZAM-250405-01</t>
  </si>
  <si>
    <t>DEMO-000332</t>
  </si>
  <si>
    <t>ZAM-250405-02</t>
  </si>
  <si>
    <t>DEMO-000333</t>
  </si>
  <si>
    <t>ZAM-250406-01</t>
  </si>
  <si>
    <t>DEMO-000334</t>
  </si>
  <si>
    <t>ZAM-250406-02</t>
  </si>
  <si>
    <t>DEMO-000335</t>
  </si>
  <si>
    <t>ZAM-250407-01</t>
  </si>
  <si>
    <t>DEMO-000336</t>
  </si>
  <si>
    <t>ZAM-250407-02</t>
  </si>
  <si>
    <t>DEMO-000337</t>
  </si>
  <si>
    <t>ZAM-250407-03</t>
  </si>
  <si>
    <t>DEMO-000338</t>
  </si>
  <si>
    <t>ZAM-250407-04</t>
  </si>
  <si>
    <t>DEMO-000339</t>
  </si>
  <si>
    <t>ZAM-250407-05</t>
  </si>
  <si>
    <t>DEMO-000340</t>
  </si>
  <si>
    <t>ZAM-250407-06</t>
  </si>
  <si>
    <t>DEMO-000341</t>
  </si>
  <si>
    <t>ZAM-250408-01</t>
  </si>
  <si>
    <t>DEMO-000342</t>
  </si>
  <si>
    <t>ZAM-250408-02</t>
  </si>
  <si>
    <t>DEMO-000343</t>
  </si>
  <si>
    <t>ZAM-250408-03</t>
  </si>
  <si>
    <t>DEMO-000344</t>
  </si>
  <si>
    <t>ZAM-250408-04</t>
  </si>
  <si>
    <t>DEMO-000345</t>
  </si>
  <si>
    <t>ZAM-250408-05</t>
  </si>
  <si>
    <t>DEMO-000346</t>
  </si>
  <si>
    <t>ZAM-250408-06</t>
  </si>
  <si>
    <t>DEMO-000347</t>
  </si>
  <si>
    <t>ZAM-250409-01</t>
  </si>
  <si>
    <t>DEMO-000348</t>
  </si>
  <si>
    <t>ZAM-250409-02</t>
  </si>
  <si>
    <t>DEMO-000349</t>
  </si>
  <si>
    <t>ZAM-250409-03</t>
  </si>
  <si>
    <t>DEMO-000350</t>
  </si>
  <si>
    <t>ZAM-250409-04</t>
  </si>
  <si>
    <t>DEMO-000351</t>
  </si>
  <si>
    <t>ZAM-250409-05</t>
  </si>
  <si>
    <t>DEMO-000352</t>
  </si>
  <si>
    <t>ZAM-250410-01</t>
  </si>
  <si>
    <t>DEMO-000353</t>
  </si>
  <si>
    <t>ZAM-250410-02</t>
  </si>
  <si>
    <t>DEMO-000354</t>
  </si>
  <si>
    <t>ZAM-250410-03</t>
  </si>
  <si>
    <t>DEMO-000355</t>
  </si>
  <si>
    <t>ZAM-250411-01</t>
  </si>
  <si>
    <t>DEMO-000356</t>
  </si>
  <si>
    <t>ZAM-250411-02</t>
  </si>
  <si>
    <t>DEMO-000357</t>
  </si>
  <si>
    <t>ZAM-250411-03</t>
  </si>
  <si>
    <t>DEMO-000358</t>
  </si>
  <si>
    <t>ZAM-250411-04</t>
  </si>
  <si>
    <t>DEMO-000359</t>
  </si>
  <si>
    <t>ZAM-250411-05</t>
  </si>
  <si>
    <t>DEMO-000360</t>
  </si>
  <si>
    <t>ZAM-250412-01</t>
  </si>
  <si>
    <t>DEMO-000361</t>
  </si>
  <si>
    <t>ZAM-250412-02</t>
  </si>
  <si>
    <t>DEMO-000362</t>
  </si>
  <si>
    <t>ZAM-250413-01</t>
  </si>
  <si>
    <t>DEMO-000363</t>
  </si>
  <si>
    <t>ZAM-250413-02</t>
  </si>
  <si>
    <t>DEMO-000364</t>
  </si>
  <si>
    <t>ZAM-250414-01</t>
  </si>
  <si>
    <t>DEMO-000365</t>
  </si>
  <si>
    <t>ZAM-250414-02</t>
  </si>
  <si>
    <t>DEMO-000366</t>
  </si>
  <si>
    <t>ZAM-250414-03</t>
  </si>
  <si>
    <t>DEMO-000367</t>
  </si>
  <si>
    <t>ZAM-250415-01</t>
  </si>
  <si>
    <t>DEMO-000368</t>
  </si>
  <si>
    <t>ZAM-250415-02</t>
  </si>
  <si>
    <t>DEMO-000369</t>
  </si>
  <si>
    <t>ZAM-250415-03</t>
  </si>
  <si>
    <t>DEMO-000370</t>
  </si>
  <si>
    <t>ZAM-250415-04</t>
  </si>
  <si>
    <t>DEMO-000371</t>
  </si>
  <si>
    <t>ZAM-250415-05</t>
  </si>
  <si>
    <t>DEMO-000372</t>
  </si>
  <si>
    <t>ZAM-250416-01</t>
  </si>
  <si>
    <t>DEMO-000373</t>
  </si>
  <si>
    <t>ZAM-250416-02</t>
  </si>
  <si>
    <t>DEMO-000374</t>
  </si>
  <si>
    <t>ZAM-250416-03</t>
  </si>
  <si>
    <t>DEMO-000375</t>
  </si>
  <si>
    <t>ZAM-250416-04</t>
  </si>
  <si>
    <t>DEMO-000376</t>
  </si>
  <si>
    <t>ZAM-250417-01</t>
  </si>
  <si>
    <t>DEMO-000377</t>
  </si>
  <si>
    <t>ZAM-250417-02</t>
  </si>
  <si>
    <t>DEMO-000378</t>
  </si>
  <si>
    <t>ZAM-250417-03</t>
  </si>
  <si>
    <t>DEMO-000379</t>
  </si>
  <si>
    <t>ZAM-250417-04</t>
  </si>
  <si>
    <t>DEMO-000380</t>
  </si>
  <si>
    <t>ZAM-250417-05</t>
  </si>
  <si>
    <t>DEMO-000381</t>
  </si>
  <si>
    <t>ZAM-250418-01</t>
  </si>
  <si>
    <t>DEMO-000382</t>
  </si>
  <si>
    <t>ZAM-250418-02</t>
  </si>
  <si>
    <t>DEMO-000383</t>
  </si>
  <si>
    <t>ZAM-250418-03</t>
  </si>
  <si>
    <t>DEMO-000384</t>
  </si>
  <si>
    <t>ZAM-250418-04</t>
  </si>
  <si>
    <t>DEMO-000385</t>
  </si>
  <si>
    <t>ZAM-250419-01</t>
  </si>
  <si>
    <t>DEMO-000386</t>
  </si>
  <si>
    <t>ZAM-250419-02</t>
  </si>
  <si>
    <t>DEMO-000387</t>
  </si>
  <si>
    <t>ZAM-250420-01</t>
  </si>
  <si>
    <t>DEMO-000388</t>
  </si>
  <si>
    <t>ZAM-250421-01</t>
  </si>
  <si>
    <t>DEMO-000389</t>
  </si>
  <si>
    <t>ZAM-250421-02</t>
  </si>
  <si>
    <t>DEMO-000390</t>
  </si>
  <si>
    <t>ZAM-250421-03</t>
  </si>
  <si>
    <t>DEMO-000391</t>
  </si>
  <si>
    <t>ZAM-250421-04</t>
  </si>
  <si>
    <t>DEMO-000392</t>
  </si>
  <si>
    <t>ZAM-250422-01</t>
  </si>
  <si>
    <t>DEMO-000393</t>
  </si>
  <si>
    <t>ZAM-250422-02</t>
  </si>
  <si>
    <t>DEMO-000394</t>
  </si>
  <si>
    <t>ZAM-250422-03</t>
  </si>
  <si>
    <t>DEMO-000395</t>
  </si>
  <si>
    <t>ZAM-250422-04</t>
  </si>
  <si>
    <t>DEMO-000396</t>
  </si>
  <si>
    <t>ZAM-250422-05</t>
  </si>
  <si>
    <t>DEMO-000397</t>
  </si>
  <si>
    <t>ZAM-250423-01</t>
  </si>
  <si>
    <t>DEMO-000398</t>
  </si>
  <si>
    <t>ZAM-250423-02</t>
  </si>
  <si>
    <t>DEMO-000399</t>
  </si>
  <si>
    <t>ZAM-250423-03</t>
  </si>
  <si>
    <t>DEMO-000400</t>
  </si>
  <si>
    <t>ZAM-250423-04</t>
  </si>
  <si>
    <t>DEMO-000401</t>
  </si>
  <si>
    <t>ZAM-250424-01</t>
  </si>
  <si>
    <t>DEMO-000402</t>
  </si>
  <si>
    <t>ZAM-250424-02</t>
  </si>
  <si>
    <t>DEMO-000403</t>
  </si>
  <si>
    <t>ZAM-250424-03</t>
  </si>
  <si>
    <t>DEMO-000404</t>
  </si>
  <si>
    <t>ZAM-250424-04</t>
  </si>
  <si>
    <t>DEMO-000405</t>
  </si>
  <si>
    <t>ZAM-250424-05</t>
  </si>
  <si>
    <t>DEMO-000406</t>
  </si>
  <si>
    <t>ZAM-250424-06</t>
  </si>
  <si>
    <t>DEMO-000407</t>
  </si>
  <si>
    <t>ZAM-250424-07</t>
  </si>
  <si>
    <t>DEMO-000408</t>
  </si>
  <si>
    <t>ZAM-250425-01</t>
  </si>
  <si>
    <t>DEMO-000409</t>
  </si>
  <si>
    <t>ZAM-250425-02</t>
  </si>
  <si>
    <t>DEMO-000410</t>
  </si>
  <si>
    <t>ZAM-250425-03</t>
  </si>
  <si>
    <t>DEMO-000411</t>
  </si>
  <si>
    <t>ZAM-250425-04</t>
  </si>
  <si>
    <t>DEMO-000412</t>
  </si>
  <si>
    <t>ZAM-250425-05</t>
  </si>
  <si>
    <t>DEMO-000413</t>
  </si>
  <si>
    <t>ZAM-250425-06</t>
  </si>
  <si>
    <t>DEMO-000414</t>
  </si>
  <si>
    <t>ZAM-250426-01</t>
  </si>
  <si>
    <t>DEMO-000415</t>
  </si>
  <si>
    <t>ZAM-250426-02</t>
  </si>
  <si>
    <t>DEMO-000416</t>
  </si>
  <si>
    <t>ZAM-250427-01</t>
  </si>
  <si>
    <t>DEMO-000417</t>
  </si>
  <si>
    <t>ZAM-250428-01</t>
  </si>
  <si>
    <t>DEMO-000418</t>
  </si>
  <si>
    <t>ZAM-250428-02</t>
  </si>
  <si>
    <t>DEMO-000419</t>
  </si>
  <si>
    <t>ZAM-250428-03</t>
  </si>
  <si>
    <t>DEMO-000420</t>
  </si>
  <si>
    <t>ZAM-250429-01</t>
  </si>
  <si>
    <t>DEMO-000421</t>
  </si>
  <si>
    <t>ZAM-250429-02</t>
  </si>
  <si>
    <t>DEMO-000422</t>
  </si>
  <si>
    <t>ZAM-250429-03</t>
  </si>
  <si>
    <t>DEMO-000423</t>
  </si>
  <si>
    <t>ZAM-250429-04</t>
  </si>
  <si>
    <t>DEMO-000424</t>
  </si>
  <si>
    <t>ZAM-250429-05</t>
  </si>
  <si>
    <t>DEMO-000425</t>
  </si>
  <si>
    <t>ZAM-250430-01</t>
  </si>
  <si>
    <t>DEMO-000426</t>
  </si>
  <si>
    <t>ZAM-250430-02</t>
  </si>
  <si>
    <t>DEMO-000427</t>
  </si>
  <si>
    <t>ZAM-250430-03</t>
  </si>
  <si>
    <t>DEMO-000428</t>
  </si>
  <si>
    <t>ZAM-250430-04</t>
  </si>
  <si>
    <t>DEMO-000429</t>
  </si>
  <si>
    <t>ZAM-250430-05</t>
  </si>
  <si>
    <t>DEMO-000430</t>
  </si>
  <si>
    <t>ZAM-250430-06</t>
  </si>
  <si>
    <t>DEMO-000431</t>
  </si>
  <si>
    <t>ZAM-250501-01</t>
  </si>
  <si>
    <t>DEMO-000432</t>
  </si>
  <si>
    <t>ZAM-250501-02</t>
  </si>
  <si>
    <t>DEMO-000433</t>
  </si>
  <si>
    <t>ZAM-250501-03</t>
  </si>
  <si>
    <t>DEMO-000434</t>
  </si>
  <si>
    <t>ZAM-250501-04</t>
  </si>
  <si>
    <t>DEMO-000435</t>
  </si>
  <si>
    <t>ZAM-250501-05</t>
  </si>
  <si>
    <t>DEMO-000436</t>
  </si>
  <si>
    <t>ZAM-250501-06</t>
  </si>
  <si>
    <t>DEMO-000437</t>
  </si>
  <si>
    <t>ZAM-250502-01</t>
  </si>
  <si>
    <t>DEMO-000438</t>
  </si>
  <si>
    <t>ZAM-250502-02</t>
  </si>
  <si>
    <t>DEMO-000439</t>
  </si>
  <si>
    <t>ZAM-250502-03</t>
  </si>
  <si>
    <t>DEMO-000440</t>
  </si>
  <si>
    <t>ZAM-250502-04</t>
  </si>
  <si>
    <t>DEMO-000441</t>
  </si>
  <si>
    <t>ZAM-250503-01</t>
  </si>
  <si>
    <t>DEMO-000442</t>
  </si>
  <si>
    <t>ZAM-250503-02</t>
  </si>
  <si>
    <t>DEMO-000443</t>
  </si>
  <si>
    <t>ZAM-250504-01</t>
  </si>
  <si>
    <t>DEMO-000444</t>
  </si>
  <si>
    <t>ZAM-250505-01</t>
  </si>
  <si>
    <t>DEMO-000445</t>
  </si>
  <si>
    <t>ZAM-250505-02</t>
  </si>
  <si>
    <t>DEMO-000446</t>
  </si>
  <si>
    <t>ZAM-250505-03</t>
  </si>
  <si>
    <t>DEMO-000447</t>
  </si>
  <si>
    <t>ZAM-250505-04</t>
  </si>
  <si>
    <t>DEMO-000448</t>
  </si>
  <si>
    <t>ZAM-250506-01</t>
  </si>
  <si>
    <t>DEMO-000449</t>
  </si>
  <si>
    <t>ZAM-250506-02</t>
  </si>
  <si>
    <t>DEMO-000450</t>
  </si>
  <si>
    <t>ZAM-250506-03</t>
  </si>
  <si>
    <t>DEMO-000451</t>
  </si>
  <si>
    <t>ZAM-250506-04</t>
  </si>
  <si>
    <t>DEMO-000452</t>
  </si>
  <si>
    <t>ZAM-250507-01</t>
  </si>
  <si>
    <t>DEMO-000453</t>
  </si>
  <si>
    <t>ZAM-250507-02</t>
  </si>
  <si>
    <t>DEMO-000454</t>
  </si>
  <si>
    <t>ZAM-250507-03</t>
  </si>
  <si>
    <t>DEMO-000455</t>
  </si>
  <si>
    <t>ZAM-250507-04</t>
  </si>
  <si>
    <t>DEMO-000456</t>
  </si>
  <si>
    <t>ZAM-250507-05</t>
  </si>
  <si>
    <t>DEMO-000457</t>
  </si>
  <si>
    <t>ZAM-250507-06</t>
  </si>
  <si>
    <t>DEMO-000458</t>
  </si>
  <si>
    <t>ZAM-250508-01</t>
  </si>
  <si>
    <t>DEMO-000459</t>
  </si>
  <si>
    <t>ZAM-250508-02</t>
  </si>
  <si>
    <t>DEMO-000460</t>
  </si>
  <si>
    <t>ZAM-250508-03</t>
  </si>
  <si>
    <t>DEMO-000461</t>
  </si>
  <si>
    <t>ZAM-250508-04</t>
  </si>
  <si>
    <t>DEMO-000462</t>
  </si>
  <si>
    <t>ZAM-250508-05</t>
  </si>
  <si>
    <t>DEMO-000463</t>
  </si>
  <si>
    <t>ZAM-250509-01</t>
  </si>
  <si>
    <t>DEMO-000464</t>
  </si>
  <si>
    <t>ZAM-250509-02</t>
  </si>
  <si>
    <t>DEMO-000465</t>
  </si>
  <si>
    <t>ZAM-250509-03</t>
  </si>
  <si>
    <t>DEMO-000466</t>
  </si>
  <si>
    <t>ZAM-250509-04</t>
  </si>
  <si>
    <t>DEMO-000467</t>
  </si>
  <si>
    <t>ZAM-250509-05</t>
  </si>
  <si>
    <t>DEMO-000468</t>
  </si>
  <si>
    <t>ZAM-250510-01</t>
  </si>
  <si>
    <t>DEMO-000469</t>
  </si>
  <si>
    <t>ZAM-250511-01</t>
  </si>
  <si>
    <t>DEMO-000470</t>
  </si>
  <si>
    <t>ZAM-250512-01</t>
  </si>
  <si>
    <t>DEMO-000471</t>
  </si>
  <si>
    <t>ZAM-250512-02</t>
  </si>
  <si>
    <t>DEMO-000472</t>
  </si>
  <si>
    <t>ZAM-250512-03</t>
  </si>
  <si>
    <t>DEMO-000473</t>
  </si>
  <si>
    <t>ZAM-250513-01</t>
  </si>
  <si>
    <t>DEMO-000474</t>
  </si>
  <si>
    <t>ZAM-250513-02</t>
  </si>
  <si>
    <t>DEMO-000475</t>
  </si>
  <si>
    <t>ZAM-250513-03</t>
  </si>
  <si>
    <t>DEMO-000476</t>
  </si>
  <si>
    <t>ZAM-250513-04</t>
  </si>
  <si>
    <t>DEMO-000477</t>
  </si>
  <si>
    <t>ZAM-250513-05</t>
  </si>
  <si>
    <t>DEMO-000478</t>
  </si>
  <si>
    <t>ZAM-250513-06</t>
  </si>
  <si>
    <t>DEMO-000479</t>
  </si>
  <si>
    <t>ZAM-250514-01</t>
  </si>
  <si>
    <t>DEMO-000480</t>
  </si>
  <si>
    <t>ZAM-250514-02</t>
  </si>
  <si>
    <t>DEMO-000481</t>
  </si>
  <si>
    <t>ZAM-250514-03</t>
  </si>
  <si>
    <t>DEMO-000482</t>
  </si>
  <si>
    <t>ZAM-250515-01</t>
  </si>
  <si>
    <t>DEMO-000483</t>
  </si>
  <si>
    <t>ZAM-250515-02</t>
  </si>
  <si>
    <t>DEMO-000484</t>
  </si>
  <si>
    <t>ZAM-250515-03</t>
  </si>
  <si>
    <t>DEMO-000485</t>
  </si>
  <si>
    <t>ZAM-250515-04</t>
  </si>
  <si>
    <t>DEMO-000486</t>
  </si>
  <si>
    <t>ZAM-250515-05</t>
  </si>
  <si>
    <t>DEMO-000487</t>
  </si>
  <si>
    <t>ZAM-250515-06</t>
  </si>
  <si>
    <t>DEMO-000488</t>
  </si>
  <si>
    <t>ZAM-250516-01</t>
  </si>
  <si>
    <t>DEMO-000489</t>
  </si>
  <si>
    <t>ZAM-250516-02</t>
  </si>
  <si>
    <t>DEMO-000490</t>
  </si>
  <si>
    <t>ZAM-250516-03</t>
  </si>
  <si>
    <t>DEMO-000491</t>
  </si>
  <si>
    <t>ZAM-250516-04</t>
  </si>
  <si>
    <t>DEMO-000492</t>
  </si>
  <si>
    <t>ZAM-250516-05</t>
  </si>
  <si>
    <t>DEMO-000493</t>
  </si>
  <si>
    <t>ZAM-250517-01</t>
  </si>
  <si>
    <t>DEMO-000494</t>
  </si>
  <si>
    <t>ZAM-250518-01</t>
  </si>
  <si>
    <t>DEMO-000495</t>
  </si>
  <si>
    <t>ZAM-250518-02</t>
  </si>
  <si>
    <t>DEMO-000496</t>
  </si>
  <si>
    <t>ZAM-250519-01</t>
  </si>
  <si>
    <t>DEMO-000497</t>
  </si>
  <si>
    <t>ZAM-250519-02</t>
  </si>
  <si>
    <t>DEMO-000498</t>
  </si>
  <si>
    <t>ZAM-250519-03</t>
  </si>
  <si>
    <t>DEMO-000499</t>
  </si>
  <si>
    <t>ZAM-250520-01</t>
  </si>
  <si>
    <t>DEMO-000500</t>
  </si>
  <si>
    <t>ZAM-250520-02</t>
  </si>
  <si>
    <t>DEMO-000501</t>
  </si>
  <si>
    <t>ZAM-250520-03</t>
  </si>
  <si>
    <t>DEMO-000502</t>
  </si>
  <si>
    <t>ZAM-250520-04</t>
  </si>
  <si>
    <t>DEMO-000503</t>
  </si>
  <si>
    <t>ZAM-250520-05</t>
  </si>
  <si>
    <t>DEMO-000504</t>
  </si>
  <si>
    <t>ZAM-250520-06</t>
  </si>
  <si>
    <t>DEMO-000505</t>
  </si>
  <si>
    <t>ZAM-250520-07</t>
  </si>
  <si>
    <t>DEMO-000506</t>
  </si>
  <si>
    <t>ZAM-250521-01</t>
  </si>
  <si>
    <t>DEMO-000507</t>
  </si>
  <si>
    <t>ZAM-250521-02</t>
  </si>
  <si>
    <t>DEMO-000508</t>
  </si>
  <si>
    <t>ZAM-250521-03</t>
  </si>
  <si>
    <t>DEMO-000509</t>
  </si>
  <si>
    <t>ZAM-250521-04</t>
  </si>
  <si>
    <t>DEMO-000510</t>
  </si>
  <si>
    <t>ZAM-250521-05</t>
  </si>
  <si>
    <t>DEMO-000511</t>
  </si>
  <si>
    <t>ZAM-250521-06</t>
  </si>
  <si>
    <t>DEMO-000512</t>
  </si>
  <si>
    <t>ZAM-250522-01</t>
  </si>
  <si>
    <t>DEMO-000513</t>
  </si>
  <si>
    <t>ZAM-250522-02</t>
  </si>
  <si>
    <t>DEMO-000514</t>
  </si>
  <si>
    <t>ZAM-250522-03</t>
  </si>
  <si>
    <t>DEMO-000515</t>
  </si>
  <si>
    <t>ZAM-250522-04</t>
  </si>
  <si>
    <t>DEMO-000516</t>
  </si>
  <si>
    <t>ZAM-250522-05</t>
  </si>
  <si>
    <t>DEMO-000517</t>
  </si>
  <si>
    <t>ZAM-250522-06</t>
  </si>
  <si>
    <t>DEMO-000518</t>
  </si>
  <si>
    <t>ZAM-250522-07</t>
  </si>
  <si>
    <t>DEMO-000519</t>
  </si>
  <si>
    <t>ZAM-250523-01</t>
  </si>
  <si>
    <t>DEMO-000520</t>
  </si>
  <si>
    <t>ZAM-250523-02</t>
  </si>
  <si>
    <t>DEMO-000521</t>
  </si>
  <si>
    <t>ZAM-250523-03</t>
  </si>
  <si>
    <t>DEMO-000522</t>
  </si>
  <si>
    <t>ZAM-250523-04</t>
  </si>
  <si>
    <t>DEMO-000523</t>
  </si>
  <si>
    <t>ZAM-250523-05</t>
  </si>
  <si>
    <t>DEMO-000524</t>
  </si>
  <si>
    <t>ZAM-250523-06</t>
  </si>
  <si>
    <t>DEMO-000525</t>
  </si>
  <si>
    <t>ZAM-250523-07</t>
  </si>
  <si>
    <t>DEMO-000526</t>
  </si>
  <si>
    <t>ZAM-250524-01</t>
  </si>
  <si>
    <t>DEMO-000527</t>
  </si>
  <si>
    <t>ZAM-250525-01</t>
  </si>
  <si>
    <t>DEMO-000528</t>
  </si>
  <si>
    <t>ZAM-250525-02</t>
  </si>
  <si>
    <t>DEMO-000529</t>
  </si>
  <si>
    <t>ZAM-250526-01</t>
  </si>
  <si>
    <t>DEMO-000530</t>
  </si>
  <si>
    <t>ZAM-250526-02</t>
  </si>
  <si>
    <t>DEMO-000531</t>
  </si>
  <si>
    <t>ZAM-250526-03</t>
  </si>
  <si>
    <t>DEMO-000532</t>
  </si>
  <si>
    <t>ZAM-250527-01</t>
  </si>
  <si>
    <t>DEMO-000533</t>
  </si>
  <si>
    <t>ZAM-250527-02</t>
  </si>
  <si>
    <t>DEMO-000534</t>
  </si>
  <si>
    <t>ZAM-250527-03</t>
  </si>
  <si>
    <t>DEMO-000535</t>
  </si>
  <si>
    <t>ZAM-250527-04</t>
  </si>
  <si>
    <t>DEMO-000536</t>
  </si>
  <si>
    <t>ZAM-250527-05</t>
  </si>
  <si>
    <t>DEMO-000537</t>
  </si>
  <si>
    <t>ZAM-250528-01</t>
  </si>
  <si>
    <t>DEMO-000538</t>
  </si>
  <si>
    <t>ZAM-250528-02</t>
  </si>
  <si>
    <t>DEMO-000539</t>
  </si>
  <si>
    <t>ZAM-250528-03</t>
  </si>
  <si>
    <t>DEMO-000540</t>
  </si>
  <si>
    <t>ZAM-250529-01</t>
  </si>
  <si>
    <t>DEMO-000541</t>
  </si>
  <si>
    <t>ZAM-250529-02</t>
  </si>
  <si>
    <t>DEMO-000542</t>
  </si>
  <si>
    <t>ZAM-250529-03</t>
  </si>
  <si>
    <t>DEMO-000543</t>
  </si>
  <si>
    <t>ZAM-250529-04</t>
  </si>
  <si>
    <t>DEMO-000544</t>
  </si>
  <si>
    <t>ZAM-250529-05</t>
  </si>
  <si>
    <t>DEMO-000545</t>
  </si>
  <si>
    <t>ZAM-250530-01</t>
  </si>
  <si>
    <t>DEMO-000546</t>
  </si>
  <si>
    <t>ZAM-250530-02</t>
  </si>
  <si>
    <t>DEMO-000547</t>
  </si>
  <si>
    <t>ZAM-250530-03</t>
  </si>
  <si>
    <t>DEMO-000548</t>
  </si>
  <si>
    <t>ZAM-250531-01</t>
  </si>
  <si>
    <t>DEMO-000549</t>
  </si>
  <si>
    <t>ZAM-250531-02</t>
  </si>
  <si>
    <t>DEMO-000550</t>
  </si>
  <si>
    <t>ZAM-250601-01</t>
  </si>
  <si>
    <t>DEMO-000551</t>
  </si>
  <si>
    <t>ZAM-250602-01</t>
  </si>
  <si>
    <t>DEMO-000552</t>
  </si>
  <si>
    <t>ZAM-250602-02</t>
  </si>
  <si>
    <t>DEMO-000553</t>
  </si>
  <si>
    <t>ZAM-250602-03</t>
  </si>
  <si>
    <t>DEMO-000554</t>
  </si>
  <si>
    <t>ZAM-250602-04</t>
  </si>
  <si>
    <t>DEMO-000555</t>
  </si>
  <si>
    <t>ZAM-250602-05</t>
  </si>
  <si>
    <t>DEMO-000556</t>
  </si>
  <si>
    <t>ZAM-250603-01</t>
  </si>
  <si>
    <t>DEMO-000557</t>
  </si>
  <si>
    <t>ZAM-250603-02</t>
  </si>
  <si>
    <t>DEMO-000558</t>
  </si>
  <si>
    <t>ZAM-250603-03</t>
  </si>
  <si>
    <t>DEMO-000559</t>
  </si>
  <si>
    <t>ZAM-250604-01</t>
  </si>
  <si>
    <t>DEMO-000560</t>
  </si>
  <si>
    <t>ZAM-250604-02</t>
  </si>
  <si>
    <t>DEMO-000561</t>
  </si>
  <si>
    <t>ZAM-250604-03</t>
  </si>
  <si>
    <t>DEMO-000562</t>
  </si>
  <si>
    <t>ZAM-250604-04</t>
  </si>
  <si>
    <t>DEMO-000563</t>
  </si>
  <si>
    <t>ZAM-250604-05</t>
  </si>
  <si>
    <t>DEMO-000564</t>
  </si>
  <si>
    <t>ZAM-250604-06</t>
  </si>
  <si>
    <t>DEMO-000565</t>
  </si>
  <si>
    <t>ZAM-250605-01</t>
  </si>
  <si>
    <t>DEMO-000566</t>
  </si>
  <si>
    <t>ZAM-250605-02</t>
  </si>
  <si>
    <t>DEMO-000567</t>
  </si>
  <si>
    <t>ZAM-250605-03</t>
  </si>
  <si>
    <t>DEMO-000568</t>
  </si>
  <si>
    <t>ZAM-250605-04</t>
  </si>
  <si>
    <t>DEMO-000569</t>
  </si>
  <si>
    <t>ZAM-250605-05</t>
  </si>
  <si>
    <t>DEMO-000570</t>
  </si>
  <si>
    <t>ZAM-250606-01</t>
  </si>
  <si>
    <t>DEMO-000571</t>
  </si>
  <si>
    <t>ZAM-250606-02</t>
  </si>
  <si>
    <t>DEMO-000572</t>
  </si>
  <si>
    <t>ZAM-250606-03</t>
  </si>
  <si>
    <t>DEMO-000573</t>
  </si>
  <si>
    <t>ZAM-250606-04</t>
  </si>
  <si>
    <t>DEMO-000574</t>
  </si>
  <si>
    <t>ZAM-250606-05</t>
  </si>
  <si>
    <t>DEMO-000575</t>
  </si>
  <si>
    <t>ZAM-250607-01</t>
  </si>
  <si>
    <t>DEMO-000576</t>
  </si>
  <si>
    <t>ZAM-250607-02</t>
  </si>
  <si>
    <t>DEMO-000577</t>
  </si>
  <si>
    <t>ZAM-250608-01</t>
  </si>
  <si>
    <t>DEMO-000578</t>
  </si>
  <si>
    <t>ZAM-250608-02</t>
  </si>
  <si>
    <t>DEMO-000579</t>
  </si>
  <si>
    <t>ZAM-250609-01</t>
  </si>
  <si>
    <t>DEMO-000580</t>
  </si>
  <si>
    <t>ZAM-250609-02</t>
  </si>
  <si>
    <t>DEMO-000581</t>
  </si>
  <si>
    <t>ZAM-250609-03</t>
  </si>
  <si>
    <t>DEMO-000582</t>
  </si>
  <si>
    <t>ZAM-250609-04</t>
  </si>
  <si>
    <t>DEMO-000583</t>
  </si>
  <si>
    <t>ZAM-250609-05</t>
  </si>
  <si>
    <t>DEMO-000584</t>
  </si>
  <si>
    <t>ZAM-250609-06</t>
  </si>
  <si>
    <t>DEMO-000585</t>
  </si>
  <si>
    <t>ZAM-250610-01</t>
  </si>
  <si>
    <t>DEMO-000586</t>
  </si>
  <si>
    <t>ZAM-250610-02</t>
  </si>
  <si>
    <t>DEMO-000587</t>
  </si>
  <si>
    <t>ZAM-250610-03</t>
  </si>
  <si>
    <t>DEMO-000588</t>
  </si>
  <si>
    <t>ZAM-250610-04</t>
  </si>
  <si>
    <t>DEMO-000589</t>
  </si>
  <si>
    <t>ZAM-250610-05</t>
  </si>
  <si>
    <t>DEMO-000590</t>
  </si>
  <si>
    <t>ZAM-250610-06</t>
  </si>
  <si>
    <t>DEMO-000591</t>
  </si>
  <si>
    <t>ZAM-250611-01</t>
  </si>
  <si>
    <t>DEMO-000592</t>
  </si>
  <si>
    <t>ZAM-250611-02</t>
  </si>
  <si>
    <t>DEMO-000593</t>
  </si>
  <si>
    <t>ZAM-250611-03</t>
  </si>
  <si>
    <t>DEMO-000594</t>
  </si>
  <si>
    <t>ZAM-250611-04</t>
  </si>
  <si>
    <t>DEMO-000595</t>
  </si>
  <si>
    <t>ZAM-250612-01</t>
  </si>
  <si>
    <t>DEMO-000596</t>
  </si>
  <si>
    <t>ZAM-250612-02</t>
  </si>
  <si>
    <t>DEMO-000597</t>
  </si>
  <si>
    <t>ZAM-250612-03</t>
  </si>
  <si>
    <t>DEMO-000598</t>
  </si>
  <si>
    <t>ZAM-250612-04</t>
  </si>
  <si>
    <t>DEMO-000599</t>
  </si>
  <si>
    <t>ZAM-250613-01</t>
  </si>
  <si>
    <t>DEMO-000600</t>
  </si>
  <si>
    <t>ZAM-250613-02</t>
  </si>
  <si>
    <t>DEMO-000601</t>
  </si>
  <si>
    <t>ZAM-250613-03</t>
  </si>
  <si>
    <t>DEMO-000602</t>
  </si>
  <si>
    <t>ZAM-250613-04</t>
  </si>
  <si>
    <t>DEMO-000603</t>
  </si>
  <si>
    <t>ZAM-250613-05</t>
  </si>
  <si>
    <t>DEMO-000604</t>
  </si>
  <si>
    <t>ZAM-250613-06</t>
  </si>
  <si>
    <t>DEMO-000605</t>
  </si>
  <si>
    <t>ZAM-250613-07</t>
  </si>
  <si>
    <t>DEMO-000606</t>
  </si>
  <si>
    <t>ZAM-250614-01</t>
  </si>
  <si>
    <t>DEMO-000607</t>
  </si>
  <si>
    <t>ZAM-250615-01</t>
  </si>
  <si>
    <t>DEMO-000608</t>
  </si>
  <si>
    <t>ZAM-250615-02</t>
  </si>
  <si>
    <t>DEMO-000609</t>
  </si>
  <si>
    <t>ZAM-250616-01</t>
  </si>
  <si>
    <t>DEMO-000610</t>
  </si>
  <si>
    <t>ZAM-250616-02</t>
  </si>
  <si>
    <t>DEMO-000611</t>
  </si>
  <si>
    <t>ZAM-250616-03</t>
  </si>
  <si>
    <t>DEMO-000612</t>
  </si>
  <si>
    <t>ZAM-250617-01</t>
  </si>
  <si>
    <t>DEMO-000613</t>
  </si>
  <si>
    <t>ZAM-250617-02</t>
  </si>
  <si>
    <t>DEMO-000614</t>
  </si>
  <si>
    <t>ZAM-250617-03</t>
  </si>
  <si>
    <t>DEMO-000615</t>
  </si>
  <si>
    <t>ZAM-250617-04</t>
  </si>
  <si>
    <t>DEMO-000616</t>
  </si>
  <si>
    <t>ZAM-250618-01</t>
  </si>
  <si>
    <t>DEMO-000617</t>
  </si>
  <si>
    <t>ZAM-250618-02</t>
  </si>
  <si>
    <t>DEMO-000618</t>
  </si>
  <si>
    <t>ZAM-250618-03</t>
  </si>
  <si>
    <t>DEMO-000619</t>
  </si>
  <si>
    <t>ZAM-250619-01</t>
  </si>
  <si>
    <t>DEMO-000620</t>
  </si>
  <si>
    <t>ZAM-250619-02</t>
  </si>
  <si>
    <t>DEMO-000621</t>
  </si>
  <si>
    <t>ZAM-250619-03</t>
  </si>
  <si>
    <t>DEMO-000622</t>
  </si>
  <si>
    <t>ZAM-250619-04</t>
  </si>
  <si>
    <t>DEMO-000623</t>
  </si>
  <si>
    <t>ZAM-250619-05</t>
  </si>
  <si>
    <t>DEMO-000624</t>
  </si>
  <si>
    <t>ZAM-250619-06</t>
  </si>
  <si>
    <t>DEMO-000625</t>
  </si>
  <si>
    <t>ZAM-250620-01</t>
  </si>
  <si>
    <t>DEMO-000626</t>
  </si>
  <si>
    <t>ZAM-250620-02</t>
  </si>
  <si>
    <t>DEMO-000627</t>
  </si>
  <si>
    <t>ZAM-250620-03</t>
  </si>
  <si>
    <t>DEMO-000628</t>
  </si>
  <si>
    <t>ZAM-250620-04</t>
  </si>
  <si>
    <t>DEMO-000629</t>
  </si>
  <si>
    <t>ZAM-250620-05</t>
  </si>
  <si>
    <t>DEMO-000630</t>
  </si>
  <si>
    <t>ZAM-250621-01</t>
  </si>
  <si>
    <t>DEMO-000631</t>
  </si>
  <si>
    <t>ZAM-250621-02</t>
  </si>
  <si>
    <t>DEMO-000632</t>
  </si>
  <si>
    <t>ZAM-250622-01</t>
  </si>
  <si>
    <t>DEMO-000633</t>
  </si>
  <si>
    <t>ZAM-250623-01</t>
  </si>
  <si>
    <t>DEMO-000634</t>
  </si>
  <si>
    <t>ZAM-250623-02</t>
  </si>
  <si>
    <t>DEMO-000635</t>
  </si>
  <si>
    <t>ZAM-250623-03</t>
  </si>
  <si>
    <t>DEMO-000636</t>
  </si>
  <si>
    <t>ZAM-250623-04</t>
  </si>
  <si>
    <t>DEMO-000637</t>
  </si>
  <si>
    <t>ZAM-250624-01</t>
  </si>
  <si>
    <t>DEMO-000638</t>
  </si>
  <si>
    <t>ZAM-250624-02</t>
  </si>
  <si>
    <t>DEMO-000639</t>
  </si>
  <si>
    <t>ZAM-250624-03</t>
  </si>
  <si>
    <t>DEMO-000640</t>
  </si>
  <si>
    <t>ZAM-250625-01</t>
  </si>
  <si>
    <t>DEMO-000641</t>
  </si>
  <si>
    <t>ZAM-250625-02</t>
  </si>
  <si>
    <t>DEMO-000642</t>
  </si>
  <si>
    <t>ZAM-250625-03</t>
  </si>
  <si>
    <t>DEMO-000643</t>
  </si>
  <si>
    <t>ZAM-250625-04</t>
  </si>
  <si>
    <t>DEMO-000644</t>
  </si>
  <si>
    <t>ZAM-250625-05</t>
  </si>
  <si>
    <t>DEMO-000645</t>
  </si>
  <si>
    <t>ZAM-250625-06</t>
  </si>
  <si>
    <t>DEMO-000646</t>
  </si>
  <si>
    <t>ZAM-250625-07</t>
  </si>
  <si>
    <t>DEMO-000647</t>
  </si>
  <si>
    <t>ZAM-250626-01</t>
  </si>
  <si>
    <t>DEMO-000648</t>
  </si>
  <si>
    <t>ZAM-250626-02</t>
  </si>
  <si>
    <t>DEMO-000649</t>
  </si>
  <si>
    <t>ZAM-250626-03</t>
  </si>
  <si>
    <t>DEMO-000650</t>
  </si>
  <si>
    <t>ZAM-250626-04</t>
  </si>
  <si>
    <t>DEMO-000651</t>
  </si>
  <si>
    <t>ZAM-250626-05</t>
  </si>
  <si>
    <t>DEMO-000652</t>
  </si>
  <si>
    <t>ZAM-250626-06</t>
  </si>
  <si>
    <t>DEMO-000653</t>
  </si>
  <si>
    <t>ZAM-250627-01</t>
  </si>
  <si>
    <t>DEMO-000654</t>
  </si>
  <si>
    <t>ZAM-250627-02</t>
  </si>
  <si>
    <t>DEMO-000655</t>
  </si>
  <si>
    <t>ZAM-250627-03</t>
  </si>
  <si>
    <t>DEMO-000656</t>
  </si>
  <si>
    <t>ZAM-250627-04</t>
  </si>
  <si>
    <t>DEMO-000657</t>
  </si>
  <si>
    <t>ZAM-250628-01</t>
  </si>
  <si>
    <t>DEMO-000658</t>
  </si>
  <si>
    <t>ZAM-250629-01</t>
  </si>
  <si>
    <t>DEMO-000659</t>
  </si>
  <si>
    <t>ZAM-250630-01</t>
  </si>
  <si>
    <t>DEMO-000660</t>
  </si>
  <si>
    <t>ZAM-250630-02</t>
  </si>
  <si>
    <t>DEMO-000661</t>
  </si>
  <si>
    <t>ZAM-250630-03</t>
  </si>
  <si>
    <t>DEMO-000662</t>
  </si>
  <si>
    <t>ZAM-250630-04</t>
  </si>
  <si>
    <t>DEMO-000663</t>
  </si>
  <si>
    <t>ZAM-250630-05</t>
  </si>
  <si>
    <t>DEMO-000664</t>
  </si>
  <si>
    <t>ZAM-250630-06</t>
  </si>
  <si>
    <t>DEMO-000665</t>
  </si>
  <si>
    <t>ZAM-250701-01</t>
  </si>
  <si>
    <t>DEMO-000666</t>
  </si>
  <si>
    <t>ZAM-250701-02</t>
  </si>
  <si>
    <t>DEMO-000667</t>
  </si>
  <si>
    <t>ZAM-250701-03</t>
  </si>
  <si>
    <t>DEMO-000668</t>
  </si>
  <si>
    <t>ZAM-250701-04</t>
  </si>
  <si>
    <t>DEMO-000669</t>
  </si>
  <si>
    <t>ZAM-250702-01</t>
  </si>
  <si>
    <t>DEMO-000670</t>
  </si>
  <si>
    <t>ZAM-250702-02</t>
  </si>
  <si>
    <t>DEMO-000671</t>
  </si>
  <si>
    <t>ZAM-250702-03</t>
  </si>
  <si>
    <t>DEMO-000672</t>
  </si>
  <si>
    <t>ZAM-250702-04</t>
  </si>
  <si>
    <t>DEMO-000673</t>
  </si>
  <si>
    <t>ZAM-250702-05</t>
  </si>
  <si>
    <t>DEMO-000674</t>
  </si>
  <si>
    <t>ZAM-250703-01</t>
  </si>
  <si>
    <t>DEMO-000675</t>
  </si>
  <si>
    <t>ZAM-250703-02</t>
  </si>
  <si>
    <t>DEMO-000676</t>
  </si>
  <si>
    <t>ZAM-250703-03</t>
  </si>
  <si>
    <t>DEMO-000677</t>
  </si>
  <si>
    <t>ZAM-250703-04</t>
  </si>
  <si>
    <t>DEMO-000678</t>
  </si>
  <si>
    <t>ZAM-250704-01</t>
  </si>
  <si>
    <t>DEMO-000679</t>
  </si>
  <si>
    <t>ZAM-250704-02</t>
  </si>
  <si>
    <t>DEMO-000680</t>
  </si>
  <si>
    <t>ZAM-250704-03</t>
  </si>
  <si>
    <t>DEMO-000681</t>
  </si>
  <si>
    <t>ZAM-250705-01</t>
  </si>
  <si>
    <t>DEMO-000682</t>
  </si>
  <si>
    <t>ZAM-250706-01</t>
  </si>
  <si>
    <t>DEMO-000683</t>
  </si>
  <si>
    <t>ZAM-250707-01</t>
  </si>
  <si>
    <t>DEMO-000684</t>
  </si>
  <si>
    <t>ZAM-250707-02</t>
  </si>
  <si>
    <t>DEMO-000685</t>
  </si>
  <si>
    <t>ZAM-250707-03</t>
  </si>
  <si>
    <t>DEMO-000686</t>
  </si>
  <si>
    <t>ZAM-250707-04</t>
  </si>
  <si>
    <t>DEMO-000687</t>
  </si>
  <si>
    <t>ZAM-250708-01</t>
  </si>
  <si>
    <t>DEMO-000688</t>
  </si>
  <si>
    <t>ZAM-250708-02</t>
  </si>
  <si>
    <t>DEMO-000689</t>
  </si>
  <si>
    <t>ZAM-250708-03</t>
  </si>
  <si>
    <t>DEMO-000690</t>
  </si>
  <si>
    <t>ZAM-250709-01</t>
  </si>
  <si>
    <t>DEMO-000691</t>
  </si>
  <si>
    <t>ZAM-250709-02</t>
  </si>
  <si>
    <t>DEMO-000692</t>
  </si>
  <si>
    <t>ZAM-250709-03</t>
  </si>
  <si>
    <t>DEMO-000693</t>
  </si>
  <si>
    <t>ZAM-250709-04</t>
  </si>
  <si>
    <t>DEMO-000694</t>
  </si>
  <si>
    <t>ZAM-250710-01</t>
  </si>
  <si>
    <t>DEMO-000695</t>
  </si>
  <si>
    <t>ZAM-250710-02</t>
  </si>
  <si>
    <t>DEMO-000696</t>
  </si>
  <si>
    <t>ZAM-250710-03</t>
  </si>
  <si>
    <t>DEMO-000697</t>
  </si>
  <si>
    <t>ZAM-250710-04</t>
  </si>
  <si>
    <t>DEMO-000698</t>
  </si>
  <si>
    <t>ZAM-250711-01</t>
  </si>
  <si>
    <t>DEMO-000699</t>
  </si>
  <si>
    <t>ZAM-250711-02</t>
  </si>
  <si>
    <t>DEMO-000700</t>
  </si>
  <si>
    <t>ZAM-250711-03</t>
  </si>
  <si>
    <t>DEMO-000701</t>
  </si>
  <si>
    <t>ZAM-250711-04</t>
  </si>
  <si>
    <t>DEMO-000702</t>
  </si>
  <si>
    <t>ZAM-250712-01</t>
  </si>
  <si>
    <t>DEMO-000703</t>
  </si>
  <si>
    <t>ZAM-250713-01</t>
  </si>
  <si>
    <t>DEMO-000704</t>
  </si>
  <si>
    <t>ZAM-250713-02</t>
  </si>
  <si>
    <t>DEMO-000705</t>
  </si>
  <si>
    <t>ZAM-250714-01</t>
  </si>
  <si>
    <t>DEMO-000706</t>
  </si>
  <si>
    <t>ZAM-250714-02</t>
  </si>
  <si>
    <t>DEMO-000707</t>
  </si>
  <si>
    <t>ZAM-250714-03</t>
  </si>
  <si>
    <t>DEMO-000708</t>
  </si>
  <si>
    <t>ZAM-250714-04</t>
  </si>
  <si>
    <t>DEMO-000709</t>
  </si>
  <si>
    <t>ZAM-250714-05</t>
  </si>
  <si>
    <t>DEMO-000710</t>
  </si>
  <si>
    <t>ZAM-250715-01</t>
  </si>
  <si>
    <t>DEMO-000711</t>
  </si>
  <si>
    <t>ZAM-250715-02</t>
  </si>
  <si>
    <t>DEMO-000712</t>
  </si>
  <si>
    <t>ZAM-250715-03</t>
  </si>
  <si>
    <t>DEMO-000713</t>
  </si>
  <si>
    <t>ZAM-250715-04</t>
  </si>
  <si>
    <t>DEMO-000714</t>
  </si>
  <si>
    <t>ZAM-250715-05</t>
  </si>
  <si>
    <t>DEMO-000715</t>
  </si>
  <si>
    <t>ZAM-250716-01</t>
  </si>
  <si>
    <t>DEMO-000716</t>
  </si>
  <si>
    <t>ZAM-250716-02</t>
  </si>
  <si>
    <t>DEMO-000717</t>
  </si>
  <si>
    <t>ZAM-250716-03</t>
  </si>
  <si>
    <t>DEMO-000718</t>
  </si>
  <si>
    <t>ZAM-250717-01</t>
  </si>
  <si>
    <t>DEMO-000719</t>
  </si>
  <si>
    <t>ZAM-250717-02</t>
  </si>
  <si>
    <t>DEMO-000720</t>
  </si>
  <si>
    <t>ZAM-250717-03</t>
  </si>
  <si>
    <t>DEMO-000721</t>
  </si>
  <si>
    <t>ZAM-250717-04</t>
  </si>
  <si>
    <t>DEMO-000722</t>
  </si>
  <si>
    <t>ZAM-250717-05</t>
  </si>
  <si>
    <t>DEMO-000723</t>
  </si>
  <si>
    <t>ZAM-250718-01</t>
  </si>
  <si>
    <t>DEMO-000724</t>
  </si>
  <si>
    <t>ZAM-250718-02</t>
  </si>
  <si>
    <t>DEMO-000725</t>
  </si>
  <si>
    <t>ZAM-250718-03</t>
  </si>
  <si>
    <t>DEMO-000726</t>
  </si>
  <si>
    <t>ZAM-250718-04</t>
  </si>
  <si>
    <t>DEMO-000727</t>
  </si>
  <si>
    <t>ZAM-250718-05</t>
  </si>
  <si>
    <t>DEMO-000728</t>
  </si>
  <si>
    <t>ZAM-250719-01</t>
  </si>
  <si>
    <t>DEMO-000729</t>
  </si>
  <si>
    <t>ZAM-250719-02</t>
  </si>
  <si>
    <t>DEMO-000730</t>
  </si>
  <si>
    <t>ZAM-250720-01</t>
  </si>
  <si>
    <t>DEMO-000731</t>
  </si>
  <si>
    <t>ZAM-250720-02</t>
  </si>
  <si>
    <t>DEMO-000732</t>
  </si>
  <si>
    <t>ZAM-250721-01</t>
  </si>
  <si>
    <t>DEMO-000733</t>
  </si>
  <si>
    <t>ZAM-250721-02</t>
  </si>
  <si>
    <t>DEMO-000734</t>
  </si>
  <si>
    <t>ZAM-250721-03</t>
  </si>
  <si>
    <t>DEMO-000735</t>
  </si>
  <si>
    <t>ZAM-250721-04</t>
  </si>
  <si>
    <t>DEMO-000736</t>
  </si>
  <si>
    <t>ZAM-250722-01</t>
  </si>
  <si>
    <t>DEMO-000737</t>
  </si>
  <si>
    <t>ZAM-250722-02</t>
  </si>
  <si>
    <t>DEMO-000738</t>
  </si>
  <si>
    <t>ZAM-250722-03</t>
  </si>
  <si>
    <t>DEMO-000739</t>
  </si>
  <si>
    <t>ZAM-250722-04</t>
  </si>
  <si>
    <t>DEMO-000740</t>
  </si>
  <si>
    <t>ZAM-250722-05</t>
  </si>
  <si>
    <t>DEMO-000741</t>
  </si>
  <si>
    <t>ZAM-250723-01</t>
  </si>
  <si>
    <t>DEMO-000742</t>
  </si>
  <si>
    <t>ZAM-250723-02</t>
  </si>
  <si>
    <t>DEMO-000743</t>
  </si>
  <si>
    <t>ZAM-250723-03</t>
  </si>
  <si>
    <t>DEMO-000744</t>
  </si>
  <si>
    <t>ZAM-250723-04</t>
  </si>
  <si>
    <t>DEMO-000745</t>
  </si>
  <si>
    <t>ZAM-250723-05</t>
  </si>
  <si>
    <t>DEMO-000746</t>
  </si>
  <si>
    <t>ZAM-250724-01</t>
  </si>
  <si>
    <t>DEMO-000747</t>
  </si>
  <si>
    <t>ZAM-250724-02</t>
  </si>
  <si>
    <t>DEMO-000748</t>
  </si>
  <si>
    <t>ZAM-250724-03</t>
  </si>
  <si>
    <t>DEMO-000749</t>
  </si>
  <si>
    <t>ZAM-250724-04</t>
  </si>
  <si>
    <t>DEMO-000750</t>
  </si>
  <si>
    <t>ZAM-250725-01</t>
  </si>
  <si>
    <t>DEMO-000751</t>
  </si>
  <si>
    <t>ZAM-250725-02</t>
  </si>
  <si>
    <t>DEMO-000752</t>
  </si>
  <si>
    <t>ZAM-250725-03</t>
  </si>
  <si>
    <t>DEMO-000753</t>
  </si>
  <si>
    <t>ZAM-250725-04</t>
  </si>
  <si>
    <t>DEMO-000754</t>
  </si>
  <si>
    <t>ZAM-250725-05</t>
  </si>
  <si>
    <t>DEMO-000755</t>
  </si>
  <si>
    <t>ZAM-250726-01</t>
  </si>
  <si>
    <t>DEMO-000756</t>
  </si>
  <si>
    <t>ZAM-250726-02</t>
  </si>
  <si>
    <t>DEMO-000757</t>
  </si>
  <si>
    <t>ZAM-250727-01</t>
  </si>
  <si>
    <t>DEMO-000758</t>
  </si>
  <si>
    <t>ZAM-250728-01</t>
  </si>
  <si>
    <t>DEMO-000759</t>
  </si>
  <si>
    <t>ZAM-250728-02</t>
  </si>
  <si>
    <t>DEMO-000760</t>
  </si>
  <si>
    <t>ZAM-250728-03</t>
  </si>
  <si>
    <t>DEMO-000761</t>
  </si>
  <si>
    <t>ZAM-250729-01</t>
  </si>
  <si>
    <t>DEMO-000762</t>
  </si>
  <si>
    <t>ZAM-250729-02</t>
  </si>
  <si>
    <t>DEMO-000763</t>
  </si>
  <si>
    <t>ZAM-250729-03</t>
  </si>
  <si>
    <t>DEMO-000764</t>
  </si>
  <si>
    <t>ZAM-250729-04</t>
  </si>
  <si>
    <t>DEMO-000765</t>
  </si>
  <si>
    <t>ZAM-250730-01</t>
  </si>
  <si>
    <t>DEMO-000766</t>
  </si>
  <si>
    <t>ZAM-250730-02</t>
  </si>
  <si>
    <t>DEMO-000767</t>
  </si>
  <si>
    <t>ZAM-250730-03</t>
  </si>
  <si>
    <t>DEMO-000768</t>
  </si>
  <si>
    <t>ZAM-250730-04</t>
  </si>
  <si>
    <t>DEMO-000769</t>
  </si>
  <si>
    <t>ZAM-250731-01</t>
  </si>
  <si>
    <t>DEMO-000770</t>
  </si>
  <si>
    <t>ZAM-250731-02</t>
  </si>
  <si>
    <t>DEMO-000771</t>
  </si>
  <si>
    <t>ZAM-250731-03</t>
  </si>
  <si>
    <t>DEMO-000772</t>
  </si>
  <si>
    <t>ZAM-250731-04</t>
  </si>
  <si>
    <t>DEMO-000773</t>
  </si>
  <si>
    <t>ZAM-250801-01</t>
  </si>
  <si>
    <t>DEMO-000774</t>
  </si>
  <si>
    <t>ZAM-250801-02</t>
  </si>
  <si>
    <t>DEMO-000775</t>
  </si>
  <si>
    <t>ZAM-250801-03</t>
  </si>
  <si>
    <t>DEMO-000776</t>
  </si>
  <si>
    <t>ZAM-250801-04</t>
  </si>
  <si>
    <t>DEMO-000777</t>
  </si>
  <si>
    <t>ZAM-250801-05</t>
  </si>
  <si>
    <t>DEMO-000778</t>
  </si>
  <si>
    <t>ZAM-250802-01</t>
  </si>
  <si>
    <t>DEMO-000779</t>
  </si>
  <si>
    <t>ZAM-250802-02</t>
  </si>
  <si>
    <t>DEMO-000780</t>
  </si>
  <si>
    <t>ZAM-250803-01</t>
  </si>
  <si>
    <t>DEMO-000781</t>
  </si>
  <si>
    <t>ZAM-250803-02</t>
  </si>
  <si>
    <t>DEMO-000782</t>
  </si>
  <si>
    <t>ZAM-250804-01</t>
  </si>
  <si>
    <t>DEMO-000783</t>
  </si>
  <si>
    <t>ZAM-250804-02</t>
  </si>
  <si>
    <t>DEMO-000784</t>
  </si>
  <si>
    <t>ZAM-250804-03</t>
  </si>
  <si>
    <t>DEMO-000785</t>
  </si>
  <si>
    <t>ZAM-250804-04</t>
  </si>
  <si>
    <t>DEMO-000786</t>
  </si>
  <si>
    <t>ZAM-250804-05</t>
  </si>
  <si>
    <t>DEMO-000787</t>
  </si>
  <si>
    <t>ZAM-250805-01</t>
  </si>
  <si>
    <t>DEMO-000788</t>
  </si>
  <si>
    <t>ZAM-250805-02</t>
  </si>
  <si>
    <t>DEMO-000789</t>
  </si>
  <si>
    <t>ZAM-250805-03</t>
  </si>
  <si>
    <t>DEMO-000790</t>
  </si>
  <si>
    <t>ZAM-250805-04</t>
  </si>
  <si>
    <t>DEMO-000791</t>
  </si>
  <si>
    <t>ZAM-250805-05</t>
  </si>
  <si>
    <t>DEMO-000792</t>
  </si>
  <si>
    <t>ZAM-250805-06</t>
  </si>
  <si>
    <t>DEMO-000793</t>
  </si>
  <si>
    <t>ZAM-250806-01</t>
  </si>
  <si>
    <t>DEMO-000794</t>
  </si>
  <si>
    <t>ZAM-250806-02</t>
  </si>
  <si>
    <t>DEMO-000795</t>
  </si>
  <si>
    <t>ZAM-250806-03</t>
  </si>
  <si>
    <t>DEMO-000796</t>
  </si>
  <si>
    <t>ZAM-250806-04</t>
  </si>
  <si>
    <t>DEMO-000797</t>
  </si>
  <si>
    <t>ZAM-250806-05</t>
  </si>
  <si>
    <t>DEMO-000798</t>
  </si>
  <si>
    <t>ZAM-250807-01</t>
  </si>
  <si>
    <t>DEMO-000799</t>
  </si>
  <si>
    <t>ZAM-250807-02</t>
  </si>
  <si>
    <t>DEMO-000800</t>
  </si>
  <si>
    <t>ZAM-250807-03</t>
  </si>
  <si>
    <t>DEMO-000801</t>
  </si>
  <si>
    <t>ZAM-250807-04</t>
  </si>
  <si>
    <t>DEMO-000802</t>
  </si>
  <si>
    <t>ZAM-250807-05</t>
  </si>
  <si>
    <t>DEMO-000803</t>
  </si>
  <si>
    <t>ZAM-250807-06</t>
  </si>
  <si>
    <t>DEMO-000804</t>
  </si>
  <si>
    <t>ZAM-250808-01</t>
  </si>
  <si>
    <t>DEMO-000805</t>
  </si>
  <si>
    <t>ZAM-250808-02</t>
  </si>
  <si>
    <t>DEMO-000806</t>
  </si>
  <si>
    <t>ZAM-250808-03</t>
  </si>
  <si>
    <t>DEMO-000807</t>
  </si>
  <si>
    <t>ZAM-250808-04</t>
  </si>
  <si>
    <t>DEMO-000808</t>
  </si>
  <si>
    <t>ZAM-250809-01</t>
  </si>
  <si>
    <t>DEMO-000809</t>
  </si>
  <si>
    <t>ZAM-250809-02</t>
  </si>
  <si>
    <t>DEMO-000810</t>
  </si>
  <si>
    <t>ZAM-250810-01</t>
  </si>
  <si>
    <t>DEMO-000811</t>
  </si>
  <si>
    <t>ZAM-250811-01</t>
  </si>
  <si>
    <t>DEMO-000812</t>
  </si>
  <si>
    <t>ZAM-250811-02</t>
  </si>
  <si>
    <t>DEMO-000813</t>
  </si>
  <si>
    <t>ZAM-250811-03</t>
  </si>
  <si>
    <t>DEMO-000814</t>
  </si>
  <si>
    <t>ZAM-250811-04</t>
  </si>
  <si>
    <t>DEMO-000815</t>
  </si>
  <si>
    <t>ZAM-250811-05</t>
  </si>
  <si>
    <t>DEMO-000816</t>
  </si>
  <si>
    <t>ZAM-250812-01</t>
  </si>
  <si>
    <t>DEMO-000817</t>
  </si>
  <si>
    <t>ZAM-250812-02</t>
  </si>
  <si>
    <t>DEMO-000818</t>
  </si>
  <si>
    <t>ZAM-250812-03</t>
  </si>
  <si>
    <t>DEMO-000819</t>
  </si>
  <si>
    <t>ZAM-250812-04</t>
  </si>
  <si>
    <t>DEMO-000820</t>
  </si>
  <si>
    <t>ZAM-250813-01</t>
  </si>
  <si>
    <t>DEMO-000821</t>
  </si>
  <si>
    <t>ZAM-250813-02</t>
  </si>
  <si>
    <t>DEMO-000822</t>
  </si>
  <si>
    <t>ZAM-250813-03</t>
  </si>
  <si>
    <t>DEMO-000823</t>
  </si>
  <si>
    <t>ZAM-250813-04</t>
  </si>
  <si>
    <t>DEMO-000824</t>
  </si>
  <si>
    <t>ZAM-250813-05</t>
  </si>
  <si>
    <t>DEMO-000825</t>
  </si>
  <si>
    <t>ZAM-250814-01</t>
  </si>
  <si>
    <t>DEMO-000826</t>
  </si>
  <si>
    <t>ZAM-250814-02</t>
  </si>
  <si>
    <t>DEMO-000827</t>
  </si>
  <si>
    <t>ZAM-250814-03</t>
  </si>
  <si>
    <t>DEMO-000828</t>
  </si>
  <si>
    <t>ZAM-250814-04</t>
  </si>
  <si>
    <t>DEMO-000829</t>
  </si>
  <si>
    <t>ZAM-250814-05</t>
  </si>
  <si>
    <t>DEMO-000830</t>
  </si>
  <si>
    <t>ZAM-250815-01</t>
  </si>
  <si>
    <t>DEMO-000831</t>
  </si>
  <si>
    <t>ZAM-250815-02</t>
  </si>
  <si>
    <t>DEMO-000832</t>
  </si>
  <si>
    <t>ZAM-250815-03</t>
  </si>
  <si>
    <t>DEMO-000833</t>
  </si>
  <si>
    <t>ZAM-250815-04</t>
  </si>
  <si>
    <t>DEMO-000834</t>
  </si>
  <si>
    <t>ZAM-250816-01</t>
  </si>
  <si>
    <t>DEMO-000835</t>
  </si>
  <si>
    <t>ZAM-250817-01</t>
  </si>
  <si>
    <t>DEMO-000836</t>
  </si>
  <si>
    <t>ZAM-250818-01</t>
  </si>
  <si>
    <t>DEMO-000837</t>
  </si>
  <si>
    <t>ZAM-250818-02</t>
  </si>
  <si>
    <t>DEMO-000838</t>
  </si>
  <si>
    <t>ZAM-250818-03</t>
  </si>
  <si>
    <t>DEMO-000839</t>
  </si>
  <si>
    <t>ZAM-250819-01</t>
  </si>
  <si>
    <t>DEMO-000840</t>
  </si>
  <si>
    <t>ZAM-250819-02</t>
  </si>
  <si>
    <t>DEMO-000841</t>
  </si>
  <si>
    <t>ZAM-250819-03</t>
  </si>
  <si>
    <t>DEMO-000842</t>
  </si>
  <si>
    <t>ZAM-250819-04</t>
  </si>
  <si>
    <t>DEMO-000843</t>
  </si>
  <si>
    <t>ZAM-250819-05</t>
  </si>
  <si>
    <t>DEMO-000844</t>
  </si>
  <si>
    <t>ZAM-250819-06</t>
  </si>
  <si>
    <t>DEMO-000845</t>
  </si>
  <si>
    <t>ZAM-250820-01</t>
  </si>
  <si>
    <t>DEMO-000846</t>
  </si>
  <si>
    <t>ZAM-250820-02</t>
  </si>
  <si>
    <t>DEMO-000847</t>
  </si>
  <si>
    <t>ZAM-250820-03</t>
  </si>
  <si>
    <t>DEMO-000848</t>
  </si>
  <si>
    <t>ZAM-250820-04</t>
  </si>
  <si>
    <t>DEMO-000849</t>
  </si>
  <si>
    <t>ZAM-250820-05</t>
  </si>
  <si>
    <t>DEMO-000850</t>
  </si>
  <si>
    <t>ZAM-250821-01</t>
  </si>
  <si>
    <t>DEMO-000851</t>
  </si>
  <si>
    <t>ZAM-250821-02</t>
  </si>
  <si>
    <t>DEMO-000852</t>
  </si>
  <si>
    <t>ZAM-250821-03</t>
  </si>
  <si>
    <t>DEMO-000853</t>
  </si>
  <si>
    <t>ZAM-250822-01</t>
  </si>
  <si>
    <t>DEMO-000854</t>
  </si>
  <si>
    <t>ZAM-250822-02</t>
  </si>
  <si>
    <t>DEMO-000855</t>
  </si>
  <si>
    <t>ZAM-250822-03</t>
  </si>
  <si>
    <t>DEMO-000856</t>
  </si>
  <si>
    <t>ZAM-250822-04</t>
  </si>
  <si>
    <t>DEMO-000857</t>
  </si>
  <si>
    <t>ZAM-250822-05</t>
  </si>
  <si>
    <t>DEMO-000858</t>
  </si>
  <si>
    <t>ZAM-250822-06</t>
  </si>
  <si>
    <t>DEMO-000859</t>
  </si>
  <si>
    <t>ZAM-250823-01</t>
  </si>
  <si>
    <t>DEMO-000860</t>
  </si>
  <si>
    <t>ZAM-250823-02</t>
  </si>
  <si>
    <t>DEMO-000861</t>
  </si>
  <si>
    <t>ZAM-250824-01</t>
  </si>
  <si>
    <t>DEMO-000862</t>
  </si>
  <si>
    <t>ZAM-250824-02</t>
  </si>
  <si>
    <t>DEMO-000863</t>
  </si>
  <si>
    <t>ZAM-250825-01</t>
  </si>
  <si>
    <t>DEMO-000864</t>
  </si>
  <si>
    <t>ZAM-250825-02</t>
  </si>
  <si>
    <t>DEMO-000865</t>
  </si>
  <si>
    <t>ZAM-250825-03</t>
  </si>
  <si>
    <t>DEMO-000866</t>
  </si>
  <si>
    <t>ZAM-250825-04</t>
  </si>
  <si>
    <t>DEMO-000867</t>
  </si>
  <si>
    <t>ZAM-250825-05</t>
  </si>
  <si>
    <t>DEMO-000868</t>
  </si>
  <si>
    <t>ZAM-250825-06</t>
  </si>
  <si>
    <t>DEMO-000869</t>
  </si>
  <si>
    <t>ZAM-250826-01</t>
  </si>
  <si>
    <t>DEMO-000870</t>
  </si>
  <si>
    <t>ZAM-250826-02</t>
  </si>
  <si>
    <t>DEMO-000871</t>
  </si>
  <si>
    <t>ZAM-250826-03</t>
  </si>
  <si>
    <t>DEMO-000872</t>
  </si>
  <si>
    <t>ZAM-250826-04</t>
  </si>
  <si>
    <t>DEMO-000873</t>
  </si>
  <si>
    <t>ZAM-250827-01</t>
  </si>
  <si>
    <t>DEMO-000874</t>
  </si>
  <si>
    <t>ZAM-250827-02</t>
  </si>
  <si>
    <t>DEMO-000875</t>
  </si>
  <si>
    <t>ZAM-250827-03</t>
  </si>
  <si>
    <t>DEMO-000876</t>
  </si>
  <si>
    <t>ZAM-250827-04</t>
  </si>
  <si>
    <t>DEMO-000877</t>
  </si>
  <si>
    <t>ZAM-250828-01</t>
  </si>
  <si>
    <t>DEMO-000878</t>
  </si>
  <si>
    <t>ZAM-250828-02</t>
  </si>
  <si>
    <t>DEMO-000879</t>
  </si>
  <si>
    <t>ZAM-250828-03</t>
  </si>
  <si>
    <t>DEMO-000880</t>
  </si>
  <si>
    <t>ZAM-250828-04</t>
  </si>
  <si>
    <t>DEMO-000881</t>
  </si>
  <si>
    <t>ZAM-250828-05</t>
  </si>
  <si>
    <t>DEMO-000882</t>
  </si>
  <si>
    <t>ZAM-250829-01</t>
  </si>
  <si>
    <t>DEMO-000883</t>
  </si>
  <si>
    <t>ZAM-250829-02</t>
  </si>
  <si>
    <t>DEMO-000884</t>
  </si>
  <si>
    <t>ZAM-250829-03</t>
  </si>
  <si>
    <t>DEMO-000885</t>
  </si>
  <si>
    <t>ZAM-250829-04</t>
  </si>
  <si>
    <t>DEMO-000886</t>
  </si>
  <si>
    <t>ZAM-250830-01</t>
  </si>
  <si>
    <t>DEMO-000887</t>
  </si>
  <si>
    <t>ZAM-250831-01</t>
  </si>
  <si>
    <t>DEMO-000888</t>
  </si>
  <si>
    <t>ZAM-250901-01</t>
  </si>
  <si>
    <t>DEMO-000889</t>
  </si>
  <si>
    <t>ZAM-250901-02</t>
  </si>
  <si>
    <t>DEMO-000890</t>
  </si>
  <si>
    <t>ZAM-250901-03</t>
  </si>
  <si>
    <t>DEMO-000891</t>
  </si>
  <si>
    <t>ZAM-250901-04</t>
  </si>
  <si>
    <t>DEMO-000892</t>
  </si>
  <si>
    <t>ZAM-250901-05</t>
  </si>
  <si>
    <t>DEMO-000893</t>
  </si>
  <si>
    <t>ZAM-250901-06</t>
  </si>
  <si>
    <t>DEMO-000894</t>
  </si>
  <si>
    <t>ZAM-250901-07</t>
  </si>
  <si>
    <t>DEMO-000895</t>
  </si>
  <si>
    <t>ZAM-250901-08</t>
  </si>
  <si>
    <t>DEMO-000896</t>
  </si>
  <si>
    <t>ZAM-250902-01</t>
  </si>
  <si>
    <t>DEMO-000897</t>
  </si>
  <si>
    <t>ZAM-250902-02</t>
  </si>
  <si>
    <t>DEMO-000898</t>
  </si>
  <si>
    <t>ZAM-250902-03</t>
  </si>
  <si>
    <t>DEMO-000899</t>
  </si>
  <si>
    <t>ZAM-250902-04</t>
  </si>
  <si>
    <t>DEMO-000900</t>
  </si>
  <si>
    <t>ZAM-250903-01</t>
  </si>
  <si>
    <t>DEMO-000901</t>
  </si>
  <si>
    <t>ZAM-250903-02</t>
  </si>
  <si>
    <t>DEMO-000902</t>
  </si>
  <si>
    <t>ZAM-250903-03</t>
  </si>
  <si>
    <t>DEMO-000903</t>
  </si>
  <si>
    <t>ZAM-250903-04</t>
  </si>
  <si>
    <t>DEMO-000904</t>
  </si>
  <si>
    <t>ZAM-250903-05</t>
  </si>
  <si>
    <t>DEMO-000905</t>
  </si>
  <si>
    <t>ZAM-250904-01</t>
  </si>
  <si>
    <t>DEMO-000906</t>
  </si>
  <si>
    <t>ZAM-250904-02</t>
  </si>
  <si>
    <t>DEMO-000907</t>
  </si>
  <si>
    <t>ZAM-250904-03</t>
  </si>
  <si>
    <t>DEMO-000908</t>
  </si>
  <si>
    <t>ZAM-250904-04</t>
  </si>
  <si>
    <t>DEMO-000909</t>
  </si>
  <si>
    <t>ZAM-250905-01</t>
  </si>
  <si>
    <t>DEMO-000910</t>
  </si>
  <si>
    <t>ZAM-250905-02</t>
  </si>
  <si>
    <t>DEMO-000911</t>
  </si>
  <si>
    <t>ZAM-250905-03</t>
  </si>
  <si>
    <t>DEMO-000912</t>
  </si>
  <si>
    <t>ZAM-250905-04</t>
  </si>
  <si>
    <t>DEMO-000913</t>
  </si>
  <si>
    <t>ZAM-250906-01</t>
  </si>
  <si>
    <t>DEMO-000914</t>
  </si>
  <si>
    <t>ZAM-250907-01</t>
  </si>
  <si>
    <t>DEMO-000915</t>
  </si>
  <si>
    <t>ZAM-250908-01</t>
  </si>
  <si>
    <t>DEMO-000916</t>
  </si>
  <si>
    <t>ZAM-250908-02</t>
  </si>
  <si>
    <t>DEMO-000917</t>
  </si>
  <si>
    <t>ZAM-250908-03</t>
  </si>
  <si>
    <t>DEMO-000918</t>
  </si>
  <si>
    <t>ZAM-250908-04</t>
  </si>
  <si>
    <t>DEMO-000919</t>
  </si>
  <si>
    <t>ZAM-250908-05</t>
  </si>
  <si>
    <t>DEMO-000920</t>
  </si>
  <si>
    <t>ZAM-250909-01</t>
  </si>
  <si>
    <t>DEMO-000921</t>
  </si>
  <si>
    <t>ZAM-250909-02</t>
  </si>
  <si>
    <t>DEMO-000922</t>
  </si>
  <si>
    <t>ZAM-250909-03</t>
  </si>
  <si>
    <t>DEMO-000923</t>
  </si>
  <si>
    <t>ZAM-250909-04</t>
  </si>
  <si>
    <t>DEMO-000924</t>
  </si>
  <si>
    <t>ZAM-250909-05</t>
  </si>
  <si>
    <t>DEMO-000925</t>
  </si>
  <si>
    <t>ZAM-250910-01</t>
  </si>
  <si>
    <t>DEMO-000926</t>
  </si>
  <si>
    <t>ZAM-250910-02</t>
  </si>
  <si>
    <t>DEMO-000927</t>
  </si>
  <si>
    <t>ZAM-250910-03</t>
  </si>
  <si>
    <t>DEMO-000928</t>
  </si>
  <si>
    <t>ZAM-250910-04</t>
  </si>
  <si>
    <t>DEMO-000929</t>
  </si>
  <si>
    <t>ZAM-250910-05</t>
  </si>
  <si>
    <t>DEMO-000930</t>
  </si>
  <si>
    <t>ZAM-250910-06</t>
  </si>
  <si>
    <t>DEMO-000931</t>
  </si>
  <si>
    <t>ZAM-250911-01</t>
  </si>
  <si>
    <t>DEMO-000932</t>
  </si>
  <si>
    <t>ZAM-250911-02</t>
  </si>
  <si>
    <t>DEMO-000933</t>
  </si>
  <si>
    <t>ZAM-250911-03</t>
  </si>
  <si>
    <t>DEMO-000934</t>
  </si>
  <si>
    <t>ZAM-250911-04</t>
  </si>
  <si>
    <t>DEMO-000935</t>
  </si>
  <si>
    <t>ZAM-250911-05</t>
  </si>
  <si>
    <t>DEMO-000936</t>
  </si>
  <si>
    <t>ZAM-250911-06</t>
  </si>
  <si>
    <t>DEMO-000937</t>
  </si>
  <si>
    <t>ZAM-250912-01</t>
  </si>
  <si>
    <t>DEMO-000938</t>
  </si>
  <si>
    <t>ZAM-250912-02</t>
  </si>
  <si>
    <t>DEMO-000939</t>
  </si>
  <si>
    <t>ZAM-250912-03</t>
  </si>
  <si>
    <t>DEMO-000940</t>
  </si>
  <si>
    <t>ZAM-250912-04</t>
  </si>
  <si>
    <t>DEMO-000941</t>
  </si>
  <si>
    <t>ZAM-250912-05</t>
  </si>
  <si>
    <t>DEMO-000942</t>
  </si>
  <si>
    <t>ZAM-250912-06</t>
  </si>
  <si>
    <t>DEMO-000943</t>
  </si>
  <si>
    <t>ZAM-250913-01</t>
  </si>
  <si>
    <t>DEMO-000944</t>
  </si>
  <si>
    <t>ZAM-250914-01</t>
  </si>
  <si>
    <t>DEMO-000945</t>
  </si>
  <si>
    <t>ZAM-250914-02</t>
  </si>
  <si>
    <t>DEMO-000946</t>
  </si>
  <si>
    <t>ZAM-250915-01</t>
  </si>
  <si>
    <t>DEMO-000947</t>
  </si>
  <si>
    <t>ZAM-250915-02</t>
  </si>
  <si>
    <t>DEMO-000948</t>
  </si>
  <si>
    <t>ZAM-250915-03</t>
  </si>
  <si>
    <t>DEMO-000949</t>
  </si>
  <si>
    <t>ZAM-250915-04</t>
  </si>
  <si>
    <t>DEMO-000950</t>
  </si>
  <si>
    <t>ZAM-250915-05</t>
  </si>
  <si>
    <t>DEMO-000951</t>
  </si>
  <si>
    <t>ZAM-250915-06</t>
  </si>
  <si>
    <t>DEMO-000952</t>
  </si>
  <si>
    <t>ZAM-250915-07</t>
  </si>
  <si>
    <t>DEMO-000953</t>
  </si>
  <si>
    <t>ZAM-250916-01</t>
  </si>
  <si>
    <t>DEMO-000954</t>
  </si>
  <si>
    <t>ZAM-250916-02</t>
  </si>
  <si>
    <t>DEMO-000955</t>
  </si>
  <si>
    <t>ZAM-250916-03</t>
  </si>
  <si>
    <t>DEMO-000956</t>
  </si>
  <si>
    <t>ZAM-250916-04</t>
  </si>
  <si>
    <t>DEMO-000957</t>
  </si>
  <si>
    <t>ZAM-250917-01</t>
  </si>
  <si>
    <t>DEMO-000958</t>
  </si>
  <si>
    <t>ZAM-250917-02</t>
  </si>
  <si>
    <t>DEMO-000959</t>
  </si>
  <si>
    <t>ZAM-250917-03</t>
  </si>
  <si>
    <t>DEMO-000960</t>
  </si>
  <si>
    <t>ZAM-250917-04</t>
  </si>
  <si>
    <t>DEMO-000961</t>
  </si>
  <si>
    <t>ZAM-250918-01</t>
  </si>
  <si>
    <t>DEMO-000962</t>
  </si>
  <si>
    <t>ZAM-250918-02</t>
  </si>
  <si>
    <t>DEMO-000963</t>
  </si>
  <si>
    <t>ZAM-250918-03</t>
  </si>
  <si>
    <t>DEMO-000964</t>
  </si>
  <si>
    <t>ZAM-250918-04</t>
  </si>
  <si>
    <t>DEMO-000965</t>
  </si>
  <si>
    <t>ZAM-250919-01</t>
  </si>
  <si>
    <t>DEMO-000966</t>
  </si>
  <si>
    <t>ZAM-250919-02</t>
  </si>
  <si>
    <t>DEMO-000967</t>
  </si>
  <si>
    <t>ZAM-250919-03</t>
  </si>
  <si>
    <t>DEMO-000968</t>
  </si>
  <si>
    <t>ZAM-250919-04</t>
  </si>
  <si>
    <t>DEMO-000969</t>
  </si>
  <si>
    <t>ZAM-250919-05</t>
  </si>
  <si>
    <t>DEMO-000970</t>
  </si>
  <si>
    <t>ZAM-250920-01</t>
  </si>
  <si>
    <t>DEMO-000971</t>
  </si>
  <si>
    <t>ZAM-250920-02</t>
  </si>
  <si>
    <t>DEMO-000972</t>
  </si>
  <si>
    <t>ZAM-250921-01</t>
  </si>
  <si>
    <t>DEMO-000973</t>
  </si>
  <si>
    <t>ZAM-250922-01</t>
  </si>
  <si>
    <t>DEMO-000974</t>
  </si>
  <si>
    <t>ZAM-250922-02</t>
  </si>
  <si>
    <t>DEMO-000975</t>
  </si>
  <si>
    <t>ZAM-250922-03</t>
  </si>
  <si>
    <t>DEMO-000976</t>
  </si>
  <si>
    <t>ZAM-250923-01</t>
  </si>
  <si>
    <t>DEMO-000977</t>
  </si>
  <si>
    <t>ZAM-250923-02</t>
  </si>
  <si>
    <t>DEMO-000978</t>
  </si>
  <si>
    <t>ZAM-250923-03</t>
  </si>
  <si>
    <t>DEMO-000979</t>
  </si>
  <si>
    <t>ZAM-250924-01</t>
  </si>
  <si>
    <t>DEMO-000980</t>
  </si>
  <si>
    <t>ZAM-250924-02</t>
  </si>
  <si>
    <t>DEMO-000981</t>
  </si>
  <si>
    <t>ZAM-250924-03</t>
  </si>
  <si>
    <t>DEMO-000982</t>
  </si>
  <si>
    <t>ZAM-250924-04</t>
  </si>
  <si>
    <t>DEMO-000983</t>
  </si>
  <si>
    <t>ZAM-250925-01</t>
  </si>
  <si>
    <t>DEMO-000984</t>
  </si>
  <si>
    <t>ZAM-250925-02</t>
  </si>
  <si>
    <t>DEMO-000985</t>
  </si>
  <si>
    <t>ZAM-250925-03</t>
  </si>
  <si>
    <t>DEMO-000986</t>
  </si>
  <si>
    <t>ZAM-250925-04</t>
  </si>
  <si>
    <t>DEMO-000987</t>
  </si>
  <si>
    <t>ZAM-250925-05</t>
  </si>
  <si>
    <t>DEMO-000988</t>
  </si>
  <si>
    <t>ZAM-250926-01</t>
  </si>
  <si>
    <t>DEMO-000989</t>
  </si>
  <si>
    <t>ZAM-250926-02</t>
  </si>
  <si>
    <t>DEMO-000990</t>
  </si>
  <si>
    <t>ZAM-250926-03</t>
  </si>
  <si>
    <t>DEMO-000991</t>
  </si>
  <si>
    <t>ZAM-250926-04</t>
  </si>
  <si>
    <t>DEMO-000992</t>
  </si>
  <si>
    <t>ZAM-250926-05</t>
  </si>
  <si>
    <t>DEMO-000993</t>
  </si>
  <si>
    <t>ZAM-250926-06</t>
  </si>
  <si>
    <t>DEMO-000994</t>
  </si>
  <si>
    <t>ZAM-250926-07</t>
  </si>
  <si>
    <t>DEMO-000995</t>
  </si>
  <si>
    <t>ZAM-250927-01</t>
  </si>
  <si>
    <t>DEMO-000996</t>
  </si>
  <si>
    <t>ZAM-250928-01</t>
  </si>
  <si>
    <t>DEMO-000997</t>
  </si>
  <si>
    <t>ZAM-250928-02</t>
  </si>
  <si>
    <t>DEMO-000998</t>
  </si>
  <si>
    <t>ZAM-250929-01</t>
  </si>
  <si>
    <t>DEMO-000999</t>
  </si>
  <si>
    <t>ZAM-250929-02</t>
  </si>
  <si>
    <t>DEMO-001000</t>
  </si>
  <si>
    <t>ZAM-250929-03</t>
  </si>
  <si>
    <t>DEMO-001001</t>
  </si>
  <si>
    <t>ZAM-250930-01</t>
  </si>
  <si>
    <t>DEMO-001002</t>
  </si>
  <si>
    <t>ZAM-250930-02</t>
  </si>
  <si>
    <t>DEMO-001003</t>
  </si>
  <si>
    <t>ZAM-250930-03</t>
  </si>
  <si>
    <t>DEMO-001004</t>
  </si>
  <si>
    <t>ZAM-250930-04</t>
  </si>
  <si>
    <t>DEMO-001005</t>
  </si>
  <si>
    <t>ZAM-250930-05</t>
  </si>
  <si>
    <t>DEMO-001006</t>
  </si>
  <si>
    <t>ZAM-251001-01</t>
  </si>
  <si>
    <t>DEMO-001007</t>
  </si>
  <si>
    <t>ZAM-251001-02</t>
  </si>
  <si>
    <t>DEMO-001008</t>
  </si>
  <si>
    <t>ZAM-251001-03</t>
  </si>
  <si>
    <t>DEMO-001009</t>
  </si>
  <si>
    <t>ZAM-251001-04</t>
  </si>
  <si>
    <t>DEMO-001010</t>
  </si>
  <si>
    <t>ZAM-251001-05</t>
  </si>
  <si>
    <t>DEMO-001011</t>
  </si>
  <si>
    <t>ZAM-251002-01</t>
  </si>
  <si>
    <t>DEMO-001012</t>
  </si>
  <si>
    <t>ZAM-251002-02</t>
  </si>
  <si>
    <t>DEMO-001013</t>
  </si>
  <si>
    <t>ZAM-251002-03</t>
  </si>
  <si>
    <t>DEMO-001014</t>
  </si>
  <si>
    <t>ZAM-251002-04</t>
  </si>
  <si>
    <t>DEMO-001015</t>
  </si>
  <si>
    <t>ZAM-251002-05</t>
  </si>
  <si>
    <t>DEMO-001016</t>
  </si>
  <si>
    <t>ZAM-251003-01</t>
  </si>
  <si>
    <t>DEMO-001017</t>
  </si>
  <si>
    <t>ZAM-251003-02</t>
  </si>
  <si>
    <t>DEMO-001018</t>
  </si>
  <si>
    <t>ZAM-251003-03</t>
  </si>
  <si>
    <t>DEMO-001019</t>
  </si>
  <si>
    <t>ZAM-251003-04</t>
  </si>
  <si>
    <t>DEMO-001020</t>
  </si>
  <si>
    <t>ZAM-251003-05</t>
  </si>
  <si>
    <t>DEMO-001021</t>
  </si>
  <si>
    <t>ZAM-251003-06</t>
  </si>
  <si>
    <t>DEMO-001022</t>
  </si>
  <si>
    <t>ZAM-251003-07</t>
  </si>
  <si>
    <t>DEMO-001023</t>
  </si>
  <si>
    <t>ZAM-251004-01</t>
  </si>
  <si>
    <t>DEMO-001024</t>
  </si>
  <si>
    <t>ZAM-251005-01</t>
  </si>
  <si>
    <t>DEMO-001025</t>
  </si>
  <si>
    <t>ZAM-251005-02</t>
  </si>
  <si>
    <t>DEMO-001026</t>
  </si>
  <si>
    <t>ZAM-251006-01</t>
  </si>
  <si>
    <t>DEMO-001027</t>
  </si>
  <si>
    <t>ZAM-251006-02</t>
  </si>
  <si>
    <t>DEMO-001028</t>
  </si>
  <si>
    <t>ZAM-251006-03</t>
  </si>
  <si>
    <t>DEMO-001029</t>
  </si>
  <si>
    <t>ZAM-251007-01</t>
  </si>
  <si>
    <t>DEMO-001030</t>
  </si>
  <si>
    <t>ZAM-251007-02</t>
  </si>
  <si>
    <t>DEMO-001031</t>
  </si>
  <si>
    <t>ZAM-251007-03</t>
  </si>
  <si>
    <t>DEMO-001032</t>
  </si>
  <si>
    <t>ZAM-251007-04</t>
  </si>
  <si>
    <t>DEMO-001033</t>
  </si>
  <si>
    <t>ZAM-251007-05</t>
  </si>
  <si>
    <t>DEMO-001034</t>
  </si>
  <si>
    <t>ZAM-251007-06</t>
  </si>
  <si>
    <t>DEMO-001035</t>
  </si>
  <si>
    <t>ZAM-251008-01</t>
  </si>
  <si>
    <t>DEMO-001036</t>
  </si>
  <si>
    <t>ZAM-251008-02</t>
  </si>
  <si>
    <t>DEMO-001037</t>
  </si>
  <si>
    <t>ZAM-251008-03</t>
  </si>
  <si>
    <t>DEMO-001038</t>
  </si>
  <si>
    <t>ZAM-251008-04</t>
  </si>
  <si>
    <t>DEMO-001039</t>
  </si>
  <si>
    <t>ZAM-251008-05</t>
  </si>
  <si>
    <t>DEMO-001040</t>
  </si>
  <si>
    <t>ZAM-251008-06</t>
  </si>
  <si>
    <t>DEMO-001041</t>
  </si>
  <si>
    <t>ZAM-251008-07</t>
  </si>
  <si>
    <t>DEMO-001042</t>
  </si>
  <si>
    <t>ZAM-251008-08</t>
  </si>
  <si>
    <t>DEMO-001043</t>
  </si>
  <si>
    <t>ZAM-251009-01</t>
  </si>
  <si>
    <t>DEMO-001044</t>
  </si>
  <si>
    <t>ZAM-251009-02</t>
  </si>
  <si>
    <t>DEMO-001045</t>
  </si>
  <si>
    <t>ZAM-251009-03</t>
  </si>
  <si>
    <t>DEMO-001046</t>
  </si>
  <si>
    <t>ZAM-251009-04</t>
  </si>
  <si>
    <t>DEMO-001047</t>
  </si>
  <si>
    <t>ZAM-251009-05</t>
  </si>
  <si>
    <t>DEMO-001048</t>
  </si>
  <si>
    <t>ZAM-251009-06</t>
  </si>
  <si>
    <t>DEMO-001049</t>
  </si>
  <si>
    <t>ZAM-251009-07</t>
  </si>
  <si>
    <t>DEMO-001050</t>
  </si>
  <si>
    <t>ZAM-251009-08</t>
  </si>
  <si>
    <t>DEMO-001051</t>
  </si>
  <si>
    <t>ZAM-251010-01</t>
  </si>
  <si>
    <t>DEMO-001052</t>
  </si>
  <si>
    <t>ZAM-251010-02</t>
  </si>
  <si>
    <t>DEMO-001053</t>
  </si>
  <si>
    <t>ZAM-251010-03</t>
  </si>
  <si>
    <t>DEMO-001054</t>
  </si>
  <si>
    <t>ZAM-251010-04</t>
  </si>
  <si>
    <t>DEMO-001055</t>
  </si>
  <si>
    <t>ZAM-251010-05</t>
  </si>
  <si>
    <t>DEMO-001056</t>
  </si>
  <si>
    <t>ZAM-251010-06</t>
  </si>
  <si>
    <t>DEMO-001057</t>
  </si>
  <si>
    <t>ZAM-251011-01</t>
  </si>
  <si>
    <t>DEMO-001058</t>
  </si>
  <si>
    <t>ZAM-251011-02</t>
  </si>
  <si>
    <t>DEMO-001059</t>
  </si>
  <si>
    <t>ZAM-251012-01</t>
  </si>
  <si>
    <t>DEMO-001060</t>
  </si>
  <si>
    <t>ZAM-251013-01</t>
  </si>
  <si>
    <t>DEMO-001061</t>
  </si>
  <si>
    <t>ZAM-251013-02</t>
  </si>
  <si>
    <t>DEMO-001062</t>
  </si>
  <si>
    <t>ZAM-251013-03</t>
  </si>
  <si>
    <t>DEMO-001063</t>
  </si>
  <si>
    <t>ZAM-251013-04</t>
  </si>
  <si>
    <t>DEMO-001064</t>
  </si>
  <si>
    <t>ZAM-251013-05</t>
  </si>
  <si>
    <t>DEMO-001065</t>
  </si>
  <si>
    <t>ZAM-251013-06</t>
  </si>
  <si>
    <t>DEMO-001066</t>
  </si>
  <si>
    <t>ZAM-251013-07</t>
  </si>
  <si>
    <t>DEMO-001067</t>
  </si>
  <si>
    <t>ZAM-251014-01</t>
  </si>
  <si>
    <t>DEMO-001068</t>
  </si>
  <si>
    <t>ZAM-251014-02</t>
  </si>
  <si>
    <t>DEMO-001069</t>
  </si>
  <si>
    <t>ZAM-251014-03</t>
  </si>
  <si>
    <t>DEMO-001070</t>
  </si>
  <si>
    <t>ZAM-251014-04</t>
  </si>
  <si>
    <t>DEMO-001071</t>
  </si>
  <si>
    <t>ZAM-251014-05</t>
  </si>
  <si>
    <t>DEMO-001072</t>
  </si>
  <si>
    <t>ZAM-251014-06</t>
  </si>
  <si>
    <t>DEMO-001073</t>
  </si>
  <si>
    <t>ZAM-251014-07</t>
  </si>
  <si>
    <t>DEMO-001074</t>
  </si>
  <si>
    <t>ZAM-251014-08</t>
  </si>
  <si>
    <t>DEMO-001075</t>
  </si>
  <si>
    <t>ZAM-251015-01</t>
  </si>
  <si>
    <t>DEMO-001076</t>
  </si>
  <si>
    <t>ZAM-251015-02</t>
  </si>
  <si>
    <t>DEMO-001077</t>
  </si>
  <si>
    <t>ZAM-251015-03</t>
  </si>
  <si>
    <t>DEMO-001078</t>
  </si>
  <si>
    <t>ZAM-251015-04</t>
  </si>
  <si>
    <t>DEMO-001079</t>
  </si>
  <si>
    <t>ZAM-251015-05</t>
  </si>
  <si>
    <t>DEMO-001080</t>
  </si>
  <si>
    <t>ZAM-251015-06</t>
  </si>
  <si>
    <t>DEMO-001081</t>
  </si>
  <si>
    <t>ZAM-251015-07</t>
  </si>
  <si>
    <t>DEMO-001082</t>
  </si>
  <si>
    <t>ZAM-251016-01</t>
  </si>
  <si>
    <t>DEMO-001083</t>
  </si>
  <si>
    <t>ZAM-251016-02</t>
  </si>
  <si>
    <t>DEMO-001084</t>
  </si>
  <si>
    <t>ZAM-251016-03</t>
  </si>
  <si>
    <t>DEMO-001085</t>
  </si>
  <si>
    <t>ZAM-251016-04</t>
  </si>
  <si>
    <t>DEMO-001086</t>
  </si>
  <si>
    <t>ZAM-251016-05</t>
  </si>
  <si>
    <t>DEMO-001087</t>
  </si>
  <si>
    <t>ZAM-251016-06</t>
  </si>
  <si>
    <t>DEMO-001088</t>
  </si>
  <si>
    <t>ZAM-251016-07</t>
  </si>
  <si>
    <t>DEMO-001089</t>
  </si>
  <si>
    <t>ZAM-251016-08</t>
  </si>
  <si>
    <t>DEMO-001090</t>
  </si>
  <si>
    <t>ZAM-251017-01</t>
  </si>
  <si>
    <t>DEMO-001091</t>
  </si>
  <si>
    <t>ZAM-251017-02</t>
  </si>
  <si>
    <t>DEMO-001092</t>
  </si>
  <si>
    <t>ZAM-251017-03</t>
  </si>
  <si>
    <t>DEMO-001093</t>
  </si>
  <si>
    <t>ZAM-251017-04</t>
  </si>
  <si>
    <t>DEMO-001094</t>
  </si>
  <si>
    <t>ZAM-251018-01</t>
  </si>
  <si>
    <t>DEMO-001095</t>
  </si>
  <si>
    <t>ZAM-251018-02</t>
  </si>
  <si>
    <t>DEMO-001096</t>
  </si>
  <si>
    <t>ZAM-251019-01</t>
  </si>
  <si>
    <t>DEMO-001097</t>
  </si>
  <si>
    <t>ZAM-251019-02</t>
  </si>
  <si>
    <t>DEMO-001098</t>
  </si>
  <si>
    <t>ZAM-251020-01</t>
  </si>
  <si>
    <t>DEMO-001099</t>
  </si>
  <si>
    <t>ZAM-251020-02</t>
  </si>
  <si>
    <t>DEMO-001100</t>
  </si>
  <si>
    <t>ZAM-251020-03</t>
  </si>
  <si>
    <t>DEMO-001101</t>
  </si>
  <si>
    <t>ZAM-251021-01</t>
  </si>
  <si>
    <t>DEMO-001102</t>
  </si>
  <si>
    <t>ZAM-251021-02</t>
  </si>
  <si>
    <t>DEMO-001103</t>
  </si>
  <si>
    <t>ZAM-251021-03</t>
  </si>
  <si>
    <t>DEMO-001104</t>
  </si>
  <si>
    <t>ZAM-251021-04</t>
  </si>
  <si>
    <t>DEMO-001105</t>
  </si>
  <si>
    <t>ZAM-251021-05</t>
  </si>
  <si>
    <t>DEMO-001106</t>
  </si>
  <si>
    <t>ZAM-251022-01</t>
  </si>
  <si>
    <t>DEMO-001107</t>
  </si>
  <si>
    <t>ZAM-251022-02</t>
  </si>
  <si>
    <t>DEMO-001108</t>
  </si>
  <si>
    <t>ZAM-251022-03</t>
  </si>
  <si>
    <t>DEMO-001109</t>
  </si>
  <si>
    <t>ZAM-251023-01</t>
  </si>
  <si>
    <t>DEMO-001110</t>
  </si>
  <si>
    <t>ZAM-251023-02</t>
  </si>
  <si>
    <t>DEMO-001111</t>
  </si>
  <si>
    <t>ZAM-251023-03</t>
  </si>
  <si>
    <t>DEMO-001112</t>
  </si>
  <si>
    <t>ZAM-251024-01</t>
  </si>
  <si>
    <t>DEMO-001113</t>
  </si>
  <si>
    <t>ZAM-251024-02</t>
  </si>
  <si>
    <t>DEMO-001114</t>
  </si>
  <si>
    <t>ZAM-251024-03</t>
  </si>
  <si>
    <t>DEMO-001115</t>
  </si>
  <si>
    <t>ZAM-251024-04</t>
  </si>
  <si>
    <t>DEMO-001116</t>
  </si>
  <si>
    <t>ZAM-251025-01</t>
  </si>
  <si>
    <t>DEMO-001117</t>
  </si>
  <si>
    <t>ZAM-251026-01</t>
  </si>
  <si>
    <t>DEMO-001118</t>
  </si>
  <si>
    <t>ZAM-251026-02</t>
  </si>
  <si>
    <t>DEMO-001119</t>
  </si>
  <si>
    <t>ZAM-251027-01</t>
  </si>
  <si>
    <t>DEMO-001120</t>
  </si>
  <si>
    <t>ZAM-251027-02</t>
  </si>
  <si>
    <t>DEMO-001121</t>
  </si>
  <si>
    <t>ZAM-251027-03</t>
  </si>
  <si>
    <t>DEMO-001122</t>
  </si>
  <si>
    <t>ZAM-251027-04</t>
  </si>
  <si>
    <t>DEMO-001123</t>
  </si>
  <si>
    <t>ZAM-251027-05</t>
  </si>
  <si>
    <t>DEMO-001124</t>
  </si>
  <si>
    <t>ZAM-251027-06</t>
  </si>
  <si>
    <t>DEMO-001125</t>
  </si>
  <si>
    <t>ZAM-251028-01</t>
  </si>
  <si>
    <t>DEMO-001126</t>
  </si>
  <si>
    <t>ZAM-251028-02</t>
  </si>
  <si>
    <t>DEMO-001127</t>
  </si>
  <si>
    <t>ZAM-251028-03</t>
  </si>
  <si>
    <t>DEMO-001128</t>
  </si>
  <si>
    <t>ZAM-251028-04</t>
  </si>
  <si>
    <t>DEMO-001129</t>
  </si>
  <si>
    <t>ZAM-251028-05</t>
  </si>
  <si>
    <t>DEMO-001130</t>
  </si>
  <si>
    <t>ZAM-251028-06</t>
  </si>
  <si>
    <t>DEMO-001131</t>
  </si>
  <si>
    <t>ZAM-251028-07</t>
  </si>
  <si>
    <t>DEMO-001132</t>
  </si>
  <si>
    <t>ZAM-251029-01</t>
  </si>
  <si>
    <t>DEMO-001133</t>
  </si>
  <si>
    <t>ZAM-251029-02</t>
  </si>
  <si>
    <t>DEMO-001134</t>
  </si>
  <si>
    <t>ZAM-251029-03</t>
  </si>
  <si>
    <t>DEMO-001135</t>
  </si>
  <si>
    <t>ZAM-251029-04</t>
  </si>
  <si>
    <t>DEMO-001136</t>
  </si>
  <si>
    <t>ZAM-251029-05</t>
  </si>
  <si>
    <t>DEMO-001137</t>
  </si>
  <si>
    <t>ZAM-251029-06</t>
  </si>
  <si>
    <t>DEMO-001138</t>
  </si>
  <si>
    <t>ZAM-251030-01</t>
  </si>
  <si>
    <t>DEMO-001139</t>
  </si>
  <si>
    <t>ZAM-251030-02</t>
  </si>
  <si>
    <t>DEMO-001140</t>
  </si>
  <si>
    <t>ZAM-251030-03</t>
  </si>
  <si>
    <t>DEMO-001141</t>
  </si>
  <si>
    <t>ZAM-251030-04</t>
  </si>
  <si>
    <t>DEMO-001142</t>
  </si>
  <si>
    <t>ZAM-251030-05</t>
  </si>
  <si>
    <t>DEMO-001143</t>
  </si>
  <si>
    <t>ZAM-251030-06</t>
  </si>
  <si>
    <t>DEMO-001144</t>
  </si>
  <si>
    <t>ZAM-251031-01</t>
  </si>
  <si>
    <t>DEMO-001145</t>
  </si>
  <si>
    <t>ZAM-251031-02</t>
  </si>
  <si>
    <t>DEMO-001146</t>
  </si>
  <si>
    <t>ZAM-251031-03</t>
  </si>
  <si>
    <t>DEMO-001147</t>
  </si>
  <si>
    <t>ZAM-251101-01</t>
  </si>
  <si>
    <t>DEMO-001148</t>
  </si>
  <si>
    <t>ZAM-251102-01</t>
  </si>
  <si>
    <t>DEMO-001149</t>
  </si>
  <si>
    <t>ZAM-251102-02</t>
  </si>
  <si>
    <t>DEMO-001150</t>
  </si>
  <si>
    <t>ZAM-251103-01</t>
  </si>
  <si>
    <t>DEMO-001151</t>
  </si>
  <si>
    <t>ZAM-251103-02</t>
  </si>
  <si>
    <t>DEMO-001152</t>
  </si>
  <si>
    <t>ZAM-251103-03</t>
  </si>
  <si>
    <t>DEMO-001153</t>
  </si>
  <si>
    <t>ZAM-251103-04</t>
  </si>
  <si>
    <t>DEMO-001154</t>
  </si>
  <si>
    <t>ZAM-251103-05</t>
  </si>
  <si>
    <t>DEMO-001155</t>
  </si>
  <si>
    <t>ZAM-251104-01</t>
  </si>
  <si>
    <t>DEMO-001156</t>
  </si>
  <si>
    <t>ZAM-251104-02</t>
  </si>
  <si>
    <t>DEMO-001157</t>
  </si>
  <si>
    <t>ZAM-251104-03</t>
  </si>
  <si>
    <t>DEMO-001158</t>
  </si>
  <si>
    <t>ZAM-251104-04</t>
  </si>
  <si>
    <t>DEMO-001159</t>
  </si>
  <si>
    <t>ZAM-251104-05</t>
  </si>
  <si>
    <t>DEMO-001160</t>
  </si>
  <si>
    <t>ZAM-251104-06</t>
  </si>
  <si>
    <t>DEMO-001161</t>
  </si>
  <si>
    <t>ZAM-251104-07</t>
  </si>
  <si>
    <t>DEMO-001162</t>
  </si>
  <si>
    <t>ZAM-251104-08</t>
  </si>
  <si>
    <t>DEMO-001163</t>
  </si>
  <si>
    <t>ZAM-251105-01</t>
  </si>
  <si>
    <t>DEMO-001164</t>
  </si>
  <si>
    <t>ZAM-251105-02</t>
  </si>
  <si>
    <t>DEMO-001165</t>
  </si>
  <si>
    <t>ZAM-251105-03</t>
  </si>
  <si>
    <t>DEMO-001166</t>
  </si>
  <si>
    <t>ZAM-251105-04</t>
  </si>
  <si>
    <t>DEMO-001167</t>
  </si>
  <si>
    <t>ZAM-251105-05</t>
  </si>
  <si>
    <t>DEMO-001168</t>
  </si>
  <si>
    <t>ZAM-251105-06</t>
  </si>
  <si>
    <t>DEMO-001169</t>
  </si>
  <si>
    <t>ZAM-251106-01</t>
  </si>
  <si>
    <t>DEMO-001170</t>
  </si>
  <si>
    <t>ZAM-251106-02</t>
  </si>
  <si>
    <t>DEMO-001171</t>
  </si>
  <si>
    <t>ZAM-251106-03</t>
  </si>
  <si>
    <t>DEMO-001172</t>
  </si>
  <si>
    <t>ZAM-251106-04</t>
  </si>
  <si>
    <t>DEMO-001173</t>
  </si>
  <si>
    <t>ZAM-251106-05</t>
  </si>
  <si>
    <t>DEMO-001174</t>
  </si>
  <si>
    <t>ZAM-251107-01</t>
  </si>
  <si>
    <t>DEMO-001175</t>
  </si>
  <si>
    <t>ZAM-251107-02</t>
  </si>
  <si>
    <t>DEMO-001176</t>
  </si>
  <si>
    <t>ZAM-251107-03</t>
  </si>
  <si>
    <t>DEMO-001177</t>
  </si>
  <si>
    <t>ZAM-251107-04</t>
  </si>
  <si>
    <t>DEMO-001178</t>
  </si>
  <si>
    <t>ZAM-251107-05</t>
  </si>
  <si>
    <t>DEMO-001179</t>
  </si>
  <si>
    <t>ZAM-251107-06</t>
  </si>
  <si>
    <t>DEMO-001180</t>
  </si>
  <si>
    <t>ZAM-251107-07</t>
  </si>
  <si>
    <t>DEMO-001181</t>
  </si>
  <si>
    <t>ZAM-251107-08</t>
  </si>
  <si>
    <t>DEMO-001182</t>
  </si>
  <si>
    <t>ZAM-251107-09</t>
  </si>
  <si>
    <t>DEMO-001183</t>
  </si>
  <si>
    <t>ZAM-251108-01</t>
  </si>
  <si>
    <t>DEMO-001184</t>
  </si>
  <si>
    <t>ZAM-251109-01</t>
  </si>
  <si>
    <t>DEMO-001185</t>
  </si>
  <si>
    <t>ZAM-251110-01</t>
  </si>
  <si>
    <t>DEMO-001186</t>
  </si>
  <si>
    <t>ZAM-251110-02</t>
  </si>
  <si>
    <t>DEMO-001187</t>
  </si>
  <si>
    <t>ZAM-251110-03</t>
  </si>
  <si>
    <t>DEMO-001188</t>
  </si>
  <si>
    <t>ZAM-251110-04</t>
  </si>
  <si>
    <t>DEMO-001189</t>
  </si>
  <si>
    <t>ZAM-251111-01</t>
  </si>
  <si>
    <t>DEMO-001190</t>
  </si>
  <si>
    <t>ZAM-251111-02</t>
  </si>
  <si>
    <t>DEMO-001191</t>
  </si>
  <si>
    <t>ZAM-251111-03</t>
  </si>
  <si>
    <t>DEMO-001192</t>
  </si>
  <si>
    <t>ZAM-251111-04</t>
  </si>
  <si>
    <t>DEMO-001193</t>
  </si>
  <si>
    <t>ZAM-251112-01</t>
  </si>
  <si>
    <t>DEMO-001194</t>
  </si>
  <si>
    <t>ZAM-251112-02</t>
  </si>
  <si>
    <t>DEMO-001195</t>
  </si>
  <si>
    <t>ZAM-251112-03</t>
  </si>
  <si>
    <t>DEMO-001196</t>
  </si>
  <si>
    <t>ZAM-251112-04</t>
  </si>
  <si>
    <t>DEMO-001197</t>
  </si>
  <si>
    <t>ZAM-251112-05</t>
  </si>
  <si>
    <t>DEMO-001198</t>
  </si>
  <si>
    <t>ZAM-251113-01</t>
  </si>
  <si>
    <t>DEMO-001199</t>
  </si>
  <si>
    <t>ZAM-251113-02</t>
  </si>
  <si>
    <t>DEMO-001200</t>
  </si>
  <si>
    <t>ZAM-251113-03</t>
  </si>
  <si>
    <t>DEMO-001201</t>
  </si>
  <si>
    <t>ZAM-251113-04</t>
  </si>
  <si>
    <t>DEMO-001202</t>
  </si>
  <si>
    <t>ZAM-251113-05</t>
  </si>
  <si>
    <t>DEMO-001203</t>
  </si>
  <si>
    <t>ZAM-251113-06</t>
  </si>
  <si>
    <t>DEMO-001204</t>
  </si>
  <si>
    <t>ZAM-251114-01</t>
  </si>
  <si>
    <t>DEMO-001205</t>
  </si>
  <si>
    <t>ZAM-251114-02</t>
  </si>
  <si>
    <t>DEMO-001206</t>
  </si>
  <si>
    <t>ZAM-251114-03</t>
  </si>
  <si>
    <t>DEMO-001207</t>
  </si>
  <si>
    <t>ZAM-251114-04</t>
  </si>
  <si>
    <t>DEMO-001208</t>
  </si>
  <si>
    <t>ZAM-251115-01</t>
  </si>
  <si>
    <t>DEMO-001209</t>
  </si>
  <si>
    <t>ZAM-251115-02</t>
  </si>
  <si>
    <t>DEMO-001210</t>
  </si>
  <si>
    <t>ZAM-251116-01</t>
  </si>
  <si>
    <t>DEMO-001211</t>
  </si>
  <si>
    <t>ZAM-251117-01</t>
  </si>
  <si>
    <t>DEMO-001212</t>
  </si>
  <si>
    <t>ZAM-251117-02</t>
  </si>
  <si>
    <t>DEMO-001213</t>
  </si>
  <si>
    <t>ZAM-251117-03</t>
  </si>
  <si>
    <t>DEMO-001214</t>
  </si>
  <si>
    <t>ZAM-251117-04</t>
  </si>
  <si>
    <t>DEMO-001215</t>
  </si>
  <si>
    <t>ZAM-251118-01</t>
  </si>
  <si>
    <t>DEMO-001216</t>
  </si>
  <si>
    <t>ZAM-251118-02</t>
  </si>
  <si>
    <t>DEMO-001217</t>
  </si>
  <si>
    <t>ZAM-251118-03</t>
  </si>
  <si>
    <t>DEMO-001218</t>
  </si>
  <si>
    <t>ZAM-251119-01</t>
  </si>
  <si>
    <t>DEMO-001219</t>
  </si>
  <si>
    <t>ZAM-251119-02</t>
  </si>
  <si>
    <t>DEMO-001220</t>
  </si>
  <si>
    <t>ZAM-251119-03</t>
  </si>
  <si>
    <t>DEMO-001221</t>
  </si>
  <si>
    <t>ZAM-251119-04</t>
  </si>
  <si>
    <t>DEMO-001222</t>
  </si>
  <si>
    <t>ZAM-251119-05</t>
  </si>
  <si>
    <t>DEMO-001223</t>
  </si>
  <si>
    <t>ZAM-251120-01</t>
  </si>
  <si>
    <t>DEMO-001224</t>
  </si>
  <si>
    <t>ZAM-251120-02</t>
  </si>
  <si>
    <t>DEMO-001225</t>
  </si>
  <si>
    <t>ZAM-251120-03</t>
  </si>
  <si>
    <t>DEMO-001226</t>
  </si>
  <si>
    <t>ZAM-251120-04</t>
  </si>
  <si>
    <t>DEMO-001227</t>
  </si>
  <si>
    <t>ZAM-251121-01</t>
  </si>
  <si>
    <t>DEMO-001228</t>
  </si>
  <si>
    <t>ZAM-251121-02</t>
  </si>
  <si>
    <t>DEMO-001229</t>
  </si>
  <si>
    <t>ZAM-251121-03</t>
  </si>
  <si>
    <t>DEMO-001230</t>
  </si>
  <si>
    <t>ZAM-251121-04</t>
  </si>
  <si>
    <t>DEMO-001231</t>
  </si>
  <si>
    <t>ZAM-251121-05</t>
  </si>
  <si>
    <t>DEMO-001232</t>
  </si>
  <si>
    <t>ZAM-251121-06</t>
  </si>
  <si>
    <t>DEMO-001233</t>
  </si>
  <si>
    <t>ZAM-251121-07</t>
  </si>
  <si>
    <t>DEMO-001234</t>
  </si>
  <si>
    <t>ZAM-251122-01</t>
  </si>
  <si>
    <t>DEMO-001235</t>
  </si>
  <si>
    <t>ZAM-251122-02</t>
  </si>
  <si>
    <t>DEMO-001236</t>
  </si>
  <si>
    <t>ZAM-251123-01</t>
  </si>
  <si>
    <t>DEMO-001237</t>
  </si>
  <si>
    <t>ZAM-251123-02</t>
  </si>
  <si>
    <t>DEMO-001238</t>
  </si>
  <si>
    <t>ZAM-251124-01</t>
  </si>
  <si>
    <t>DEMO-001239</t>
  </si>
  <si>
    <t>ZAM-251124-02</t>
  </si>
  <si>
    <t>DEMO-001240</t>
  </si>
  <si>
    <t>ZAM-251124-03</t>
  </si>
  <si>
    <t>DEMO-001241</t>
  </si>
  <si>
    <t>ZAM-251124-04</t>
  </si>
  <si>
    <t>DEMO-001242</t>
  </si>
  <si>
    <t>ZAM-251124-05</t>
  </si>
  <si>
    <t>DEMO-001243</t>
  </si>
  <si>
    <t>ZAM-251124-06</t>
  </si>
  <si>
    <t>DEMO-001244</t>
  </si>
  <si>
    <t>ZAM-251125-01</t>
  </si>
  <si>
    <t>DEMO-001245</t>
  </si>
  <si>
    <t>ZAM-251125-02</t>
  </si>
  <si>
    <t>DEMO-001246</t>
  </si>
  <si>
    <t>ZAM-251125-03</t>
  </si>
  <si>
    <t>DEMO-001247</t>
  </si>
  <si>
    <t>ZAM-251125-04</t>
  </si>
  <si>
    <t>DEMO-001248</t>
  </si>
  <si>
    <t>ZAM-251125-05</t>
  </si>
  <si>
    <t>DEMO-001249</t>
  </si>
  <si>
    <t>ZAM-251125-06</t>
  </si>
  <si>
    <t>DEMO-001250</t>
  </si>
  <si>
    <t>ZAM-251126-01</t>
  </si>
  <si>
    <t>DEMO-001251</t>
  </si>
  <si>
    <t>ZAM-251126-02</t>
  </si>
  <si>
    <t>DEMO-001252</t>
  </si>
  <si>
    <t>ZAM-251126-03</t>
  </si>
  <si>
    <t>DEMO-001253</t>
  </si>
  <si>
    <t>ZAM-251126-04</t>
  </si>
  <si>
    <t>DEMO-001254</t>
  </si>
  <si>
    <t>ZAM-251126-05</t>
  </si>
  <si>
    <t>DEMO-001255</t>
  </si>
  <si>
    <t>ZAM-251126-06</t>
  </si>
  <si>
    <t>DEMO-001256</t>
  </si>
  <si>
    <t>ZAM-251126-07</t>
  </si>
  <si>
    <t>DEMO-001257</t>
  </si>
  <si>
    <t>ZAM-251126-08</t>
  </si>
  <si>
    <t>DEMO-001258</t>
  </si>
  <si>
    <t>ZAM-251127-01</t>
  </si>
  <si>
    <t>DEMO-001259</t>
  </si>
  <si>
    <t>ZAM-251127-02</t>
  </si>
  <si>
    <t>DEMO-001260</t>
  </si>
  <si>
    <t>ZAM-251127-03</t>
  </si>
  <si>
    <t>DEMO-001261</t>
  </si>
  <si>
    <t>ZAM-251127-04</t>
  </si>
  <si>
    <t>DEMO-001262</t>
  </si>
  <si>
    <t>ZAM-251127-05</t>
  </si>
  <si>
    <t>DEMO-001263</t>
  </si>
  <si>
    <t>ZAM-251128-01</t>
  </si>
  <si>
    <t>DEMO-001264</t>
  </si>
  <si>
    <t>ZAM-251128-02</t>
  </si>
  <si>
    <t>DEMO-001265</t>
  </si>
  <si>
    <t>ZAM-251128-03</t>
  </si>
  <si>
    <t>DEMO-001266</t>
  </si>
  <si>
    <t>ZAM-251129-01</t>
  </si>
  <si>
    <t>DEMO-001267</t>
  </si>
  <si>
    <t>ZAM-251130-01</t>
  </si>
  <si>
    <t>DEMO-001268</t>
  </si>
  <si>
    <t>ZAM-251201-01</t>
  </si>
  <si>
    <t>DEMO-001269</t>
  </si>
  <si>
    <t>ZAM-251201-02</t>
  </si>
  <si>
    <t>DEMO-001270</t>
  </si>
  <si>
    <t>ZAM-251201-03</t>
  </si>
  <si>
    <t>DEMO-001271</t>
  </si>
  <si>
    <t>ZAM-251201-04</t>
  </si>
  <si>
    <t>DEMO-001272</t>
  </si>
  <si>
    <t>ZAM-251201-05</t>
  </si>
  <si>
    <t>DEMO-001273</t>
  </si>
  <si>
    <t>ZAM-251201-06</t>
  </si>
  <si>
    <t>DEMO-001274</t>
  </si>
  <si>
    <t>ZAM-251201-07</t>
  </si>
  <si>
    <t>DEMO-001275</t>
  </si>
  <si>
    <t>ZAM-251202-01</t>
  </si>
  <si>
    <t>DEMO-001276</t>
  </si>
  <si>
    <t>ZAM-251202-02</t>
  </si>
  <si>
    <t>DEMO-001277</t>
  </si>
  <si>
    <t>ZAM-251202-03</t>
  </si>
  <si>
    <t>DEMO-001278</t>
  </si>
  <si>
    <t>ZAM-251202-04</t>
  </si>
  <si>
    <t>DEMO-001279</t>
  </si>
  <si>
    <t>ZAM-251203-01</t>
  </si>
  <si>
    <t>DEMO-001280</t>
  </si>
  <si>
    <t>ZAM-251203-02</t>
  </si>
  <si>
    <t>DEMO-001281</t>
  </si>
  <si>
    <t>ZAM-251203-03</t>
  </si>
  <si>
    <t>DEMO-001282</t>
  </si>
  <si>
    <t>ZAM-251203-04</t>
  </si>
  <si>
    <t>DEMO-001283</t>
  </si>
  <si>
    <t>ZAM-251203-05</t>
  </si>
  <si>
    <t>DEMO-001284</t>
  </si>
  <si>
    <t>ZAM-251203-06</t>
  </si>
  <si>
    <t>DEMO-001285</t>
  </si>
  <si>
    <t>ZAM-251204-01</t>
  </si>
  <si>
    <t>DEMO-001286</t>
  </si>
  <si>
    <t>ZAM-251204-02</t>
  </si>
  <si>
    <t>DEMO-001287</t>
  </si>
  <si>
    <t>ZAM-251204-03</t>
  </si>
  <si>
    <t>DEMO-001288</t>
  </si>
  <si>
    <t>ZAM-251204-04</t>
  </si>
  <si>
    <t>DEMO-001289</t>
  </si>
  <si>
    <t>ZAM-251204-05</t>
  </si>
  <si>
    <t>DEMO-001290</t>
  </si>
  <si>
    <t>ZAM-251204-06</t>
  </si>
  <si>
    <t>DEMO-001291</t>
  </si>
  <si>
    <t>ZAM-251205-01</t>
  </si>
  <si>
    <t>DEMO-001292</t>
  </si>
  <si>
    <t>ZAM-251205-02</t>
  </si>
  <si>
    <t>DEMO-001293</t>
  </si>
  <si>
    <t>ZAM-251205-03</t>
  </si>
  <si>
    <t>DEMO-001294</t>
  </si>
  <si>
    <t>ZAM-251206-01</t>
  </si>
  <si>
    <t>DEMO-001295</t>
  </si>
  <si>
    <t>ZAM-251207-01</t>
  </si>
  <si>
    <t>DEMO-001296</t>
  </si>
  <si>
    <t>ZAM-251207-02</t>
  </si>
  <si>
    <t>DEMO-001297</t>
  </si>
  <si>
    <t>ZAM-251208-01</t>
  </si>
  <si>
    <t>DEMO-001298</t>
  </si>
  <si>
    <t>ZAM-251208-02</t>
  </si>
  <si>
    <t>DEMO-001299</t>
  </si>
  <si>
    <t>ZAM-251208-03</t>
  </si>
  <si>
    <t>DEMO-001300</t>
  </si>
  <si>
    <t>ZAM-251208-04</t>
  </si>
  <si>
    <t>DEMO-001301</t>
  </si>
  <si>
    <t>ZAM-251208-05</t>
  </si>
  <si>
    <t>DEMO-001302</t>
  </si>
  <si>
    <t>ZAM-251209-01</t>
  </si>
  <si>
    <t>DEMO-001303</t>
  </si>
  <si>
    <t>ZAM-251209-02</t>
  </si>
  <si>
    <t>DEMO-001304</t>
  </si>
  <si>
    <t>ZAM-251209-03</t>
  </si>
  <si>
    <t>DEMO-001305</t>
  </si>
  <si>
    <t>ZAM-251209-04</t>
  </si>
  <si>
    <t>DEMO-001306</t>
  </si>
  <si>
    <t>ZAM-251209-05</t>
  </si>
  <si>
    <t>DEMO-001307</t>
  </si>
  <si>
    <t>ZAM-251209-06</t>
  </si>
  <si>
    <t>DEMO-001308</t>
  </si>
  <si>
    <t>ZAM-251209-07</t>
  </si>
  <si>
    <t>DEMO-001309</t>
  </si>
  <si>
    <t>ZAM-251210-01</t>
  </si>
  <si>
    <t>DEMO-001310</t>
  </si>
  <si>
    <t>ZAM-251210-02</t>
  </si>
  <si>
    <t>DEMO-001311</t>
  </si>
  <si>
    <t>ZAM-251210-03</t>
  </si>
  <si>
    <t>DEMO-001312</t>
  </si>
  <si>
    <t>ZAM-251210-04</t>
  </si>
  <si>
    <t>DEMO-001313</t>
  </si>
  <si>
    <t>ZAM-251211-01</t>
  </si>
  <si>
    <t>DEMO-001314</t>
  </si>
  <si>
    <t>ZAM-251211-02</t>
  </si>
  <si>
    <t>DEMO-001315</t>
  </si>
  <si>
    <t>ZAM-251211-03</t>
  </si>
  <si>
    <t>DEMO-001316</t>
  </si>
  <si>
    <t>ZAM-251211-04</t>
  </si>
  <si>
    <t>DEMO-001317</t>
  </si>
  <si>
    <t>ZAM-251211-05</t>
  </si>
  <si>
    <t>DEMO-001318</t>
  </si>
  <si>
    <t>ZAM-251212-01</t>
  </si>
  <si>
    <t>DEMO-001319</t>
  </si>
  <si>
    <t>ZAM-251212-02</t>
  </si>
  <si>
    <t>DEMO-001320</t>
  </si>
  <si>
    <t>ZAM-251212-03</t>
  </si>
  <si>
    <t>DEMO-001321</t>
  </si>
  <si>
    <t>ZAM-251212-04</t>
  </si>
  <si>
    <t>DEMO-001322</t>
  </si>
  <si>
    <t>ZAM-251212-05</t>
  </si>
  <si>
    <t>DEMO-001323</t>
  </si>
  <si>
    <t>ZAM-251212-06</t>
  </si>
  <si>
    <t>DEMO-001324</t>
  </si>
  <si>
    <t>ZAM-251212-07</t>
  </si>
  <si>
    <t>DEMO-001325</t>
  </si>
  <si>
    <t>ZAM-251213-01</t>
  </si>
  <si>
    <t>DEMO-001326</t>
  </si>
  <si>
    <t>ZAM-251213-02</t>
  </si>
  <si>
    <t>DEMO-001327</t>
  </si>
  <si>
    <t>ZAM-251214-01</t>
  </si>
  <si>
    <t>DEMO-001328</t>
  </si>
  <si>
    <t>ZAM-251215-01</t>
  </si>
  <si>
    <t>DEMO-001329</t>
  </si>
  <si>
    <t>ZAM-251215-02</t>
  </si>
  <si>
    <t>DEMO-001330</t>
  </si>
  <si>
    <t>ZAM-251215-03</t>
  </si>
  <si>
    <t>DEMO-001331</t>
  </si>
  <si>
    <t>ZAM-251215-04</t>
  </si>
  <si>
    <t>DEMO-001332</t>
  </si>
  <si>
    <t>ZAM-251216-01</t>
  </si>
  <si>
    <t>DEMO-001333</t>
  </si>
  <si>
    <t>ZAM-251216-02</t>
  </si>
  <si>
    <t>DEMO-001334</t>
  </si>
  <si>
    <t>ZAM-251216-03</t>
  </si>
  <si>
    <t>DEMO-001335</t>
  </si>
  <si>
    <t>ZAM-251216-04</t>
  </si>
  <si>
    <t>DEMO-001336</t>
  </si>
  <si>
    <t>ZAM-251216-05</t>
  </si>
  <si>
    <t>DEMO-001337</t>
  </si>
  <si>
    <t>ZAM-251217-01</t>
  </si>
  <si>
    <t>DEMO-001338</t>
  </si>
  <si>
    <t>ZAM-251217-02</t>
  </si>
  <si>
    <t>DEMO-001339</t>
  </si>
  <si>
    <t>ZAM-251217-03</t>
  </si>
  <si>
    <t>DEMO-001340</t>
  </si>
  <si>
    <t>ZAM-251217-04</t>
  </si>
  <si>
    <t>DEMO-001341</t>
  </si>
  <si>
    <t>ZAM-251217-05</t>
  </si>
  <si>
    <t>DEMO-001342</t>
  </si>
  <si>
    <t>ZAM-251218-01</t>
  </si>
  <si>
    <t>DEMO-001343</t>
  </si>
  <si>
    <t>ZAM-251218-02</t>
  </si>
  <si>
    <t>DEMO-001344</t>
  </si>
  <si>
    <t>ZAM-251218-03</t>
  </si>
  <si>
    <t>DEMO-001345</t>
  </si>
  <si>
    <t>ZAM-251218-04</t>
  </si>
  <si>
    <t>DEMO-001346</t>
  </si>
  <si>
    <t>ZAM-251218-05</t>
  </si>
  <si>
    <t>DEMO-001347</t>
  </si>
  <si>
    <t>ZAM-251218-06</t>
  </si>
  <si>
    <t>DEMO-001348</t>
  </si>
  <si>
    <t>ZAM-251219-01</t>
  </si>
  <si>
    <t>DEMO-001349</t>
  </si>
  <si>
    <t>ZAM-251219-02</t>
  </si>
  <si>
    <t>DEMO-001350</t>
  </si>
  <si>
    <t>ZAM-251219-03</t>
  </si>
  <si>
    <t>DEMO-001351</t>
  </si>
  <si>
    <t>ZAM-251220-01</t>
  </si>
  <si>
    <t>DEMO-001352</t>
  </si>
  <si>
    <t>ZAM-251220-02</t>
  </si>
  <si>
    <t>DEMO-001353</t>
  </si>
  <si>
    <t>ZAM-251221-01</t>
  </si>
  <si>
    <t>DEMO-001354</t>
  </si>
  <si>
    <t>ZAM-251221-02</t>
  </si>
  <si>
    <t>DEMO-001355</t>
  </si>
  <si>
    <t>ZAM-251222-01</t>
  </si>
  <si>
    <t>DEMO-001356</t>
  </si>
  <si>
    <t>ZAM-251222-02</t>
  </si>
  <si>
    <t>DEMO-001357</t>
  </si>
  <si>
    <t>ZAM-251222-03</t>
  </si>
  <si>
    <t>DEMO-001358</t>
  </si>
  <si>
    <t>ZAM-251222-04</t>
  </si>
  <si>
    <t>DEMO-001359</t>
  </si>
  <si>
    <t>ZAM-251223-01</t>
  </si>
  <si>
    <t>DEMO-001360</t>
  </si>
  <si>
    <t>ZAM-251223-02</t>
  </si>
  <si>
    <t>DEMO-001361</t>
  </si>
  <si>
    <t>ZAM-251223-03</t>
  </si>
  <si>
    <t>DEMO-001362</t>
  </si>
  <si>
    <t>ZAM-251224-01</t>
  </si>
  <si>
    <t>DEMO-001363</t>
  </si>
  <si>
    <t>ZAM-251224-02</t>
  </si>
  <si>
    <t>DEMO-001364</t>
  </si>
  <si>
    <t>ZAM-251224-03</t>
  </si>
  <si>
    <t>DEMO-001365</t>
  </si>
  <si>
    <t>ZAM-251224-04</t>
  </si>
  <si>
    <t>DEMO-001366</t>
  </si>
  <si>
    <t>ZAM-251224-05</t>
  </si>
  <si>
    <t>DEMO-001367</t>
  </si>
  <si>
    <t>ZAM-251224-06</t>
  </si>
  <si>
    <t>DEMO-001368</t>
  </si>
  <si>
    <t>ZAM-251225-01</t>
  </si>
  <si>
    <t>DEMO-001369</t>
  </si>
  <si>
    <t>ZAM-251225-02</t>
  </si>
  <si>
    <t>DEMO-001370</t>
  </si>
  <si>
    <t>ZAM-251225-03</t>
  </si>
  <si>
    <t>DEMO-001371</t>
  </si>
  <si>
    <t>ZAM-251225-04</t>
  </si>
  <si>
    <t>DEMO-001372</t>
  </si>
  <si>
    <t>ZAM-251226-01</t>
  </si>
  <si>
    <t>DEMO-001373</t>
  </si>
  <si>
    <t>ZAM-251226-02</t>
  </si>
  <si>
    <t>DEMO-001374</t>
  </si>
  <si>
    <t>ZAM-251226-03</t>
  </si>
  <si>
    <t>DEMO-001375</t>
  </si>
  <si>
    <t>ZAM-251226-04</t>
  </si>
  <si>
    <t>DEMO-001376</t>
  </si>
  <si>
    <t>ZAM-251226-05</t>
  </si>
  <si>
    <t>DEMO-001377</t>
  </si>
  <si>
    <t>ZAM-251226-06</t>
  </si>
  <si>
    <t>DEMO-001378</t>
  </si>
  <si>
    <t>ZAM-251227-01</t>
  </si>
  <si>
    <t>DEMO-001379</t>
  </si>
  <si>
    <t>ZAM-251227-02</t>
  </si>
  <si>
    <t>DEMO-001380</t>
  </si>
  <si>
    <t>ZAM-251228-01</t>
  </si>
  <si>
    <t>DEMO-001381</t>
  </si>
  <si>
    <t>ZAM-251229-01</t>
  </si>
  <si>
    <t>DEMO-001382</t>
  </si>
  <si>
    <t>ZAM-251229-02</t>
  </si>
  <si>
    <t>DEMO-001383</t>
  </si>
  <si>
    <t>ZAM-251229-03</t>
  </si>
  <si>
    <t>DEMO-001384</t>
  </si>
  <si>
    <t>ZAM-251229-04</t>
  </si>
  <si>
    <t>DEMO-001385</t>
  </si>
  <si>
    <t>ZAM-251229-05</t>
  </si>
  <si>
    <t>DEMO-001386</t>
  </si>
  <si>
    <t>ZAM-251230-01</t>
  </si>
  <si>
    <t>DEMO-001387</t>
  </si>
  <si>
    <t>ZAM-251230-02</t>
  </si>
  <si>
    <t>DEMO-001388</t>
  </si>
  <si>
    <t>ZAM-251230-03</t>
  </si>
  <si>
    <t>DEMO-001389</t>
  </si>
  <si>
    <t>ZAM-251231-01</t>
  </si>
  <si>
    <t>DEMO-001390</t>
  </si>
  <si>
    <t>ZAM-251231-02</t>
  </si>
  <si>
    <t>DEMO-001391</t>
  </si>
  <si>
    <t>ZAM-251231-03</t>
  </si>
  <si>
    <t>DEMO-001392</t>
  </si>
  <si>
    <t>ZAM-251231-04</t>
  </si>
  <si>
    <t>DEMO-001393</t>
  </si>
  <si>
    <t>ZAM-251231-05</t>
  </si>
  <si>
    <t>DEMO-001394</t>
  </si>
  <si>
    <t>ZAM-260101-01</t>
  </si>
  <si>
    <t>DEMO-001395</t>
  </si>
  <si>
    <t>ZAM-260101-02</t>
  </si>
  <si>
    <t>DEMO-001396</t>
  </si>
  <si>
    <t>ZAM-260101-03</t>
  </si>
  <si>
    <t>DEMO-001397</t>
  </si>
  <si>
    <t>ZAM-260101-04</t>
  </si>
  <si>
    <t>DEMO-001398</t>
  </si>
  <si>
    <t>ZAM-260102-01</t>
  </si>
  <si>
    <t>DEMO-001399</t>
  </si>
  <si>
    <t>ZAM-260102-02</t>
  </si>
  <si>
    <t>DEMO-001400</t>
  </si>
  <si>
    <t>ZAM-260102-03</t>
  </si>
  <si>
    <t>DEMO-001401</t>
  </si>
  <si>
    <t>ZAM-260103-01</t>
  </si>
  <si>
    <t>DEMO-001402</t>
  </si>
  <si>
    <t>ZAM-260103-02</t>
  </si>
  <si>
    <t>DEMO-001403</t>
  </si>
  <si>
    <t>ZAM-260104-01</t>
  </si>
  <si>
    <t>DEMO-001404</t>
  </si>
  <si>
    <t>ZAM-260104-02</t>
  </si>
  <si>
    <t>DEMO-001405</t>
  </si>
  <si>
    <t>ZAM-260105-01</t>
  </si>
  <si>
    <t>DEMO-001406</t>
  </si>
  <si>
    <t>ZAM-260105-02</t>
  </si>
  <si>
    <t>DEMO-001407</t>
  </si>
  <si>
    <t>ZAM-260105-03</t>
  </si>
  <si>
    <t>DEMO-001408</t>
  </si>
  <si>
    <t>ZAM-260105-04</t>
  </si>
  <si>
    <t>DEMO-001409</t>
  </si>
  <si>
    <t>ZAM-260106-01</t>
  </si>
  <si>
    <t>DEMO-001410</t>
  </si>
  <si>
    <t>ZAM-260106-02</t>
  </si>
  <si>
    <t>DEMO-001411</t>
  </si>
  <si>
    <t>ZAM-260106-03</t>
  </si>
  <si>
    <t>DEMO-001412</t>
  </si>
  <si>
    <t>ZAM-260106-04</t>
  </si>
  <si>
    <t>DEMO-001413</t>
  </si>
  <si>
    <t>ZAM-260106-05</t>
  </si>
  <si>
    <t>DEMO-001414</t>
  </si>
  <si>
    <t>ZAM-260107-01</t>
  </si>
  <si>
    <t>DEMO-001415</t>
  </si>
  <si>
    <t>ZAM-260107-02</t>
  </si>
  <si>
    <t>DEMO-001416</t>
  </si>
  <si>
    <t>ZAM-260107-03</t>
  </si>
  <si>
    <t>DEMO-001417</t>
  </si>
  <si>
    <t>ZAM-260107-04</t>
  </si>
  <si>
    <t>DEMO-001418</t>
  </si>
  <si>
    <t>ZAM-260107-05</t>
  </si>
  <si>
    <t>DEMO-001419</t>
  </si>
  <si>
    <t>ZAM-260108-01</t>
  </si>
  <si>
    <t>DEMO-001420</t>
  </si>
  <si>
    <t>ZAM-260108-02</t>
  </si>
  <si>
    <t>DEMO-001421</t>
  </si>
  <si>
    <t>ZAM-260108-03</t>
  </si>
  <si>
    <t>DEMO-001422</t>
  </si>
  <si>
    <t>ZAM-260108-04</t>
  </si>
  <si>
    <t>DEMO-001423</t>
  </si>
  <si>
    <t>ZAM-260109-01</t>
  </si>
  <si>
    <t>DEMO-001424</t>
  </si>
  <si>
    <t>ZAM-260109-02</t>
  </si>
  <si>
    <t>DEMO-001425</t>
  </si>
  <si>
    <t>ZAM-260109-03</t>
  </si>
  <si>
    <t>DEMO-001426</t>
  </si>
  <si>
    <t>ZAM-260110-01</t>
  </si>
  <si>
    <t>DEMO-001427</t>
  </si>
  <si>
    <t>ZAM-260110-02</t>
  </si>
  <si>
    <t>DEMO-001428</t>
  </si>
  <si>
    <t>ZAM-260111-01</t>
  </si>
  <si>
    <t>DEMO-001429</t>
  </si>
  <si>
    <t>ZAM-260111-02</t>
  </si>
  <si>
    <t>DEMO-001430</t>
  </si>
  <si>
    <t>ZAM-260112-01</t>
  </si>
  <si>
    <t>DEMO-001431</t>
  </si>
  <si>
    <t>ZAM-260112-02</t>
  </si>
  <si>
    <t>DEMO-001432</t>
  </si>
  <si>
    <t>ZAM-260112-03</t>
  </si>
  <si>
    <t>DEMO-001433</t>
  </si>
  <si>
    <t>ZAM-260113-01</t>
  </si>
  <si>
    <t>DEMO-001434</t>
  </si>
  <si>
    <t>ZAM-260113-02</t>
  </si>
  <si>
    <t>DEMO-001435</t>
  </si>
  <si>
    <t>ZAM-260113-03</t>
  </si>
  <si>
    <t>DEMO-001436</t>
  </si>
  <si>
    <t>ZAM-260114-01</t>
  </si>
  <si>
    <t>DEMO-001437</t>
  </si>
  <si>
    <t>ZAM-260114-02</t>
  </si>
  <si>
    <t>DEMO-001438</t>
  </si>
  <si>
    <t>ZAM-260114-03</t>
  </si>
  <si>
    <t>DEMO-001439</t>
  </si>
  <si>
    <t>ZAM-260115-01</t>
  </si>
  <si>
    <t>DEMO-001440</t>
  </si>
  <si>
    <t>ZAM-260115-02</t>
  </si>
  <si>
    <t>DEMO-001441</t>
  </si>
  <si>
    <t>ZAM-260115-03</t>
  </si>
  <si>
    <t>DEMO-001442</t>
  </si>
  <si>
    <t>ZAM-260116-01</t>
  </si>
  <si>
    <t>DEMO-001443</t>
  </si>
  <si>
    <t>ZAM-260116-02</t>
  </si>
  <si>
    <t>DEMO-001444</t>
  </si>
  <si>
    <t>ZAM-260116-03</t>
  </si>
  <si>
    <t>DEMO-001445</t>
  </si>
  <si>
    <t>ZAM-260116-04</t>
  </si>
  <si>
    <t>DEMO-001446</t>
  </si>
  <si>
    <t>ZAM-260116-05</t>
  </si>
  <si>
    <t>DEMO-001447</t>
  </si>
  <si>
    <t>ZAM-260117-01</t>
  </si>
  <si>
    <t>DEMO-001448</t>
  </si>
  <si>
    <t>ZAM-260118-01</t>
  </si>
  <si>
    <t>DEMO-001449</t>
  </si>
  <si>
    <t>ZAM-260119-01</t>
  </si>
  <si>
    <t>DEMO-001450</t>
  </si>
  <si>
    <t>ZAM-260119-02</t>
  </si>
  <si>
    <t>DEMO-001451</t>
  </si>
  <si>
    <t>ZAM-260119-03</t>
  </si>
  <si>
    <t>DEMO-001452</t>
  </si>
  <si>
    <t>ZAM-260119-04</t>
  </si>
  <si>
    <t>DEMO-001453</t>
  </si>
  <si>
    <t>ZAM-260119-05</t>
  </si>
  <si>
    <t>DEMO-001454</t>
  </si>
  <si>
    <t>ZAM-260120-01</t>
  </si>
  <si>
    <t>DEMO-001455</t>
  </si>
  <si>
    <t>ZAM-260120-02</t>
  </si>
  <si>
    <t>DEMO-001456</t>
  </si>
  <si>
    <t>ZAM-260120-03</t>
  </si>
  <si>
    <t>DEMO-001457</t>
  </si>
  <si>
    <t>ZAM-260121-01</t>
  </si>
  <si>
    <t>DEMO-001458</t>
  </si>
  <si>
    <t>ZAM-260121-02</t>
  </si>
  <si>
    <t>DEMO-001459</t>
  </si>
  <si>
    <t>ZAM-260121-03</t>
  </si>
  <si>
    <t>DEMO-001460</t>
  </si>
  <si>
    <t>ZAM-260121-04</t>
  </si>
  <si>
    <t>DEMO-001461</t>
  </si>
  <si>
    <t>ZAM-260122-01</t>
  </si>
  <si>
    <t>DEMO-001462</t>
  </si>
  <si>
    <t>ZAM-260122-02</t>
  </si>
  <si>
    <t>DEMO-001463</t>
  </si>
  <si>
    <t>ZAM-260122-03</t>
  </si>
  <si>
    <t>DEMO-001464</t>
  </si>
  <si>
    <t>ZAM-260123-01</t>
  </si>
  <si>
    <t>DEMO-001465</t>
  </si>
  <si>
    <t>ZAM-260123-02</t>
  </si>
  <si>
    <t>DEMO-001466</t>
  </si>
  <si>
    <t>ZAM-260123-03</t>
  </si>
  <si>
    <t>DEMO-001467</t>
  </si>
  <si>
    <t>ZAM-260123-04</t>
  </si>
  <si>
    <t>DEMO-001468</t>
  </si>
  <si>
    <t>ZAM-260123-05</t>
  </si>
  <si>
    <t>DEMO-001469</t>
  </si>
  <si>
    <t>ZAM-260124-01</t>
  </si>
  <si>
    <t>DEMO-001470</t>
  </si>
  <si>
    <t>ZAM-260125-01</t>
  </si>
  <si>
    <t>DEMO-001471</t>
  </si>
  <si>
    <t>ZAM-260125-02</t>
  </si>
  <si>
    <t>DEMO-001472</t>
  </si>
  <si>
    <t>ZAM-260126-01</t>
  </si>
  <si>
    <t>DEMO-001473</t>
  </si>
  <si>
    <t>ZAM-260126-02</t>
  </si>
  <si>
    <t>DEMO-001474</t>
  </si>
  <si>
    <t>ZAM-260126-03</t>
  </si>
  <si>
    <t>DEMO-001475</t>
  </si>
  <si>
    <t>ZAM-260126-04</t>
  </si>
  <si>
    <t>DEMO-001476</t>
  </si>
  <si>
    <t>ZAM-260126-05</t>
  </si>
  <si>
    <t>DEMO-001477</t>
  </si>
  <si>
    <t>ZAM-260127-01</t>
  </si>
  <si>
    <t>DEMO-001478</t>
  </si>
  <si>
    <t>ZAM-260127-02</t>
  </si>
  <si>
    <t>DEMO-001479</t>
  </si>
  <si>
    <t>ZAM-260127-03</t>
  </si>
  <si>
    <t>DEMO-001480</t>
  </si>
  <si>
    <t>ZAM-260128-01</t>
  </si>
  <si>
    <t>DEMO-001481</t>
  </si>
  <si>
    <t>ZAM-260128-02</t>
  </si>
  <si>
    <t>DEMO-001482</t>
  </si>
  <si>
    <t>ZAM-260128-03</t>
  </si>
  <si>
    <t>DEMO-001483</t>
  </si>
  <si>
    <t>ZAM-260128-04</t>
  </si>
  <si>
    <t>DEMO-001484</t>
  </si>
  <si>
    <t>ZAM-260129-01</t>
  </si>
  <si>
    <t>DEMO-001485</t>
  </si>
  <si>
    <t>ZAM-260129-02</t>
  </si>
  <si>
    <t>DEMO-001486</t>
  </si>
  <si>
    <t>ZAM-260129-03</t>
  </si>
  <si>
    <t>DEMO-001487</t>
  </si>
  <si>
    <t>ZAM-260130-01</t>
  </si>
  <si>
    <t>DEMO-001488</t>
  </si>
  <si>
    <t>ZAM-260130-02</t>
  </si>
  <si>
    <t>DEMO-001489</t>
  </si>
  <si>
    <t>ZAM-260130-03</t>
  </si>
  <si>
    <t>DEMO-001490</t>
  </si>
  <si>
    <t>ZAM-260130-04</t>
  </si>
  <si>
    <t>DEMO-001491</t>
  </si>
  <si>
    <t>ZAM-260131-01</t>
  </si>
  <si>
    <t>DEMO-001492</t>
  </si>
  <si>
    <t>ZAM-260201-01</t>
  </si>
  <si>
    <t>DEMO-001493</t>
  </si>
  <si>
    <t>ZAM-260201-02</t>
  </si>
  <si>
    <t>DEMO-001494</t>
  </si>
  <si>
    <t>ZAM-260202-01</t>
  </si>
  <si>
    <t>DEMO-001495</t>
  </si>
  <si>
    <t>ZAM-260202-02</t>
  </si>
  <si>
    <t>DEMO-001496</t>
  </si>
  <si>
    <t>ZAM-260202-03</t>
  </si>
  <si>
    <t>DEMO-001497</t>
  </si>
  <si>
    <t>ZAM-260202-04</t>
  </si>
  <si>
    <t>DEMO-001498</t>
  </si>
  <si>
    <t>ZAM-260203-01</t>
  </si>
  <si>
    <t>DEMO-001499</t>
  </si>
  <si>
    <t>ZAM-260203-02</t>
  </si>
  <si>
    <t>DEMO-001500</t>
  </si>
  <si>
    <t>ZAM-260203-03</t>
  </si>
  <si>
    <t>DEMO-001501</t>
  </si>
  <si>
    <t>ZAM-260204-01</t>
  </si>
  <si>
    <t>DEMO-001502</t>
  </si>
  <si>
    <t>ZAM-260204-02</t>
  </si>
  <si>
    <t>DEMO-001503</t>
  </si>
  <si>
    <t>ZAM-260204-03</t>
  </si>
  <si>
    <t>DEMO-001504</t>
  </si>
  <si>
    <t>ZAM-260205-01</t>
  </si>
  <si>
    <t>DEMO-001505</t>
  </si>
  <si>
    <t>ZAM-260205-02</t>
  </si>
  <si>
    <t>DEMO-001506</t>
  </si>
  <si>
    <t>ZAM-260205-03</t>
  </si>
  <si>
    <t>DEMO-001507</t>
  </si>
  <si>
    <t>ZAM-260205-04</t>
  </si>
  <si>
    <t>DEMO-001508</t>
  </si>
  <si>
    <t>ZAM-260205-05</t>
  </si>
  <si>
    <t>DEMO-001509</t>
  </si>
  <si>
    <t>ZAM-260205-06</t>
  </si>
  <si>
    <t>DEMO-001510</t>
  </si>
  <si>
    <t>ZAM-260206-01</t>
  </si>
  <si>
    <t>DEMO-001511</t>
  </si>
  <si>
    <t>ZAM-260206-02</t>
  </si>
  <si>
    <t>DEMO-001512</t>
  </si>
  <si>
    <t>ZAM-260206-03</t>
  </si>
  <si>
    <t>DEMO-001513</t>
  </si>
  <si>
    <t>ZAM-260207-01</t>
  </si>
  <si>
    <t>DEMO-001514</t>
  </si>
  <si>
    <t>ZAM-260207-02</t>
  </si>
  <si>
    <t>DEMO-001515</t>
  </si>
  <si>
    <t>ZAM-260208-01</t>
  </si>
  <si>
    <t>DEMO-001516</t>
  </si>
  <si>
    <t>ZAM-260208-02</t>
  </si>
  <si>
    <t>DEMO-001517</t>
  </si>
  <si>
    <t>ZAM-260209-01</t>
  </si>
  <si>
    <t>DEMO-001518</t>
  </si>
  <si>
    <t>ZAM-260209-02</t>
  </si>
  <si>
    <t>DEMO-001519</t>
  </si>
  <si>
    <t>ZAM-260209-03</t>
  </si>
  <si>
    <t>DEMO-001520</t>
  </si>
  <si>
    <t>ZAM-260209-04</t>
  </si>
  <si>
    <t>DEMO-001521</t>
  </si>
  <si>
    <t>ZAM-260210-01</t>
  </si>
  <si>
    <t>DEMO-001522</t>
  </si>
  <si>
    <t>ZAM-260210-02</t>
  </si>
  <si>
    <t>DEMO-001523</t>
  </si>
  <si>
    <t>ZAM-260210-03</t>
  </si>
  <si>
    <t>DEMO-001524</t>
  </si>
  <si>
    <t>ZAM-260210-04</t>
  </si>
  <si>
    <t>DEMO-001525</t>
  </si>
  <si>
    <t>ZAM-260210-05</t>
  </si>
  <si>
    <t>DEMO-001526</t>
  </si>
  <si>
    <t>ZAM-260211-01</t>
  </si>
  <si>
    <t>DEMO-001527</t>
  </si>
  <si>
    <t>ZAM-260211-02</t>
  </si>
  <si>
    <t>DEMO-001528</t>
  </si>
  <si>
    <t>ZAM-260211-03</t>
  </si>
  <si>
    <t>DEMO-001529</t>
  </si>
  <si>
    <t>ZAM-260212-01</t>
  </si>
  <si>
    <t>DEMO-001530</t>
  </si>
  <si>
    <t>ZAM-260212-02</t>
  </si>
  <si>
    <t>DEMO-001531</t>
  </si>
  <si>
    <t>ZAM-260212-03</t>
  </si>
  <si>
    <t>DEMO-001532</t>
  </si>
  <si>
    <t>ZAM-260212-04</t>
  </si>
  <si>
    <t>DEMO-001533</t>
  </si>
  <si>
    <t>ZAM-260213-01</t>
  </si>
  <si>
    <t>DEMO-001534</t>
  </si>
  <si>
    <t>ZAM-260213-02</t>
  </si>
  <si>
    <t>DEMO-001535</t>
  </si>
  <si>
    <t>ZAM-260213-03</t>
  </si>
  <si>
    <t>DEMO-001536</t>
  </si>
  <si>
    <t>ZAM-260214-01</t>
  </si>
  <si>
    <t>DEMO-001537</t>
  </si>
  <si>
    <t>ZAM-260215-01</t>
  </si>
  <si>
    <t>DEMO-001538</t>
  </si>
  <si>
    <t>ZAM-260216-01</t>
  </si>
  <si>
    <t>DEMO-001539</t>
  </si>
  <si>
    <t>ZAM-260216-02</t>
  </si>
  <si>
    <t>DEMO-001540</t>
  </si>
  <si>
    <t>ZAM-260216-03</t>
  </si>
  <si>
    <t>DEMO-001541</t>
  </si>
  <si>
    <t>ZAM-260216-04</t>
  </si>
  <si>
    <t>DEMO-001542</t>
  </si>
  <si>
    <t>ZAM-260216-05</t>
  </si>
  <si>
    <t>DEMO-001543</t>
  </si>
  <si>
    <t>ZAM-260217-01</t>
  </si>
  <si>
    <t>DEMO-001544</t>
  </si>
  <si>
    <t>ZAM-260217-02</t>
  </si>
  <si>
    <t>DEMO-001545</t>
  </si>
  <si>
    <t>ZAM-260217-03</t>
  </si>
  <si>
    <t>DEMO-001546</t>
  </si>
  <si>
    <t>ZAM-260217-04</t>
  </si>
  <si>
    <t>DEMO-001547</t>
  </si>
  <si>
    <t>ZAM-260218-01</t>
  </si>
  <si>
    <t>DEMO-001548</t>
  </si>
  <si>
    <t>ZAM-260218-02</t>
  </si>
  <si>
    <t>DEMO-001549</t>
  </si>
  <si>
    <t>ZAM-260218-03</t>
  </si>
  <si>
    <t>DEMO-001550</t>
  </si>
  <si>
    <t>ZAM-260219-01</t>
  </si>
  <si>
    <t>DEMO-001551</t>
  </si>
  <si>
    <t>ZAM-260219-02</t>
  </si>
  <si>
    <t>DEMO-001552</t>
  </si>
  <si>
    <t>ZAM-260219-03</t>
  </si>
  <si>
    <t>DEMO-001553</t>
  </si>
  <si>
    <t>ZAM-260219-04</t>
  </si>
  <si>
    <t>DEMO-001554</t>
  </si>
  <si>
    <t>ZAM-260220-01</t>
  </si>
  <si>
    <t>DEMO-001555</t>
  </si>
  <si>
    <t>ZAM-260220-02</t>
  </si>
  <si>
    <t>DEMO-001556</t>
  </si>
  <si>
    <t>ZAM-260220-03</t>
  </si>
  <si>
    <t>DEMO-001557</t>
  </si>
  <si>
    <t>ZAM-260220-04</t>
  </si>
  <si>
    <t>DEMO-001558</t>
  </si>
  <si>
    <t>ZAM-260220-05</t>
  </si>
  <si>
    <t>DEMO-001559</t>
  </si>
  <si>
    <t>ZAM-260221-01</t>
  </si>
  <si>
    <t>DEMO-001560</t>
  </si>
  <si>
    <t>ZAM-260221-02</t>
  </si>
  <si>
    <t>DEMO-001561</t>
  </si>
  <si>
    <t>ZAM-260222-01</t>
  </si>
  <si>
    <t>DEMO-001562</t>
  </si>
  <si>
    <t>ZAM-260222-02</t>
  </si>
  <si>
    <t>DEMO-001563</t>
  </si>
  <si>
    <t>ZAM-260223-01</t>
  </si>
  <si>
    <t>DEMO-001564</t>
  </si>
  <si>
    <t>ZAM-260223-02</t>
  </si>
  <si>
    <t>DEMO-001565</t>
  </si>
  <si>
    <t>ZAM-260223-03</t>
  </si>
  <si>
    <t>DEMO-001566</t>
  </si>
  <si>
    <t>ZAM-260223-04</t>
  </si>
  <si>
    <t>DEMO-001567</t>
  </si>
  <si>
    <t>ZAM-260224-01</t>
  </si>
  <si>
    <t>DEMO-001568</t>
  </si>
  <si>
    <t>ZAM-260224-02</t>
  </si>
  <si>
    <t>DEMO-001569</t>
  </si>
  <si>
    <t>ZAM-260224-03</t>
  </si>
  <si>
    <t>DEMO-001570</t>
  </si>
  <si>
    <t>ZAM-260225-01</t>
  </si>
  <si>
    <t>DEMO-001571</t>
  </si>
  <si>
    <t>ZAM-260225-02</t>
  </si>
  <si>
    <t>DEMO-001572</t>
  </si>
  <si>
    <t>ZAM-260225-03</t>
  </si>
  <si>
    <t>DEMO-001573</t>
  </si>
  <si>
    <t>ZAM-260225-04</t>
  </si>
  <si>
    <t>DEMO-001574</t>
  </si>
  <si>
    <t>ZAM-260226-01</t>
  </si>
  <si>
    <t>DEMO-001575</t>
  </si>
  <si>
    <t>ZAM-260226-02</t>
  </si>
  <si>
    <t>DEMO-001576</t>
  </si>
  <si>
    <t>ZAM-260226-03</t>
  </si>
  <si>
    <t>DEMO-001577</t>
  </si>
  <si>
    <t>ZAM-260227-01</t>
  </si>
  <si>
    <t>DEMO-001578</t>
  </si>
  <si>
    <t>ZAM-260227-02</t>
  </si>
  <si>
    <t>DEMO-001579</t>
  </si>
  <si>
    <t>ZAM-260227-03</t>
  </si>
  <si>
    <t>DEMO-001580</t>
  </si>
  <si>
    <t>ZAM-260228-01</t>
  </si>
  <si>
    <t>DEMO-001581</t>
  </si>
  <si>
    <t>ZAM-260301-01</t>
  </si>
  <si>
    <t>DEMO-001582</t>
  </si>
  <si>
    <t>ZAM-260302-01</t>
  </si>
  <si>
    <t>DEMO-001583</t>
  </si>
  <si>
    <t>ZAM-260302-02</t>
  </si>
  <si>
    <t>DEMO-001584</t>
  </si>
  <si>
    <t>ZAM-260302-03</t>
  </si>
  <si>
    <t>DEMO-001585</t>
  </si>
  <si>
    <t>ZAM-260303-01</t>
  </si>
  <si>
    <t>DEMO-001586</t>
  </si>
  <si>
    <t>ZAM-260303-02</t>
  </si>
  <si>
    <t>DEMO-001587</t>
  </si>
  <si>
    <t>ZAM-260303-03</t>
  </si>
  <si>
    <t>DEMO-001588</t>
  </si>
  <si>
    <t>ZAM-260304-01</t>
  </si>
  <si>
    <t>DEMO-001589</t>
  </si>
  <si>
    <t>ZAM-260304-02</t>
  </si>
  <si>
    <t>DEMO-001590</t>
  </si>
  <si>
    <t>ZAM-260304-03</t>
  </si>
  <si>
    <t>DEMO-001591</t>
  </si>
  <si>
    <t>ZAM-260304-04</t>
  </si>
  <si>
    <t>DEMO-001592</t>
  </si>
  <si>
    <t>ZAM-260305-01</t>
  </si>
  <si>
    <t>DEMO-001593</t>
  </si>
  <si>
    <t>ZAM-260305-02</t>
  </si>
  <si>
    <t>DEMO-001594</t>
  </si>
  <si>
    <t>ZAM-260305-03</t>
  </si>
  <si>
    <t>DEMO-001595</t>
  </si>
  <si>
    <t>ZAM-260306-01</t>
  </si>
  <si>
    <t>DEMO-001596</t>
  </si>
  <si>
    <t>ZAM-260306-02</t>
  </si>
  <si>
    <t>DEMO-001597</t>
  </si>
  <si>
    <t>ZAM-260306-03</t>
  </si>
  <si>
    <t>DEMO-001598</t>
  </si>
  <si>
    <t>ZAM-260306-04</t>
  </si>
  <si>
    <t>DEMO-001599</t>
  </si>
  <si>
    <t>ZAM-260306-05</t>
  </si>
  <si>
    <t>DEMO-001600</t>
  </si>
  <si>
    <t>ZAM-260306-06</t>
  </si>
  <si>
    <t>DEMO-001601</t>
  </si>
  <si>
    <t>ZAM-260307-01</t>
  </si>
  <si>
    <t>DEMO-001602</t>
  </si>
  <si>
    <t>ZAM-260308-01</t>
  </si>
  <si>
    <t>DEMO-001603</t>
  </si>
  <si>
    <t>ZAM-260308-02</t>
  </si>
  <si>
    <t>DEMO-001604</t>
  </si>
  <si>
    <t>ZAM-260309-01</t>
  </si>
  <si>
    <t>DEMO-001605</t>
  </si>
  <si>
    <t>ZAM-260309-02</t>
  </si>
  <si>
    <t>DEMO-001606</t>
  </si>
  <si>
    <t>ZAM-260309-03</t>
  </si>
  <si>
    <t>DEMO-001607</t>
  </si>
  <si>
    <t>ZAM-260310-01</t>
  </si>
  <si>
    <t>DEMO-001608</t>
  </si>
  <si>
    <t>ZAM-260310-02</t>
  </si>
  <si>
    <t>DEMO-001609</t>
  </si>
  <si>
    <t>ZAM-260310-03</t>
  </si>
  <si>
    <t>DEMO-001610</t>
  </si>
  <si>
    <t>ZAM-260310-04</t>
  </si>
  <si>
    <t>DEMO-001611</t>
  </si>
  <si>
    <t>ZAM-260310-05</t>
  </si>
  <si>
    <t>DEMO-001612</t>
  </si>
  <si>
    <t>ZAM-260310-06</t>
  </si>
  <si>
    <t>DEMO-001613</t>
  </si>
  <si>
    <t>ZAM-260311-01</t>
  </si>
  <si>
    <t>DEMO-001614</t>
  </si>
  <si>
    <t>ZAM-260311-02</t>
  </si>
  <si>
    <t>DEMO-001615</t>
  </si>
  <si>
    <t>ZAM-260311-03</t>
  </si>
  <si>
    <t>DEMO-001616</t>
  </si>
  <si>
    <t>ZAM-260311-04</t>
  </si>
  <si>
    <t>DEMO-001617</t>
  </si>
  <si>
    <t>ZAM-260311-05</t>
  </si>
  <si>
    <t>DEMO-001618</t>
  </si>
  <si>
    <t>ZAM-260311-06</t>
  </si>
  <si>
    <t>DEMO-001619</t>
  </si>
  <si>
    <t>ZAM-260312-01</t>
  </si>
  <si>
    <t>DEMO-001620</t>
  </si>
  <si>
    <t>ZAM-260312-02</t>
  </si>
  <si>
    <t>DEMO-001621</t>
  </si>
  <si>
    <t>ZAM-260312-03</t>
  </si>
  <si>
    <t>DEMO-001622</t>
  </si>
  <si>
    <t>ZAM-260312-04</t>
  </si>
  <si>
    <t>DEMO-001623</t>
  </si>
  <si>
    <t>ZAM-260312-05</t>
  </si>
  <si>
    <t>DEMO-001624</t>
  </si>
  <si>
    <t>ZAM-260313-01</t>
  </si>
  <si>
    <t>DEMO-001625</t>
  </si>
  <si>
    <t>ZAM-260313-02</t>
  </si>
  <si>
    <t>DEMO-001626</t>
  </si>
  <si>
    <t>ZAM-260313-03</t>
  </si>
  <si>
    <t>DEMO-001627</t>
  </si>
  <si>
    <t>ZAM-260313-04</t>
  </si>
  <si>
    <t>DEMO-001628</t>
  </si>
  <si>
    <t>ZAM-260314-01</t>
  </si>
  <si>
    <t>DEMO-001629</t>
  </si>
  <si>
    <t>ZAM-260314-02</t>
  </si>
  <si>
    <t>DEMO-001630</t>
  </si>
  <si>
    <t>ZAM-260315-01</t>
  </si>
  <si>
    <t>DEMO-001631</t>
  </si>
  <si>
    <t>ZAM-260316-01</t>
  </si>
  <si>
    <t>DEMO-001632</t>
  </si>
  <si>
    <t>ZAM-260316-02</t>
  </si>
  <si>
    <t>DEMO-001633</t>
  </si>
  <si>
    <t>ZAM-260316-03</t>
  </si>
  <si>
    <t>DEMO-001634</t>
  </si>
  <si>
    <t>ZAM-260316-04</t>
  </si>
  <si>
    <t>DEMO-001635</t>
  </si>
  <si>
    <t>ZAM-260317-01</t>
  </si>
  <si>
    <t>DEMO-001636</t>
  </si>
  <si>
    <t>ZAM-260317-02</t>
  </si>
  <si>
    <t>DEMO-001637</t>
  </si>
  <si>
    <t>ZAM-260317-03</t>
  </si>
  <si>
    <t>DEMO-001638</t>
  </si>
  <si>
    <t>ZAM-260317-04</t>
  </si>
  <si>
    <t>DEMO-001639</t>
  </si>
  <si>
    <t>ZAM-260318-01</t>
  </si>
  <si>
    <t>DEMO-001640</t>
  </si>
  <si>
    <t>ZAM-260318-02</t>
  </si>
  <si>
    <t>DEMO-001641</t>
  </si>
  <si>
    <t>ZAM-260318-03</t>
  </si>
  <si>
    <t>DEMO-001642</t>
  </si>
  <si>
    <t>ZAM-260318-04</t>
  </si>
  <si>
    <t>DEMO-001643</t>
  </si>
  <si>
    <t>ZAM-260318-05</t>
  </si>
  <si>
    <t>DEMO-001644</t>
  </si>
  <si>
    <t>ZAM-260319-01</t>
  </si>
  <si>
    <t>DEMO-001645</t>
  </si>
  <si>
    <t>ZAM-260319-02</t>
  </si>
  <si>
    <t>DEMO-001646</t>
  </si>
  <si>
    <t>ZAM-260319-03</t>
  </si>
  <si>
    <t>DEMO-001647</t>
  </si>
  <si>
    <t>ZAM-260319-04</t>
  </si>
  <si>
    <t>DEMO-001648</t>
  </si>
  <si>
    <t>ZAM-260319-05</t>
  </si>
  <si>
    <t>DEMO-001649</t>
  </si>
  <si>
    <t>ZAM-260319-06</t>
  </si>
  <si>
    <t>DEMO-001650</t>
  </si>
  <si>
    <t>ZAM-260320-01</t>
  </si>
  <si>
    <t>DEMO-001651</t>
  </si>
  <si>
    <t>ZAM-260320-02</t>
  </si>
  <si>
    <t>DEMO-001652</t>
  </si>
  <si>
    <t>ZAM-260320-03</t>
  </si>
  <si>
    <t>DEMO-001653</t>
  </si>
  <si>
    <t>ZAM-260320-04</t>
  </si>
  <si>
    <t>DEMO-001654</t>
  </si>
  <si>
    <t>ZAM-260320-05</t>
  </si>
  <si>
    <t>DEMO-001655</t>
  </si>
  <si>
    <t>ZAM-260320-06</t>
  </si>
  <si>
    <t>DEMO-001656</t>
  </si>
  <si>
    <t>ZAM-260321-01</t>
  </si>
  <si>
    <t>DEMO-001657</t>
  </si>
  <si>
    <t>ZAM-260321-02</t>
  </si>
  <si>
    <t>DEMO-001658</t>
  </si>
  <si>
    <t>ZAM-260322-01</t>
  </si>
  <si>
    <t>DEMO-001659</t>
  </si>
  <si>
    <t>ZAM-260322-02</t>
  </si>
  <si>
    <t>DEMO-001660</t>
  </si>
  <si>
    <t>ZAM-260323-01</t>
  </si>
  <si>
    <t>DEMO-001661</t>
  </si>
  <si>
    <t>ZAM-260323-02</t>
  </si>
  <si>
    <t>DEMO-001662</t>
  </si>
  <si>
    <t>ZAM-260323-03</t>
  </si>
  <si>
    <t>DEMO-001663</t>
  </si>
  <si>
    <t>ZAM-260324-01</t>
  </si>
  <si>
    <t>DEMO-001664</t>
  </si>
  <si>
    <t>ZAM-260324-02</t>
  </si>
  <si>
    <t>DEMO-001665</t>
  </si>
  <si>
    <t>ZAM-260324-03</t>
  </si>
  <si>
    <t>DEMO-001666</t>
  </si>
  <si>
    <t>ZAM-260324-04</t>
  </si>
  <si>
    <t>DEMO-001667</t>
  </si>
  <si>
    <t>ZAM-260324-05</t>
  </si>
  <si>
    <t>DEMO-001668</t>
  </si>
  <si>
    <t>ZAM-260324-06</t>
  </si>
  <si>
    <t>DEMO-001669</t>
  </si>
  <si>
    <t>ZAM-260325-01</t>
  </si>
  <si>
    <t>DEMO-001670</t>
  </si>
  <si>
    <t>ZAM-260325-02</t>
  </si>
  <si>
    <t>DEMO-001671</t>
  </si>
  <si>
    <t>ZAM-260325-03</t>
  </si>
  <si>
    <t>DEMO-001672</t>
  </si>
  <si>
    <t>ZAM-260325-04</t>
  </si>
  <si>
    <t>DEMO-001673</t>
  </si>
  <si>
    <t>ZAM-260325-05</t>
  </si>
  <si>
    <t>DEMO-001674</t>
  </si>
  <si>
    <t>ZAM-260325-06</t>
  </si>
  <si>
    <t>DEMO-001675</t>
  </si>
  <si>
    <t>ZAM-260326-01</t>
  </si>
  <si>
    <t>DEMO-001676</t>
  </si>
  <si>
    <t>ZAM-260326-02</t>
  </si>
  <si>
    <t>DEMO-001677</t>
  </si>
  <si>
    <t>ZAM-260326-03</t>
  </si>
  <si>
    <t>DEMO-001678</t>
  </si>
  <si>
    <t>ZAM-260326-04</t>
  </si>
  <si>
    <t>DEMO-001679</t>
  </si>
  <si>
    <t>ZAM-260326-05</t>
  </si>
  <si>
    <t>DEMO-001680</t>
  </si>
  <si>
    <t>ZAM-260327-01</t>
  </si>
  <si>
    <t>DEMO-001681</t>
  </si>
  <si>
    <t>ZAM-260327-02</t>
  </si>
  <si>
    <t>DEMO-001682</t>
  </si>
  <si>
    <t>ZAM-260327-03</t>
  </si>
  <si>
    <t>DEMO-001683</t>
  </si>
  <si>
    <t>ZAM-260327-04</t>
  </si>
  <si>
    <t>DEMO-001684</t>
  </si>
  <si>
    <t>ZAM-260328-01</t>
  </si>
  <si>
    <t>DEMO-001685</t>
  </si>
  <si>
    <t>ZAM-260329-01</t>
  </si>
  <si>
    <t>DEMO-001686</t>
  </si>
  <si>
    <t>ZAM-260329-02</t>
  </si>
  <si>
    <t>DEMO-001687</t>
  </si>
  <si>
    <t>ZAM-260330-01</t>
  </si>
  <si>
    <t>DEMO-001688</t>
  </si>
  <si>
    <t>ZAM-260330-02</t>
  </si>
  <si>
    <t>DEMO-001689</t>
  </si>
  <si>
    <t>ZAM-260330-03</t>
  </si>
  <si>
    <t>DEMO-001690</t>
  </si>
  <si>
    <t>ZAM-260331-01</t>
  </si>
  <si>
    <t>DEMO-001691</t>
  </si>
  <si>
    <t>ZAM-260331-02</t>
  </si>
  <si>
    <t>DEMO-001692</t>
  </si>
  <si>
    <t>ZAM-260331-03</t>
  </si>
  <si>
    <t>DEMO-001693</t>
  </si>
  <si>
    <t>ZAM-260331-04</t>
  </si>
  <si>
    <t>DEMO-001694</t>
  </si>
  <si>
    <t>ZAM-260331-05</t>
  </si>
  <si>
    <t>DEMO-001695</t>
  </si>
  <si>
    <t>ZAM-260401-01</t>
  </si>
  <si>
    <t>DEMO-001696</t>
  </si>
  <si>
    <t>ZAM-260401-02</t>
  </si>
  <si>
    <t>DEMO-001697</t>
  </si>
  <si>
    <t>ZAM-260401-03</t>
  </si>
  <si>
    <t>DEMO-001698</t>
  </si>
  <si>
    <t>ZAM-260401-04</t>
  </si>
  <si>
    <t>DEMO-001699</t>
  </si>
  <si>
    <t>ZAM-260401-05</t>
  </si>
  <si>
    <t>DEMO-001700</t>
  </si>
  <si>
    <t>ZAM-260401-06</t>
  </si>
  <si>
    <t>DEMO-001701</t>
  </si>
  <si>
    <t>ZAM-260402-01</t>
  </si>
  <si>
    <t>DEMO-001702</t>
  </si>
  <si>
    <t>ZAM-260402-02</t>
  </si>
  <si>
    <t>DEMO-001703</t>
  </si>
  <si>
    <t>ZAM-260402-03</t>
  </si>
  <si>
    <t>DEMO-001704</t>
  </si>
  <si>
    <t>ZAM-260402-04</t>
  </si>
  <si>
    <t>DEMO-001705</t>
  </si>
  <si>
    <t>ZAM-260402-05</t>
  </si>
  <si>
    <t>DEMO-001706</t>
  </si>
  <si>
    <t>ZAM-260402-06</t>
  </si>
  <si>
    <t>DEMO-001707</t>
  </si>
  <si>
    <t>ZAM-260402-07</t>
  </si>
  <si>
    <t>DEMO-001708</t>
  </si>
  <si>
    <t>ZAM-260403-01</t>
  </si>
  <si>
    <t>DEMO-001709</t>
  </si>
  <si>
    <t>ZAM-260403-02</t>
  </si>
  <si>
    <t>DEMO-001710</t>
  </si>
  <si>
    <t>ZAM-260403-03</t>
  </si>
  <si>
    <t>DEMO-001711</t>
  </si>
  <si>
    <t>ZAM-260403-04</t>
  </si>
  <si>
    <t>DEMO-001712</t>
  </si>
  <si>
    <t>ZAM-260404-01</t>
  </si>
  <si>
    <t>DEMO-001713</t>
  </si>
  <si>
    <t>ZAM-260405-01</t>
  </si>
  <si>
    <t>DEMO-001714</t>
  </si>
  <si>
    <t>ZAM-260405-02</t>
  </si>
  <si>
    <t>DEMO-001715</t>
  </si>
  <si>
    <t>ZAM-260406-01</t>
  </si>
  <si>
    <t>DEMO-001716</t>
  </si>
  <si>
    <t>ZAM-260406-02</t>
  </si>
  <si>
    <t>DEMO-001717</t>
  </si>
  <si>
    <t>ZAM-260406-03</t>
  </si>
  <si>
    <t>DEMO-001718</t>
  </si>
  <si>
    <t>ZAM-260407-01</t>
  </si>
  <si>
    <t>DEMO-001719</t>
  </si>
  <si>
    <t>ZAM-260407-02</t>
  </si>
  <si>
    <t>DEMO-001720</t>
  </si>
  <si>
    <t>ZAM-260407-03</t>
  </si>
  <si>
    <t>DEMO-001721</t>
  </si>
  <si>
    <t>ZAM-260408-01</t>
  </si>
  <si>
    <t>DEMO-001722</t>
  </si>
  <si>
    <t>ZAM-260408-02</t>
  </si>
  <si>
    <t>DEMO-001723</t>
  </si>
  <si>
    <t>ZAM-260408-03</t>
  </si>
  <si>
    <t>DEMO-001724</t>
  </si>
  <si>
    <t>ZAM-260408-04</t>
  </si>
  <si>
    <t>DEMO-001725</t>
  </si>
  <si>
    <t>ZAM-260409-01</t>
  </si>
  <si>
    <t>DEMO-001726</t>
  </si>
  <si>
    <t>ZAM-260409-02</t>
  </si>
  <si>
    <t>DEMO-001727</t>
  </si>
  <si>
    <t>ZAM-260409-03</t>
  </si>
  <si>
    <t>DEMO-001728</t>
  </si>
  <si>
    <t>ZAM-260409-04</t>
  </si>
  <si>
    <t>DEMO-001729</t>
  </si>
  <si>
    <t>ZAM-260409-05</t>
  </si>
  <si>
    <t>DEMO-001730</t>
  </si>
  <si>
    <t>ZAM-260409-06</t>
  </si>
  <si>
    <t>DEMO-001731</t>
  </si>
  <si>
    <t>ZAM-260410-01</t>
  </si>
  <si>
    <t>DEMO-001732</t>
  </si>
  <si>
    <t>ZAM-260410-02</t>
  </si>
  <si>
    <t>DEMO-001733</t>
  </si>
  <si>
    <t>ZAM-260410-03</t>
  </si>
  <si>
    <t>DEMO-001734</t>
  </si>
  <si>
    <t>ZAM-260410-04</t>
  </si>
  <si>
    <t>DEMO-001735</t>
  </si>
  <si>
    <t>ZAM-260410-05</t>
  </si>
  <si>
    <t>DEMO-001736</t>
  </si>
  <si>
    <t>ZAM-260410-06</t>
  </si>
  <si>
    <t>DEMO-001737</t>
  </si>
  <si>
    <t>ZAM-260411-01</t>
  </si>
  <si>
    <t>DEMO-001738</t>
  </si>
  <si>
    <t>ZAM-260411-02</t>
  </si>
  <si>
    <t>DEMO-001739</t>
  </si>
  <si>
    <t>ZAM-260412-01</t>
  </si>
  <si>
    <t>DEMO-001740</t>
  </si>
  <si>
    <t>ZAM-260412-02</t>
  </si>
  <si>
    <t>DEMO-001741</t>
  </si>
  <si>
    <t>ZAM-260413-01</t>
  </si>
  <si>
    <t>DEMO-001742</t>
  </si>
  <si>
    <t>ZAM-260413-02</t>
  </si>
  <si>
    <t>DEMO-001743</t>
  </si>
  <si>
    <t>ZAM-260413-03</t>
  </si>
  <si>
    <t>DEMO-001744</t>
  </si>
  <si>
    <t>ZAM-260414-01</t>
  </si>
  <si>
    <t>DEMO-001745</t>
  </si>
  <si>
    <t>ZAM-260414-02</t>
  </si>
  <si>
    <t>DEMO-001746</t>
  </si>
  <si>
    <t>ZAM-260414-03</t>
  </si>
  <si>
    <t>DEMO-001747</t>
  </si>
  <si>
    <t>ZAM-260414-04</t>
  </si>
  <si>
    <t>DEMO-001748</t>
  </si>
  <si>
    <t>ZAM-260415-01</t>
  </si>
  <si>
    <t>DEMO-001749</t>
  </si>
  <si>
    <t>ZAM-260415-02</t>
  </si>
  <si>
    <t>DEMO-001750</t>
  </si>
  <si>
    <t>ZAM-260415-03</t>
  </si>
  <si>
    <t>DEMO-001751</t>
  </si>
  <si>
    <t>ZAM-260415-04</t>
  </si>
  <si>
    <t>DEMO-001752</t>
  </si>
  <si>
    <t>ZAM-260415-05</t>
  </si>
  <si>
    <t>DEMO-001753</t>
  </si>
  <si>
    <t>ZAM-260416-01</t>
  </si>
  <si>
    <t>DEMO-001754</t>
  </si>
  <si>
    <t>ZAM-260416-02</t>
  </si>
  <si>
    <t>DEMO-001755</t>
  </si>
  <si>
    <t>ZAM-260416-03</t>
  </si>
  <si>
    <t>DEMO-001756</t>
  </si>
  <si>
    <t>ZAM-260416-04</t>
  </si>
  <si>
    <t>DEMO-001757</t>
  </si>
  <si>
    <t>ZAM-260416-05</t>
  </si>
  <si>
    <t>DEMO-001758</t>
  </si>
  <si>
    <t>ZAM-260416-06</t>
  </si>
  <si>
    <t>DEMO-001759</t>
  </si>
  <si>
    <t>ZAM-260417-01</t>
  </si>
  <si>
    <t>DEMO-001760</t>
  </si>
  <si>
    <t>ZAM-260417-02</t>
  </si>
  <si>
    <t>DEMO-001761</t>
  </si>
  <si>
    <t>ZAM-260417-03</t>
  </si>
  <si>
    <t>DEMO-001762</t>
  </si>
  <si>
    <t>ZAM-260417-04</t>
  </si>
  <si>
    <t>DEMO-001763</t>
  </si>
  <si>
    <t>ZAM-260417-05</t>
  </si>
  <si>
    <t>DEMO-001764</t>
  </si>
  <si>
    <t>ZAM-260418-01</t>
  </si>
  <si>
    <t>DEMO-001765</t>
  </si>
  <si>
    <t>ZAM-260419-01</t>
  </si>
  <si>
    <t>DEMO-001766</t>
  </si>
  <si>
    <t>ZAM-260420-01</t>
  </si>
  <si>
    <t>DEMO-001767</t>
  </si>
  <si>
    <t>ZAM-260420-02</t>
  </si>
  <si>
    <t>DEMO-001768</t>
  </si>
  <si>
    <t>ZAM-260420-03</t>
  </si>
  <si>
    <t>DEMO-001769</t>
  </si>
  <si>
    <t>ZAM-260420-04</t>
  </si>
  <si>
    <t>DEMO-001770</t>
  </si>
  <si>
    <t>ZAM-260420-05</t>
  </si>
  <si>
    <t>DEMO-001771</t>
  </si>
  <si>
    <t>ZAM-260421-01</t>
  </si>
  <si>
    <t>DEMO-001772</t>
  </si>
  <si>
    <t>ZAM-260421-02</t>
  </si>
  <si>
    <t>DEMO-001773</t>
  </si>
  <si>
    <t>ZAM-260421-03</t>
  </si>
  <si>
    <t>DEMO-001774</t>
  </si>
  <si>
    <t>ZAM-260422-01</t>
  </si>
  <si>
    <t>DEMO-001775</t>
  </si>
  <si>
    <t>ZAM-260422-02</t>
  </si>
  <si>
    <t>DEMO-001776</t>
  </si>
  <si>
    <t>ZAM-260422-03</t>
  </si>
  <si>
    <t>DEMO-001777</t>
  </si>
  <si>
    <t>ZAM-260423-01</t>
  </si>
  <si>
    <t>DEMO-001778</t>
  </si>
  <si>
    <t>ZAM-260423-02</t>
  </si>
  <si>
    <t>DEMO-001779</t>
  </si>
  <si>
    <t>ZAM-260423-03</t>
  </si>
  <si>
    <t>DEMO-001780</t>
  </si>
  <si>
    <t>ZAM-260424-01</t>
  </si>
  <si>
    <t>DEMO-001781</t>
  </si>
  <si>
    <t>ZAM-260424-02</t>
  </si>
  <si>
    <t>DEMO-001782</t>
  </si>
  <si>
    <t>ZAM-260424-03</t>
  </si>
  <si>
    <t>DEMO-001783</t>
  </si>
  <si>
    <t>ZAM-260424-04</t>
  </si>
  <si>
    <t>DEMO-001784</t>
  </si>
  <si>
    <t>ZAM-260424-05</t>
  </si>
  <si>
    <t>DEMO-001785</t>
  </si>
  <si>
    <t>ZAM-260424-06</t>
  </si>
  <si>
    <t>DEMO-001786</t>
  </si>
  <si>
    <t>ZAM-260424-07</t>
  </si>
  <si>
    <t>DEMO-001787</t>
  </si>
  <si>
    <t>ZAM-260425-01</t>
  </si>
  <si>
    <t>DEMO-001788</t>
  </si>
  <si>
    <t>ZAM-260426-01</t>
  </si>
  <si>
    <t>DEMO-001789</t>
  </si>
  <si>
    <t>ZAM-260427-01</t>
  </si>
  <si>
    <t>DEMO-001790</t>
  </si>
  <si>
    <t>ZAM-260427-02</t>
  </si>
  <si>
    <t>DEMO-001791</t>
  </si>
  <si>
    <t>ZAM-260427-03</t>
  </si>
  <si>
    <t>DEMO-001792</t>
  </si>
  <si>
    <t>ZAM-260428-01</t>
  </si>
  <si>
    <t>DEMO-001793</t>
  </si>
  <si>
    <t>ZAM-260428-02</t>
  </si>
  <si>
    <t>DEMO-001794</t>
  </si>
  <si>
    <t>ZAM-260428-03</t>
  </si>
  <si>
    <t>DEMO-001795</t>
  </si>
  <si>
    <t>ZAM-260428-04</t>
  </si>
  <si>
    <t>DEMO-001796</t>
  </si>
  <si>
    <t>ZAM-260429-01</t>
  </si>
  <si>
    <t>DEMO-001797</t>
  </si>
  <si>
    <t>ZAM-260429-02</t>
  </si>
  <si>
    <t>DEMO-001798</t>
  </si>
  <si>
    <t>ZAM-260429-03</t>
  </si>
  <si>
    <t>DEMO-001799</t>
  </si>
  <si>
    <t>ZAM-260430-01</t>
  </si>
  <si>
    <t>DEMO-001800</t>
  </si>
  <si>
    <t>ZAM-260430-02</t>
  </si>
  <si>
    <t>DEMO-001801</t>
  </si>
  <si>
    <t>ZAM-260430-03</t>
  </si>
  <si>
    <t>DEMO-001802</t>
  </si>
  <si>
    <t>ZAM-260430-04</t>
  </si>
  <si>
    <t>DEMO-001803</t>
  </si>
  <si>
    <t>ZAM-260430-05</t>
  </si>
  <si>
    <t>DEMO-001804</t>
  </si>
  <si>
    <t>ZAM-260501-01</t>
  </si>
  <si>
    <t>DEMO-001805</t>
  </si>
  <si>
    <t>ZAM-260501-02</t>
  </si>
  <si>
    <t>DEMO-001806</t>
  </si>
  <si>
    <t>ZAM-260501-03</t>
  </si>
  <si>
    <t>DEMO-001807</t>
  </si>
  <si>
    <t>ZAM-260501-04</t>
  </si>
  <si>
    <t>DEMO-001808</t>
  </si>
  <si>
    <t>ZAM-260501-05</t>
  </si>
  <si>
    <t>DEMO-001809</t>
  </si>
  <si>
    <t>ZAM-260502-01</t>
  </si>
  <si>
    <t>DEMO-001810</t>
  </si>
  <si>
    <t>ZAM-260503-01</t>
  </si>
  <si>
    <t>DEMO-001811</t>
  </si>
  <si>
    <t>ZAM-260504-01</t>
  </si>
  <si>
    <t>DEMO-001812</t>
  </si>
  <si>
    <t>ZAM-260504-02</t>
  </si>
  <si>
    <t>DEMO-001813</t>
  </si>
  <si>
    <t>ZAM-260504-03</t>
  </si>
  <si>
    <t>DEMO-001814</t>
  </si>
  <si>
    <t>ZAM-260504-04</t>
  </si>
  <si>
    <t>DEMO-001815</t>
  </si>
  <si>
    <t>ZAM-260504-05</t>
  </si>
  <si>
    <t>DEMO-001816</t>
  </si>
  <si>
    <t>ZAM-260505-01</t>
  </si>
  <si>
    <t>DEMO-001817</t>
  </si>
  <si>
    <t>ZAM-260505-02</t>
  </si>
  <si>
    <t>DEMO-001818</t>
  </si>
  <si>
    <t>ZAM-260505-03</t>
  </si>
  <si>
    <t>DEMO-001819</t>
  </si>
  <si>
    <t>ZAM-260505-04</t>
  </si>
  <si>
    <t>DEMO-001820</t>
  </si>
  <si>
    <t>ZAM-260506-01</t>
  </si>
  <si>
    <t>DEMO-001821</t>
  </si>
  <si>
    <t>ZAM-260506-02</t>
  </si>
  <si>
    <t>DEMO-001822</t>
  </si>
  <si>
    <t>ZAM-260506-03</t>
  </si>
  <si>
    <t>DEMO-001823</t>
  </si>
  <si>
    <t>ZAM-260506-04</t>
  </si>
  <si>
    <t>DEMO-001824</t>
  </si>
  <si>
    <t>ZAM-260506-05</t>
  </si>
  <si>
    <t>DEMO-001825</t>
  </si>
  <si>
    <t>ZAM-260507-01</t>
  </si>
  <si>
    <t>DEMO-001826</t>
  </si>
  <si>
    <t>ZAM-260507-02</t>
  </si>
  <si>
    <t>DEMO-001827</t>
  </si>
  <si>
    <t>ZAM-260507-03</t>
  </si>
  <si>
    <t>DEMO-001828</t>
  </si>
  <si>
    <t>ZAM-260507-04</t>
  </si>
  <si>
    <t>DEMO-001829</t>
  </si>
  <si>
    <t>ZAM-260507-05</t>
  </si>
  <si>
    <t>DEMO-001830</t>
  </si>
  <si>
    <t>ZAM-260508-01</t>
  </si>
  <si>
    <t>DEMO-001831</t>
  </si>
  <si>
    <t>ZAM-260508-02</t>
  </si>
  <si>
    <t>DEMO-001832</t>
  </si>
  <si>
    <t>ZAM-260508-03</t>
  </si>
  <si>
    <t>DEMO-001833</t>
  </si>
  <si>
    <t>ZAM-260508-04</t>
  </si>
  <si>
    <t>DEMO-001834</t>
  </si>
  <si>
    <t>ZAM-260509-01</t>
  </si>
  <si>
    <t>DEMO-001835</t>
  </si>
  <si>
    <t>ZAM-260510-01</t>
  </si>
  <si>
    <t>DEMO-001836</t>
  </si>
  <si>
    <t>ZAM-260510-02</t>
  </si>
  <si>
    <t>DEMO-001837</t>
  </si>
  <si>
    <t>ZAM-260511-01</t>
  </si>
  <si>
    <t>DEMO-001838</t>
  </si>
  <si>
    <t>ZAM-260511-02</t>
  </si>
  <si>
    <t>DEMO-001839</t>
  </si>
  <si>
    <t>ZAM-260511-03</t>
  </si>
  <si>
    <t>DEMO-001840</t>
  </si>
  <si>
    <t>ZAM-260511-04</t>
  </si>
  <si>
    <t>DEMO-001841</t>
  </si>
  <si>
    <t>ZAM-260511-05</t>
  </si>
  <si>
    <t>DEMO-001842</t>
  </si>
  <si>
    <t>ZAM-260511-06</t>
  </si>
  <si>
    <t>DEMO-001843</t>
  </si>
  <si>
    <t>ZAM-260512-01</t>
  </si>
  <si>
    <t>DEMO-001844</t>
  </si>
  <si>
    <t>ZAM-260512-02</t>
  </si>
  <si>
    <t>DEMO-001845</t>
  </si>
  <si>
    <t>ZAM-260512-03</t>
  </si>
  <si>
    <t>DEMO-001846</t>
  </si>
  <si>
    <t>ZAM-260512-04</t>
  </si>
  <si>
    <t>DEMO-001847</t>
  </si>
  <si>
    <t>ZAM-260512-05</t>
  </si>
  <si>
    <t>DEMO-001848</t>
  </si>
  <si>
    <t>ZAM-260512-06</t>
  </si>
  <si>
    <t>DEMO-001849</t>
  </si>
  <si>
    <t>ZAM-260513-01</t>
  </si>
  <si>
    <t>DEMO-001850</t>
  </si>
  <si>
    <t>ZAM-260513-02</t>
  </si>
  <si>
    <t>DEMO-001851</t>
  </si>
  <si>
    <t>ZAM-260513-03</t>
  </si>
  <si>
    <t>DEMO-001852</t>
  </si>
  <si>
    <t>ZAM-260513-04</t>
  </si>
  <si>
    <t>DEMO-001853</t>
  </si>
  <si>
    <t>ZAM-260513-05</t>
  </si>
  <si>
    <t>DEMO-001854</t>
  </si>
  <si>
    <t>ZAM-260513-06</t>
  </si>
  <si>
    <t>DEMO-001855</t>
  </si>
  <si>
    <t>ZAM-260514-01</t>
  </si>
  <si>
    <t>DEMO-001856</t>
  </si>
  <si>
    <t>ZAM-260514-02</t>
  </si>
  <si>
    <t>DEMO-001857</t>
  </si>
  <si>
    <t>ZAM-260514-03</t>
  </si>
  <si>
    <t>DEMO-001858</t>
  </si>
  <si>
    <t>ZAM-260515-01</t>
  </si>
  <si>
    <t>DEMO-001859</t>
  </si>
  <si>
    <t>ZAM-260515-02</t>
  </si>
  <si>
    <t>DEMO-001860</t>
  </si>
  <si>
    <t>ZAM-260515-03</t>
  </si>
  <si>
    <t>DEMO-001861</t>
  </si>
  <si>
    <t>ZAM-260515-04</t>
  </si>
  <si>
    <t>DEMO-001862</t>
  </si>
  <si>
    <t>ZAM-260515-05</t>
  </si>
  <si>
    <t>DEMO-001863</t>
  </si>
  <si>
    <t>ZAM-260515-06</t>
  </si>
  <si>
    <t>DEMO-001864</t>
  </si>
  <si>
    <t>ZAM-260516-01</t>
  </si>
  <si>
    <t>DEMO-001865</t>
  </si>
  <si>
    <t>ZAM-260517-01</t>
  </si>
  <si>
    <t>DEMO-001866</t>
  </si>
  <si>
    <t>ZAM-260518-01</t>
  </si>
  <si>
    <t>DEMO-001867</t>
  </si>
  <si>
    <t>ZAM-260518-02</t>
  </si>
  <si>
    <t>DEMO-001868</t>
  </si>
  <si>
    <t>ZAM-260518-03</t>
  </si>
  <si>
    <t>DEMO-001869</t>
  </si>
  <si>
    <t>ZAM-260518-04</t>
  </si>
  <si>
    <t>DEMO-001870</t>
  </si>
  <si>
    <t>ZAM-260519-01</t>
  </si>
  <si>
    <t>DEMO-001871</t>
  </si>
  <si>
    <t>ZAM-260519-02</t>
  </si>
  <si>
    <t>DEMO-001872</t>
  </si>
  <si>
    <t>ZAM-260519-03</t>
  </si>
  <si>
    <t>DEMO-001873</t>
  </si>
  <si>
    <t>ZAM-260519-04</t>
  </si>
  <si>
    <t>DEMO-001874</t>
  </si>
  <si>
    <t>ZAM-260519-05</t>
  </si>
  <si>
    <t>DEMO-001875</t>
  </si>
  <si>
    <t>ZAM-260520-01</t>
  </si>
  <si>
    <t>DEMO-001876</t>
  </si>
  <si>
    <t>ZAM-260520-02</t>
  </si>
  <si>
    <t>DEMO-001877</t>
  </si>
  <si>
    <t>ZAM-260520-03</t>
  </si>
  <si>
    <t>DEMO-001878</t>
  </si>
  <si>
    <t>ZAM-260520-04</t>
  </si>
  <si>
    <t>DEMO-001879</t>
  </si>
  <si>
    <t>ZAM-260520-05</t>
  </si>
  <si>
    <t>DEMO-001880</t>
  </si>
  <si>
    <t>ZAM-260521-01</t>
  </si>
  <si>
    <t>DEMO-001881</t>
  </si>
  <si>
    <t>ZAM-260521-02</t>
  </si>
  <si>
    <t>DEMO-001882</t>
  </si>
  <si>
    <t>ZAM-260521-03</t>
  </si>
  <si>
    <t>DEMO-001883</t>
  </si>
  <si>
    <t>ZAM-260521-04</t>
  </si>
  <si>
    <t>DEMO-001884</t>
  </si>
  <si>
    <t>ZAM-260521-05</t>
  </si>
  <si>
    <t>DEMO-001885</t>
  </si>
  <si>
    <t>ZAM-260521-06</t>
  </si>
  <si>
    <t>DEMO-001886</t>
  </si>
  <si>
    <t>ZAM-260522-01</t>
  </si>
  <si>
    <t>DEMO-001887</t>
  </si>
  <si>
    <t>ZAM-260522-02</t>
  </si>
  <si>
    <t>DEMO-001888</t>
  </si>
  <si>
    <t>ZAM-260522-03</t>
  </si>
  <si>
    <t>DEMO-001889</t>
  </si>
  <si>
    <t>ZAM-260522-04</t>
  </si>
  <si>
    <t>DEMO-001890</t>
  </si>
  <si>
    <t>ZAM-260522-05</t>
  </si>
  <si>
    <t>DEMO-001891</t>
  </si>
  <si>
    <t>ZAM-260523-01</t>
  </si>
  <si>
    <t>DEMO-001892</t>
  </si>
  <si>
    <t>ZAM-260523-02</t>
  </si>
  <si>
    <t>DEMO-001893</t>
  </si>
  <si>
    <t>ZAM-260524-01</t>
  </si>
  <si>
    <t>DEMO-001894</t>
  </si>
  <si>
    <t>ZAM-260524-02</t>
  </si>
  <si>
    <t>DEMO-001895</t>
  </si>
  <si>
    <t>ZAM-260525-01</t>
  </si>
  <si>
    <t>DEMO-001896</t>
  </si>
  <si>
    <t>ZAM-260525-02</t>
  </si>
  <si>
    <t>DEMO-001897</t>
  </si>
  <si>
    <t>ZAM-260525-03</t>
  </si>
  <si>
    <t>DEMO-001898</t>
  </si>
  <si>
    <t>ZAM-260526-01</t>
  </si>
  <si>
    <t>DEMO-001899</t>
  </si>
  <si>
    <t>ZAM-260526-02</t>
  </si>
  <si>
    <t>DEMO-001900</t>
  </si>
  <si>
    <t>ZAM-260526-03</t>
  </si>
  <si>
    <t>DEMO-001901</t>
  </si>
  <si>
    <t>ZAM-260526-04</t>
  </si>
  <si>
    <t>DEMO-001902</t>
  </si>
  <si>
    <t>ZAM-260527-01</t>
  </si>
  <si>
    <t>DEMO-001903</t>
  </si>
  <si>
    <t>ZAM-260527-02</t>
  </si>
  <si>
    <t>DEMO-001904</t>
  </si>
  <si>
    <t>ZAM-260527-03</t>
  </si>
  <si>
    <t>DEMO-001905</t>
  </si>
  <si>
    <t>ZAM-260527-04</t>
  </si>
  <si>
    <t>DEMO-001906</t>
  </si>
  <si>
    <t>ZAM-260527-05</t>
  </si>
  <si>
    <t>DEMO-001907</t>
  </si>
  <si>
    <t>ZAM-260527-06</t>
  </si>
  <si>
    <t>DEMO-001908</t>
  </si>
  <si>
    <t>ZAM-260528-01</t>
  </si>
  <si>
    <t>DEMO-001909</t>
  </si>
  <si>
    <t>ZAM-260528-02</t>
  </si>
  <si>
    <t>DEMO-001910</t>
  </si>
  <si>
    <t>ZAM-260528-03</t>
  </si>
  <si>
    <t>DEMO-001911</t>
  </si>
  <si>
    <t>ZAM-260529-01</t>
  </si>
  <si>
    <t>DEMO-001912</t>
  </si>
  <si>
    <t>ZAM-260529-02</t>
  </si>
  <si>
    <t>DEMO-001913</t>
  </si>
  <si>
    <t>ZAM-260529-03</t>
  </si>
  <si>
    <t>DEMO-001914</t>
  </si>
  <si>
    <t>ZAM-260529-04</t>
  </si>
  <si>
    <t>DEMO-001915</t>
  </si>
  <si>
    <t>ZAM-260529-05</t>
  </si>
  <si>
    <t>DEMO-001916</t>
  </si>
  <si>
    <t>ZAM-260530-01</t>
  </si>
  <si>
    <t>DEMO-001917</t>
  </si>
  <si>
    <t>ZAM-260531-01</t>
  </si>
  <si>
    <t>DEMO-001918</t>
  </si>
  <si>
    <t>ZAM-260531-02</t>
  </si>
  <si>
    <t>DEMO-001919</t>
  </si>
  <si>
    <t>ZAM-260601-01</t>
  </si>
  <si>
    <t>DEMO-001920</t>
  </si>
  <si>
    <t>ZAM-260601-02</t>
  </si>
  <si>
    <t>DEMO-001921</t>
  </si>
  <si>
    <t>ZAM-260601-03</t>
  </si>
  <si>
    <t>DEMO-001922</t>
  </si>
  <si>
    <t>ZAM-260602-01</t>
  </si>
  <si>
    <t>DEMO-001923</t>
  </si>
  <si>
    <t>ZAM-260602-02</t>
  </si>
  <si>
    <t>DEMO-001924</t>
  </si>
  <si>
    <t>ZAM-260602-03</t>
  </si>
  <si>
    <t>DEMO-001925</t>
  </si>
  <si>
    <t>ZAM-260603-01</t>
  </si>
  <si>
    <t>DEMO-001926</t>
  </si>
  <si>
    <t>ZAM-260603-02</t>
  </si>
  <si>
    <t>DEMO-001927</t>
  </si>
  <si>
    <t>ZAM-260603-03</t>
  </si>
  <si>
    <t>DEMO-001928</t>
  </si>
  <si>
    <t>ZAM-260603-04</t>
  </si>
  <si>
    <t>DEMO-001929</t>
  </si>
  <si>
    <t>ZAM-260603-05</t>
  </si>
  <si>
    <t>DEMO-001930</t>
  </si>
  <si>
    <t>ZAM-260603-06</t>
  </si>
  <si>
    <t>DEMO-001931</t>
  </si>
  <si>
    <t>ZAM-260604-01</t>
  </si>
  <si>
    <t>DEMO-001932</t>
  </si>
  <si>
    <t>ZAM-260604-02</t>
  </si>
  <si>
    <t>DEMO-001933</t>
  </si>
  <si>
    <t>ZAM-260604-03</t>
  </si>
  <si>
    <t>DEMO-001934</t>
  </si>
  <si>
    <t>ZAM-260604-04</t>
  </si>
  <si>
    <t>DEMO-001935</t>
  </si>
  <si>
    <t>ZAM-260604-05</t>
  </si>
  <si>
    <t>DEMO-001936</t>
  </si>
  <si>
    <t>ZAM-260605-01</t>
  </si>
  <si>
    <t>DEMO-001937</t>
  </si>
  <si>
    <t>ZAM-260605-02</t>
  </si>
  <si>
    <t>DEMO-001938</t>
  </si>
  <si>
    <t>ZAM-260605-03</t>
  </si>
  <si>
    <t>DEMO-001939</t>
  </si>
  <si>
    <t>ZAM-260606-01</t>
  </si>
  <si>
    <t>DEMO-001940</t>
  </si>
  <si>
    <t>ZAM-260607-01</t>
  </si>
  <si>
    <t>DEMO-001941</t>
  </si>
  <si>
    <t>ZAM-260607-02</t>
  </si>
  <si>
    <t>DEMO-001942</t>
  </si>
  <si>
    <t>ZAM-260608-01</t>
  </si>
  <si>
    <t>DEMO-001943</t>
  </si>
  <si>
    <t>ZAM-260608-02</t>
  </si>
  <si>
    <t>DEMO-001944</t>
  </si>
  <si>
    <t>ZAM-260608-03</t>
  </si>
  <si>
    <t>DEMO-001945</t>
  </si>
  <si>
    <t>ZAM-260608-04</t>
  </si>
  <si>
    <t>DEMO-001946</t>
  </si>
  <si>
    <t>ZAM-260608-05</t>
  </si>
  <si>
    <t>DEMO-001947</t>
  </si>
  <si>
    <t>ZAM-260608-06</t>
  </si>
  <si>
    <t>DEMO-001948</t>
  </si>
  <si>
    <t>ZAM-260609-01</t>
  </si>
  <si>
    <t>DEMO-001949</t>
  </si>
  <si>
    <t>ZAM-260609-02</t>
  </si>
  <si>
    <t>DEMO-001950</t>
  </si>
  <si>
    <t>ZAM-260609-03</t>
  </si>
  <si>
    <t>DEMO-001951</t>
  </si>
  <si>
    <t>ZAM-260609-04</t>
  </si>
  <si>
    <t>DEMO-001952</t>
  </si>
  <si>
    <t>ZAM-260610-01</t>
  </si>
  <si>
    <t>DEMO-001953</t>
  </si>
  <si>
    <t>ZAM-260610-02</t>
  </si>
  <si>
    <t>DEMO-001954</t>
  </si>
  <si>
    <t>ZAM-260610-03</t>
  </si>
  <si>
    <t>DEMO-001955</t>
  </si>
  <si>
    <t>ZAM-260611-01</t>
  </si>
  <si>
    <t>DEMO-001956</t>
  </si>
  <si>
    <t>ZAM-260611-02</t>
  </si>
  <si>
    <t>DEMO-001957</t>
  </si>
  <si>
    <t>ZAM-260611-03</t>
  </si>
  <si>
    <t>DEMO-001958</t>
  </si>
  <si>
    <t>ZAM-260611-04</t>
  </si>
  <si>
    <t>DEMO-001959</t>
  </si>
  <si>
    <t>ZAM-260611-05</t>
  </si>
  <si>
    <t>DEMO-001960</t>
  </si>
  <si>
    <t>ZAM-260612-01</t>
  </si>
  <si>
    <t>DEMO-001961</t>
  </si>
  <si>
    <t>ZAM-260612-02</t>
  </si>
  <si>
    <t>DEMO-001962</t>
  </si>
  <si>
    <t>ZAM-260612-03</t>
  </si>
  <si>
    <t>DEMO-001963</t>
  </si>
  <si>
    <t>ZAM-260612-04</t>
  </si>
  <si>
    <t>DEMO-001964</t>
  </si>
  <si>
    <t>ZAM-260613-01</t>
  </si>
  <si>
    <t>DEMO-001965</t>
  </si>
  <si>
    <t>ZAM-260613-02</t>
  </si>
  <si>
    <t>DEMO-001966</t>
  </si>
  <si>
    <t>ZAM-260614-01</t>
  </si>
  <si>
    <t>DEMO-001967</t>
  </si>
  <si>
    <t>ZAM-260614-02</t>
  </si>
  <si>
    <t>DEMO-001968</t>
  </si>
  <si>
    <t>ZAM-260615-01</t>
  </si>
  <si>
    <t>DEMO-001969</t>
  </si>
  <si>
    <t>ZAM-260615-02</t>
  </si>
  <si>
    <t>DEMO-001970</t>
  </si>
  <si>
    <t>ZAM-260615-03</t>
  </si>
  <si>
    <t>DEMO-001971</t>
  </si>
  <si>
    <t>ZAM-260615-04</t>
  </si>
  <si>
    <t>DEMO-001972</t>
  </si>
  <si>
    <t>ZAM-260615-05</t>
  </si>
  <si>
    <t>DEMO-001973</t>
  </si>
  <si>
    <t>ZAM-260616-01</t>
  </si>
  <si>
    <t>DEMO-001974</t>
  </si>
  <si>
    <t>ZAM-260616-02</t>
  </si>
  <si>
    <t>DEMO-001975</t>
  </si>
  <si>
    <t>ZAM-260616-03</t>
  </si>
  <si>
    <t>DEMO-001976</t>
  </si>
  <si>
    <t>ZAM-260616-04</t>
  </si>
  <si>
    <t>DEMO-001977</t>
  </si>
  <si>
    <t>ZAM-260617-01</t>
  </si>
  <si>
    <t>DEMO-001978</t>
  </si>
  <si>
    <t>ZAM-260617-02</t>
  </si>
  <si>
    <t>DEMO-001979</t>
  </si>
  <si>
    <t>ZAM-260617-03</t>
  </si>
  <si>
    <t>DEMO-001980</t>
  </si>
  <si>
    <t>ZAM-260617-04</t>
  </si>
  <si>
    <t>DEMO-001981</t>
  </si>
  <si>
    <t>ZAM-260617-05</t>
  </si>
  <si>
    <t>DEMO-001982</t>
  </si>
  <si>
    <t>ZAM-260618-01</t>
  </si>
  <si>
    <t>DEMO-001983</t>
  </si>
  <si>
    <t>ZAM-260618-02</t>
  </si>
  <si>
    <t>DEMO-001984</t>
  </si>
  <si>
    <t>ZAM-260618-03</t>
  </si>
  <si>
    <t>DEMO-001985</t>
  </si>
  <si>
    <t>ZAM-260618-04</t>
  </si>
  <si>
    <t>DEMO-001986</t>
  </si>
  <si>
    <t>ZAM-260619-01</t>
  </si>
  <si>
    <t>DEMO-001987</t>
  </si>
  <si>
    <t>ZAM-260619-02</t>
  </si>
  <si>
    <t>DEMO-001988</t>
  </si>
  <si>
    <t>ZAM-260619-03</t>
  </si>
  <si>
    <t>DEMO-001989</t>
  </si>
  <si>
    <t>ZAM-260619-04</t>
  </si>
  <si>
    <t>DEMO-001990</t>
  </si>
  <si>
    <t>ZAM-260619-05</t>
  </si>
  <si>
    <t>DEMO-001991</t>
  </si>
  <si>
    <t>ZAM-260619-06</t>
  </si>
  <si>
    <t>DEMO-001992</t>
  </si>
  <si>
    <t>ZAM-260620-01</t>
  </si>
  <si>
    <t>DEMO-001993</t>
  </si>
  <si>
    <t>ZAM-260621-01</t>
  </si>
  <si>
    <t>DEMO-001994</t>
  </si>
  <si>
    <t>ZAM-260622-01</t>
  </si>
  <si>
    <t>DEMO-001995</t>
  </si>
  <si>
    <t>ZAM-260622-02</t>
  </si>
  <si>
    <t>DEMO-001996</t>
  </si>
  <si>
    <t>ZAM-260622-03</t>
  </si>
  <si>
    <t>DEMO-001997</t>
  </si>
  <si>
    <t>ZAM-260622-04</t>
  </si>
  <si>
    <t>DEMO-001998</t>
  </si>
  <si>
    <t>ZAM-260622-05</t>
  </si>
  <si>
    <t>DEMO-001999</t>
  </si>
  <si>
    <t>ZAM-260622-06</t>
  </si>
  <si>
    <t>DEMO-002000</t>
  </si>
  <si>
    <t>ZAM-260622-07</t>
  </si>
  <si>
    <t>DEMO-002001</t>
  </si>
  <si>
    <t>ZAM-260623-01</t>
  </si>
  <si>
    <t>DEMO-002002</t>
  </si>
  <si>
    <t>ZAM-260623-02</t>
  </si>
  <si>
    <t>DEMO-002003</t>
  </si>
  <si>
    <t>ZAM-260623-03</t>
  </si>
  <si>
    <t>DEMO-002004</t>
  </si>
  <si>
    <t>ZAM-260623-04</t>
  </si>
  <si>
    <t>DEMO-002005</t>
  </si>
  <si>
    <t>ZAM-260623-05</t>
  </si>
  <si>
    <t>DEMO-002006</t>
  </si>
  <si>
    <t>ZAM-260623-06</t>
  </si>
  <si>
    <t>DEMO-002007</t>
  </si>
  <si>
    <t>ZAM-260624-01</t>
  </si>
  <si>
    <t>DEMO-002008</t>
  </si>
  <si>
    <t>ZAM-260624-02</t>
  </si>
  <si>
    <t>DEMO-002009</t>
  </si>
  <si>
    <t>ZAM-260624-03</t>
  </si>
  <si>
    <t>DEMO-002010</t>
  </si>
  <si>
    <t>ZAM-260624-04</t>
  </si>
  <si>
    <t>DEMO-002011</t>
  </si>
  <si>
    <t>ZAM-260624-05</t>
  </si>
  <si>
    <t>DEMO-002012</t>
  </si>
  <si>
    <t>ZAM-260624-06</t>
  </si>
  <si>
    <t>DEMO-002013</t>
  </si>
  <si>
    <t>ZAM-260625-01</t>
  </si>
  <si>
    <t>DEMO-002014</t>
  </si>
  <si>
    <t>ZAM-260625-02</t>
  </si>
  <si>
    <t>DEMO-002015</t>
  </si>
  <si>
    <t>ZAM-260625-03</t>
  </si>
  <si>
    <t>DEMO-002016</t>
  </si>
  <si>
    <t>ZAM-260625-04</t>
  </si>
  <si>
    <t>DEMO-002017</t>
  </si>
  <si>
    <t>ZAM-260625-05</t>
  </si>
  <si>
    <t>DEMO-002018</t>
  </si>
  <si>
    <t>ZAM-260625-06</t>
  </si>
  <si>
    <t>DEMO-002019</t>
  </si>
  <si>
    <t>ZAM-260626-01</t>
  </si>
  <si>
    <t>DEMO-002020</t>
  </si>
  <si>
    <t>ZAM-260626-02</t>
  </si>
  <si>
    <t>DEMO-002021</t>
  </si>
  <si>
    <t>ZAM-260626-03</t>
  </si>
  <si>
    <t>DEMO-002022</t>
  </si>
  <si>
    <t>ZAM-260626-04</t>
  </si>
  <si>
    <t>DEMO-002023</t>
  </si>
  <si>
    <t>ZAM-260626-05</t>
  </si>
  <si>
    <t>DEMO-002024</t>
  </si>
  <si>
    <t>ZAM-260626-06</t>
  </si>
  <si>
    <t>DEMO-002025</t>
  </si>
  <si>
    <t>ZAM-260627-01</t>
  </si>
  <si>
    <t>DEMO-002026</t>
  </si>
  <si>
    <t>ZAM-260628-01</t>
  </si>
  <si>
    <t>DEMO-002027</t>
  </si>
  <si>
    <t>ZAM-260629-01</t>
  </si>
  <si>
    <t>DEMO-002028</t>
  </si>
  <si>
    <t>ZAM-260629-02</t>
  </si>
  <si>
    <t>DEMO-002029</t>
  </si>
  <si>
    <t>ZAM-260629-03</t>
  </si>
  <si>
    <t>DEMO-002030</t>
  </si>
  <si>
    <t>ZAM-260629-04</t>
  </si>
  <si>
    <t>DEMO-002031</t>
  </si>
  <si>
    <t>ZAM-260630-01</t>
  </si>
  <si>
    <t>DEMO-002032</t>
  </si>
  <si>
    <t>ZAM-260630-02</t>
  </si>
  <si>
    <t>DEMO-002033</t>
  </si>
  <si>
    <t>ZAM-260630-03</t>
  </si>
  <si>
    <t>DEMO-002034</t>
  </si>
  <si>
    <t>ZAM-260630-04</t>
  </si>
  <si>
    <t>DEMO-002035</t>
  </si>
  <si>
    <t>ZAM-260630-05</t>
  </si>
  <si>
    <t>DEMO-002036</t>
  </si>
  <si>
    <t>ZAM-260701-01</t>
  </si>
  <si>
    <t>DEMO-002037</t>
  </si>
  <si>
    <t>ZAM-260701-02</t>
  </si>
  <si>
    <t>DEMO-002038</t>
  </si>
  <si>
    <t>ZAM-260701-03</t>
  </si>
  <si>
    <t>DEMO-002039</t>
  </si>
  <si>
    <t>ZAM-260701-04</t>
  </si>
  <si>
    <t>DEMO-002040</t>
  </si>
  <si>
    <t>ZAM-260702-01</t>
  </si>
  <si>
    <t>DEMO-002041</t>
  </si>
  <si>
    <t>ZAM-260702-02</t>
  </si>
  <si>
    <t>DEMO-002042</t>
  </si>
  <si>
    <t>ZAM-260702-03</t>
  </si>
  <si>
    <t>DEMO-002043</t>
  </si>
  <si>
    <t>ZAM-260702-04</t>
  </si>
  <si>
    <t>DEMO-002044</t>
  </si>
  <si>
    <t>ZAM-260703-01</t>
  </si>
  <si>
    <t>DEMO-002045</t>
  </si>
  <si>
    <t>ZAM-260703-02</t>
  </si>
  <si>
    <t>DEMO-002046</t>
  </si>
  <si>
    <t>ZAM-260703-03</t>
  </si>
  <si>
    <t>DEMO-002047</t>
  </si>
  <si>
    <t>ZAM-260703-04</t>
  </si>
  <si>
    <t>DEMO-002048</t>
  </si>
  <si>
    <t>ZAM-260704-01</t>
  </si>
  <si>
    <t>DEMO-002049</t>
  </si>
  <si>
    <t>ZAM-260704-02</t>
  </si>
  <si>
    <t>DEMO-002050</t>
  </si>
  <si>
    <t>ZAM-260705-01</t>
  </si>
  <si>
    <t>DEMO-002051</t>
  </si>
  <si>
    <t>ZAM-260705-02</t>
  </si>
  <si>
    <t>DEMO-002052</t>
  </si>
  <si>
    <t>ZAM-260706-01</t>
  </si>
  <si>
    <t>DEMO-002053</t>
  </si>
  <si>
    <t>ZAM-260706-02</t>
  </si>
  <si>
    <t>DEMO-002054</t>
  </si>
  <si>
    <t>ZAM-260706-03</t>
  </si>
  <si>
    <t>DEMO-002055</t>
  </si>
  <si>
    <t>ZAM-260707-01</t>
  </si>
  <si>
    <t>DEMO-002056</t>
  </si>
  <si>
    <t>ZAM-260707-02</t>
  </si>
  <si>
    <t>DEMO-002057</t>
  </si>
  <si>
    <t>ZAM-260707-03</t>
  </si>
  <si>
    <t>DEMO-002058</t>
  </si>
  <si>
    <t>ZAM-260707-04</t>
  </si>
  <si>
    <t>DEMO-002059</t>
  </si>
  <si>
    <t>ZAM-260708-01</t>
  </si>
  <si>
    <t>DEMO-002060</t>
  </si>
  <si>
    <t>ZAM-260708-02</t>
  </si>
  <si>
    <t>DEMO-002061</t>
  </si>
  <si>
    <t>ZAM-260708-03</t>
  </si>
  <si>
    <t>DEMO-002062</t>
  </si>
  <si>
    <t>ZAM-260709-01</t>
  </si>
  <si>
    <t>DEMO-002063</t>
  </si>
  <si>
    <t>ZAM-260709-02</t>
  </si>
  <si>
    <t>DEMO-002064</t>
  </si>
  <si>
    <t>ZAM-260709-03</t>
  </si>
  <si>
    <t>DEMO-002065</t>
  </si>
  <si>
    <t>ZAM-260710-01</t>
  </si>
  <si>
    <t>DEMO-002066</t>
  </si>
  <si>
    <t>ZAM-260710-02</t>
  </si>
  <si>
    <t>DEMO-002067</t>
  </si>
  <si>
    <t>ZAM-260710-03</t>
  </si>
  <si>
    <t>DEMO-002068</t>
  </si>
  <si>
    <t>ZAM-260710-04</t>
  </si>
  <si>
    <t>DEMO-002069</t>
  </si>
  <si>
    <t>ZAM-260711-01</t>
  </si>
  <si>
    <t>DEMO-002070</t>
  </si>
  <si>
    <t>ZAM-260711-02</t>
  </si>
  <si>
    <t>DEMO-002071</t>
  </si>
  <si>
    <t>ZAM-260712-01</t>
  </si>
  <si>
    <t>DEMO-002072</t>
  </si>
  <si>
    <t>ZAM-260713-01</t>
  </si>
  <si>
    <t>DEMO-002073</t>
  </si>
  <si>
    <t>ZAM-260713-02</t>
  </si>
  <si>
    <t>DEMO-002074</t>
  </si>
  <si>
    <t>ZAM-260713-03</t>
  </si>
  <si>
    <t>DEMO-002075</t>
  </si>
  <si>
    <t>ZAM-260714-01</t>
  </si>
  <si>
    <t>DEMO-002076</t>
  </si>
  <si>
    <t>ZAM-260714-02</t>
  </si>
  <si>
    <t>DEMO-002077</t>
  </si>
  <si>
    <t>ZAM-260714-03</t>
  </si>
  <si>
    <t>DEMO-002078</t>
  </si>
  <si>
    <t>ZAM-260715-01</t>
  </si>
  <si>
    <t>DEMO-002079</t>
  </si>
  <si>
    <t>ZAM-260715-02</t>
  </si>
  <si>
    <t>DEMO-002080</t>
  </si>
  <si>
    <t>ZAM-260715-03</t>
  </si>
  <si>
    <t>DEMO-002081</t>
  </si>
  <si>
    <t>ZAM-260715-04</t>
  </si>
  <si>
    <t>DEMO-002082</t>
  </si>
  <si>
    <t>ZAM-260716-01</t>
  </si>
  <si>
    <t>DEMO-002083</t>
  </si>
  <si>
    <t>ZAM-260716-02</t>
  </si>
  <si>
    <t>DEMO-002084</t>
  </si>
  <si>
    <t>ZAM-260716-03</t>
  </si>
  <si>
    <t>DEMO-002085</t>
  </si>
  <si>
    <t>ZAM-260717-01</t>
  </si>
  <si>
    <t>DEMO-002086</t>
  </si>
  <si>
    <t>ZAM-260717-02</t>
  </si>
  <si>
    <t>DEMO-002087</t>
  </si>
  <si>
    <t>ZAM-260717-03</t>
  </si>
  <si>
    <t>DEMO-002088</t>
  </si>
  <si>
    <t>ZAM-260718-01</t>
  </si>
  <si>
    <t>DEMO-002089</t>
  </si>
  <si>
    <t>ZAM-260718-02</t>
  </si>
  <si>
    <t>DEMO-002090</t>
  </si>
  <si>
    <t>ZAM-260719-01</t>
  </si>
  <si>
    <t>DEMO-002091</t>
  </si>
  <si>
    <t>ZAM-260719-02</t>
  </si>
  <si>
    <t>DEMO-002092</t>
  </si>
  <si>
    <t>ZAM-260720-01</t>
  </si>
  <si>
    <t>DEMO-002093</t>
  </si>
  <si>
    <t>ZAM-260720-02</t>
  </si>
  <si>
    <t>DEMO-002094</t>
  </si>
  <si>
    <t>ZAM-260720-03</t>
  </si>
  <si>
    <t>DEMO-002095</t>
  </si>
  <si>
    <t>ZAM-260720-04</t>
  </si>
  <si>
    <t>DEMO-002096</t>
  </si>
  <si>
    <t>ZAM-260721-01</t>
  </si>
  <si>
    <t>DEMO-002097</t>
  </si>
  <si>
    <t>ZAM-260721-02</t>
  </si>
  <si>
    <t>DEMO-002098</t>
  </si>
  <si>
    <t>ZAM-260721-03</t>
  </si>
  <si>
    <t>DEMO-002099</t>
  </si>
  <si>
    <t>ZAM-260722-01</t>
  </si>
  <si>
    <t>DEMO-002100</t>
  </si>
  <si>
    <t>ZAM-260722-02</t>
  </si>
  <si>
    <t>DEMO-002101</t>
  </si>
  <si>
    <t>ZAM-260722-03</t>
  </si>
  <si>
    <t>DEMO-002102</t>
  </si>
  <si>
    <t>ZAM-260723-01</t>
  </si>
  <si>
    <t>DEMO-002103</t>
  </si>
  <si>
    <t>ZAM-260723-02</t>
  </si>
  <si>
    <t>DEMO-002104</t>
  </si>
  <si>
    <t>ZAM-260723-03</t>
  </si>
  <si>
    <t>DEMO-002105</t>
  </si>
  <si>
    <t>ZAM-260724-01</t>
  </si>
  <si>
    <t>DEMO-002106</t>
  </si>
  <si>
    <t>ZAM-260724-02</t>
  </si>
  <si>
    <t>DEMO-002107</t>
  </si>
  <si>
    <t>ZAM-260724-03</t>
  </si>
  <si>
    <t>DEMO-002108</t>
  </si>
  <si>
    <t>ZAM-260725-01</t>
  </si>
  <si>
    <t>DEMO-002109</t>
  </si>
  <si>
    <t>ZAM-260725-02</t>
  </si>
  <si>
    <t>DEMO-002110</t>
  </si>
  <si>
    <t>ZAM-260726-01</t>
  </si>
  <si>
    <t>DEMO-002111</t>
  </si>
  <si>
    <t>ZAM-260727-01</t>
  </si>
  <si>
    <t>DEMO-002112</t>
  </si>
  <si>
    <t>ZAM-260727-02</t>
  </si>
  <si>
    <t>DEMO-002113</t>
  </si>
  <si>
    <t>ZAM-260727-03</t>
  </si>
  <si>
    <t>DEMO-002114</t>
  </si>
  <si>
    <t>ZAM-260727-04</t>
  </si>
  <si>
    <t>DEMO-002115</t>
  </si>
  <si>
    <t>ZAM-260727-05</t>
  </si>
  <si>
    <t>DEMO-002116</t>
  </si>
  <si>
    <t>ZAM-260728-01</t>
  </si>
  <si>
    <t>DEMO-002117</t>
  </si>
  <si>
    <t>ZAM-260728-02</t>
  </si>
  <si>
    <t>DEMO-002118</t>
  </si>
  <si>
    <t>ZAM-260728-03</t>
  </si>
  <si>
    <t>DEMO-002119</t>
  </si>
  <si>
    <t>ZAM-260728-04</t>
  </si>
  <si>
    <t>DEMO-002120</t>
  </si>
  <si>
    <t>ZAM-260728-05</t>
  </si>
  <si>
    <t>DEMO-002121</t>
  </si>
  <si>
    <t>ZAM-260729-01</t>
  </si>
  <si>
    <t>DEMO-002122</t>
  </si>
  <si>
    <t>ZAM-260729-02</t>
  </si>
  <si>
    <t>DEMO-002123</t>
  </si>
  <si>
    <t>ZAM-260729-03</t>
  </si>
  <si>
    <t>DEMO-002124</t>
  </si>
  <si>
    <t>ZAM-260730-01</t>
  </si>
  <si>
    <t>DEMO-002125</t>
  </si>
  <si>
    <t>ZAM-260730-02</t>
  </si>
  <si>
    <t>DEMO-002126</t>
  </si>
  <si>
    <t>ZAM-260730-03</t>
  </si>
  <si>
    <t>DEMO-002127</t>
  </si>
  <si>
    <t>ZAM-260731-01</t>
  </si>
  <si>
    <t>DEMO-002128</t>
  </si>
  <si>
    <t>ZAM-260731-02</t>
  </si>
  <si>
    <t>DEMO-002129</t>
  </si>
  <si>
    <t>ZAM-260731-03</t>
  </si>
  <si>
    <t>DEMO-002130</t>
  </si>
  <si>
    <t>ZAM-260801-01</t>
  </si>
  <si>
    <t>DEMO-002131</t>
  </si>
  <si>
    <t>ZAM-260802-01</t>
  </si>
  <si>
    <t>DEMO-002132</t>
  </si>
  <si>
    <t>ZAM-260803-01</t>
  </si>
  <si>
    <t>DEMO-002133</t>
  </si>
  <si>
    <t>ZAM-260803-02</t>
  </si>
  <si>
    <t>DEMO-002134</t>
  </si>
  <si>
    <t>ZAM-260803-03</t>
  </si>
  <si>
    <t>DEMO-002135</t>
  </si>
  <si>
    <t>ZAM-260803-04</t>
  </si>
  <si>
    <t>DEMO-002136</t>
  </si>
  <si>
    <t>ZAM-260803-05</t>
  </si>
  <si>
    <t>DEMO-002137</t>
  </si>
  <si>
    <t>ZAM-260804-01</t>
  </si>
  <si>
    <t>DEMO-002138</t>
  </si>
  <si>
    <t>ZAM-260804-02</t>
  </si>
  <si>
    <t>DEMO-002139</t>
  </si>
  <si>
    <t>ZAM-260804-03</t>
  </si>
  <si>
    <t>DEMO-002140</t>
  </si>
  <si>
    <t>ZAM-260804-04</t>
  </si>
  <si>
    <t>DEMO-002141</t>
  </si>
  <si>
    <t>ZAM-260804-05</t>
  </si>
  <si>
    <t>DEMO-002142</t>
  </si>
  <si>
    <t>ZAM-260805-01</t>
  </si>
  <si>
    <t>DEMO-002143</t>
  </si>
  <si>
    <t>ZAM-260805-02</t>
  </si>
  <si>
    <t>DEMO-002144</t>
  </si>
  <si>
    <t>ZAM-260805-03</t>
  </si>
  <si>
    <t>DEMO-002145</t>
  </si>
  <si>
    <t>ZAM-260805-04</t>
  </si>
  <si>
    <t>DEMO-002146</t>
  </si>
  <si>
    <t>ZAM-260805-05</t>
  </si>
  <si>
    <t>DEMO-002147</t>
  </si>
  <si>
    <t>ZAM-260805-06</t>
  </si>
  <si>
    <t>DEMO-002148</t>
  </si>
  <si>
    <t>ZAM-260806-01</t>
  </si>
  <si>
    <t>DEMO-002149</t>
  </si>
  <si>
    <t>ZAM-260806-02</t>
  </si>
  <si>
    <t>DEMO-002150</t>
  </si>
  <si>
    <t>ZAM-260806-03</t>
  </si>
  <si>
    <t>DEMO-002151</t>
  </si>
  <si>
    <t>ZAM-260806-04</t>
  </si>
  <si>
    <t>DEMO-002152</t>
  </si>
  <si>
    <t>ZAM-260807-01</t>
  </si>
  <si>
    <t>DEMO-002153</t>
  </si>
  <si>
    <t>ZAM-260807-02</t>
  </si>
  <si>
    <t>DEMO-002154</t>
  </si>
  <si>
    <t>ZAM-260807-03</t>
  </si>
  <si>
    <t>DEMO-002155</t>
  </si>
  <si>
    <t>ZAM-260807-04</t>
  </si>
  <si>
    <t>DEMO-002156</t>
  </si>
  <si>
    <t>ZAM-260807-05</t>
  </si>
  <si>
    <t>DEMO-002157</t>
  </si>
  <si>
    <t>ZAM-260808-01</t>
  </si>
  <si>
    <t>DEMO-002158</t>
  </si>
  <si>
    <t>ZAM-260808-02</t>
  </si>
  <si>
    <t>DEMO-002159</t>
  </si>
  <si>
    <t>ZAM-260809-01</t>
  </si>
  <si>
    <t>DEMO-002160</t>
  </si>
  <si>
    <t>ZAM-260809-02</t>
  </si>
  <si>
    <t>DEMO-002161</t>
  </si>
  <si>
    <t>ZAM-260810-01</t>
  </si>
  <si>
    <t>DEMO-002162</t>
  </si>
  <si>
    <t>ZAM-260810-02</t>
  </si>
  <si>
    <t>DEMO-002163</t>
  </si>
  <si>
    <t>ZAM-260810-03</t>
  </si>
  <si>
    <t>DEMO-002164</t>
  </si>
  <si>
    <t>ZAM-260810-04</t>
  </si>
  <si>
    <t>DEMO-002165</t>
  </si>
  <si>
    <t>ZAM-260810-05</t>
  </si>
  <si>
    <t>DEMO-002166</t>
  </si>
  <si>
    <t>ZAM-260811-01</t>
  </si>
  <si>
    <t>DEMO-002167</t>
  </si>
  <si>
    <t>ZAM-260811-02</t>
  </si>
  <si>
    <t>DEMO-002168</t>
  </si>
  <si>
    <t>ZAM-260811-03</t>
  </si>
  <si>
    <t>DEMO-002169</t>
  </si>
  <si>
    <t>ZAM-260811-04</t>
  </si>
  <si>
    <t>DEMO-002170</t>
  </si>
  <si>
    <t>ZAM-260812-01</t>
  </si>
  <si>
    <t>DEMO-002171</t>
  </si>
  <si>
    <t>ZAM-260812-02</t>
  </si>
  <si>
    <t>DEMO-002172</t>
  </si>
  <si>
    <t>ZAM-260812-03</t>
  </si>
  <si>
    <t>DEMO-002173</t>
  </si>
  <si>
    <t>ZAM-260812-04</t>
  </si>
  <si>
    <t>DEMO-002174</t>
  </si>
  <si>
    <t>ZAM-260812-05</t>
  </si>
  <si>
    <t>DEMO-002175</t>
  </si>
  <si>
    <t>ZAM-260812-06</t>
  </si>
  <si>
    <t>DEMO-002176</t>
  </si>
  <si>
    <t>ZAM-260813-01</t>
  </si>
  <si>
    <t>DEMO-002177</t>
  </si>
  <si>
    <t>ZAM-260813-02</t>
  </si>
  <si>
    <t>DEMO-002178</t>
  </si>
  <si>
    <t>ZAM-260813-03</t>
  </si>
  <si>
    <t>DEMO-002179</t>
  </si>
  <si>
    <t>ZAM-260813-04</t>
  </si>
  <si>
    <t>DEMO-002180</t>
  </si>
  <si>
    <t>ZAM-260813-05</t>
  </si>
  <si>
    <t>DEMO-002181</t>
  </si>
  <si>
    <t>ZAM-260813-06</t>
  </si>
  <si>
    <t>DEMO-002182</t>
  </si>
  <si>
    <t>ZAM-260814-01</t>
  </si>
  <si>
    <t>DEMO-002183</t>
  </si>
  <si>
    <t>ZAM-260814-02</t>
  </si>
  <si>
    <t>DEMO-002184</t>
  </si>
  <si>
    <t>ZAM-260814-03</t>
  </si>
  <si>
    <t>DEMO-002185</t>
  </si>
  <si>
    <t>ZAM-260815-01</t>
  </si>
  <si>
    <t>DEMO-002186</t>
  </si>
  <si>
    <t>ZAM-260815-02</t>
  </si>
  <si>
    <t>DEMO-002187</t>
  </si>
  <si>
    <t>ZAM-260816-01</t>
  </si>
  <si>
    <t>DEMO-002188</t>
  </si>
  <si>
    <t>ZAM-260816-02</t>
  </si>
  <si>
    <t>DEMO-002189</t>
  </si>
  <si>
    <t>ZAM-260817-01</t>
  </si>
  <si>
    <t>DEMO-002190</t>
  </si>
  <si>
    <t>ZAM-260817-02</t>
  </si>
  <si>
    <t>DEMO-002191</t>
  </si>
  <si>
    <t>ZAM-260817-03</t>
  </si>
  <si>
    <t>DEMO-002192</t>
  </si>
  <si>
    <t>ZAM-260817-04</t>
  </si>
  <si>
    <t>DEMO-002193</t>
  </si>
  <si>
    <t>ZAM-260817-05</t>
  </si>
  <si>
    <t>DEMO-002194</t>
  </si>
  <si>
    <t>ZAM-260817-06</t>
  </si>
  <si>
    <t>DEMO-002195</t>
  </si>
  <si>
    <t>ZAM-260818-01</t>
  </si>
  <si>
    <t>DEMO-002196</t>
  </si>
  <si>
    <t>ZAM-260818-02</t>
  </si>
  <si>
    <t>DEMO-002197</t>
  </si>
  <si>
    <t>ZAM-260818-03</t>
  </si>
  <si>
    <t>DEMO-002198</t>
  </si>
  <si>
    <t>ZAM-260819-01</t>
  </si>
  <si>
    <t>DEMO-002199</t>
  </si>
  <si>
    <t>ZAM-260819-02</t>
  </si>
  <si>
    <t>DEMO-002200</t>
  </si>
  <si>
    <t>ZAM-260819-03</t>
  </si>
  <si>
    <t>DEMO-002201</t>
  </si>
  <si>
    <t>ZAM-260819-04</t>
  </si>
  <si>
    <t>DEMO-002202</t>
  </si>
  <si>
    <t>ZAM-260820-01</t>
  </si>
  <si>
    <t>DEMO-002203</t>
  </si>
  <si>
    <t>ZAM-260820-02</t>
  </si>
  <si>
    <t>DEMO-002204</t>
  </si>
  <si>
    <t>ZAM-260820-03</t>
  </si>
  <si>
    <t>DEMO-002205</t>
  </si>
  <si>
    <t>ZAM-260820-04</t>
  </si>
  <si>
    <t>DEMO-002206</t>
  </si>
  <si>
    <t>ZAM-260820-05</t>
  </si>
  <si>
    <t>DEMO-002207</t>
  </si>
  <si>
    <t>ZAM-260821-01</t>
  </si>
  <si>
    <t>DEMO-002208</t>
  </si>
  <si>
    <t>ZAM-260821-02</t>
  </si>
  <si>
    <t>DEMO-002209</t>
  </si>
  <si>
    <t>ZAM-260821-03</t>
  </si>
  <si>
    <t>DEMO-002210</t>
  </si>
  <si>
    <t>ZAM-260821-04</t>
  </si>
  <si>
    <t>DEMO-002211</t>
  </si>
  <si>
    <t>ZAM-260821-05</t>
  </si>
  <si>
    <t>DEMO-002212</t>
  </si>
  <si>
    <t>ZAM-260821-06</t>
  </si>
  <si>
    <t>DEMO-002213</t>
  </si>
  <si>
    <t>ZAM-260822-01</t>
  </si>
  <si>
    <t>DEMO-002214</t>
  </si>
  <si>
    <t>ZAM-260822-02</t>
  </si>
  <si>
    <t>DEMO-002215</t>
  </si>
  <si>
    <t>ZAM-260823-01</t>
  </si>
  <si>
    <t>DEMO-002216</t>
  </si>
  <si>
    <t>ZAM-260824-01</t>
  </si>
  <si>
    <t>DEMO-002217</t>
  </si>
  <si>
    <t>ZAM-260824-02</t>
  </si>
  <si>
    <t>DEMO-002218</t>
  </si>
  <si>
    <t>ZAM-260824-03</t>
  </si>
  <si>
    <t>DEMO-002219</t>
  </si>
  <si>
    <t>ZAM-260824-04</t>
  </si>
  <si>
    <t>DEMO-002220</t>
  </si>
  <si>
    <t>ZAM-260825-01</t>
  </si>
  <si>
    <t>DEMO-002221</t>
  </si>
  <si>
    <t>ZAM-260825-02</t>
  </si>
  <si>
    <t>DEMO-002222</t>
  </si>
  <si>
    <t>ZAM-260825-03</t>
  </si>
  <si>
    <t>DEMO-002223</t>
  </si>
  <si>
    <t>ZAM-260825-04</t>
  </si>
  <si>
    <t>DEMO-002224</t>
  </si>
  <si>
    <t>ZAM-260825-05</t>
  </si>
  <si>
    <t>DEMO-002225</t>
  </si>
  <si>
    <t>ZAM-260826-01</t>
  </si>
  <si>
    <t>DEMO-002226</t>
  </si>
  <si>
    <t>ZAM-260826-02</t>
  </si>
  <si>
    <t>DEMO-002227</t>
  </si>
  <si>
    <t>ZAM-260826-03</t>
  </si>
  <si>
    <t>DEMO-002228</t>
  </si>
  <si>
    <t>ZAM-260827-01</t>
  </si>
  <si>
    <t>DEMO-002229</t>
  </si>
  <si>
    <t>ZAM-260827-02</t>
  </si>
  <si>
    <t>DEMO-002230</t>
  </si>
  <si>
    <t>ZAM-260827-03</t>
  </si>
  <si>
    <t>DEMO-002231</t>
  </si>
  <si>
    <t>ZAM-260827-04</t>
  </si>
  <si>
    <t>DEMO-002232</t>
  </si>
  <si>
    <t>ZAM-260828-01</t>
  </si>
  <si>
    <t>DEMO-002233</t>
  </si>
  <si>
    <t>ZAM-260828-02</t>
  </si>
  <si>
    <t>DEMO-002234</t>
  </si>
  <si>
    <t>ZAM-260828-03</t>
  </si>
  <si>
    <t>DEMO-002235</t>
  </si>
  <si>
    <t>ZAM-260828-04</t>
  </si>
  <si>
    <t>DEMO-002236</t>
  </si>
  <si>
    <t>ZAM-260829-01</t>
  </si>
  <si>
    <t>DEMO-002237</t>
  </si>
  <si>
    <t>ZAM-260829-02</t>
  </si>
  <si>
    <t>DEMO-002238</t>
  </si>
  <si>
    <t>ZAM-260830-01</t>
  </si>
  <si>
    <t>DEMO-002239</t>
  </si>
  <si>
    <t>ZAM-260830-02</t>
  </si>
  <si>
    <t>DEMO-002240</t>
  </si>
  <si>
    <t>ZAM-260831-01</t>
  </si>
  <si>
    <t>DEMO-002241</t>
  </si>
  <si>
    <t>ZAM-260831-02</t>
  </si>
  <si>
    <t>DEMO-002242</t>
  </si>
  <si>
    <t>ZAM-260831-03</t>
  </si>
  <si>
    <t>DEMO-002243</t>
  </si>
  <si>
    <t>ZAM-260831-04</t>
  </si>
  <si>
    <t>DEMO-002244</t>
  </si>
  <si>
    <t>ZAM-260831-05</t>
  </si>
  <si>
    <t>DEMO-002245</t>
  </si>
  <si>
    <t>ZAM-260901-01</t>
  </si>
  <si>
    <t>DEMO-002246</t>
  </si>
  <si>
    <t>ZAM-260901-02</t>
  </si>
  <si>
    <t>DEMO-002247</t>
  </si>
  <si>
    <t>ZAM-260901-03</t>
  </si>
  <si>
    <t>DEMO-002248</t>
  </si>
  <si>
    <t>ZAM-260901-04</t>
  </si>
  <si>
    <t>DEMO-002249</t>
  </si>
  <si>
    <t>ZAM-260901-05</t>
  </si>
  <si>
    <t>DEMO-002250</t>
  </si>
  <si>
    <t>ZAM-260901-06</t>
  </si>
  <si>
    <t>DEMO-002251</t>
  </si>
  <si>
    <t>ZAM-260901-07</t>
  </si>
  <si>
    <t>DEMO-002252</t>
  </si>
  <si>
    <t>ZAM-260902-01</t>
  </si>
  <si>
    <t>DEMO-002253</t>
  </si>
  <si>
    <t>ZAM-260902-02</t>
  </si>
  <si>
    <t>DEMO-002254</t>
  </si>
  <si>
    <t>ZAM-260902-03</t>
  </si>
  <si>
    <t>DEMO-002255</t>
  </si>
  <si>
    <t>ZAM-260902-04</t>
  </si>
  <si>
    <t>DEMO-002256</t>
  </si>
  <si>
    <t>ZAM-260902-05</t>
  </si>
  <si>
    <t>DEMO-002257</t>
  </si>
  <si>
    <t>ZAM-260902-06</t>
  </si>
  <si>
    <t>DEMO-002258</t>
  </si>
  <si>
    <t>ZAM-260903-01</t>
  </si>
  <si>
    <t>DEMO-002259</t>
  </si>
  <si>
    <t>ZAM-260903-02</t>
  </si>
  <si>
    <t>DEMO-002260</t>
  </si>
  <si>
    <t>ZAM-260903-03</t>
  </si>
  <si>
    <t>DEMO-002261</t>
  </si>
  <si>
    <t>ZAM-260904-01</t>
  </si>
  <si>
    <t>DEMO-002262</t>
  </si>
  <si>
    <t>ZAM-260904-02</t>
  </si>
  <si>
    <t>DEMO-002263</t>
  </si>
  <si>
    <t>ZAM-260904-03</t>
  </si>
  <si>
    <t>DEMO-002264</t>
  </si>
  <si>
    <t>ZAM-260905-01</t>
  </si>
  <si>
    <t>DEMO-002265</t>
  </si>
  <si>
    <t>ZAM-260905-02</t>
  </si>
  <si>
    <t>DEMO-002266</t>
  </si>
  <si>
    <t>ZAM-260906-01</t>
  </si>
  <si>
    <t>DEMO-002267</t>
  </si>
  <si>
    <t>ZAM-260906-02</t>
  </si>
  <si>
    <t>DEMO-002268</t>
  </si>
  <si>
    <t>ZAM-260907-01</t>
  </si>
  <si>
    <t>DEMO-002269</t>
  </si>
  <si>
    <t>ZAM-260907-02</t>
  </si>
  <si>
    <t>DEMO-002270</t>
  </si>
  <si>
    <t>ZAM-260907-03</t>
  </si>
  <si>
    <t>DEMO-002271</t>
  </si>
  <si>
    <t>ZAM-260907-04</t>
  </si>
  <si>
    <t>DEMO-002272</t>
  </si>
  <si>
    <t>ZAM-260907-05</t>
  </si>
  <si>
    <t>DEMO-002273</t>
  </si>
  <si>
    <t>ZAM-260907-06</t>
  </si>
  <si>
    <t>DEMO-002274</t>
  </si>
  <si>
    <t>ZAM-260908-01</t>
  </si>
  <si>
    <t>DEMO-002275</t>
  </si>
  <si>
    <t>ZAM-260908-02</t>
  </si>
  <si>
    <t>DEMO-002276</t>
  </si>
  <si>
    <t>ZAM-260908-03</t>
  </si>
  <si>
    <t>DEMO-002277</t>
  </si>
  <si>
    <t>ZAM-260908-04</t>
  </si>
  <si>
    <t>DEMO-002278</t>
  </si>
  <si>
    <t>ZAM-260908-05</t>
  </si>
  <si>
    <t>DEMO-002279</t>
  </si>
  <si>
    <t>ZAM-260909-01</t>
  </si>
  <si>
    <t>DEMO-002280</t>
  </si>
  <si>
    <t>ZAM-260909-02</t>
  </si>
  <si>
    <t>DEMO-002281</t>
  </si>
  <si>
    <t>ZAM-260909-03</t>
  </si>
  <si>
    <t>DEMO-002282</t>
  </si>
  <si>
    <t>ZAM-260909-04</t>
  </si>
  <si>
    <t>DEMO-002283</t>
  </si>
  <si>
    <t>ZAM-260909-05</t>
  </si>
  <si>
    <t>DEMO-002284</t>
  </si>
  <si>
    <t>ZAM-260909-06</t>
  </si>
  <si>
    <t>DEMO-002285</t>
  </si>
  <si>
    <t>ZAM-260909-07</t>
  </si>
  <si>
    <t>DEMO-002286</t>
  </si>
  <si>
    <t>ZAM-260910-01</t>
  </si>
  <si>
    <t>DEMO-002287</t>
  </si>
  <si>
    <t>ZAM-260910-02</t>
  </si>
  <si>
    <t>DEMO-002288</t>
  </si>
  <si>
    <t>ZAM-260910-03</t>
  </si>
  <si>
    <t>DEMO-002289</t>
  </si>
  <si>
    <t>ZAM-260910-04</t>
  </si>
  <si>
    <t>DEMO-002290</t>
  </si>
  <si>
    <t>ZAM-260910-05</t>
  </si>
  <si>
    <t>DEMO-002291</t>
  </si>
  <si>
    <t>ZAM-260910-06</t>
  </si>
  <si>
    <t>DEMO-002292</t>
  </si>
  <si>
    <t>ZAM-260910-07</t>
  </si>
  <si>
    <t>DEMO-002293</t>
  </si>
  <si>
    <t>ZAM-260911-01</t>
  </si>
  <si>
    <t>DEMO-002294</t>
  </si>
  <si>
    <t>ZAM-260911-02</t>
  </si>
  <si>
    <t>DEMO-002295</t>
  </si>
  <si>
    <t>ZAM-260911-03</t>
  </si>
  <si>
    <t>DEMO-002296</t>
  </si>
  <si>
    <t>ZAM-260912-01</t>
  </si>
  <si>
    <t>DEMO-002297</t>
  </si>
  <si>
    <t>ZAM-260912-02</t>
  </si>
  <si>
    <t>DEMO-002298</t>
  </si>
  <si>
    <t>ZAM-260913-01</t>
  </si>
  <si>
    <t>DEMO-002299</t>
  </si>
  <si>
    <t>ZAM-260913-02</t>
  </si>
  <si>
    <t>DEMO-002300</t>
  </si>
  <si>
    <t>ZAM-260914-01</t>
  </si>
  <si>
    <t>DEMO-002301</t>
  </si>
  <si>
    <t>ZAM-260914-02</t>
  </si>
  <si>
    <t>DEMO-002302</t>
  </si>
  <si>
    <t>ZAM-260914-03</t>
  </si>
  <si>
    <t>DEMO-002303</t>
  </si>
  <si>
    <t>ZAM-260914-04</t>
  </si>
  <si>
    <t>DEMO-002304</t>
  </si>
  <si>
    <t>ZAM-260914-05</t>
  </si>
  <si>
    <t>DEMO-002305</t>
  </si>
  <si>
    <t>ZAM-260914-06</t>
  </si>
  <si>
    <t>DEMO-002306</t>
  </si>
  <si>
    <t>ZAM-260915-01</t>
  </si>
  <si>
    <t>DEMO-002307</t>
  </si>
  <si>
    <t>ZAM-260915-02</t>
  </si>
  <si>
    <t>DEMO-002308</t>
  </si>
  <si>
    <t>ZAM-260915-03</t>
  </si>
  <si>
    <t>DEMO-002309</t>
  </si>
  <si>
    <t>ZAM-260915-04</t>
  </si>
  <si>
    <t>DEMO-002310</t>
  </si>
  <si>
    <t>ZAM-260915-05</t>
  </si>
  <si>
    <t>DEMO-002311</t>
  </si>
  <si>
    <t>ZAM-260915-06</t>
  </si>
  <si>
    <t>DEMO-002312</t>
  </si>
  <si>
    <t>ZAM-260915-07</t>
  </si>
  <si>
    <t>DEMO-002313</t>
  </si>
  <si>
    <t>ZAM-260916-01</t>
  </si>
  <si>
    <t>DEMO-002314</t>
  </si>
  <si>
    <t>ZAM-260916-02</t>
  </si>
  <si>
    <t>DEMO-002315</t>
  </si>
  <si>
    <t>ZAM-260916-03</t>
  </si>
  <si>
    <t>DEMO-002316</t>
  </si>
  <si>
    <t>ZAM-260916-04</t>
  </si>
  <si>
    <t>DEMO-002317</t>
  </si>
  <si>
    <t>ZAM-260916-05</t>
  </si>
  <si>
    <t>DEMO-002318</t>
  </si>
  <si>
    <t>ZAM-260916-06</t>
  </si>
  <si>
    <t>DEMO-002319</t>
  </si>
  <si>
    <t>ZAM-260917-01</t>
  </si>
  <si>
    <t>DEMO-002320</t>
  </si>
  <si>
    <t>ZAM-260917-02</t>
  </si>
  <si>
    <t>DEMO-002321</t>
  </si>
  <si>
    <t>ZAM-260917-03</t>
  </si>
  <si>
    <t>DEMO-002322</t>
  </si>
  <si>
    <t>ZAM-260917-04</t>
  </si>
  <si>
    <t>DEMO-002323</t>
  </si>
  <si>
    <t>ZAM-260917-05</t>
  </si>
  <si>
    <t>DEMO-002324</t>
  </si>
  <si>
    <t>ZAM-260917-06</t>
  </si>
  <si>
    <t>DEMO-002325</t>
  </si>
  <si>
    <t>ZAM-260917-07</t>
  </si>
  <si>
    <t>DEMO-002326</t>
  </si>
  <si>
    <t>ZAM-260918-01</t>
  </si>
  <si>
    <t>DEMO-002327</t>
  </si>
  <si>
    <t>ZAM-260918-02</t>
  </si>
  <si>
    <t>DEMO-002328</t>
  </si>
  <si>
    <t>ZAM-260918-03</t>
  </si>
  <si>
    <t>DEMO-002329</t>
  </si>
  <si>
    <t>ZAM-260918-04</t>
  </si>
  <si>
    <t>DEMO-002330</t>
  </si>
  <si>
    <t>ZAM-260919-01</t>
  </si>
  <si>
    <t>DEMO-002331</t>
  </si>
  <si>
    <t>ZAM-260919-02</t>
  </si>
  <si>
    <t>DEMO-002332</t>
  </si>
  <si>
    <t>ZAM-260920-01</t>
  </si>
  <si>
    <t>DEMO-002333</t>
  </si>
  <si>
    <t>ZAM-260921-01</t>
  </si>
  <si>
    <t>DEMO-002334</t>
  </si>
  <si>
    <t>ZAM-260921-02</t>
  </si>
  <si>
    <t>DEMO-002335</t>
  </si>
  <si>
    <t>ZAM-260921-03</t>
  </si>
  <si>
    <t>DEMO-002336</t>
  </si>
  <si>
    <t>ZAM-260921-04</t>
  </si>
  <si>
    <t>DEMO-002337</t>
  </si>
  <si>
    <t>ZAM-260921-05</t>
  </si>
  <si>
    <t>DEMO-002338</t>
  </si>
  <si>
    <t>ZAM-260921-06</t>
  </si>
  <si>
    <t>DEMO-002339</t>
  </si>
  <si>
    <t>ZAM-260922-01</t>
  </si>
  <si>
    <t>DEMO-002340</t>
  </si>
  <si>
    <t>ZAM-260922-02</t>
  </si>
  <si>
    <t>DEMO-002341</t>
  </si>
  <si>
    <t>ZAM-260922-03</t>
  </si>
  <si>
    <t>DEMO-002342</t>
  </si>
  <si>
    <t>ZAM-260922-04</t>
  </si>
  <si>
    <t>DEMO-002343</t>
  </si>
  <si>
    <t>ZAM-260922-05</t>
  </si>
  <si>
    <t>DEMO-002344</t>
  </si>
  <si>
    <t>ZAM-260922-06</t>
  </si>
  <si>
    <t>DEMO-002345</t>
  </si>
  <si>
    <t>ZAM-260922-07</t>
  </si>
  <si>
    <t>DEMO-002346</t>
  </si>
  <si>
    <t>ZAM-260922-08</t>
  </si>
  <si>
    <t>DEMO-002347</t>
  </si>
  <si>
    <t>ZAM-260923-01</t>
  </si>
  <si>
    <t>DEMO-002348</t>
  </si>
  <si>
    <t>ZAM-260923-02</t>
  </si>
  <si>
    <t>DEMO-002349</t>
  </si>
  <si>
    <t>ZAM-260923-03</t>
  </si>
  <si>
    <t>DEMO-002350</t>
  </si>
  <si>
    <t>ZAM-260923-04</t>
  </si>
  <si>
    <t>DEMO-002351</t>
  </si>
  <si>
    <t>ZAM-260923-05</t>
  </si>
  <si>
    <t>DEMO-002352</t>
  </si>
  <si>
    <t>ZAM-260923-06</t>
  </si>
  <si>
    <t>DEMO-002353</t>
  </si>
  <si>
    <t>ZAM-260924-01</t>
  </si>
  <si>
    <t>DEMO-002354</t>
  </si>
  <si>
    <t>ZAM-260924-02</t>
  </si>
  <si>
    <t>DEMO-002355</t>
  </si>
  <si>
    <t>ZAM-260924-03</t>
  </si>
  <si>
    <t>DEMO-002356</t>
  </si>
  <si>
    <t>ZAM-260924-04</t>
  </si>
  <si>
    <t>DEMO-002357</t>
  </si>
  <si>
    <t>ZAM-260924-05</t>
  </si>
  <si>
    <t>DEMO-002358</t>
  </si>
  <si>
    <t>ZAM-260924-06</t>
  </si>
  <si>
    <t>DEMO-002359</t>
  </si>
  <si>
    <t>ZAM-260924-07</t>
  </si>
  <si>
    <t>DEMO-002360</t>
  </si>
  <si>
    <t>ZAM-260925-01</t>
  </si>
  <si>
    <t>DEMO-002361</t>
  </si>
  <si>
    <t>ZAM-260925-02</t>
  </si>
  <si>
    <t>DEMO-002362</t>
  </si>
  <si>
    <t>ZAM-260925-03</t>
  </si>
  <si>
    <t>DEMO-002363</t>
  </si>
  <si>
    <t>ZAM-260925-04</t>
  </si>
  <si>
    <t>DEMO-002364</t>
  </si>
  <si>
    <t>ZAM-260925-05</t>
  </si>
  <si>
    <t>DEMO-002365</t>
  </si>
  <si>
    <t>ZAM-260925-06</t>
  </si>
  <si>
    <t>DEMO-002366</t>
  </si>
  <si>
    <t>ZAM-260925-07</t>
  </si>
  <si>
    <t>DEMO-002367</t>
  </si>
  <si>
    <t>ZAM-260926-01</t>
  </si>
  <si>
    <t>DEMO-002368</t>
  </si>
  <si>
    <t>ZAM-260927-01</t>
  </si>
  <si>
    <t>DEMO-002369</t>
  </si>
  <si>
    <t>ZAM-260927-02</t>
  </si>
  <si>
    <t>DEMO-002370</t>
  </si>
  <si>
    <t>ZAM-260928-01</t>
  </si>
  <si>
    <t>DEMO-002371</t>
  </si>
  <si>
    <t>ZAM-260928-02</t>
  </si>
  <si>
    <t>DEMO-002372</t>
  </si>
  <si>
    <t>ZAM-260928-03</t>
  </si>
  <si>
    <t>DEMO-002373</t>
  </si>
  <si>
    <t>ZAM-260928-04</t>
  </si>
  <si>
    <t>DEMO-002374</t>
  </si>
  <si>
    <t>ZAM-260928-05</t>
  </si>
  <si>
    <t>DEMO-002375</t>
  </si>
  <si>
    <t>ZAM-260928-06</t>
  </si>
  <si>
    <t>DEMO-002376</t>
  </si>
  <si>
    <t>ZAM-260929-01</t>
  </si>
  <si>
    <t>DEMO-002377</t>
  </si>
  <si>
    <t>ZAM-260929-02</t>
  </si>
  <si>
    <t>DEMO-002378</t>
  </si>
  <si>
    <t>ZAM-260929-03</t>
  </si>
  <si>
    <t>DEMO-002379</t>
  </si>
  <si>
    <t>ZAM-260929-04</t>
  </si>
  <si>
    <t>DEMO-002380</t>
  </si>
  <si>
    <t>ZAM-260929-05</t>
  </si>
  <si>
    <t>DEMO-002381</t>
  </si>
  <si>
    <t>ZAM-260929-06</t>
  </si>
  <si>
    <t>DEMO-002382</t>
  </si>
  <si>
    <t>ZAM-260929-07</t>
  </si>
  <si>
    <t>DEMO-002383</t>
  </si>
  <si>
    <t>ZAM-260929-08</t>
  </si>
  <si>
    <t>DEMO-002384</t>
  </si>
  <si>
    <t>ZAM-260930-01</t>
  </si>
  <si>
    <t>DEMO-002385</t>
  </si>
  <si>
    <t>ZAM-260930-02</t>
  </si>
  <si>
    <t>DEMO-002386</t>
  </si>
  <si>
    <t>ZAM-260930-03</t>
  </si>
  <si>
    <t>DEMO-002387</t>
  </si>
  <si>
    <t>ZAM-260930-04</t>
  </si>
  <si>
    <t>DEMO-002388</t>
  </si>
  <si>
    <t>ZAM-260930-05</t>
  </si>
  <si>
    <t>DEMO-002389</t>
  </si>
  <si>
    <t>ZAM-260930-06</t>
  </si>
  <si>
    <t>DEMO-002390</t>
  </si>
  <si>
    <t>ZAM-260930-07</t>
  </si>
  <si>
    <t>DEMO-002391</t>
  </si>
  <si>
    <t>ZAM-261001-01</t>
  </si>
  <si>
    <t>DEMO-002392</t>
  </si>
  <si>
    <t>ZAM-261001-02</t>
  </si>
  <si>
    <t>DEMO-002393</t>
  </si>
  <si>
    <t>ZAM-261001-03</t>
  </si>
  <si>
    <t>DEMO-002394</t>
  </si>
  <si>
    <t>ZAM-261001-04</t>
  </si>
  <si>
    <t>DEMO-002395</t>
  </si>
  <si>
    <t>ZAM-261001-05</t>
  </si>
  <si>
    <t>DEMO-002396</t>
  </si>
  <si>
    <t>ZAM-261001-06</t>
  </si>
  <si>
    <t>DEMO-002397</t>
  </si>
  <si>
    <t>ZAM-261001-07</t>
  </si>
  <si>
    <t>DEMO-002398</t>
  </si>
  <si>
    <t>ZAM-261002-01</t>
  </si>
  <si>
    <t>DEMO-002399</t>
  </si>
  <si>
    <t>ZAM-261002-02</t>
  </si>
  <si>
    <t>DEMO-002400</t>
  </si>
  <si>
    <t>ZAM-261002-03</t>
  </si>
  <si>
    <t>DEMO-002401</t>
  </si>
  <si>
    <t>ZAM-261002-04</t>
  </si>
  <si>
    <t>DEMO-002402</t>
  </si>
  <si>
    <t>ZAM-261002-05</t>
  </si>
  <si>
    <t>DEMO-002403</t>
  </si>
  <si>
    <t>ZAM-261002-06</t>
  </si>
  <si>
    <t>DEMO-002404</t>
  </si>
  <si>
    <t>ZAM-261003-01</t>
  </si>
  <si>
    <t>DEMO-002405</t>
  </si>
  <si>
    <t>ZAM-261004-01</t>
  </si>
  <si>
    <t>DEMO-002406</t>
  </si>
  <si>
    <t>ZAM-261005-01</t>
  </si>
  <si>
    <t>DEMO-002407</t>
  </si>
  <si>
    <t>ZAM-261005-02</t>
  </si>
  <si>
    <t>DEMO-002408</t>
  </si>
  <si>
    <t>ZAM-261005-03</t>
  </si>
  <si>
    <t>DEMO-002409</t>
  </si>
  <si>
    <t>ZAM-261005-04</t>
  </si>
  <si>
    <t>DEMO-002410</t>
  </si>
  <si>
    <t>ZAM-261005-05</t>
  </si>
  <si>
    <t>DEMO-002411</t>
  </si>
  <si>
    <t>ZAM-261006-01</t>
  </si>
  <si>
    <t>DEMO-002412</t>
  </si>
  <si>
    <t>ZAM-261006-02</t>
  </si>
  <si>
    <t>DEMO-002413</t>
  </si>
  <si>
    <t>ZAM-261006-03</t>
  </si>
  <si>
    <t>DEMO-002414</t>
  </si>
  <si>
    <t>ZAM-261007-01</t>
  </si>
  <si>
    <t>DEMO-002415</t>
  </si>
  <si>
    <t>ZAM-261007-02</t>
  </si>
  <si>
    <t>DEMO-002416</t>
  </si>
  <si>
    <t>ZAM-261007-03</t>
  </si>
  <si>
    <t>DEMO-002417</t>
  </si>
  <si>
    <t>ZAM-261007-04</t>
  </si>
  <si>
    <t>DEMO-002418</t>
  </si>
  <si>
    <t>ZAM-261007-05</t>
  </si>
  <si>
    <t>DEMO-002419</t>
  </si>
  <si>
    <t>ZAM-261007-06</t>
  </si>
  <si>
    <t>DEMO-002420</t>
  </si>
  <si>
    <t>ZAM-261007-07</t>
  </si>
  <si>
    <t>DEMO-002421</t>
  </si>
  <si>
    <t>ZAM-261008-01</t>
  </si>
  <si>
    <t>DEMO-002422</t>
  </si>
  <si>
    <t>ZAM-261008-02</t>
  </si>
  <si>
    <t>DEMO-002423</t>
  </si>
  <si>
    <t>ZAM-261008-03</t>
  </si>
  <si>
    <t>DEMO-002424</t>
  </si>
  <si>
    <t>ZAM-261008-04</t>
  </si>
  <si>
    <t>DEMO-002425</t>
  </si>
  <si>
    <t>ZAM-261008-05</t>
  </si>
  <si>
    <t>DEMO-002426</t>
  </si>
  <si>
    <t>ZAM-261008-06</t>
  </si>
  <si>
    <t>DEMO-002427</t>
  </si>
  <si>
    <t>ZAM-261008-07</t>
  </si>
  <si>
    <t>DEMO-002428</t>
  </si>
  <si>
    <t>ZAM-261009-01</t>
  </si>
  <si>
    <t>DEMO-002429</t>
  </si>
  <si>
    <t>ZAM-261009-02</t>
  </si>
  <si>
    <t>DEMO-002430</t>
  </si>
  <si>
    <t>ZAM-261009-03</t>
  </si>
  <si>
    <t>DEMO-002431</t>
  </si>
  <si>
    <t>ZAM-261009-04</t>
  </si>
  <si>
    <t>DEMO-002432</t>
  </si>
  <si>
    <t>ZAM-261009-05</t>
  </si>
  <si>
    <t>DEMO-002433</t>
  </si>
  <si>
    <t>ZAM-261009-06</t>
  </si>
  <si>
    <t>DEMO-002434</t>
  </si>
  <si>
    <t>ZAM-261009-07</t>
  </si>
  <si>
    <t>DEMO-002435</t>
  </si>
  <si>
    <t>ZAM-261009-08</t>
  </si>
  <si>
    <t>Niebieskie pola: dane wejściowe A:L | zielone M:S: formuły | po edycji kliknij Odśwież dashboard</t>
  </si>
  <si>
    <t>Cel przychodowy</t>
  </si>
  <si>
    <t>Cel marżowy</t>
  </si>
  <si>
    <t>Cele są miesięczne, w PLN; cel marżowy to kwota. Unikalny klucz: rok + miesiąc + region.</t>
  </si>
  <si>
    <t>SALES PERFORMANCE DASHBOARD PRO</t>
  </si>
  <si>
    <t>Okres</t>
  </si>
  <si>
    <t>Wszystkie</t>
  </si>
  <si>
    <t>PRZYCHÓD NETTO</t>
  </si>
  <si>
    <t>Suma pozycji sprzedaży po rabatach</t>
  </si>
  <si>
    <t>MARŻA KWOTOWA</t>
  </si>
  <si>
    <t>Przychód minus koszt towaru</t>
  </si>
  <si>
    <t>MARŻA PROCENTOWA</t>
  </si>
  <si>
    <t>Marża ważona przychodem</t>
  </si>
  <si>
    <t>TRANSAKCJE</t>
  </si>
  <si>
    <t>ŚREDNIA TRANSAKCJA</t>
  </si>
  <si>
    <t>Przychód / liczba pozycji</t>
  </si>
  <si>
    <t>REALIZACJA CELU</t>
  </si>
  <si>
    <t>Cel przychodowy proporcjonalny do dni</t>
  </si>
  <si>
    <t>ZMIANA PRZYCHODU</t>
  </si>
  <si>
    <t>Porównywalny poprzedni okres</t>
  </si>
  <si>
    <t>NAJLEPSZY HANDLOWIEC</t>
  </si>
  <si>
    <t>Ranking według przychodu</t>
  </si>
  <si>
    <t>Projekt demonstracyjny przygotowany dla ExcelNaLuzie.pl. Wszystkie dane firmowe, klientów i transakcji są fikcyjne.</t>
  </si>
  <si>
    <t>SALES PERFORMANCE DASHBOARD PRO | Instrukcja</t>
  </si>
  <si>
    <t>1. Filtry: wybierz rok, miesiąc i region. Formuły oraz rankingi reagują automatycznie. Excel musi używać obliczeń automatycznych; w trybie ręcznym naciśnij F9 lub Odśwież.</t>
  </si>
  <si>
    <t>2. Odśwież sprawdza dane, uzupełnia formuły, listy i wykresy. Używaj po dopisaniu transakcji, zmianie słowników i celów. Po zmianie nazwy pliku uruchom OdswiezDashboard z Alt+F8, aby odnowić przypisania przycisków.</t>
  </si>
  <si>
    <t>3. Stan danych = ostatnia data transakcji w całej bazie. Przyjmujemy, że dane są kompletne do tej daty. Import niekompletnych okresów zniekształci porównania.</t>
  </si>
  <si>
    <t>4. Wybrany miesiąc porównujemy z poprzednim. Pełny miesiąc z pełnym; niepełny z analogiczną liczbą dni (maksymalnie długość poprzedniego miesiąca). Styczeń porównujemy z grudniem poprzedniego roku.</t>
  </si>
  <si>
    <t>5. Cały rok porównujemy z analogicznym zakresem dat poprzedniego roku. Dla 2026 DEMO to 01.01-09.10 w obu latach. 29 lutego jest ograniczane do końca lutego. Brak przychodu w bazie = brak bazy, nie sztuczne 0%.</t>
  </si>
  <si>
    <t>6. CELE: jeden wiersz na rok, miesiąc i region. Cel marżowy jest KWOTĄ w PLN. W niepełnym miesiącu cel dzielony jest proporcjonalnie do dni kalendarzowych. Brak któregokolwiek celu daje komunikat brak celu.</t>
  </si>
  <si>
    <t>7. SPRZEDAŻ: kolumny A:L to wejście, M:S to formuły. Rabat 10% to 0,1; ilości całkowite dodatnie. Zwroty nie są obsługiwane. ID transakcji musi być unikalne; jedna transakcja oznacza jedną pozycję zamówienia.</t>
  </si>
  <si>
    <t>8. Dopisuj wiersze tabeli klawiszem Tab w ostatniej komórce. Tabela rozszerza formuły; Odśwież dodatkowo je odtwarza. Wklejanie może omijać walidację Excela, dlatego zawsze odśwież po ręcznych zmianach.</t>
  </si>
  <si>
    <t>9. SŁOWNIKI: dopisuj bez pustych wierszy pod właściwą listą. Produkt w E musi mieć kategorię w F istniejącą w G. Regiony w A, handlowcy C, klienci I. Następnie Odśwież. Nie usuwaj wartości użytych w danych historycznych.</t>
  </si>
  <si>
    <t>10. Import CSV UTF-8: separator średnik lub przecinek, cudzysłowy podwajane, obsługa separatorów i nowych linii wewnątrz cytowanego tekstu. Daty wyłącznie RRRR-MM-DD. Liczby bez spacji i separatorów tysięcy, kropka lub przecinek dziesiętny. Przy separatorze przecinkowym liczby z przecinkiem cytuj.</t>
  </si>
  <si>
    <t>11. Wymagane nagłówki CSV: pierwsze 12 kolumn SPRZEDAŻ, od ID transakcji do Koszt jednostkowy netto. Kolejność dowolna; nazwy zgodne z tabelą. Dodatkowe kolumny są ignorowane. Kolumny obliczeniowe zawsze tworzy Excel.</t>
  </si>
  <si>
    <t>12. Każdy rekord musi używać wartości ze słowników. ID i tekst nie mogą zaczynać się od =, +, - lub @. Rabat może mieć postać 0.1 lub 10%. Kwoty przychodu i kosztu zaokrąglamy do groszy osobno dla każdej pozycji.</t>
  </si>
  <si>
    <t>13. Duplikaty ID (także różniące się wielkością liter) są pomijane; pierwsze poprawne wystąpienie wygrywa. Błąd dowolnego rekordu anuluje całą partię. Szczegóły walidacji w IMPORT_LOG. Istniejące transakcje nigdy nie są nadpisywane.</t>
  </si>
  <si>
    <t>14. PDF: raport A3 poziomo na jednej stronie, do czytania na ekranie lub wydruku A3. Wybierasz miejsce zapisu. Eksport nie zmienia filtrów. Wymagany działający mechanizm wydruku/PDF Excela.</t>
  </si>
  <si>
    <t>15. DIAGNOSTYKA: TestAplikacji sprawdza strukturę, formuły, niezależne sumy, różne filtry, przyciski i parser CSV. TestSpojnosciDanych sprawdza wszystkie transakcje. Raport PASS/FAIL pozostaje w arkuszu; testy przywracają filtry i stan Excela.</t>
  </si>
  <si>
    <t>16. mod_setup można usunąć po udanej instalacji. Pozostaw wszystkie pozostałe moduły, w tym mod_tests. Zapisz XLSM i ponów TestAplikacji. Makra nie wymagają dostępu do projektu VBA ani kodu w ThisWorkbook.</t>
  </si>
  <si>
    <t>17. Ponowna instalacja wymaga potwierdzenia utraty danych aplikacji i zapisania osobnej kopii. W razie przerwania instalacji można ją powtórzyć lub otworzyć kopię. Nie zmieniaj nazw arkuszy, tabel, nagłówków i zakresów systemowych.</t>
  </si>
  <si>
    <t>18. Ograniczenia: dane demonstracyjne 2025-2026, PLN, ilości całkowite, bez zwrotów i wielowalutowości. Sprzedaż i marża netto przed kosztami operacyjnymi. Limity liczby wierszy i pamięci wynikają z Excela. Import używa systemowych ADODB.Stream i Scripting.Dictionary przez late binding.</t>
  </si>
  <si>
    <t>19. Wykresy miesięczne pokazują wyłącznie wybrany zakres (pozostałe miesiące = 0). Ranking handlowców: przychód malejąco, remis rozstrzyga kolejność słownika. Top 10 produktów analogicznie.</t>
  </si>
  <si>
    <t>20. Bezpieczeństwo: włączaj makra wyłącznie dla zaufanej kopii. Instalator i moduły nie korzystają z sieci ani z projektu VBA. Przed większym importem zapisz własną kopię pliku.</t>
  </si>
  <si>
    <t>MODEL ANALITYCZNY | automatyczne formuły</t>
  </si>
  <si>
    <t>Miesiąc (0 = cały rok)</t>
  </si>
  <si>
    <t>Początek</t>
  </si>
  <si>
    <t>Koniec</t>
  </si>
  <si>
    <t>Poprzedni początek</t>
  </si>
  <si>
    <t>Poprzedni koniec</t>
  </si>
  <si>
    <t>Przychód</t>
  </si>
  <si>
    <t>Marża</t>
  </si>
  <si>
    <t>Transakcje</t>
  </si>
  <si>
    <t>Średnia transakcja</t>
  </si>
  <si>
    <t>Cel przychodowy do daty</t>
  </si>
  <si>
    <t>Realizacja celu</t>
  </si>
  <si>
    <t>Przychód poprzedni okres</t>
  </si>
  <si>
    <t>Zmiana %</t>
  </si>
  <si>
    <t>Najlepszy handlowiec</t>
  </si>
  <si>
    <t>Cel marżowy do daty</t>
  </si>
  <si>
    <t>Realizacja celu marży</t>
  </si>
  <si>
    <t>Kompletność celów</t>
  </si>
  <si>
    <t>Poprzednie transakcje</t>
  </si>
  <si>
    <t>Brakujące cele</t>
  </si>
  <si>
    <t>Ranga</t>
  </si>
  <si>
    <t>Ranking</t>
  </si>
  <si>
    <t>A4 poziomo, jedna strona; format zależny od sterownika drukarki</t>
  </si>
  <si>
    <t>Wszystkie dane firmowe, klientów i transakcji są fikcyjne.</t>
  </si>
  <si>
    <t>Liczba pozycji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</si>
</sst>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yyyy\-mm\-dd\ hh:mm"/>
    <numFmt numFmtId="165" formatCode="yyyy\-mm\-dd"/>
    <numFmt numFmtId="166" formatCode="#,##0.00\ &quot;PLN&quot;;[Red]\-#,##0.00\ &quot;PLN&quot;;0.00\ &quot;PLN&quot;"/>
    <numFmt numFmtId="167" formatCode="0.0%;[Red]\-0.0%;0.0%"/>
    <numFmt numFmtId="168" formatCode="#,##0\ &quot;PLN&quot;;[Red]\-#,##0\ &quot;PLN&quot;;0\ &quot;PLN&quot;"/>
    <numFmt numFmtId="169" formatCode="\+0.0%;[Red]\-0.0%;0.0%"/>
    <numFmt numFmtId="170" formatCode="mmm"/>
  </numFmts>
  <fonts count="16" x14ac:knownFonts="1">
    <font>
      <sz val="14"/>
      <color theme="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1D5086"/>
      <name val="Calibri"/>
      <family val="2"/>
      <charset val="238"/>
      <scheme val="minor"/>
    </font>
    <font>
      <sz val="11"/>
      <color rgb="FF107C41"/>
      <name val="Calibri"/>
      <family val="2"/>
      <charset val="238"/>
      <scheme val="minor"/>
    </font>
    <font>
      <sz val="22"/>
      <color rgb="FF123D2A"/>
      <name val="Calibri"/>
      <family val="2"/>
      <charset val="238"/>
      <scheme val="minor"/>
    </font>
    <font>
      <b/>
      <sz val="22"/>
      <color rgb="FF123D2A"/>
      <name val="Calibri"/>
      <family val="2"/>
      <charset val="238"/>
      <scheme val="minor"/>
    </font>
    <font>
      <sz val="10"/>
      <color rgb="FF617368"/>
      <name val="Calibri"/>
      <family val="2"/>
      <charset val="238"/>
      <scheme val="minor"/>
    </font>
    <font>
      <sz val="10"/>
      <color rgb="FF123D2A"/>
      <name val="Calibri"/>
      <family val="2"/>
      <charset val="238"/>
      <scheme val="minor"/>
    </font>
    <font>
      <sz val="9"/>
      <color rgb="FF123D2A"/>
      <name val="Calibri"/>
      <family val="2"/>
      <charset val="238"/>
      <scheme val="minor"/>
    </font>
    <font>
      <sz val="9"/>
      <color rgb="FF617368"/>
      <name val="Calibri"/>
      <family val="2"/>
      <charset val="238"/>
      <scheme val="minor"/>
    </font>
    <font>
      <b/>
      <sz val="23"/>
      <color rgb="FF123D2A"/>
      <name val="Calibri"/>
      <family val="2"/>
      <charset val="238"/>
      <scheme val="minor"/>
    </font>
    <font>
      <sz val="8"/>
      <color rgb="FF617368"/>
      <name val="Calibri"/>
      <family val="2"/>
      <charset val="238"/>
      <scheme val="minor"/>
    </font>
    <font>
      <sz val="14"/>
      <color rgb="FF123D2A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5F2EA"/>
        <bgColor indexed="64"/>
      </patternFill>
    </fill>
    <fill>
      <patternFill patternType="solid">
        <fgColor rgb="FFF5F8F6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/>
    <xf numFmtId="0" fontId="3" fillId="0" borderId="0" xfId="0" applyFont="1"/>
    <xf numFmtId="164" fontId="2" fillId="0" borderId="0" xfId="0" applyNumberFormat="1" applyFont="1"/>
    <xf numFmtId="0" fontId="2" fillId="2" borderId="0" xfId="0" applyFont="1" applyFill="1"/>
    <xf numFmtId="0" fontId="4" fillId="0" borderId="0" xfId="0" applyFont="1"/>
    <xf numFmtId="0" fontId="2" fillId="0" borderId="0" xfId="0" applyFont="1" applyAlignment="1">
      <alignment wrapText="1"/>
    </xf>
    <xf numFmtId="49" fontId="5" fillId="0" borderId="0" xfId="0" applyNumberFormat="1" applyFont="1"/>
    <xf numFmtId="0" fontId="5" fillId="0" borderId="0" xfId="0" applyFont="1"/>
    <xf numFmtId="0" fontId="6" fillId="0" borderId="0" xfId="0" applyFont="1"/>
    <xf numFmtId="165" fontId="5" fillId="0" borderId="0" xfId="0" applyNumberFormat="1" applyFont="1"/>
    <xf numFmtId="1" fontId="5" fillId="0" borderId="0" xfId="0" applyNumberFormat="1" applyFont="1"/>
    <xf numFmtId="166" fontId="5" fillId="0" borderId="0" xfId="0" applyNumberFormat="1" applyFont="1"/>
    <xf numFmtId="167" fontId="5" fillId="0" borderId="0" xfId="0" applyNumberFormat="1" applyFont="1"/>
    <xf numFmtId="166" fontId="6" fillId="0" borderId="0" xfId="0" applyNumberFormat="1" applyFont="1"/>
    <xf numFmtId="167" fontId="6" fillId="0" borderId="0" xfId="0" applyNumberFormat="1" applyFont="1"/>
    <xf numFmtId="1" fontId="6" fillId="0" borderId="0" xfId="0" applyNumberFormat="1" applyFont="1"/>
    <xf numFmtId="166" fontId="2" fillId="0" borderId="0" xfId="0" applyNumberFormat="1" applyFont="1"/>
    <xf numFmtId="0" fontId="0" fillId="3" borderId="0" xfId="0" applyFill="1"/>
    <xf numFmtId="0" fontId="4" fillId="0" borderId="0" xfId="0" applyFont="1" applyAlignment="1">
      <alignment wrapText="1"/>
    </xf>
    <xf numFmtId="165" fontId="0" fillId="0" borderId="0" xfId="0" applyNumberFormat="1"/>
    <xf numFmtId="170" fontId="0" fillId="0" borderId="0" xfId="0" applyNumberFormat="1"/>
    <xf numFmtId="168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1" fillId="0" borderId="0" xfId="0" applyFont="1"/>
    <xf numFmtId="0" fontId="8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 applyAlignment="1">
      <alignment vertical="center"/>
    </xf>
    <xf numFmtId="0" fontId="12" fillId="3" borderId="0" xfId="0" applyFont="1" applyFill="1" applyAlignment="1">
      <alignment vertical="center"/>
    </xf>
    <xf numFmtId="0" fontId="15" fillId="2" borderId="0" xfId="0" applyFont="1" applyFill="1" applyAlignment="1" applyProtection="1">
      <alignment horizontal="center" vertical="center"/>
      <protection locked="0"/>
    </xf>
    <xf numFmtId="0" fontId="9" fillId="4" borderId="0" xfId="0" applyFont="1" applyFill="1"/>
    <xf numFmtId="168" fontId="13" fillId="4" borderId="0" xfId="0" applyNumberFormat="1" applyFont="1" applyFill="1" applyAlignment="1">
      <alignment vertical="center" shrinkToFit="1"/>
    </xf>
    <xf numFmtId="0" fontId="14" fillId="4" borderId="0" xfId="0" applyFont="1" applyFill="1"/>
    <xf numFmtId="167" fontId="13" fillId="4" borderId="0" xfId="0" applyNumberFormat="1" applyFont="1" applyFill="1" applyAlignment="1">
      <alignment vertical="center" shrinkToFit="1"/>
    </xf>
    <xf numFmtId="3" fontId="13" fillId="4" borderId="0" xfId="0" applyNumberFormat="1" applyFont="1" applyFill="1" applyAlignment="1">
      <alignment vertical="center" shrinkToFit="1"/>
    </xf>
    <xf numFmtId="0" fontId="14" fillId="3" borderId="0" xfId="0" applyFont="1" applyFill="1" applyAlignment="1">
      <alignment vertical="center"/>
    </xf>
    <xf numFmtId="169" fontId="13" fillId="4" borderId="0" xfId="0" applyNumberFormat="1" applyFont="1" applyFill="1" applyAlignment="1">
      <alignment vertical="center" shrinkToFit="1"/>
    </xf>
    <xf numFmtId="0" fontId="13" fillId="4" borderId="0" xfId="0" applyFont="1" applyFill="1" applyAlignment="1">
      <alignment vertical="center" shrinkToFit="1"/>
    </xf>
  </cellXfs>
  <cellStyles count="1">
    <cellStyle name="Normalny" xfId="0" builtinId="0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7" formatCode="0.0%;[Red]\-0.0%;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7" formatCode="0.0%;[Red]\-0.0%;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165" formatCode="yyyy\-mm\-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6" formatCode="#,##0.00\ &quot;PLN&quot;;[Red]\-#,##0.00\ &quot;PLN&quot;;0.00\ &quot;PLN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07C4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D5086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general" vertical="bottom" textRotation="0" wrapText="1" indent="0" justifyLastLine="0" shrinkToFit="0" readingOrder="0"/>
    </dxf>
    <dxf>
      <font>
        <color rgb="FFB9342F"/>
      </font>
    </dxf>
    <dxf>
      <font>
        <color rgb="FFB9342F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Przychód miesięczny | PLN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ANALIZA!$B$30:$B$41</c:f>
              <c:numCache>
                <c:formatCode>#\ ##0.00\ "PLN";[Red]\-#\ ##0.00\ "PLN";0.00\ "PLN"</c:formatCode>
                <c:ptCount val="12"/>
                <c:pt idx="0">
                  <c:v>178569.17000000004</c:v>
                </c:pt>
                <c:pt idx="1">
                  <c:v>179228.80999999997</c:v>
                </c:pt>
                <c:pt idx="2">
                  <c:v>231721.5100000001</c:v>
                </c:pt>
                <c:pt idx="3">
                  <c:v>237981.97999999992</c:v>
                </c:pt>
                <c:pt idx="4">
                  <c:v>333148.30000000005</c:v>
                </c:pt>
                <c:pt idx="5">
                  <c:v>368065.54000000004</c:v>
                </c:pt>
                <c:pt idx="6">
                  <c:v>122687.01999999996</c:v>
                </c:pt>
                <c:pt idx="7">
                  <c:v>265797.71999999997</c:v>
                </c:pt>
                <c:pt idx="8">
                  <c:v>470502.71000000008</c:v>
                </c:pt>
                <c:pt idx="9">
                  <c:v>142663.96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D5-4EE5-9C0C-B93A7D84E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74432"/>
        <c:axId val="1055219376"/>
      </c:barChart>
      <c:catAx>
        <c:axId val="1142574432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055219376"/>
        <c:crosses val="autoZero"/>
        <c:auto val="0"/>
        <c:lblAlgn val="ctr"/>
        <c:lblOffset val="100"/>
        <c:noMultiLvlLbl val="0"/>
      </c:catAx>
      <c:valAx>
        <c:axId val="1055219376"/>
        <c:scaling>
          <c:orientation val="minMax"/>
        </c:scaling>
        <c:delete val="0"/>
        <c:axPos val="l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74432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Przychód i cel do daty | PLN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ANALIZA!$B$30:$B$41</c:f>
              <c:numCache>
                <c:formatCode>#\ ##0.00\ "PLN";[Red]\-#\ ##0.00\ "PLN";0.00\ "PLN"</c:formatCode>
                <c:ptCount val="12"/>
                <c:pt idx="0">
                  <c:v>178569.17000000004</c:v>
                </c:pt>
                <c:pt idx="1">
                  <c:v>179228.80999999997</c:v>
                </c:pt>
                <c:pt idx="2">
                  <c:v>231721.5100000001</c:v>
                </c:pt>
                <c:pt idx="3">
                  <c:v>237981.97999999992</c:v>
                </c:pt>
                <c:pt idx="4">
                  <c:v>333148.30000000005</c:v>
                </c:pt>
                <c:pt idx="5">
                  <c:v>368065.54000000004</c:v>
                </c:pt>
                <c:pt idx="6">
                  <c:v>122687.01999999996</c:v>
                </c:pt>
                <c:pt idx="7">
                  <c:v>265797.71999999997</c:v>
                </c:pt>
                <c:pt idx="8">
                  <c:v>470502.71000000008</c:v>
                </c:pt>
                <c:pt idx="9">
                  <c:v>142663.96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899-4F7D-9360-E17BBE305FF3}"/>
            </c:ext>
          </c:extLst>
        </c:ser>
        <c:ser>
          <c:idx val="1"/>
          <c:order val="1"/>
          <c:tx>
            <c:v>Cel do daty</c:v>
          </c:tx>
          <c:spPr>
            <a:solidFill>
              <a:srgbClr val="AAC2B3"/>
            </a:solidFill>
            <a:ln>
              <a:solidFill>
                <a:srgbClr val="AAC2B3"/>
              </a:solidFill>
            </a:ln>
          </c:spPr>
          <c:invertIfNegative val="0"/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ANALIZA!$D$30:$D$41</c:f>
              <c:numCache>
                <c:formatCode>#\ ##0.00\ "PLN";[Red]\-#\ ##0.00\ "PLN";0.00\ "PLN"</c:formatCode>
                <c:ptCount val="12"/>
                <c:pt idx="0">
                  <c:v>181300</c:v>
                </c:pt>
                <c:pt idx="1">
                  <c:v>180900</c:v>
                </c:pt>
                <c:pt idx="2">
                  <c:v>236800</c:v>
                </c:pt>
                <c:pt idx="3">
                  <c:v>240000</c:v>
                </c:pt>
                <c:pt idx="4">
                  <c:v>337100</c:v>
                </c:pt>
                <c:pt idx="5">
                  <c:v>373000</c:v>
                </c:pt>
                <c:pt idx="6">
                  <c:v>125300</c:v>
                </c:pt>
                <c:pt idx="7">
                  <c:v>269500</c:v>
                </c:pt>
                <c:pt idx="8">
                  <c:v>476200</c:v>
                </c:pt>
                <c:pt idx="9">
                  <c:v>145422.5806451613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899-4F7D-9360-E17BBE305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73968"/>
        <c:axId val="1055218896"/>
      </c:barChart>
      <c:catAx>
        <c:axId val="1142573968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055218896"/>
        <c:crosses val="autoZero"/>
        <c:auto val="0"/>
        <c:lblAlgn val="ctr"/>
        <c:lblOffset val="100"/>
        <c:noMultiLvlLbl val="0"/>
      </c:catAx>
      <c:valAx>
        <c:axId val="1055218896"/>
        <c:scaling>
          <c:orientation val="minMax"/>
        </c:scaling>
        <c:delete val="0"/>
        <c:axPos val="l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73968"/>
        <c:crosses val="autoZero"/>
        <c:crossBetween val="between"/>
      </c:valAx>
      <c:spPr>
        <a:solidFill>
          <a:srgbClr val="FFFFFF"/>
        </a:solidFill>
      </c:spPr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Marża miesięczna |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Marża %</c:v>
          </c:tx>
          <c:spPr>
            <a:ln>
              <a:solidFill>
                <a:srgbClr val="107C41"/>
              </a:solidFill>
            </a:ln>
          </c:spPr>
          <c:marker>
            <c:spPr>
              <a:solidFill>
                <a:srgbClr val="107C41"/>
              </a:solidFill>
              <a:ln>
                <a:solidFill>
                  <a:srgbClr val="107C41"/>
                </a:solidFill>
              </a:ln>
            </c:spPr>
          </c:marker>
          <c:cat>
            <c:numRef>
              <c:f>ANALIZA!$A$30:$A$41</c:f>
              <c:numCache>
                <c:formatCode>mmm</c:formatCode>
                <c:ptCount val="12"/>
                <c:pt idx="0">
                  <c:v>46023</c:v>
                </c:pt>
                <c:pt idx="1">
                  <c:v>46054</c:v>
                </c:pt>
                <c:pt idx="2">
                  <c:v>46082</c:v>
                </c:pt>
                <c:pt idx="3">
                  <c:v>46113</c:v>
                </c:pt>
                <c:pt idx="4">
                  <c:v>46143</c:v>
                </c:pt>
                <c:pt idx="5">
                  <c:v>46174</c:v>
                </c:pt>
                <c:pt idx="6">
                  <c:v>46204</c:v>
                </c:pt>
                <c:pt idx="7">
                  <c:v>46235</c:v>
                </c:pt>
                <c:pt idx="8">
                  <c:v>46266</c:v>
                </c:pt>
                <c:pt idx="9">
                  <c:v>46296</c:v>
                </c:pt>
                <c:pt idx="10">
                  <c:v>46327</c:v>
                </c:pt>
                <c:pt idx="11">
                  <c:v>46357</c:v>
                </c:pt>
              </c:numCache>
            </c:numRef>
          </c:cat>
          <c:val>
            <c:numRef>
              <c:f>ANALIZA!$C$30:$C$41</c:f>
              <c:numCache>
                <c:formatCode>0.0%;[Red]\-0.0%;0.0%</c:formatCode>
                <c:ptCount val="12"/>
                <c:pt idx="0">
                  <c:v>0.28088392861992917</c:v>
                </c:pt>
                <c:pt idx="1">
                  <c:v>0.27921387192159569</c:v>
                </c:pt>
                <c:pt idx="2">
                  <c:v>0.27552867232739836</c:v>
                </c:pt>
                <c:pt idx="3">
                  <c:v>0.27129247348895924</c:v>
                </c:pt>
                <c:pt idx="4">
                  <c:v>0.27849225104855702</c:v>
                </c:pt>
                <c:pt idx="5">
                  <c:v>0.28481503593082896</c:v>
                </c:pt>
                <c:pt idx="6">
                  <c:v>0.27630420887229973</c:v>
                </c:pt>
                <c:pt idx="7">
                  <c:v>0.29069884421882936</c:v>
                </c:pt>
                <c:pt idx="8">
                  <c:v>0.26186960750980592</c:v>
                </c:pt>
                <c:pt idx="9">
                  <c:v>0.28355458519446669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39-4258-812F-95D40F9F8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2522464"/>
        <c:axId val="1055221776"/>
      </c:lineChart>
      <c:catAx>
        <c:axId val="1142522464"/>
        <c:scaling>
          <c:orientation val="minMax"/>
        </c:scaling>
        <c:delete val="0"/>
        <c:axPos val="b"/>
        <c:numFmt formatCode="mmm" sourceLinked="1"/>
        <c:majorTickMark val="out"/>
        <c:minorTickMark val="none"/>
        <c:tickLblPos val="nextTo"/>
        <c:crossAx val="1055221776"/>
        <c:crosses val="autoZero"/>
        <c:auto val="0"/>
        <c:lblAlgn val="ctr"/>
        <c:lblOffset val="100"/>
        <c:noMultiLvlLbl val="0"/>
      </c:catAx>
      <c:valAx>
        <c:axId val="1055221776"/>
        <c:scaling>
          <c:orientation val="minMax"/>
        </c:scaling>
        <c:delete val="0"/>
        <c:axPos val="l"/>
        <c:majorGridlines>
          <c:spPr>
            <a:ln>
              <a:solidFill>
                <a:srgbClr val="E9EEEA"/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1142522464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Ranking regionów | PLN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strRef>
              <c:f>ANALIZA!$K$30:$K$34</c:f>
              <c:strCache>
                <c:ptCount val="5"/>
                <c:pt idx="0">
                  <c:v>Południe</c:v>
                </c:pt>
                <c:pt idx="1">
                  <c:v>Zachód</c:v>
                </c:pt>
                <c:pt idx="2">
                  <c:v>Centrum</c:v>
                </c:pt>
                <c:pt idx="3">
                  <c:v>Północ</c:v>
                </c:pt>
                <c:pt idx="4">
                  <c:v>Wschód</c:v>
                </c:pt>
              </c:strCache>
            </c:strRef>
          </c:cat>
          <c:val>
            <c:numRef>
              <c:f>ANALIZA!$L$30:$L$34</c:f>
              <c:numCache>
                <c:formatCode>#\ ##0\ "PLN";[Red]\-#\ ##0\ "PLN";0\ "PLN"</c:formatCode>
                <c:ptCount val="5"/>
                <c:pt idx="0">
                  <c:v>659533.39000000013</c:v>
                </c:pt>
                <c:pt idx="1">
                  <c:v>638995.08999999985</c:v>
                </c:pt>
                <c:pt idx="2">
                  <c:v>552576.26999999979</c:v>
                </c:pt>
                <c:pt idx="3">
                  <c:v>461515.55</c:v>
                </c:pt>
                <c:pt idx="4">
                  <c:v>217746.42000000004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5AE-4AFA-AFFE-4728F9F0B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51232"/>
        <c:axId val="1055219856"/>
      </c:barChart>
      <c:catAx>
        <c:axId val="114255123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55219856"/>
        <c:crosses val="autoZero"/>
        <c:auto val="1"/>
        <c:lblAlgn val="ctr"/>
        <c:lblOffset val="100"/>
        <c:noMultiLvlLbl val="0"/>
      </c:catAx>
      <c:valAx>
        <c:axId val="1055219856"/>
        <c:scaling>
          <c:orientation val="minMax"/>
        </c:scaling>
        <c:delete val="0"/>
        <c:axPos val="t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51232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l-PL"/>
              <a:t>Top 10 produktów | PLN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Przychód</c:v>
          </c:tx>
          <c:spPr>
            <a:solidFill>
              <a:srgbClr val="107C41"/>
            </a:solidFill>
            <a:ln>
              <a:solidFill>
                <a:srgbClr val="107C41"/>
              </a:solidFill>
            </a:ln>
          </c:spPr>
          <c:invertIfNegative val="0"/>
          <c:cat>
            <c:strRef>
              <c:f>ANALIZA!$W$30:$W$39</c:f>
              <c:strCache>
                <c:ptCount val="10"/>
                <c:pt idx="0">
                  <c:v>Hub Nexa 04</c:v>
                </c:pt>
                <c:pt idx="1">
                  <c:v>Hub Nexa 03</c:v>
                </c:pt>
                <c:pt idx="2">
                  <c:v>Hub Nexa 05</c:v>
                </c:pt>
                <c:pt idx="3">
                  <c:v>Hub Nexa 02</c:v>
                </c:pt>
                <c:pt idx="4">
                  <c:v>Hub Nexa 01</c:v>
                </c:pt>
                <c:pt idx="5">
                  <c:v>Hub Nexa 06</c:v>
                </c:pt>
                <c:pt idx="6">
                  <c:v>Podpora Ergo 05</c:v>
                </c:pt>
                <c:pt idx="7">
                  <c:v>Podpora Ergo 03</c:v>
                </c:pt>
                <c:pt idx="8">
                  <c:v>Podpora Ergo 04</c:v>
                </c:pt>
                <c:pt idx="9">
                  <c:v>Podpora Ergo 02</c:v>
                </c:pt>
              </c:strCache>
            </c:strRef>
          </c:cat>
          <c:val>
            <c:numRef>
              <c:f>ANALIZA!$X$30:$X$39</c:f>
              <c:numCache>
                <c:formatCode>#\ ##0\ "PLN";[Red]\-#\ ##0\ "PLN";0\ "PLN"</c:formatCode>
                <c:ptCount val="10"/>
                <c:pt idx="0">
                  <c:v>392058</c:v>
                </c:pt>
                <c:pt idx="1">
                  <c:v>288739.01</c:v>
                </c:pt>
                <c:pt idx="2">
                  <c:v>256348.34000000005</c:v>
                </c:pt>
                <c:pt idx="3">
                  <c:v>189588.07999999996</c:v>
                </c:pt>
                <c:pt idx="4">
                  <c:v>176558.58</c:v>
                </c:pt>
                <c:pt idx="5">
                  <c:v>138979.34000000003</c:v>
                </c:pt>
                <c:pt idx="6">
                  <c:v>128531.56999999999</c:v>
                </c:pt>
                <c:pt idx="7">
                  <c:v>115155.43000000001</c:v>
                </c:pt>
                <c:pt idx="8">
                  <c:v>88326</c:v>
                </c:pt>
                <c:pt idx="9">
                  <c:v>81910.499999999985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1F-43A6-9C5C-D9B5D3241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42543344"/>
        <c:axId val="1055238576"/>
      </c:barChart>
      <c:catAx>
        <c:axId val="114254334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55238576"/>
        <c:crosses val="autoZero"/>
        <c:auto val="1"/>
        <c:lblAlgn val="ctr"/>
        <c:lblOffset val="100"/>
        <c:noMultiLvlLbl val="0"/>
      </c:catAx>
      <c:valAx>
        <c:axId val="1055238576"/>
        <c:scaling>
          <c:orientation val="minMax"/>
        </c:scaling>
        <c:delete val="0"/>
        <c:axPos val="t"/>
        <c:majorGridlines>
          <c:spPr>
            <a:ln>
              <a:solidFill>
                <a:srgbClr val="E9EEEA"/>
              </a:solidFill>
            </a:ln>
          </c:spPr>
        </c:majorGridlines>
        <c:numFmt formatCode="[&gt;=1000000]0\.0..&quot; mln&quot;;[&gt;=1000]0.&quot; tys.&quot;;0" sourceLinked="0"/>
        <c:majorTickMark val="out"/>
        <c:minorTickMark val="none"/>
        <c:tickLblPos val="nextTo"/>
        <c:crossAx val="1142543344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900">
          <a:latin typeface="Calibri"/>
          <a:ea typeface="Calibri"/>
          <a:cs typeface="Calibri"/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2</xdr:row>
      <xdr:rowOff>25400</xdr:rowOff>
    </xdr:from>
    <xdr:to>
      <xdr:col>4</xdr:col>
      <xdr:colOff>593725</xdr:colOff>
      <xdr:row>3</xdr:row>
      <xdr:rowOff>127000</xdr:rowOff>
    </xdr:to>
    <xdr:sp macro="[0]!OdswiezDashboard" textlink="">
      <xdr:nvSpPr>
        <xdr:cNvPr id="2" name="btn_refresh">
          <a:extLst>
            <a:ext uri="{FF2B5EF4-FFF2-40B4-BE49-F238E27FC236}">
              <a16:creationId xmlns:a16="http://schemas.microsoft.com/office/drawing/2014/main" id="{71844288-C86F-E88B-6E97-95FEF753123A}"/>
            </a:ext>
          </a:extLst>
        </xdr:cNvPr>
        <xdr:cNvSpPr/>
      </xdr:nvSpPr>
      <xdr:spPr>
        <a:xfrm>
          <a:off x="6445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Odśwież</a:t>
          </a:r>
        </a:p>
      </xdr:txBody>
    </xdr:sp>
    <xdr:clientData fPrintsWithSheet="0"/>
  </xdr:twoCellAnchor>
  <xdr:twoCellAnchor>
    <xdr:from>
      <xdr:col>5</xdr:col>
      <xdr:colOff>25400</xdr:colOff>
      <xdr:row>2</xdr:row>
      <xdr:rowOff>25400</xdr:rowOff>
    </xdr:from>
    <xdr:to>
      <xdr:col>8</xdr:col>
      <xdr:colOff>593725</xdr:colOff>
      <xdr:row>3</xdr:row>
      <xdr:rowOff>127000</xdr:rowOff>
    </xdr:to>
    <xdr:sp macro="[0]!ResetujFiltry" textlink="">
      <xdr:nvSpPr>
        <xdr:cNvPr id="3" name="btn_reset">
          <a:extLst>
            <a:ext uri="{FF2B5EF4-FFF2-40B4-BE49-F238E27FC236}">
              <a16:creationId xmlns:a16="http://schemas.microsoft.com/office/drawing/2014/main" id="{05F76BF1-CA1C-75A7-514A-FB1688D07A06}"/>
            </a:ext>
          </a:extLst>
        </xdr:cNvPr>
        <xdr:cNvSpPr/>
      </xdr:nvSpPr>
      <xdr:spPr>
        <a:xfrm>
          <a:off x="31210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Reset filtrów</a:t>
          </a:r>
        </a:p>
      </xdr:txBody>
    </xdr:sp>
    <xdr:clientData fPrintsWithSheet="0"/>
  </xdr:twoCellAnchor>
  <xdr:twoCellAnchor>
    <xdr:from>
      <xdr:col>9</xdr:col>
      <xdr:colOff>25400</xdr:colOff>
      <xdr:row>2</xdr:row>
      <xdr:rowOff>25400</xdr:rowOff>
    </xdr:from>
    <xdr:to>
      <xdr:col>12</xdr:col>
      <xdr:colOff>593725</xdr:colOff>
      <xdr:row>3</xdr:row>
      <xdr:rowOff>127000</xdr:rowOff>
    </xdr:to>
    <xdr:sp macro="[0]!ImportujSprzedazCSV" textlink="">
      <xdr:nvSpPr>
        <xdr:cNvPr id="4" name="btn_import">
          <a:extLst>
            <a:ext uri="{FF2B5EF4-FFF2-40B4-BE49-F238E27FC236}">
              <a16:creationId xmlns:a16="http://schemas.microsoft.com/office/drawing/2014/main" id="{AA4B625F-4EEF-9A2C-49ED-F5DED24C710E}"/>
            </a:ext>
          </a:extLst>
        </xdr:cNvPr>
        <xdr:cNvSpPr/>
      </xdr:nvSpPr>
      <xdr:spPr>
        <a:xfrm>
          <a:off x="55975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Import CSV</a:t>
          </a:r>
        </a:p>
      </xdr:txBody>
    </xdr:sp>
    <xdr:clientData fPrintsWithSheet="0"/>
  </xdr:twoCellAnchor>
  <xdr:twoCellAnchor>
    <xdr:from>
      <xdr:col>13</xdr:col>
      <xdr:colOff>25400</xdr:colOff>
      <xdr:row>2</xdr:row>
      <xdr:rowOff>25400</xdr:rowOff>
    </xdr:from>
    <xdr:to>
      <xdr:col>16</xdr:col>
      <xdr:colOff>593725</xdr:colOff>
      <xdr:row>3</xdr:row>
      <xdr:rowOff>127000</xdr:rowOff>
    </xdr:to>
    <xdr:sp macro="[0]!EksportujDashboardPDF" textlink="">
      <xdr:nvSpPr>
        <xdr:cNvPr id="5" name="btn_export">
          <a:extLst>
            <a:ext uri="{FF2B5EF4-FFF2-40B4-BE49-F238E27FC236}">
              <a16:creationId xmlns:a16="http://schemas.microsoft.com/office/drawing/2014/main" id="{5BFA8695-BFA0-D602-A852-542D371CEB6B}"/>
            </a:ext>
          </a:extLst>
        </xdr:cNvPr>
        <xdr:cNvSpPr/>
      </xdr:nvSpPr>
      <xdr:spPr>
        <a:xfrm>
          <a:off x="8074025" y="615950"/>
          <a:ext cx="242570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Eksport PDF</a:t>
          </a:r>
        </a:p>
      </xdr:txBody>
    </xdr:sp>
    <xdr:clientData fPrintsWithSheet="0"/>
  </xdr:twoCellAnchor>
  <xdr:twoCellAnchor>
    <xdr:from>
      <xdr:col>17</xdr:col>
      <xdr:colOff>25400</xdr:colOff>
      <xdr:row>2</xdr:row>
      <xdr:rowOff>25400</xdr:rowOff>
    </xdr:from>
    <xdr:to>
      <xdr:col>21</xdr:col>
      <xdr:colOff>593725</xdr:colOff>
      <xdr:row>3</xdr:row>
      <xdr:rowOff>127000</xdr:rowOff>
    </xdr:to>
    <xdr:sp macro="[0]!PrzejdzDoSprzedazy" textlink="">
      <xdr:nvSpPr>
        <xdr:cNvPr id="6" name="btn_data">
          <a:extLst>
            <a:ext uri="{FF2B5EF4-FFF2-40B4-BE49-F238E27FC236}">
              <a16:creationId xmlns:a16="http://schemas.microsoft.com/office/drawing/2014/main" id="{5FED6DD6-6D9E-27A0-2951-A25CBEC73723}"/>
            </a:ext>
          </a:extLst>
        </xdr:cNvPr>
        <xdr:cNvSpPr/>
      </xdr:nvSpPr>
      <xdr:spPr>
        <a:xfrm>
          <a:off x="10550525" y="615950"/>
          <a:ext cx="3044825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Dane sprzedaży</a:t>
          </a:r>
        </a:p>
      </xdr:txBody>
    </xdr:sp>
    <xdr:clientData fPrintsWithSheet="0"/>
  </xdr:twoCellAnchor>
  <xdr:twoCellAnchor>
    <xdr:from>
      <xdr:col>22</xdr:col>
      <xdr:colOff>25400</xdr:colOff>
      <xdr:row>2</xdr:row>
      <xdr:rowOff>25400</xdr:rowOff>
    </xdr:from>
    <xdr:to>
      <xdr:col>27</xdr:col>
      <xdr:colOff>593725</xdr:colOff>
      <xdr:row>3</xdr:row>
      <xdr:rowOff>127000</xdr:rowOff>
    </xdr:to>
    <xdr:sp macro="[0]!PokazInstrukcje" textlink="">
      <xdr:nvSpPr>
        <xdr:cNvPr id="7" name="btn_help">
          <a:extLst>
            <a:ext uri="{FF2B5EF4-FFF2-40B4-BE49-F238E27FC236}">
              <a16:creationId xmlns:a16="http://schemas.microsoft.com/office/drawing/2014/main" id="{F110812F-BFEE-B366-B46A-E958B1BBC43D}"/>
            </a:ext>
          </a:extLst>
        </xdr:cNvPr>
        <xdr:cNvSpPr/>
      </xdr:nvSpPr>
      <xdr:spPr>
        <a:xfrm>
          <a:off x="13646150" y="615950"/>
          <a:ext cx="3663950" cy="2540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000">
              <a:solidFill>
                <a:srgbClr val="FFFFFF"/>
              </a:solidFill>
              <a:latin typeface="Calibri" panose="020F0502020204030204" pitchFamily="34" charset="0"/>
            </a:rPr>
            <a:t>Instrukcja</a:t>
          </a:r>
        </a:p>
      </xdr:txBody>
    </xdr:sp>
    <xdr:clientData fPrintsWithSheet="0"/>
  </xdr:twoCellAnchor>
  <xdr:twoCellAnchor>
    <xdr:from>
      <xdr:col>22</xdr:col>
      <xdr:colOff>15875</xdr:colOff>
      <xdr:row>0</xdr:row>
      <xdr:rowOff>120650</xdr:rowOff>
    </xdr:from>
    <xdr:to>
      <xdr:col>27</xdr:col>
      <xdr:colOff>584200</xdr:colOff>
      <xdr:row>1</xdr:row>
      <xdr:rowOff>152400</xdr:rowOff>
    </xdr:to>
    <xdr:sp macro="[0]!Trial_OpenWebsite" textlink="">
      <xdr:nvSpPr>
        <xdr:cNvPr id="10" name="btn_help">
          <a:extLst>
            <a:ext uri="{FF2B5EF4-FFF2-40B4-BE49-F238E27FC236}">
              <a16:creationId xmlns:a16="http://schemas.microsoft.com/office/drawing/2014/main" id="{0394204B-E985-40C7-B6E3-4AACCC6D0E46}"/>
            </a:ext>
          </a:extLst>
        </xdr:cNvPr>
        <xdr:cNvSpPr/>
      </xdr:nvSpPr>
      <xdr:spPr>
        <a:xfrm>
          <a:off x="13198475" y="120650"/>
          <a:ext cx="3663950" cy="39370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800" b="1">
              <a:solidFill>
                <a:srgbClr val="FFFFFF"/>
              </a:solidFill>
              <a:latin typeface="Calibri" panose="020F0502020204030204" pitchFamily="34" charset="0"/>
            </a:rPr>
            <a:t>ZAMÓW PODOBNY DASHBOARD</a:t>
          </a:r>
        </a:p>
      </xdr:txBody>
    </xdr:sp>
    <xdr:clientData fPrintsWithSheet="0"/>
  </xdr:twoCellAnchor>
  <xdr:twoCellAnchor editAs="absolute">
    <xdr:from>
      <xdr:col>1</xdr:col>
      <xdr:colOff>0</xdr:colOff>
      <xdr:row>20</xdr:row>
      <xdr:rowOff>0</xdr:rowOff>
    </xdr:from>
    <xdr:to>
      <xdr:col>10</xdr:col>
      <xdr:colOff>0</xdr:colOff>
      <xdr:row>32</xdr:row>
      <xdr:rowOff>0</xdr:rowOff>
    </xdr:to>
    <xdr:graphicFrame macro="">
      <xdr:nvGraphicFramePr>
        <xdr:cNvPr id="11" name="chart_1">
          <a:extLst>
            <a:ext uri="{FF2B5EF4-FFF2-40B4-BE49-F238E27FC236}">
              <a16:creationId xmlns:a16="http://schemas.microsoft.com/office/drawing/2014/main" id="{BEEAF650-501B-8C9E-B22C-BD8519DD71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0</xdr:colOff>
      <xdr:row>20</xdr:row>
      <xdr:rowOff>0</xdr:rowOff>
    </xdr:from>
    <xdr:to>
      <xdr:col>19</xdr:col>
      <xdr:colOff>0</xdr:colOff>
      <xdr:row>32</xdr:row>
      <xdr:rowOff>0</xdr:rowOff>
    </xdr:to>
    <xdr:graphicFrame macro="">
      <xdr:nvGraphicFramePr>
        <xdr:cNvPr id="12" name="chart_2">
          <a:extLst>
            <a:ext uri="{FF2B5EF4-FFF2-40B4-BE49-F238E27FC236}">
              <a16:creationId xmlns:a16="http://schemas.microsoft.com/office/drawing/2014/main" id="{C947C87E-58C3-A0B8-091C-768711FA53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20</xdr:col>
      <xdr:colOff>0</xdr:colOff>
      <xdr:row>20</xdr:row>
      <xdr:rowOff>0</xdr:rowOff>
    </xdr:from>
    <xdr:to>
      <xdr:col>28</xdr:col>
      <xdr:colOff>0</xdr:colOff>
      <xdr:row>32</xdr:row>
      <xdr:rowOff>0</xdr:rowOff>
    </xdr:to>
    <xdr:graphicFrame macro="">
      <xdr:nvGraphicFramePr>
        <xdr:cNvPr id="13" name="chart_3">
          <a:extLst>
            <a:ext uri="{FF2B5EF4-FFF2-40B4-BE49-F238E27FC236}">
              <a16:creationId xmlns:a16="http://schemas.microsoft.com/office/drawing/2014/main" id="{69BC8AF7-1406-47AB-2DAF-1D34C03C68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33</xdr:row>
      <xdr:rowOff>0</xdr:rowOff>
    </xdr:from>
    <xdr:to>
      <xdr:col>14</xdr:col>
      <xdr:colOff>0</xdr:colOff>
      <xdr:row>47</xdr:row>
      <xdr:rowOff>0</xdr:rowOff>
    </xdr:to>
    <xdr:graphicFrame macro="">
      <xdr:nvGraphicFramePr>
        <xdr:cNvPr id="14" name="chart_4">
          <a:extLst>
            <a:ext uri="{FF2B5EF4-FFF2-40B4-BE49-F238E27FC236}">
              <a16:creationId xmlns:a16="http://schemas.microsoft.com/office/drawing/2014/main" id="{DC03DE8A-23F8-C8E6-A2E3-62063D4D4F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15</xdr:col>
      <xdr:colOff>0</xdr:colOff>
      <xdr:row>33</xdr:row>
      <xdr:rowOff>0</xdr:rowOff>
    </xdr:from>
    <xdr:to>
      <xdr:col>28</xdr:col>
      <xdr:colOff>0</xdr:colOff>
      <xdr:row>47</xdr:row>
      <xdr:rowOff>0</xdr:rowOff>
    </xdr:to>
    <xdr:graphicFrame macro="">
      <xdr:nvGraphicFramePr>
        <xdr:cNvPr id="15" name="chart_5">
          <a:extLst>
            <a:ext uri="{FF2B5EF4-FFF2-40B4-BE49-F238E27FC236}">
              <a16:creationId xmlns:a16="http://schemas.microsoft.com/office/drawing/2014/main" id="{B0BD80AB-589A-1D49-9441-9FA584C08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206368</xdr:colOff>
      <xdr:row>0</xdr:row>
      <xdr:rowOff>222813</xdr:rowOff>
    </xdr:from>
    <xdr:to>
      <xdr:col>12</xdr:col>
      <xdr:colOff>530405</xdr:colOff>
      <xdr:row>2</xdr:row>
      <xdr:rowOff>172013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FD8AFC3E-8406-4659-7575-273CAE1D5C24}"/>
            </a:ext>
          </a:extLst>
        </xdr:cNvPr>
        <xdr:cNvSpPr/>
      </xdr:nvSpPr>
      <xdr:spPr>
        <a:xfrm>
          <a:off x="6044271" y="222813"/>
          <a:ext cx="6161940" cy="502265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 b="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  <xdr:twoCellAnchor editAs="absolute">
    <xdr:from>
      <xdr:col>12</xdr:col>
      <xdr:colOff>585968</xdr:colOff>
      <xdr:row>0</xdr:row>
      <xdr:rowOff>222813</xdr:rowOff>
    </xdr:from>
    <xdr:to>
      <xdr:col>18</xdr:col>
      <xdr:colOff>900199</xdr:colOff>
      <xdr:row>2</xdr:row>
      <xdr:rowOff>172013</xdr:rowOff>
    </xdr:to>
    <xdr:sp macro="[0]!OdswiezDashboard" textlink="">
      <xdr:nvSpPr>
        <xdr:cNvPr id="3" name="btn_refresh">
          <a:extLst>
            <a:ext uri="{FF2B5EF4-FFF2-40B4-BE49-F238E27FC236}">
              <a16:creationId xmlns:a16="http://schemas.microsoft.com/office/drawing/2014/main" id="{79DAC09B-1B8D-7DAD-DC57-C5992ED2ED26}"/>
            </a:ext>
          </a:extLst>
        </xdr:cNvPr>
        <xdr:cNvSpPr/>
      </xdr:nvSpPr>
      <xdr:spPr>
        <a:xfrm>
          <a:off x="12261774" y="222813"/>
          <a:ext cx="6152135" cy="502265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 b="0">
              <a:solidFill>
                <a:srgbClr val="FFFFFF"/>
              </a:solidFill>
              <a:latin typeface="Calibri" panose="020F0502020204030204" pitchFamily="34" charset="0"/>
            </a:rPr>
            <a:t>Odśwież dashboard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1511300</xdr:colOff>
      <xdr:row>0</xdr:row>
      <xdr:rowOff>111125</xdr:rowOff>
    </xdr:from>
    <xdr:to>
      <xdr:col>4</xdr:col>
      <xdr:colOff>2298700</xdr:colOff>
      <xdr:row>2</xdr:row>
      <xdr:rowOff>60325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ED72D15D-01EB-CE20-389B-A58E48922FD7}"/>
            </a:ext>
          </a:extLst>
        </xdr:cNvPr>
        <xdr:cNvSpPr/>
      </xdr:nvSpPr>
      <xdr:spPr>
        <a:xfrm>
          <a:off x="6216650" y="111125"/>
          <a:ext cx="5492750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25400</xdr:colOff>
      <xdr:row>0</xdr:row>
      <xdr:rowOff>25400</xdr:rowOff>
    </xdr:from>
    <xdr:to>
      <xdr:col>5</xdr:col>
      <xdr:colOff>2041525</xdr:colOff>
      <xdr:row>1</xdr:row>
      <xdr:rowOff>165100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F171E561-83CF-BCC7-BA51-F070316116EA}"/>
            </a:ext>
          </a:extLst>
        </xdr:cNvPr>
        <xdr:cNvSpPr/>
      </xdr:nvSpPr>
      <xdr:spPr>
        <a:xfrm>
          <a:off x="4511675" y="25400"/>
          <a:ext cx="4435475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53975</xdr:colOff>
      <xdr:row>0</xdr:row>
      <xdr:rowOff>38100</xdr:rowOff>
    </xdr:from>
    <xdr:to>
      <xdr:col>5</xdr:col>
      <xdr:colOff>3175</xdr:colOff>
      <xdr:row>1</xdr:row>
      <xdr:rowOff>177800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9D9B11C6-0E55-A41E-1F76-5FBE83F535A8}"/>
            </a:ext>
          </a:extLst>
        </xdr:cNvPr>
        <xdr:cNvSpPr/>
      </xdr:nvSpPr>
      <xdr:spPr>
        <a:xfrm>
          <a:off x="13141325" y="38100"/>
          <a:ext cx="2463800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2187575</xdr:colOff>
      <xdr:row>0</xdr:row>
      <xdr:rowOff>25400</xdr:rowOff>
    </xdr:from>
    <xdr:to>
      <xdr:col>1</xdr:col>
      <xdr:colOff>4651375</xdr:colOff>
      <xdr:row>1</xdr:row>
      <xdr:rowOff>165100</xdr:rowOff>
    </xdr:to>
    <xdr:sp macro="[0]!PrzejdzDoDashboardu" textlink="">
      <xdr:nvSpPr>
        <xdr:cNvPr id="2" name="btn_back">
          <a:extLst>
            <a:ext uri="{FF2B5EF4-FFF2-40B4-BE49-F238E27FC236}">
              <a16:creationId xmlns:a16="http://schemas.microsoft.com/office/drawing/2014/main" id="{4D532D66-54F8-6426-FC70-8AC1524646A8}"/>
            </a:ext>
          </a:extLst>
        </xdr:cNvPr>
        <xdr:cNvSpPr/>
      </xdr:nvSpPr>
      <xdr:spPr>
        <a:xfrm>
          <a:off x="2540000" y="25400"/>
          <a:ext cx="2463800" cy="501650"/>
        </a:xfrm>
        <a:prstGeom prst="roundRect">
          <a:avLst/>
        </a:prstGeom>
        <a:solidFill>
          <a:srgbClr val="107C41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Ins="38100" rtlCol="0" anchor="ctr"/>
        <a:lstStyle/>
        <a:p>
          <a:pPr algn="ctr"/>
          <a:r>
            <a:rPr lang="pl-PL" sz="1600">
              <a:solidFill>
                <a:srgbClr val="FFFFFF"/>
              </a:solidFill>
              <a:latin typeface="Calibri" panose="020F0502020204030204" pitchFamily="34" charset="0"/>
            </a:rPr>
            <a:t>Powrót do dashboardu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13D8B1-A051-4C9D-AF92-F52FD62A04A8}" name="tblSprzedaz" displayName="tblSprzedaz" ref="A5:S2440" totalsRowShown="0" headerRowDxfId="46" dataDxfId="45">
  <autoFilter ref="A5:S2440" xr:uid="{8413D8B1-A051-4C9D-AF92-F52FD62A04A8}"/>
  <tableColumns count="19">
    <tableColumn id="1" xr3:uid="{17AFBE41-7D48-4DEF-93EA-B45490859369}" name="ID transakcji" dataDxfId="14" totalsRowDxfId="44"/>
    <tableColumn id="2" xr3:uid="{5D712D86-850A-4D85-B0CD-3A71843166FB}" name="Data" dataDxfId="12" totalsRowDxfId="43"/>
    <tableColumn id="3" xr3:uid="{81D9C10F-36BD-44BB-A4CA-F8C8A86F707A}" name="Numer zamówienia" dataDxfId="13" totalsRowDxfId="42"/>
    <tableColumn id="4" xr3:uid="{17D3EA65-035A-4936-86CF-9FD051375E9A}" name="Klient" dataDxfId="41" totalsRowDxfId="40"/>
    <tableColumn id="5" xr3:uid="{CB967B58-E799-4CEE-A902-B407967E7393}" name="Produkt" dataDxfId="39" totalsRowDxfId="38"/>
    <tableColumn id="6" xr3:uid="{1CB9B060-791C-43B8-B63A-ACFCAFB52F98}" name="Kategoria" dataDxfId="37" totalsRowDxfId="36"/>
    <tableColumn id="7" xr3:uid="{E6E4F361-0127-4CAB-AFDD-8E0B9611AC5E}" name="Region" dataDxfId="35" totalsRowDxfId="34"/>
    <tableColumn id="8" xr3:uid="{1D334871-AC9B-4A3E-9615-99882F21401C}" name="Handlowiec" dataDxfId="11" totalsRowDxfId="33"/>
    <tableColumn id="9" xr3:uid="{22FC1FA7-B28E-4D66-8642-BC00069A68F3}" name="Ilość" dataDxfId="10" totalsRowDxfId="32"/>
    <tableColumn id="10" xr3:uid="{CE4FE3B1-C8D1-4CB3-8261-EAC4D7F23E46}" name="Cena netto jednostkowa" dataDxfId="9" totalsRowDxfId="31"/>
    <tableColumn id="11" xr3:uid="{353AE271-A622-4FF6-86DF-32971703EDBF}" name="Rabat %" dataDxfId="8" totalsRowDxfId="30"/>
    <tableColumn id="12" xr3:uid="{51E661F7-B495-4460-AB86-6BAD9834EF5C}" name="Koszt jednostkowy netto" dataDxfId="7" totalsRowDxfId="29"/>
    <tableColumn id="13" xr3:uid="{5A7A6727-F7B2-411C-A83F-DF73531FF6D8}" name="Przychód netto" dataDxfId="6" totalsRowDxfId="28">
      <calculatedColumnFormula>ROUND(tblSprzedaz[[#This Row],[Ilość]]*tblSprzedaz[[#This Row],[Cena netto jednostkowa]]*(1-tblSprzedaz[[#This Row],[Rabat %]]),2)</calculatedColumnFormula>
    </tableColumn>
    <tableColumn id="14" xr3:uid="{E3FEB30A-6BAC-4E53-B248-32B20114D0FC}" name="Koszt całkowity netto" dataDxfId="5" totalsRowDxfId="27">
      <calculatedColumnFormula>ROUND(tblSprzedaz[[#This Row],[Ilość]]*tblSprzedaz[[#This Row],[Koszt jednostkowy netto]],2)</calculatedColumnFormula>
    </tableColumn>
    <tableColumn id="15" xr3:uid="{A1672ED0-1771-42DD-B0C0-E12D8786B3F9}" name="Marża kwotowa" dataDxfId="4" totalsRowDxfId="26">
      <calculatedColumnFormula>tblSprzedaz[[#This Row],[Przychód netto]]-tblSprzedaz[[#This Row],[Koszt całkowity netto]]</calculatedColumnFormula>
    </tableColumn>
    <tableColumn id="16" xr3:uid="{8C5A2548-7502-44DA-B0FF-E84217F7F837}" name="Marża %" dataDxfId="3" totalsRowDxfId="25">
      <calculatedColumnFormula>IFERROR(tblSprzedaz[[#This Row],[Marża kwotowa]]/tblSprzedaz[[#This Row],[Przychód netto]],0)</calculatedColumnFormula>
    </tableColumn>
    <tableColumn id="17" xr3:uid="{ED8B0A94-999D-44C0-8EFA-ED77EF7D9538}" name="Rok" dataDxfId="2" totalsRowDxfId="24">
      <calculatedColumnFormula>YEAR(tblSprzedaz[[#This Row],[Data]])</calculatedColumnFormula>
    </tableColumn>
    <tableColumn id="18" xr3:uid="{2A16A413-5FD2-4511-B6E1-92C580874DA7}" name="Miesiąc" dataDxfId="0" totalsRowDxfId="23">
      <calculatedColumnFormula>MONTH(tblSprzedaz[[#This Row],[Data]])</calculatedColumnFormula>
    </tableColumn>
    <tableColumn id="19" xr3:uid="{E7BC2DAB-665E-4084-822E-53807A40A0CC}" name="Rok-miesiąc" dataDxfId="1" totalsRowDxfId="22">
      <calculatedColumnFormula>YEAR(tblSprzedaz[[#This Row],[Data]])&amp;"-"&amp;RIGHT("0"&amp;MONTH(tblSprzedaz[[#This Row],[Data]]),2)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DAFF59-4183-4EC3-ACB4-70C2A6E984E8}" name="tblCele" displayName="tblCele" ref="A5:E125" totalsRowShown="0" headerRowDxfId="21" dataDxfId="20">
  <autoFilter ref="A5:E125" xr:uid="{74DAFF59-4183-4EC3-ACB4-70C2A6E984E8}"/>
  <tableColumns count="5">
    <tableColumn id="1" xr3:uid="{DEE41841-20FC-4E6F-881B-FE82DF473168}" name="Rok" dataDxfId="19"/>
    <tableColumn id="2" xr3:uid="{23A41F4A-12B1-4409-BCE3-668074173AFE}" name="Miesiąc" dataDxfId="18"/>
    <tableColumn id="3" xr3:uid="{48B9BB08-8BDB-46AD-9C9C-E9330A90A4B8}" name="Region" dataDxfId="17"/>
    <tableColumn id="4" xr3:uid="{4922433D-1210-4EC0-BAE2-8BBE97F80659}" name="Cel przychodowy" dataDxfId="16"/>
    <tableColumn id="5" xr3:uid="{1CC79CA9-023F-48DF-A7FE-908A07EC967A}" name="Cel marżowy" dataDxfId="1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2BE3E-9DFC-4207-B06B-55F62BDEF9D9}">
  <sheetPr codeName="Arkusz2">
    <tabColor rgb="FF107C41"/>
    <pageSetUpPr fitToPage="1"/>
  </sheetPr>
  <dimension ref="A1:AC49"/>
  <sheetViews>
    <sheetView showGridLines="0" showRowColHeaders="0" tabSelected="1" zoomScaleNormal="100" workbookViewId="0">
      <selection activeCell="C6" sqref="C6:G7"/>
    </sheetView>
  </sheetViews>
  <sheetFormatPr defaultRowHeight="18.75" x14ac:dyDescent="0.3"/>
  <cols>
    <col min="1" max="1" width="1.8984375" customWidth="1"/>
    <col min="2" max="28" width="6.5" customWidth="1"/>
    <col min="29" max="29" width="1.8984375" customWidth="1"/>
  </cols>
  <sheetData>
    <row r="1" spans="1:29" ht="29.1" customHeight="1" x14ac:dyDescent="0.3">
      <c r="A1" s="18"/>
      <c r="B1" s="26" t="s">
        <v>5053</v>
      </c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18"/>
    </row>
    <row r="2" spans="1:29" ht="18" customHeight="1" x14ac:dyDescent="0.3">
      <c r="A2" s="18"/>
      <c r="B2" s="28" t="str">
        <f>USTAWIENIA!B3&amp;"  |  ANALITYKA SPRZEDAŻY  /  PLN  /  DEMO"</f>
        <v>Verdelia Trade | DEMO  |  ANALITYKA SPRZEDAŻY  /  PLN  /  DEMO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18"/>
    </row>
    <row r="3" spans="1:29" ht="12.6" customHeight="1" x14ac:dyDescent="0.3">
      <c r="A3" s="1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</row>
    <row r="4" spans="1:29" ht="12.6" customHeight="1" x14ac:dyDescent="0.3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</row>
    <row r="5" spans="1:29" ht="12.6" customHeight="1" x14ac:dyDescent="0.3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</row>
    <row r="6" spans="1:29" ht="12.6" customHeight="1" x14ac:dyDescent="0.3">
      <c r="A6" s="18"/>
      <c r="B6" s="29" t="s">
        <v>177</v>
      </c>
      <c r="C6" s="32">
        <v>2026</v>
      </c>
      <c r="D6" s="32"/>
      <c r="E6" s="32"/>
      <c r="F6" s="32"/>
      <c r="G6" s="32"/>
      <c r="H6" s="18"/>
      <c r="I6" s="30" t="s">
        <v>5054</v>
      </c>
      <c r="J6" s="32" t="s">
        <v>153</v>
      </c>
      <c r="K6" s="32"/>
      <c r="L6" s="32"/>
      <c r="M6" s="32"/>
      <c r="N6" s="32"/>
      <c r="O6" s="18"/>
      <c r="P6" s="30" t="s">
        <v>19</v>
      </c>
      <c r="Q6" s="32" t="s">
        <v>5055</v>
      </c>
      <c r="R6" s="32"/>
      <c r="S6" s="32"/>
      <c r="T6" s="32"/>
      <c r="U6" s="32"/>
      <c r="V6" s="18"/>
      <c r="W6" s="31" t="str">
        <f>IF(ANALIZA!B5=0,"BRAK DANYCH","STAN DANYCH: "&amp;YEAR(ANALIZA!B5)&amp;"-"&amp;RIGHT("0"&amp;MONTH(ANALIZA!B5),2)&amp;"-"&amp;RIGHT("0"&amp;DAY(ANALIZA!B5),2))</f>
        <v>STAN DANYCH: 2026-10-09</v>
      </c>
      <c r="X6" s="31"/>
      <c r="Y6" s="31"/>
      <c r="Z6" s="31"/>
      <c r="AA6" s="31"/>
      <c r="AB6" s="31"/>
      <c r="AC6" s="18"/>
    </row>
    <row r="7" spans="1:29" ht="12.6" customHeight="1" x14ac:dyDescent="0.3">
      <c r="A7" s="18"/>
      <c r="B7" s="29"/>
      <c r="C7" s="32"/>
      <c r="D7" s="32"/>
      <c r="E7" s="32"/>
      <c r="F7" s="32"/>
      <c r="G7" s="32"/>
      <c r="H7" s="18"/>
      <c r="I7" s="30"/>
      <c r="J7" s="32"/>
      <c r="K7" s="32"/>
      <c r="L7" s="32"/>
      <c r="M7" s="32"/>
      <c r="N7" s="32"/>
      <c r="O7" s="18"/>
      <c r="P7" s="30"/>
      <c r="Q7" s="32"/>
      <c r="R7" s="32"/>
      <c r="S7" s="32"/>
      <c r="T7" s="32"/>
      <c r="U7" s="32"/>
      <c r="V7" s="18"/>
      <c r="W7" s="31"/>
      <c r="X7" s="31"/>
      <c r="Y7" s="31"/>
      <c r="Z7" s="31"/>
      <c r="AA7" s="31"/>
      <c r="AB7" s="31"/>
      <c r="AC7" s="18"/>
    </row>
    <row r="8" spans="1:29" ht="12.6" customHeight="1" x14ac:dyDescent="0.3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</row>
    <row r="9" spans="1:29" ht="12.6" customHeight="1" x14ac:dyDescent="0.3">
      <c r="A9" s="18"/>
      <c r="B9" s="33" t="s">
        <v>5056</v>
      </c>
      <c r="C9" s="33"/>
      <c r="D9" s="33"/>
      <c r="E9" s="33"/>
      <c r="F9" s="33"/>
      <c r="G9" s="33"/>
      <c r="H9" s="18"/>
      <c r="I9" s="33" t="s">
        <v>5058</v>
      </c>
      <c r="J9" s="33"/>
      <c r="K9" s="33"/>
      <c r="L9" s="33"/>
      <c r="M9" s="33"/>
      <c r="N9" s="33"/>
      <c r="O9" s="18"/>
      <c r="P9" s="33" t="s">
        <v>5060</v>
      </c>
      <c r="Q9" s="33"/>
      <c r="R9" s="33"/>
      <c r="S9" s="33"/>
      <c r="T9" s="33"/>
      <c r="U9" s="33"/>
      <c r="V9" s="18"/>
      <c r="W9" s="33" t="s">
        <v>5062</v>
      </c>
      <c r="X9" s="33"/>
      <c r="Y9" s="33"/>
      <c r="Z9" s="33"/>
      <c r="AA9" s="33"/>
      <c r="AB9" s="33"/>
      <c r="AC9" s="18"/>
    </row>
    <row r="10" spans="1:29" ht="12.6" customHeight="1" x14ac:dyDescent="0.3">
      <c r="A10" s="18"/>
      <c r="B10" s="34">
        <f>ANALIZA!B12</f>
        <v>2530366.7199999988</v>
      </c>
      <c r="C10" s="34"/>
      <c r="D10" s="34"/>
      <c r="E10" s="34"/>
      <c r="F10" s="34"/>
      <c r="G10" s="34"/>
      <c r="H10" s="18"/>
      <c r="I10" s="34">
        <f>ANALIZA!B13</f>
        <v>701048.24999999988</v>
      </c>
      <c r="J10" s="34"/>
      <c r="K10" s="34"/>
      <c r="L10" s="34"/>
      <c r="M10" s="34"/>
      <c r="N10" s="34"/>
      <c r="O10" s="18"/>
      <c r="P10" s="36">
        <f>ANALIZA!B14</f>
        <v>0.27705401136480334</v>
      </c>
      <c r="Q10" s="36"/>
      <c r="R10" s="36"/>
      <c r="S10" s="36"/>
      <c r="T10" s="36"/>
      <c r="U10" s="36"/>
      <c r="V10" s="18"/>
      <c r="W10" s="37">
        <f>ANALIZA!B15</f>
        <v>1042</v>
      </c>
      <c r="X10" s="37"/>
      <c r="Y10" s="37"/>
      <c r="Z10" s="37"/>
      <c r="AA10" s="37"/>
      <c r="AB10" s="37"/>
      <c r="AC10" s="18"/>
    </row>
    <row r="11" spans="1:29" ht="12.6" customHeight="1" x14ac:dyDescent="0.3">
      <c r="A11" s="18"/>
      <c r="B11" s="34"/>
      <c r="C11" s="34"/>
      <c r="D11" s="34"/>
      <c r="E11" s="34"/>
      <c r="F11" s="34"/>
      <c r="G11" s="34"/>
      <c r="H11" s="18"/>
      <c r="I11" s="34"/>
      <c r="J11" s="34"/>
      <c r="K11" s="34"/>
      <c r="L11" s="34"/>
      <c r="M11" s="34"/>
      <c r="N11" s="34"/>
      <c r="O11" s="18"/>
      <c r="P11" s="36"/>
      <c r="Q11" s="36"/>
      <c r="R11" s="36"/>
      <c r="S11" s="36"/>
      <c r="T11" s="36"/>
      <c r="U11" s="36"/>
      <c r="V11" s="18"/>
      <c r="W11" s="37"/>
      <c r="X11" s="37"/>
      <c r="Y11" s="37"/>
      <c r="Z11" s="37"/>
      <c r="AA11" s="37"/>
      <c r="AB11" s="37"/>
      <c r="AC11" s="18"/>
    </row>
    <row r="12" spans="1:29" ht="12.6" customHeight="1" x14ac:dyDescent="0.3">
      <c r="A12" s="18"/>
      <c r="B12" s="34"/>
      <c r="C12" s="34"/>
      <c r="D12" s="34"/>
      <c r="E12" s="34"/>
      <c r="F12" s="34"/>
      <c r="G12" s="34"/>
      <c r="H12" s="18"/>
      <c r="I12" s="34"/>
      <c r="J12" s="34"/>
      <c r="K12" s="34"/>
      <c r="L12" s="34"/>
      <c r="M12" s="34"/>
      <c r="N12" s="34"/>
      <c r="O12" s="18"/>
      <c r="P12" s="36"/>
      <c r="Q12" s="36"/>
      <c r="R12" s="36"/>
      <c r="S12" s="36"/>
      <c r="T12" s="36"/>
      <c r="U12" s="36"/>
      <c r="V12" s="18"/>
      <c r="W12" s="37"/>
      <c r="X12" s="37"/>
      <c r="Y12" s="37"/>
      <c r="Z12" s="37"/>
      <c r="AA12" s="37"/>
      <c r="AB12" s="37"/>
      <c r="AC12" s="18"/>
    </row>
    <row r="13" spans="1:29" ht="12.6" customHeight="1" x14ac:dyDescent="0.3">
      <c r="A13" s="18"/>
      <c r="B13" s="35" t="s">
        <v>5057</v>
      </c>
      <c r="C13" s="35"/>
      <c r="D13" s="35"/>
      <c r="E13" s="35"/>
      <c r="F13" s="35"/>
      <c r="G13" s="35"/>
      <c r="H13" s="18"/>
      <c r="I13" s="35" t="s">
        <v>5059</v>
      </c>
      <c r="J13" s="35"/>
      <c r="K13" s="35"/>
      <c r="L13" s="35"/>
      <c r="M13" s="35"/>
      <c r="N13" s="35"/>
      <c r="O13" s="18"/>
      <c r="P13" s="35" t="s">
        <v>5061</v>
      </c>
      <c r="Q13" s="35"/>
      <c r="R13" s="35"/>
      <c r="S13" s="35"/>
      <c r="T13" s="35"/>
      <c r="U13" s="35"/>
      <c r="V13" s="18"/>
      <c r="W13" s="35" t="s">
        <v>5117</v>
      </c>
      <c r="X13" s="35"/>
      <c r="Y13" s="35"/>
      <c r="Z13" s="35"/>
      <c r="AA13" s="35"/>
      <c r="AB13" s="35"/>
      <c r="AC13" s="18"/>
    </row>
    <row r="14" spans="1:29" ht="12.6" customHeight="1" x14ac:dyDescent="0.3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</row>
    <row r="15" spans="1:29" ht="12.6" customHeight="1" x14ac:dyDescent="0.3">
      <c r="A15" s="18"/>
      <c r="B15" s="33" t="s">
        <v>5063</v>
      </c>
      <c r="C15" s="33"/>
      <c r="D15" s="33"/>
      <c r="E15" s="33"/>
      <c r="F15" s="33"/>
      <c r="G15" s="33"/>
      <c r="H15" s="18"/>
      <c r="I15" s="33" t="s">
        <v>5065</v>
      </c>
      <c r="J15" s="33"/>
      <c r="K15" s="33"/>
      <c r="L15" s="33"/>
      <c r="M15" s="33"/>
      <c r="N15" s="33"/>
      <c r="O15" s="18"/>
      <c r="P15" s="33" t="s">
        <v>5067</v>
      </c>
      <c r="Q15" s="33"/>
      <c r="R15" s="33"/>
      <c r="S15" s="33"/>
      <c r="T15" s="33"/>
      <c r="U15" s="33"/>
      <c r="V15" s="18"/>
      <c r="W15" s="33" t="s">
        <v>5069</v>
      </c>
      <c r="X15" s="33"/>
      <c r="Y15" s="33"/>
      <c r="Z15" s="33"/>
      <c r="AA15" s="33"/>
      <c r="AB15" s="33"/>
      <c r="AC15" s="18"/>
    </row>
    <row r="16" spans="1:29" ht="12.6" customHeight="1" x14ac:dyDescent="0.3">
      <c r="A16" s="18"/>
      <c r="B16" s="34">
        <f>ANALIZA!B16</f>
        <v>2428.3749712092117</v>
      </c>
      <c r="C16" s="34"/>
      <c r="D16" s="34"/>
      <c r="E16" s="34"/>
      <c r="F16" s="34"/>
      <c r="G16" s="34"/>
      <c r="H16" s="18"/>
      <c r="I16" s="36">
        <f>ANALIZA!B18</f>
        <v>0.98629680326714508</v>
      </c>
      <c r="J16" s="36"/>
      <c r="K16" s="36"/>
      <c r="L16" s="36"/>
      <c r="M16" s="36"/>
      <c r="N16" s="36"/>
      <c r="O16" s="18"/>
      <c r="P16" s="39">
        <f>ANALIZA!B20</f>
        <v>9.0274625021212307E-2</v>
      </c>
      <c r="Q16" s="39"/>
      <c r="R16" s="39"/>
      <c r="S16" s="39"/>
      <c r="T16" s="39"/>
      <c r="U16" s="39"/>
      <c r="V16" s="18"/>
      <c r="W16" s="40" t="str">
        <f>ANALIZA!B21</f>
        <v>Celina Norwicka</v>
      </c>
      <c r="X16" s="40"/>
      <c r="Y16" s="40"/>
      <c r="Z16" s="40"/>
      <c r="AA16" s="40"/>
      <c r="AB16" s="40"/>
      <c r="AC16" s="18"/>
    </row>
    <row r="17" spans="1:29" ht="12.6" customHeight="1" x14ac:dyDescent="0.3">
      <c r="A17" s="18"/>
      <c r="B17" s="34"/>
      <c r="C17" s="34"/>
      <c r="D17" s="34"/>
      <c r="E17" s="34"/>
      <c r="F17" s="34"/>
      <c r="G17" s="34"/>
      <c r="H17" s="18"/>
      <c r="I17" s="36"/>
      <c r="J17" s="36"/>
      <c r="K17" s="36"/>
      <c r="L17" s="36"/>
      <c r="M17" s="36"/>
      <c r="N17" s="36"/>
      <c r="O17" s="18"/>
      <c r="P17" s="39"/>
      <c r="Q17" s="39"/>
      <c r="R17" s="39"/>
      <c r="S17" s="39"/>
      <c r="T17" s="39"/>
      <c r="U17" s="39"/>
      <c r="V17" s="18"/>
      <c r="W17" s="40"/>
      <c r="X17" s="40"/>
      <c r="Y17" s="40"/>
      <c r="Z17" s="40"/>
      <c r="AA17" s="40"/>
      <c r="AB17" s="40"/>
      <c r="AC17" s="18"/>
    </row>
    <row r="18" spans="1:29" ht="12.6" customHeight="1" x14ac:dyDescent="0.3">
      <c r="A18" s="18"/>
      <c r="B18" s="34"/>
      <c r="C18" s="34"/>
      <c r="D18" s="34"/>
      <c r="E18" s="34"/>
      <c r="F18" s="34"/>
      <c r="G18" s="34"/>
      <c r="H18" s="18"/>
      <c r="I18" s="36"/>
      <c r="J18" s="36"/>
      <c r="K18" s="36"/>
      <c r="L18" s="36"/>
      <c r="M18" s="36"/>
      <c r="N18" s="36"/>
      <c r="O18" s="18"/>
      <c r="P18" s="39"/>
      <c r="Q18" s="39"/>
      <c r="R18" s="39"/>
      <c r="S18" s="39"/>
      <c r="T18" s="39"/>
      <c r="U18" s="39"/>
      <c r="V18" s="18"/>
      <c r="W18" s="40"/>
      <c r="X18" s="40"/>
      <c r="Y18" s="40"/>
      <c r="Z18" s="40"/>
      <c r="AA18" s="40"/>
      <c r="AB18" s="40"/>
      <c r="AC18" s="18"/>
    </row>
    <row r="19" spans="1:29" ht="12.6" customHeight="1" x14ac:dyDescent="0.3">
      <c r="A19" s="18"/>
      <c r="B19" s="35" t="s">
        <v>5064</v>
      </c>
      <c r="C19" s="35"/>
      <c r="D19" s="35"/>
      <c r="E19" s="35"/>
      <c r="F19" s="35"/>
      <c r="G19" s="35"/>
      <c r="H19" s="18"/>
      <c r="I19" s="35" t="s">
        <v>5066</v>
      </c>
      <c r="J19" s="35"/>
      <c r="K19" s="35"/>
      <c r="L19" s="35"/>
      <c r="M19" s="35"/>
      <c r="N19" s="35"/>
      <c r="O19" s="18"/>
      <c r="P19" s="35" t="s">
        <v>5068</v>
      </c>
      <c r="Q19" s="35"/>
      <c r="R19" s="35"/>
      <c r="S19" s="35"/>
      <c r="T19" s="35"/>
      <c r="U19" s="35"/>
      <c r="V19" s="18"/>
      <c r="W19" s="35" t="s">
        <v>5070</v>
      </c>
      <c r="X19" s="35"/>
      <c r="Y19" s="35"/>
      <c r="Z19" s="35"/>
      <c r="AA19" s="35"/>
      <c r="AB19" s="35"/>
      <c r="AC19" s="18"/>
    </row>
    <row r="20" spans="1:29" ht="12.6" customHeight="1" x14ac:dyDescent="0.3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</row>
    <row r="21" spans="1:29" ht="12.6" customHeight="1" x14ac:dyDescent="0.3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</row>
    <row r="22" spans="1:29" ht="12.6" customHeight="1" x14ac:dyDescent="0.3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</row>
    <row r="23" spans="1:29" ht="12.6" customHeight="1" x14ac:dyDescent="0.3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</row>
    <row r="24" spans="1:29" ht="12.6" customHeight="1" x14ac:dyDescent="0.3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</row>
    <row r="25" spans="1:29" ht="12.6" customHeight="1" x14ac:dyDescent="0.3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</row>
    <row r="26" spans="1:29" ht="12.6" customHeight="1" x14ac:dyDescent="0.3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</row>
    <row r="27" spans="1:29" ht="12.6" customHeight="1" x14ac:dyDescent="0.3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</row>
    <row r="28" spans="1:29" ht="12.6" customHeight="1" x14ac:dyDescent="0.3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</row>
    <row r="29" spans="1:29" ht="12.6" customHeight="1" x14ac:dyDescent="0.3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</row>
    <row r="30" spans="1:29" ht="12.6" customHeight="1" x14ac:dyDescent="0.3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</row>
    <row r="31" spans="1:29" ht="12.6" customHeight="1" x14ac:dyDescent="0.3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</row>
    <row r="32" spans="1:29" ht="12.6" customHeight="1" x14ac:dyDescent="0.3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</row>
    <row r="33" spans="1:29" ht="12.6" customHeight="1" x14ac:dyDescent="0.3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</row>
    <row r="34" spans="1:29" ht="12.6" customHeight="1" x14ac:dyDescent="0.3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</row>
    <row r="35" spans="1:29" ht="12.6" customHeight="1" x14ac:dyDescent="0.3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</row>
    <row r="36" spans="1:29" ht="12.6" customHeight="1" x14ac:dyDescent="0.3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</row>
    <row r="37" spans="1:29" ht="12.6" customHeight="1" x14ac:dyDescent="0.3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</row>
    <row r="38" spans="1:29" ht="12.6" customHeight="1" x14ac:dyDescent="0.3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</row>
    <row r="39" spans="1:29" ht="12.6" customHeight="1" x14ac:dyDescent="0.3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</row>
    <row r="40" spans="1:29" ht="12.6" customHeight="1" x14ac:dyDescent="0.3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</row>
    <row r="41" spans="1:29" ht="12.6" customHeight="1" x14ac:dyDescent="0.3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</row>
    <row r="42" spans="1:29" ht="12.6" customHeight="1" x14ac:dyDescent="0.3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</row>
    <row r="43" spans="1:29" ht="12.6" customHeight="1" x14ac:dyDescent="0.3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</row>
    <row r="44" spans="1:29" ht="12.6" customHeight="1" x14ac:dyDescent="0.3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</row>
    <row r="45" spans="1:29" ht="12.6" customHeight="1" x14ac:dyDescent="0.3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</row>
    <row r="46" spans="1:29" ht="12.6" customHeigh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</row>
    <row r="47" spans="1:29" ht="12.6" customHeight="1" x14ac:dyDescent="0.3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</row>
    <row r="48" spans="1:29" ht="12.6" customHeight="1" x14ac:dyDescent="0.3">
      <c r="A48" s="18"/>
      <c r="B48" s="31" t="str">
        <f>IF(ANALIZA!B7&lt;ANALIZA!B6,"Brak danych w okresie","Okres: "&amp;YEAR(ANALIZA!B6)&amp;"-"&amp;RIGHT("0"&amp;MONTH(ANALIZA!B6),2)&amp;"-"&amp;RIGHT("0"&amp;DAY(ANALIZA!B6),2)&amp;" - "&amp;YEAR(ANALIZA!B7)&amp;"-"&amp;RIGHT("0"&amp;MONTH(ANALIZA!B7),2)&amp;"-"&amp;RIGHT("0"&amp;DAY(ANALIZA!B7),2)&amp;" | Baza: "&amp;YEAR(ANALIZA!B8)&amp;"-"&amp;RIGHT("0"&amp;MONTH(ANALIZA!B8),2)&amp;"-"&amp;RIGHT("0"&amp;DAY(ANALIZA!B8),2)&amp;" - "&amp;YEAR(ANALIZA!B9)&amp;"-"&amp;RIGHT("0"&amp;MONTH(ANALIZA!B9),2)&amp;"-"&amp;RIGHT("0"&amp;DAY(ANALIZA!B9),2))&amp;" | Cele: "&amp;ANALIZA!B24</f>
        <v>Okres: 2026-01-01 - 2026-10-09 | Baza: 2025-01-01 - 2025-10-09 | Cele: OK</v>
      </c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18"/>
    </row>
    <row r="49" spans="1:29" ht="12.6" customHeight="1" x14ac:dyDescent="0.3">
      <c r="A49" s="18"/>
      <c r="B49" s="38" t="s">
        <v>5116</v>
      </c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18"/>
    </row>
  </sheetData>
  <sheetProtection algorithmName="SHA-512" hashValue="gEDBv93Y0NKlS+rk/BAKqxoBX6xR/4hfvoSj1lbj4iI2pWmfJjxDn7j/pCF2lhEjraHHszZ6kKD48guRgvlJGw==" saltValue="GEopTjcak7KDd4ieouMIXA==" spinCount="100000" sheet="1" objects="1" scenarios="1" selectLockedCells="1"/>
  <mergeCells count="35">
    <mergeCell ref="B48:AB48"/>
    <mergeCell ref="B49:AB49"/>
    <mergeCell ref="P15:U15"/>
    <mergeCell ref="P16:U18"/>
    <mergeCell ref="P19:U19"/>
    <mergeCell ref="W15:AB15"/>
    <mergeCell ref="W16:AB18"/>
    <mergeCell ref="W19:AB19"/>
    <mergeCell ref="B15:G15"/>
    <mergeCell ref="B16:G18"/>
    <mergeCell ref="B19:G19"/>
    <mergeCell ref="I15:N15"/>
    <mergeCell ref="I16:N18"/>
    <mergeCell ref="I19:N19"/>
    <mergeCell ref="P9:U9"/>
    <mergeCell ref="P10:U12"/>
    <mergeCell ref="P13:U13"/>
    <mergeCell ref="W9:AB9"/>
    <mergeCell ref="W10:AB12"/>
    <mergeCell ref="W13:AB13"/>
    <mergeCell ref="B9:G9"/>
    <mergeCell ref="B10:G12"/>
    <mergeCell ref="B13:G13"/>
    <mergeCell ref="I9:N9"/>
    <mergeCell ref="I10:N12"/>
    <mergeCell ref="I13:N13"/>
    <mergeCell ref="B1:AB1"/>
    <mergeCell ref="B2:AB2"/>
    <mergeCell ref="B6:B7"/>
    <mergeCell ref="I6:I7"/>
    <mergeCell ref="P6:P7"/>
    <mergeCell ref="W6:AB7"/>
    <mergeCell ref="C6:G7"/>
    <mergeCell ref="Q6:U7"/>
    <mergeCell ref="J6:N7"/>
  </mergeCells>
  <conditionalFormatting sqref="I16">
    <cfRule type="cellIs" dxfId="48" priority="1" stopIfTrue="1" operator="lessThan">
      <formula>1</formula>
    </cfRule>
  </conditionalFormatting>
  <conditionalFormatting sqref="P16">
    <cfRule type="cellIs" dxfId="47" priority="2" stopIfTrue="1" operator="lessThan">
      <formula>0</formula>
    </cfRule>
  </conditionalFormatting>
  <dataValidations count="4">
    <dataValidation type="list" showInputMessage="1" showErrorMessage="1" errorTitle="Wybierz pozycję z listy" error="Wartość musi występować w słowniku." sqref="J6" xr:uid="{8B7AA93E-9F93-4CD9-87F2-51C306497104}">
      <formula1>lstMiesiace</formula1>
    </dataValidation>
    <dataValidation type="list" showInputMessage="1" showErrorMessage="1" errorTitle="Wybierz pozycję z listy" error="Wartość musi występować w słowniku." sqref="C6" xr:uid="{826DE00E-C430-43B4-9A01-35B834C8F442}">
      <formula1>lstLata</formula1>
    </dataValidation>
    <dataValidation type="list" showInputMessage="1" showErrorMessage="1" errorTitle="Wybierz pozycję z listy" error="Wartość musi występować w słowniku." sqref="I6" xr:uid="{BD63A3C1-6ECA-477F-8563-113CDC0A4F42}">
      <formula1>lstMiesiace</formula1>
    </dataValidation>
    <dataValidation type="list" showInputMessage="1" showErrorMessage="1" errorTitle="Wybierz pozycję z listy" error="Wartość musi występować w słowniku." sqref="Q6" xr:uid="{8D929BAD-A6F6-4A39-A3BD-93DB2F340F70}">
      <formula1>lstRegionFiltr</formula1>
    </dataValidation>
  </dataValidations>
  <printOptions horizontalCentered="1" verticalCentered="1"/>
  <pageMargins left="0.27559055118110232" right="0.27559055118110232" top="0.27559055118110232" bottom="0.27559055118110232" header="0.3" footer="0.3"/>
  <pageSetup paperSize="9" scale="63" orientation="landscape" r:id="rId1"/>
  <headerFooter>
    <oddFooter>&amp;CExcelNaLuzie.pl&amp;R&amp;P /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7CFB2-3705-4604-890D-36C938C2E53C}">
  <sheetPr codeName="Arkusz3">
    <tabColor rgb="FF107C41"/>
  </sheetPr>
  <dimension ref="A1:S2440"/>
  <sheetViews>
    <sheetView zoomScale="93" zoomScaleNormal="93" workbookViewId="0"/>
  </sheetViews>
  <sheetFormatPr defaultColWidth="10.19921875" defaultRowHeight="15" x14ac:dyDescent="0.25"/>
  <cols>
    <col min="1" max="16384" width="10.19921875" style="1"/>
  </cols>
  <sheetData>
    <row r="1" spans="1:19" ht="28.5" x14ac:dyDescent="0.45">
      <c r="A1" s="2" t="s">
        <v>0</v>
      </c>
    </row>
    <row r="3" spans="1:19" x14ac:dyDescent="0.25">
      <c r="A3" s="1" t="s">
        <v>5049</v>
      </c>
    </row>
    <row r="5" spans="1:19" ht="33.950000000000003" customHeight="1" x14ac:dyDescent="0.25">
      <c r="A5" s="6" t="s">
        <v>166</v>
      </c>
      <c r="B5" s="6" t="s">
        <v>167</v>
      </c>
      <c r="C5" s="6" t="s">
        <v>168</v>
      </c>
      <c r="D5" s="6" t="s">
        <v>24</v>
      </c>
      <c r="E5" s="6" t="s">
        <v>21</v>
      </c>
      <c r="F5" s="6" t="s">
        <v>23</v>
      </c>
      <c r="G5" s="6" t="s">
        <v>19</v>
      </c>
      <c r="H5" s="6" t="s">
        <v>20</v>
      </c>
      <c r="I5" s="6" t="s">
        <v>169</v>
      </c>
      <c r="J5" s="6" t="s">
        <v>170</v>
      </c>
      <c r="K5" s="6" t="s">
        <v>171</v>
      </c>
      <c r="L5" s="6" t="s">
        <v>172</v>
      </c>
      <c r="M5" s="6" t="s">
        <v>173</v>
      </c>
      <c r="N5" s="6" t="s">
        <v>174</v>
      </c>
      <c r="O5" s="6" t="s">
        <v>175</v>
      </c>
      <c r="P5" s="6" t="s">
        <v>176</v>
      </c>
      <c r="Q5" s="6" t="s">
        <v>177</v>
      </c>
      <c r="R5" s="6" t="s">
        <v>25</v>
      </c>
      <c r="S5" s="6" t="s">
        <v>178</v>
      </c>
    </row>
    <row r="6" spans="1:19" x14ac:dyDescent="0.25">
      <c r="A6" s="7" t="s">
        <v>179</v>
      </c>
      <c r="B6" s="10">
        <v>45658</v>
      </c>
      <c r="C6" s="7" t="s">
        <v>180</v>
      </c>
      <c r="D6" s="8" t="s">
        <v>114</v>
      </c>
      <c r="E6" s="8" t="s">
        <v>71</v>
      </c>
      <c r="F6" s="8" t="s">
        <v>35</v>
      </c>
      <c r="G6" s="8" t="s">
        <v>30</v>
      </c>
      <c r="H6" s="8" t="s">
        <v>40</v>
      </c>
      <c r="I6" s="11">
        <v>10</v>
      </c>
      <c r="J6" s="12">
        <v>55.76</v>
      </c>
      <c r="K6" s="13">
        <v>0.15</v>
      </c>
      <c r="L6" s="12">
        <v>40.25</v>
      </c>
      <c r="M6" s="14">
        <f>ROUND(tblSprzedaz[[#This Row],[Ilość]]*tblSprzedaz[[#This Row],[Cena netto jednostkowa]]*(1-tblSprzedaz[[#This Row],[Rabat %]]),2)</f>
        <v>473.96</v>
      </c>
      <c r="N6" s="14">
        <f>ROUND(tblSprzedaz[[#This Row],[Ilość]]*tblSprzedaz[[#This Row],[Koszt jednostkowy netto]],2)</f>
        <v>402.5</v>
      </c>
      <c r="O6" s="14">
        <f>tblSprzedaz[[#This Row],[Przychód netto]]-tblSprzedaz[[#This Row],[Koszt całkowity netto]]</f>
        <v>71.45999999999998</v>
      </c>
      <c r="P6" s="15">
        <f>IFERROR(tblSprzedaz[[#This Row],[Marża kwotowa]]/tblSprzedaz[[#This Row],[Przychód netto]],0)</f>
        <v>0.15077221706473115</v>
      </c>
      <c r="Q6" s="16">
        <f>YEAR(tblSprzedaz[[#This Row],[Data]])</f>
        <v>2025</v>
      </c>
      <c r="R6" s="16">
        <f>MONTH(tblSprzedaz[[#This Row],[Data]])</f>
        <v>1</v>
      </c>
      <c r="S6" s="9" t="str">
        <f>YEAR(tblSprzedaz[[#This Row],[Data]])&amp;"-"&amp;RIGHT("0"&amp;MONTH(tblSprzedaz[[#This Row],[Data]]),2)</f>
        <v>2025-01</v>
      </c>
    </row>
    <row r="7" spans="1:19" x14ac:dyDescent="0.25">
      <c r="A7" s="7" t="s">
        <v>181</v>
      </c>
      <c r="B7" s="10">
        <v>45658</v>
      </c>
      <c r="C7" s="7" t="s">
        <v>182</v>
      </c>
      <c r="D7" s="8" t="s">
        <v>88</v>
      </c>
      <c r="E7" s="8" t="s">
        <v>50</v>
      </c>
      <c r="F7" s="8" t="s">
        <v>29</v>
      </c>
      <c r="G7" s="8" t="s">
        <v>28</v>
      </c>
      <c r="H7" s="8" t="s">
        <v>39</v>
      </c>
      <c r="I7" s="11">
        <v>5</v>
      </c>
      <c r="J7" s="12">
        <v>45.22</v>
      </c>
      <c r="K7" s="13">
        <v>0</v>
      </c>
      <c r="L7" s="12">
        <v>26.51</v>
      </c>
      <c r="M7" s="14">
        <f>ROUND(tblSprzedaz[[#This Row],[Ilość]]*tblSprzedaz[[#This Row],[Cena netto jednostkowa]]*(1-tblSprzedaz[[#This Row],[Rabat %]]),2)</f>
        <v>226.1</v>
      </c>
      <c r="N7" s="14">
        <f>ROUND(tblSprzedaz[[#This Row],[Ilość]]*tblSprzedaz[[#This Row],[Koszt jednostkowy netto]],2)</f>
        <v>132.55000000000001</v>
      </c>
      <c r="O7" s="14">
        <f>tblSprzedaz[[#This Row],[Przychód netto]]-tblSprzedaz[[#This Row],[Koszt całkowity netto]]</f>
        <v>93.549999999999983</v>
      </c>
      <c r="P7" s="15">
        <f>IFERROR(tblSprzedaz[[#This Row],[Marża kwotowa]]/tblSprzedaz[[#This Row],[Przychód netto]],0)</f>
        <v>0.41375497567448027</v>
      </c>
      <c r="Q7" s="16">
        <f>YEAR(tblSprzedaz[[#This Row],[Data]])</f>
        <v>2025</v>
      </c>
      <c r="R7" s="16">
        <f>MONTH(tblSprzedaz[[#This Row],[Data]])</f>
        <v>1</v>
      </c>
      <c r="S7" s="9" t="str">
        <f>YEAR(tblSprzedaz[[#This Row],[Data]])&amp;"-"&amp;RIGHT("0"&amp;MONTH(tblSprzedaz[[#This Row],[Data]]),2)</f>
        <v>2025-01</v>
      </c>
    </row>
    <row r="8" spans="1:19" x14ac:dyDescent="0.25">
      <c r="A8" s="7" t="s">
        <v>183</v>
      </c>
      <c r="B8" s="10">
        <v>45658</v>
      </c>
      <c r="C8" s="7" t="s">
        <v>184</v>
      </c>
      <c r="D8" s="8" t="s">
        <v>151</v>
      </c>
      <c r="E8" s="8" t="s">
        <v>50</v>
      </c>
      <c r="F8" s="8" t="s">
        <v>29</v>
      </c>
      <c r="G8" s="8" t="s">
        <v>34</v>
      </c>
      <c r="H8" s="8" t="s">
        <v>44</v>
      </c>
      <c r="I8" s="11">
        <v>5</v>
      </c>
      <c r="J8" s="12">
        <v>45.22</v>
      </c>
      <c r="K8" s="13">
        <v>0</v>
      </c>
      <c r="L8" s="12">
        <v>27.87</v>
      </c>
      <c r="M8" s="14">
        <f>ROUND(tblSprzedaz[[#This Row],[Ilość]]*tblSprzedaz[[#This Row],[Cena netto jednostkowa]]*(1-tblSprzedaz[[#This Row],[Rabat %]]),2)</f>
        <v>226.1</v>
      </c>
      <c r="N8" s="14">
        <f>ROUND(tblSprzedaz[[#This Row],[Ilość]]*tblSprzedaz[[#This Row],[Koszt jednostkowy netto]],2)</f>
        <v>139.35</v>
      </c>
      <c r="O8" s="14">
        <f>tblSprzedaz[[#This Row],[Przychód netto]]-tblSprzedaz[[#This Row],[Koszt całkowity netto]]</f>
        <v>86.75</v>
      </c>
      <c r="P8" s="15">
        <f>IFERROR(tblSprzedaz[[#This Row],[Marża kwotowa]]/tblSprzedaz[[#This Row],[Przychód netto]],0)</f>
        <v>0.38367978770455552</v>
      </c>
      <c r="Q8" s="16">
        <f>YEAR(tblSprzedaz[[#This Row],[Data]])</f>
        <v>2025</v>
      </c>
      <c r="R8" s="16">
        <f>MONTH(tblSprzedaz[[#This Row],[Data]])</f>
        <v>1</v>
      </c>
      <c r="S8" s="9" t="str">
        <f>YEAR(tblSprzedaz[[#This Row],[Data]])&amp;"-"&amp;RIGHT("0"&amp;MONTH(tblSprzedaz[[#This Row],[Data]]),2)</f>
        <v>2025-01</v>
      </c>
    </row>
    <row r="9" spans="1:19" x14ac:dyDescent="0.25">
      <c r="A9" s="7" t="s">
        <v>185</v>
      </c>
      <c r="B9" s="10">
        <v>45658</v>
      </c>
      <c r="C9" s="7" t="s">
        <v>186</v>
      </c>
      <c r="D9" s="8" t="s">
        <v>117</v>
      </c>
      <c r="E9" s="8" t="s">
        <v>57</v>
      </c>
      <c r="F9" s="8" t="s">
        <v>31</v>
      </c>
      <c r="G9" s="8" t="s">
        <v>36</v>
      </c>
      <c r="H9" s="8" t="s">
        <v>47</v>
      </c>
      <c r="I9" s="11">
        <v>7</v>
      </c>
      <c r="J9" s="12">
        <v>315</v>
      </c>
      <c r="K9" s="13">
        <v>0.05</v>
      </c>
      <c r="L9" s="12">
        <v>211.16</v>
      </c>
      <c r="M9" s="14">
        <f>ROUND(tblSprzedaz[[#This Row],[Ilość]]*tblSprzedaz[[#This Row],[Cena netto jednostkowa]]*(1-tblSprzedaz[[#This Row],[Rabat %]]),2)</f>
        <v>2094.75</v>
      </c>
      <c r="N9" s="14">
        <f>ROUND(tblSprzedaz[[#This Row],[Ilość]]*tblSprzedaz[[#This Row],[Koszt jednostkowy netto]],2)</f>
        <v>1478.12</v>
      </c>
      <c r="O9" s="14">
        <f>tblSprzedaz[[#This Row],[Przychód netto]]-tblSprzedaz[[#This Row],[Koszt całkowity netto]]</f>
        <v>616.63000000000011</v>
      </c>
      <c r="P9" s="15">
        <f>IFERROR(tblSprzedaz[[#This Row],[Marża kwotowa]]/tblSprzedaz[[#This Row],[Przychód netto]],0)</f>
        <v>0.29436925647451967</v>
      </c>
      <c r="Q9" s="16">
        <f>YEAR(tblSprzedaz[[#This Row],[Data]])</f>
        <v>2025</v>
      </c>
      <c r="R9" s="16">
        <f>MONTH(tblSprzedaz[[#This Row],[Data]])</f>
        <v>1</v>
      </c>
      <c r="S9" s="9" t="str">
        <f>YEAR(tblSprzedaz[[#This Row],[Data]])&amp;"-"&amp;RIGHT("0"&amp;MONTH(tblSprzedaz[[#This Row],[Data]]),2)</f>
        <v>2025-01</v>
      </c>
    </row>
    <row r="10" spans="1:19" x14ac:dyDescent="0.25">
      <c r="A10" s="7" t="s">
        <v>187</v>
      </c>
      <c r="B10" s="10">
        <v>45659</v>
      </c>
      <c r="C10" s="7" t="s">
        <v>188</v>
      </c>
      <c r="D10" s="8" t="s">
        <v>133</v>
      </c>
      <c r="E10" s="8" t="s">
        <v>62</v>
      </c>
      <c r="F10" s="8" t="s">
        <v>33</v>
      </c>
      <c r="G10" s="8" t="s">
        <v>30</v>
      </c>
      <c r="H10" s="8" t="s">
        <v>41</v>
      </c>
      <c r="I10" s="11">
        <v>7</v>
      </c>
      <c r="J10" s="12">
        <v>611.79999999999995</v>
      </c>
      <c r="K10" s="13">
        <v>0.1</v>
      </c>
      <c r="L10" s="12">
        <v>396.44</v>
      </c>
      <c r="M10" s="14">
        <f>ROUND(tblSprzedaz[[#This Row],[Ilość]]*tblSprzedaz[[#This Row],[Cena netto jednostkowa]]*(1-tblSprzedaz[[#This Row],[Rabat %]]),2)</f>
        <v>3854.34</v>
      </c>
      <c r="N10" s="14">
        <f>ROUND(tblSprzedaz[[#This Row],[Ilość]]*tblSprzedaz[[#This Row],[Koszt jednostkowy netto]],2)</f>
        <v>2775.08</v>
      </c>
      <c r="O10" s="14">
        <f>tblSprzedaz[[#This Row],[Przychód netto]]-tblSprzedaz[[#This Row],[Koszt całkowity netto]]</f>
        <v>1079.2600000000002</v>
      </c>
      <c r="P10" s="15">
        <f>IFERROR(tblSprzedaz[[#This Row],[Marża kwotowa]]/tblSprzedaz[[#This Row],[Przychód netto]],0)</f>
        <v>0.28001162326105122</v>
      </c>
      <c r="Q10" s="16">
        <f>YEAR(tblSprzedaz[[#This Row],[Data]])</f>
        <v>2025</v>
      </c>
      <c r="R10" s="16">
        <f>MONTH(tblSprzedaz[[#This Row],[Data]])</f>
        <v>1</v>
      </c>
      <c r="S10" s="9" t="str">
        <f>YEAR(tblSprzedaz[[#This Row],[Data]])&amp;"-"&amp;RIGHT("0"&amp;MONTH(tblSprzedaz[[#This Row],[Data]]),2)</f>
        <v>2025-01</v>
      </c>
    </row>
    <row r="11" spans="1:19" x14ac:dyDescent="0.25">
      <c r="A11" s="7" t="s">
        <v>189</v>
      </c>
      <c r="B11" s="10">
        <v>45659</v>
      </c>
      <c r="C11" s="7" t="s">
        <v>190</v>
      </c>
      <c r="D11" s="8" t="s">
        <v>98</v>
      </c>
      <c r="E11" s="8" t="s">
        <v>52</v>
      </c>
      <c r="F11" s="8" t="s">
        <v>29</v>
      </c>
      <c r="G11" s="8" t="s">
        <v>30</v>
      </c>
      <c r="H11" s="8" t="s">
        <v>40</v>
      </c>
      <c r="I11" s="11">
        <v>8</v>
      </c>
      <c r="J11" s="12">
        <v>56.78</v>
      </c>
      <c r="K11" s="13">
        <v>0</v>
      </c>
      <c r="L11" s="12">
        <v>33.57</v>
      </c>
      <c r="M11" s="14">
        <f>ROUND(tblSprzedaz[[#This Row],[Ilość]]*tblSprzedaz[[#This Row],[Cena netto jednostkowa]]*(1-tblSprzedaz[[#This Row],[Rabat %]]),2)</f>
        <v>454.24</v>
      </c>
      <c r="N11" s="14">
        <f>ROUND(tblSprzedaz[[#This Row],[Ilość]]*tblSprzedaz[[#This Row],[Koszt jednostkowy netto]],2)</f>
        <v>268.56</v>
      </c>
      <c r="O11" s="14">
        <f>tblSprzedaz[[#This Row],[Przychód netto]]-tblSprzedaz[[#This Row],[Koszt całkowity netto]]</f>
        <v>185.68</v>
      </c>
      <c r="P11" s="15">
        <f>IFERROR(tblSprzedaz[[#This Row],[Marża kwotowa]]/tblSprzedaz[[#This Row],[Przychód netto]],0)</f>
        <v>0.40877069390630505</v>
      </c>
      <c r="Q11" s="16">
        <f>YEAR(tblSprzedaz[[#This Row],[Data]])</f>
        <v>2025</v>
      </c>
      <c r="R11" s="16">
        <f>MONTH(tblSprzedaz[[#This Row],[Data]])</f>
        <v>1</v>
      </c>
      <c r="S11" s="9" t="str">
        <f>YEAR(tblSprzedaz[[#This Row],[Data]])&amp;"-"&amp;RIGHT("0"&amp;MONTH(tblSprzedaz[[#This Row],[Data]]),2)</f>
        <v>2025-01</v>
      </c>
    </row>
    <row r="12" spans="1:19" x14ac:dyDescent="0.25">
      <c r="A12" s="7" t="s">
        <v>191</v>
      </c>
      <c r="B12" s="10">
        <v>45659</v>
      </c>
      <c r="C12" s="7" t="s">
        <v>192</v>
      </c>
      <c r="D12" s="8" t="s">
        <v>120</v>
      </c>
      <c r="E12" s="8" t="s">
        <v>60</v>
      </c>
      <c r="F12" s="8" t="s">
        <v>33</v>
      </c>
      <c r="G12" s="8" t="s">
        <v>36</v>
      </c>
      <c r="H12" s="8" t="s">
        <v>47</v>
      </c>
      <c r="I12" s="11">
        <v>11</v>
      </c>
      <c r="J12" s="12">
        <v>455.4</v>
      </c>
      <c r="K12" s="13">
        <v>0</v>
      </c>
      <c r="L12" s="12">
        <v>299.94</v>
      </c>
      <c r="M12" s="14">
        <f>ROUND(tblSprzedaz[[#This Row],[Ilość]]*tblSprzedaz[[#This Row],[Cena netto jednostkowa]]*(1-tblSprzedaz[[#This Row],[Rabat %]]),2)</f>
        <v>5009.3999999999996</v>
      </c>
      <c r="N12" s="14">
        <f>ROUND(tblSprzedaz[[#This Row],[Ilość]]*tblSprzedaz[[#This Row],[Koszt jednostkowy netto]],2)</f>
        <v>3299.34</v>
      </c>
      <c r="O12" s="14">
        <f>tblSprzedaz[[#This Row],[Przychód netto]]-tblSprzedaz[[#This Row],[Koszt całkowity netto]]</f>
        <v>1710.0599999999995</v>
      </c>
      <c r="P12" s="15">
        <f>IFERROR(tblSprzedaz[[#This Row],[Marża kwotowa]]/tblSprzedaz[[#This Row],[Przychód netto]],0)</f>
        <v>0.34137022397891953</v>
      </c>
      <c r="Q12" s="16">
        <f>YEAR(tblSprzedaz[[#This Row],[Data]])</f>
        <v>2025</v>
      </c>
      <c r="R12" s="16">
        <f>MONTH(tblSprzedaz[[#This Row],[Data]])</f>
        <v>1</v>
      </c>
      <c r="S12" s="9" t="str">
        <f>YEAR(tblSprzedaz[[#This Row],[Data]])&amp;"-"&amp;RIGHT("0"&amp;MONTH(tblSprzedaz[[#This Row],[Data]]),2)</f>
        <v>2025-01</v>
      </c>
    </row>
    <row r="13" spans="1:19" x14ac:dyDescent="0.25">
      <c r="A13" s="7" t="s">
        <v>193</v>
      </c>
      <c r="B13" s="10">
        <v>45660</v>
      </c>
      <c r="C13" s="7" t="s">
        <v>194</v>
      </c>
      <c r="D13" s="8" t="s">
        <v>138</v>
      </c>
      <c r="E13" s="8" t="s">
        <v>77</v>
      </c>
      <c r="F13" s="8" t="s">
        <v>37</v>
      </c>
      <c r="G13" s="8" t="s">
        <v>32</v>
      </c>
      <c r="H13" s="8" t="s">
        <v>42</v>
      </c>
      <c r="I13" s="11">
        <v>15</v>
      </c>
      <c r="J13" s="12">
        <v>77.900000000000006</v>
      </c>
      <c r="K13" s="13">
        <v>0.15</v>
      </c>
      <c r="L13" s="12">
        <v>62.53</v>
      </c>
      <c r="M13" s="14">
        <f>ROUND(tblSprzedaz[[#This Row],[Ilość]]*tblSprzedaz[[#This Row],[Cena netto jednostkowa]]*(1-tblSprzedaz[[#This Row],[Rabat %]]),2)</f>
        <v>993.23</v>
      </c>
      <c r="N13" s="14">
        <f>ROUND(tblSprzedaz[[#This Row],[Ilość]]*tblSprzedaz[[#This Row],[Koszt jednostkowy netto]],2)</f>
        <v>937.95</v>
      </c>
      <c r="O13" s="14">
        <f>tblSprzedaz[[#This Row],[Przychód netto]]-tblSprzedaz[[#This Row],[Koszt całkowity netto]]</f>
        <v>55.279999999999973</v>
      </c>
      <c r="P13" s="15">
        <f>IFERROR(tblSprzedaz[[#This Row],[Marża kwotowa]]/tblSprzedaz[[#This Row],[Przychód netto]],0)</f>
        <v>5.5656796512388841E-2</v>
      </c>
      <c r="Q13" s="16">
        <f>YEAR(tblSprzedaz[[#This Row],[Data]])</f>
        <v>2025</v>
      </c>
      <c r="R13" s="16">
        <f>MONTH(tblSprzedaz[[#This Row],[Data]])</f>
        <v>1</v>
      </c>
      <c r="S13" s="9" t="str">
        <f>YEAR(tblSprzedaz[[#This Row],[Data]])&amp;"-"&amp;RIGHT("0"&amp;MONTH(tblSprzedaz[[#This Row],[Data]]),2)</f>
        <v>2025-01</v>
      </c>
    </row>
    <row r="14" spans="1:19" x14ac:dyDescent="0.25">
      <c r="A14" s="7" t="s">
        <v>195</v>
      </c>
      <c r="B14" s="10">
        <v>45660</v>
      </c>
      <c r="C14" s="7" t="s">
        <v>196</v>
      </c>
      <c r="D14" s="8" t="s">
        <v>115</v>
      </c>
      <c r="E14" s="8" t="s">
        <v>72</v>
      </c>
      <c r="F14" s="8" t="s">
        <v>37</v>
      </c>
      <c r="G14" s="8" t="s">
        <v>36</v>
      </c>
      <c r="H14" s="8" t="s">
        <v>46</v>
      </c>
      <c r="I14" s="11">
        <v>12</v>
      </c>
      <c r="J14" s="12">
        <v>94.05</v>
      </c>
      <c r="K14" s="13">
        <v>0</v>
      </c>
      <c r="L14" s="12">
        <v>70.319999999999993</v>
      </c>
      <c r="M14" s="14">
        <f>ROUND(tblSprzedaz[[#This Row],[Ilość]]*tblSprzedaz[[#This Row],[Cena netto jednostkowa]]*(1-tblSprzedaz[[#This Row],[Rabat %]]),2)</f>
        <v>1128.5999999999999</v>
      </c>
      <c r="N14" s="14">
        <f>ROUND(tblSprzedaz[[#This Row],[Ilość]]*tblSprzedaz[[#This Row],[Koszt jednostkowy netto]],2)</f>
        <v>843.84</v>
      </c>
      <c r="O14" s="14">
        <f>tblSprzedaz[[#This Row],[Przychód netto]]-tblSprzedaz[[#This Row],[Koszt całkowity netto]]</f>
        <v>284.75999999999988</v>
      </c>
      <c r="P14" s="15">
        <f>IFERROR(tblSprzedaz[[#This Row],[Marża kwotowa]]/tblSprzedaz[[#This Row],[Przychód netto]],0)</f>
        <v>0.25231259968102066</v>
      </c>
      <c r="Q14" s="16">
        <f>YEAR(tblSprzedaz[[#This Row],[Data]])</f>
        <v>2025</v>
      </c>
      <c r="R14" s="16">
        <f>MONTH(tblSprzedaz[[#This Row],[Data]])</f>
        <v>1</v>
      </c>
      <c r="S14" s="9" t="str">
        <f>YEAR(tblSprzedaz[[#This Row],[Data]])&amp;"-"&amp;RIGHT("0"&amp;MONTH(tblSprzedaz[[#This Row],[Data]]),2)</f>
        <v>2025-01</v>
      </c>
    </row>
    <row r="15" spans="1:19" x14ac:dyDescent="0.25">
      <c r="A15" s="7" t="s">
        <v>197</v>
      </c>
      <c r="B15" s="10">
        <v>45660</v>
      </c>
      <c r="C15" s="7" t="s">
        <v>198</v>
      </c>
      <c r="D15" s="8" t="s">
        <v>131</v>
      </c>
      <c r="E15" s="8" t="s">
        <v>68</v>
      </c>
      <c r="F15" s="8" t="s">
        <v>35</v>
      </c>
      <c r="G15" s="8" t="s">
        <v>32</v>
      </c>
      <c r="H15" s="8" t="s">
        <v>43</v>
      </c>
      <c r="I15" s="11">
        <v>18</v>
      </c>
      <c r="J15" s="12">
        <v>90.44</v>
      </c>
      <c r="K15" s="13">
        <v>0.1</v>
      </c>
      <c r="L15" s="12">
        <v>67.31</v>
      </c>
      <c r="M15" s="14">
        <f>ROUND(tblSprzedaz[[#This Row],[Ilość]]*tblSprzedaz[[#This Row],[Cena netto jednostkowa]]*(1-tblSprzedaz[[#This Row],[Rabat %]]),2)</f>
        <v>1465.13</v>
      </c>
      <c r="N15" s="14">
        <f>ROUND(tblSprzedaz[[#This Row],[Ilość]]*tblSprzedaz[[#This Row],[Koszt jednostkowy netto]],2)</f>
        <v>1211.58</v>
      </c>
      <c r="O15" s="14">
        <f>tblSprzedaz[[#This Row],[Przychód netto]]-tblSprzedaz[[#This Row],[Koszt całkowity netto]]</f>
        <v>253.55000000000018</v>
      </c>
      <c r="P15" s="15">
        <f>IFERROR(tblSprzedaz[[#This Row],[Marża kwotowa]]/tblSprzedaz[[#This Row],[Przychód netto]],0)</f>
        <v>0.17305631582180431</v>
      </c>
      <c r="Q15" s="16">
        <f>YEAR(tblSprzedaz[[#This Row],[Data]])</f>
        <v>2025</v>
      </c>
      <c r="R15" s="16">
        <f>MONTH(tblSprzedaz[[#This Row],[Data]])</f>
        <v>1</v>
      </c>
      <c r="S15" s="9" t="str">
        <f>YEAR(tblSprzedaz[[#This Row],[Data]])&amp;"-"&amp;RIGHT("0"&amp;MONTH(tblSprzedaz[[#This Row],[Data]]),2)</f>
        <v>2025-01</v>
      </c>
    </row>
    <row r="16" spans="1:19" x14ac:dyDescent="0.25">
      <c r="A16" s="7" t="s">
        <v>199</v>
      </c>
      <c r="B16" s="10">
        <v>45660</v>
      </c>
      <c r="C16" s="7" t="s">
        <v>200</v>
      </c>
      <c r="D16" s="8" t="s">
        <v>119</v>
      </c>
      <c r="E16" s="8" t="s">
        <v>77</v>
      </c>
      <c r="F16" s="8" t="s">
        <v>37</v>
      </c>
      <c r="G16" s="8" t="s">
        <v>36</v>
      </c>
      <c r="H16" s="8" t="s">
        <v>47</v>
      </c>
      <c r="I16" s="11">
        <v>5</v>
      </c>
      <c r="J16" s="12">
        <v>77.900000000000006</v>
      </c>
      <c r="K16" s="13">
        <v>0</v>
      </c>
      <c r="L16" s="12">
        <v>61.17</v>
      </c>
      <c r="M16" s="14">
        <f>ROUND(tblSprzedaz[[#This Row],[Ilość]]*tblSprzedaz[[#This Row],[Cena netto jednostkowa]]*(1-tblSprzedaz[[#This Row],[Rabat %]]),2)</f>
        <v>389.5</v>
      </c>
      <c r="N16" s="14">
        <f>ROUND(tblSprzedaz[[#This Row],[Ilość]]*tblSprzedaz[[#This Row],[Koszt jednostkowy netto]],2)</f>
        <v>305.85000000000002</v>
      </c>
      <c r="O16" s="14">
        <f>tblSprzedaz[[#This Row],[Przychód netto]]-tblSprzedaz[[#This Row],[Koszt całkowity netto]]</f>
        <v>83.649999999999977</v>
      </c>
      <c r="P16" s="15">
        <f>IFERROR(tblSprzedaz[[#This Row],[Marża kwotowa]]/tblSprzedaz[[#This Row],[Przychód netto]],0)</f>
        <v>0.21476251604621305</v>
      </c>
      <c r="Q16" s="16">
        <f>YEAR(tblSprzedaz[[#This Row],[Data]])</f>
        <v>2025</v>
      </c>
      <c r="R16" s="16">
        <f>MONTH(tblSprzedaz[[#This Row],[Data]])</f>
        <v>1</v>
      </c>
      <c r="S16" s="9" t="str">
        <f>YEAR(tblSprzedaz[[#This Row],[Data]])&amp;"-"&amp;RIGHT("0"&amp;MONTH(tblSprzedaz[[#This Row],[Data]]),2)</f>
        <v>2025-01</v>
      </c>
    </row>
    <row r="17" spans="1:19" x14ac:dyDescent="0.25">
      <c r="A17" s="7" t="s">
        <v>201</v>
      </c>
      <c r="B17" s="10">
        <v>45660</v>
      </c>
      <c r="C17" s="7" t="s">
        <v>202</v>
      </c>
      <c r="D17" s="8" t="s">
        <v>132</v>
      </c>
      <c r="E17" s="8" t="s">
        <v>55</v>
      </c>
      <c r="F17" s="8" t="s">
        <v>31</v>
      </c>
      <c r="G17" s="8" t="s">
        <v>34</v>
      </c>
      <c r="H17" s="8" t="s">
        <v>45</v>
      </c>
      <c r="I17" s="11">
        <v>5</v>
      </c>
      <c r="J17" s="12">
        <v>243.6</v>
      </c>
      <c r="K17" s="13">
        <v>0.1</v>
      </c>
      <c r="L17" s="12">
        <v>155.80000000000001</v>
      </c>
      <c r="M17" s="14">
        <f>ROUND(tblSprzedaz[[#This Row],[Ilość]]*tblSprzedaz[[#This Row],[Cena netto jednostkowa]]*(1-tblSprzedaz[[#This Row],[Rabat %]]),2)</f>
        <v>1096.2</v>
      </c>
      <c r="N17" s="14">
        <f>ROUND(tblSprzedaz[[#This Row],[Ilość]]*tblSprzedaz[[#This Row],[Koszt jednostkowy netto]],2)</f>
        <v>779</v>
      </c>
      <c r="O17" s="14">
        <f>tblSprzedaz[[#This Row],[Przychód netto]]-tblSprzedaz[[#This Row],[Koszt całkowity netto]]</f>
        <v>317.20000000000005</v>
      </c>
      <c r="P17" s="15">
        <f>IFERROR(tblSprzedaz[[#This Row],[Marża kwotowa]]/tblSprzedaz[[#This Row],[Przychód netto]],0)</f>
        <v>0.2893632548804963</v>
      </c>
      <c r="Q17" s="16">
        <f>YEAR(tblSprzedaz[[#This Row],[Data]])</f>
        <v>2025</v>
      </c>
      <c r="R17" s="16">
        <f>MONTH(tblSprzedaz[[#This Row],[Data]])</f>
        <v>1</v>
      </c>
      <c r="S17" s="9" t="str">
        <f>YEAR(tblSprzedaz[[#This Row],[Data]])&amp;"-"&amp;RIGHT("0"&amp;MONTH(tblSprzedaz[[#This Row],[Data]]),2)</f>
        <v>2025-01</v>
      </c>
    </row>
    <row r="18" spans="1:19" x14ac:dyDescent="0.25">
      <c r="A18" s="7" t="s">
        <v>203</v>
      </c>
      <c r="B18" s="10">
        <v>45661</v>
      </c>
      <c r="C18" s="7" t="s">
        <v>204</v>
      </c>
      <c r="D18" s="8" t="s">
        <v>126</v>
      </c>
      <c r="E18" s="8" t="s">
        <v>76</v>
      </c>
      <c r="F18" s="8" t="s">
        <v>37</v>
      </c>
      <c r="G18" s="8" t="s">
        <v>30</v>
      </c>
      <c r="H18" s="8" t="s">
        <v>41</v>
      </c>
      <c r="I18" s="11">
        <v>10</v>
      </c>
      <c r="J18" s="12">
        <v>158.65</v>
      </c>
      <c r="K18" s="13">
        <v>0.05</v>
      </c>
      <c r="L18" s="12">
        <v>124.96</v>
      </c>
      <c r="M18" s="14">
        <f>ROUND(tblSprzedaz[[#This Row],[Ilość]]*tblSprzedaz[[#This Row],[Cena netto jednostkowa]]*(1-tblSprzedaz[[#This Row],[Rabat %]]),2)</f>
        <v>1507.18</v>
      </c>
      <c r="N18" s="14">
        <f>ROUND(tblSprzedaz[[#This Row],[Ilość]]*tblSprzedaz[[#This Row],[Koszt jednostkowy netto]],2)</f>
        <v>1249.5999999999999</v>
      </c>
      <c r="O18" s="14">
        <f>tblSprzedaz[[#This Row],[Przychód netto]]-tblSprzedaz[[#This Row],[Koszt całkowity netto]]</f>
        <v>257.58000000000015</v>
      </c>
      <c r="P18" s="15">
        <f>IFERROR(tblSprzedaz[[#This Row],[Marża kwotowa]]/tblSprzedaz[[#This Row],[Przychód netto]],0)</f>
        <v>0.17090194933584585</v>
      </c>
      <c r="Q18" s="16">
        <f>YEAR(tblSprzedaz[[#This Row],[Data]])</f>
        <v>2025</v>
      </c>
      <c r="R18" s="16">
        <f>MONTH(tblSprzedaz[[#This Row],[Data]])</f>
        <v>1</v>
      </c>
      <c r="S18" s="9" t="str">
        <f>YEAR(tblSprzedaz[[#This Row],[Data]])&amp;"-"&amp;RIGHT("0"&amp;MONTH(tblSprzedaz[[#This Row],[Data]]),2)</f>
        <v>2025-01</v>
      </c>
    </row>
    <row r="19" spans="1:19" x14ac:dyDescent="0.25">
      <c r="A19" s="7" t="s">
        <v>205</v>
      </c>
      <c r="B19" s="10">
        <v>45661</v>
      </c>
      <c r="C19" s="7" t="s">
        <v>206</v>
      </c>
      <c r="D19" s="8" t="s">
        <v>111</v>
      </c>
      <c r="E19" s="8" t="s">
        <v>74</v>
      </c>
      <c r="F19" s="8" t="s">
        <v>37</v>
      </c>
      <c r="G19" s="8" t="s">
        <v>28</v>
      </c>
      <c r="H19" s="8" t="s">
        <v>38</v>
      </c>
      <c r="I19" s="11">
        <v>14</v>
      </c>
      <c r="J19" s="12">
        <v>126.35</v>
      </c>
      <c r="K19" s="13">
        <v>0.15</v>
      </c>
      <c r="L19" s="12">
        <v>95.79</v>
      </c>
      <c r="M19" s="14">
        <f>ROUND(tblSprzedaz[[#This Row],[Ilość]]*tblSprzedaz[[#This Row],[Cena netto jednostkowa]]*(1-tblSprzedaz[[#This Row],[Rabat %]]),2)</f>
        <v>1503.57</v>
      </c>
      <c r="N19" s="14">
        <f>ROUND(tblSprzedaz[[#This Row],[Ilość]]*tblSprzedaz[[#This Row],[Koszt jednostkowy netto]],2)</f>
        <v>1341.06</v>
      </c>
      <c r="O19" s="14">
        <f>tblSprzedaz[[#This Row],[Przychód netto]]-tblSprzedaz[[#This Row],[Koszt całkowity netto]]</f>
        <v>162.51</v>
      </c>
      <c r="P19" s="15">
        <f>IFERROR(tblSprzedaz[[#This Row],[Marża kwotowa]]/tblSprzedaz[[#This Row],[Przychód netto]],0)</f>
        <v>0.10808276302400287</v>
      </c>
      <c r="Q19" s="16">
        <f>YEAR(tblSprzedaz[[#This Row],[Data]])</f>
        <v>2025</v>
      </c>
      <c r="R19" s="16">
        <f>MONTH(tblSprzedaz[[#This Row],[Data]])</f>
        <v>1</v>
      </c>
      <c r="S19" s="9" t="str">
        <f>YEAR(tblSprzedaz[[#This Row],[Data]])&amp;"-"&amp;RIGHT("0"&amp;MONTH(tblSprzedaz[[#This Row],[Data]]),2)</f>
        <v>2025-01</v>
      </c>
    </row>
    <row r="20" spans="1:19" x14ac:dyDescent="0.25">
      <c r="A20" s="7" t="s">
        <v>207</v>
      </c>
      <c r="B20" s="10">
        <v>45662</v>
      </c>
      <c r="C20" s="7" t="s">
        <v>208</v>
      </c>
      <c r="D20" s="8" t="s">
        <v>91</v>
      </c>
      <c r="E20" s="8" t="s">
        <v>63</v>
      </c>
      <c r="F20" s="8" t="s">
        <v>33</v>
      </c>
      <c r="G20" s="8" t="s">
        <v>36</v>
      </c>
      <c r="H20" s="8" t="s">
        <v>46</v>
      </c>
      <c r="I20" s="11">
        <v>4</v>
      </c>
      <c r="J20" s="12">
        <v>690</v>
      </c>
      <c r="K20" s="13">
        <v>0</v>
      </c>
      <c r="L20" s="12">
        <v>489.67</v>
      </c>
      <c r="M20" s="14">
        <f>ROUND(tblSprzedaz[[#This Row],[Ilość]]*tblSprzedaz[[#This Row],[Cena netto jednostkowa]]*(1-tblSprzedaz[[#This Row],[Rabat %]]),2)</f>
        <v>2760</v>
      </c>
      <c r="N20" s="14">
        <f>ROUND(tblSprzedaz[[#This Row],[Ilość]]*tblSprzedaz[[#This Row],[Koszt jednostkowy netto]],2)</f>
        <v>1958.68</v>
      </c>
      <c r="O20" s="14">
        <f>tblSprzedaz[[#This Row],[Przychód netto]]-tblSprzedaz[[#This Row],[Koszt całkowity netto]]</f>
        <v>801.31999999999994</v>
      </c>
      <c r="P20" s="15">
        <f>IFERROR(tblSprzedaz[[#This Row],[Marża kwotowa]]/tblSprzedaz[[#This Row],[Przychód netto]],0)</f>
        <v>0.29033333333333333</v>
      </c>
      <c r="Q20" s="16">
        <f>YEAR(tblSprzedaz[[#This Row],[Data]])</f>
        <v>2025</v>
      </c>
      <c r="R20" s="16">
        <f>MONTH(tblSprzedaz[[#This Row],[Data]])</f>
        <v>1</v>
      </c>
      <c r="S20" s="9" t="str">
        <f>YEAR(tblSprzedaz[[#This Row],[Data]])&amp;"-"&amp;RIGHT("0"&amp;MONTH(tblSprzedaz[[#This Row],[Data]]),2)</f>
        <v>2025-01</v>
      </c>
    </row>
    <row r="21" spans="1:19" x14ac:dyDescent="0.25">
      <c r="A21" s="7" t="s">
        <v>209</v>
      </c>
      <c r="B21" s="10">
        <v>45662</v>
      </c>
      <c r="C21" s="7" t="s">
        <v>210</v>
      </c>
      <c r="D21" s="8" t="s">
        <v>138</v>
      </c>
      <c r="E21" s="8" t="s">
        <v>63</v>
      </c>
      <c r="F21" s="8" t="s">
        <v>33</v>
      </c>
      <c r="G21" s="8" t="s">
        <v>28</v>
      </c>
      <c r="H21" s="8" t="s">
        <v>38</v>
      </c>
      <c r="I21" s="11">
        <v>5</v>
      </c>
      <c r="J21" s="12">
        <v>690</v>
      </c>
      <c r="K21" s="13">
        <v>0.05</v>
      </c>
      <c r="L21" s="12">
        <v>472.99</v>
      </c>
      <c r="M21" s="14">
        <f>ROUND(tblSprzedaz[[#This Row],[Ilość]]*tblSprzedaz[[#This Row],[Cena netto jednostkowa]]*(1-tblSprzedaz[[#This Row],[Rabat %]]),2)</f>
        <v>3277.5</v>
      </c>
      <c r="N21" s="14">
        <f>ROUND(tblSprzedaz[[#This Row],[Ilość]]*tblSprzedaz[[#This Row],[Koszt jednostkowy netto]],2)</f>
        <v>2364.9499999999998</v>
      </c>
      <c r="O21" s="14">
        <f>tblSprzedaz[[#This Row],[Przychód netto]]-tblSprzedaz[[#This Row],[Koszt całkowity netto]]</f>
        <v>912.55000000000018</v>
      </c>
      <c r="P21" s="15">
        <f>IFERROR(tblSprzedaz[[#This Row],[Marża kwotowa]]/tblSprzedaz[[#This Row],[Przychód netto]],0)</f>
        <v>0.27842868039664381</v>
      </c>
      <c r="Q21" s="16">
        <f>YEAR(tblSprzedaz[[#This Row],[Data]])</f>
        <v>2025</v>
      </c>
      <c r="R21" s="16">
        <f>MONTH(tblSprzedaz[[#This Row],[Data]])</f>
        <v>1</v>
      </c>
      <c r="S21" s="9" t="str">
        <f>YEAR(tblSprzedaz[[#This Row],[Data]])&amp;"-"&amp;RIGHT("0"&amp;MONTH(tblSprzedaz[[#This Row],[Data]]),2)</f>
        <v>2025-01</v>
      </c>
    </row>
    <row r="22" spans="1:19" x14ac:dyDescent="0.25">
      <c r="A22" s="7" t="s">
        <v>211</v>
      </c>
      <c r="B22" s="10">
        <v>45663</v>
      </c>
      <c r="C22" s="7" t="s">
        <v>212</v>
      </c>
      <c r="D22" s="8" t="s">
        <v>94</v>
      </c>
      <c r="E22" s="8" t="s">
        <v>60</v>
      </c>
      <c r="F22" s="8" t="s">
        <v>33</v>
      </c>
      <c r="G22" s="8" t="s">
        <v>30</v>
      </c>
      <c r="H22" s="8" t="s">
        <v>40</v>
      </c>
      <c r="I22" s="11">
        <v>16</v>
      </c>
      <c r="J22" s="12">
        <v>455.4</v>
      </c>
      <c r="K22" s="13">
        <v>0.05</v>
      </c>
      <c r="L22" s="12">
        <v>323.43</v>
      </c>
      <c r="M22" s="14">
        <f>ROUND(tblSprzedaz[[#This Row],[Ilość]]*tblSprzedaz[[#This Row],[Cena netto jednostkowa]]*(1-tblSprzedaz[[#This Row],[Rabat %]]),2)</f>
        <v>6922.08</v>
      </c>
      <c r="N22" s="14">
        <f>ROUND(tblSprzedaz[[#This Row],[Ilość]]*tblSprzedaz[[#This Row],[Koszt jednostkowy netto]],2)</f>
        <v>5174.88</v>
      </c>
      <c r="O22" s="14">
        <f>tblSprzedaz[[#This Row],[Przychód netto]]-tblSprzedaz[[#This Row],[Koszt całkowity netto]]</f>
        <v>1747.1999999999998</v>
      </c>
      <c r="P22" s="15">
        <f>IFERROR(tblSprzedaz[[#This Row],[Marża kwotowa]]/tblSprzedaz[[#This Row],[Przychód netto]],0)</f>
        <v>0.25240968032730043</v>
      </c>
      <c r="Q22" s="16">
        <f>YEAR(tblSprzedaz[[#This Row],[Data]])</f>
        <v>2025</v>
      </c>
      <c r="R22" s="16">
        <f>MONTH(tblSprzedaz[[#This Row],[Data]])</f>
        <v>1</v>
      </c>
      <c r="S22" s="9" t="str">
        <f>YEAR(tblSprzedaz[[#This Row],[Data]])&amp;"-"&amp;RIGHT("0"&amp;MONTH(tblSprzedaz[[#This Row],[Data]]),2)</f>
        <v>2025-01</v>
      </c>
    </row>
    <row r="23" spans="1:19" x14ac:dyDescent="0.25">
      <c r="A23" s="7" t="s">
        <v>213</v>
      </c>
      <c r="B23" s="10">
        <v>45663</v>
      </c>
      <c r="C23" s="7" t="s">
        <v>214</v>
      </c>
      <c r="D23" s="8" t="s">
        <v>86</v>
      </c>
      <c r="E23" s="8" t="s">
        <v>52</v>
      </c>
      <c r="F23" s="8" t="s">
        <v>29</v>
      </c>
      <c r="G23" s="8" t="s">
        <v>28</v>
      </c>
      <c r="H23" s="8" t="s">
        <v>39</v>
      </c>
      <c r="I23" s="11">
        <v>2</v>
      </c>
      <c r="J23" s="12">
        <v>56.78</v>
      </c>
      <c r="K23" s="13">
        <v>0</v>
      </c>
      <c r="L23" s="12">
        <v>31.43</v>
      </c>
      <c r="M23" s="14">
        <f>ROUND(tblSprzedaz[[#This Row],[Ilość]]*tblSprzedaz[[#This Row],[Cena netto jednostkowa]]*(1-tblSprzedaz[[#This Row],[Rabat %]]),2)</f>
        <v>113.56</v>
      </c>
      <c r="N23" s="14">
        <f>ROUND(tblSprzedaz[[#This Row],[Ilość]]*tblSprzedaz[[#This Row],[Koszt jednostkowy netto]],2)</f>
        <v>62.86</v>
      </c>
      <c r="O23" s="14">
        <f>tblSprzedaz[[#This Row],[Przychód netto]]-tblSprzedaz[[#This Row],[Koszt całkowity netto]]</f>
        <v>50.7</v>
      </c>
      <c r="P23" s="15">
        <f>IFERROR(tblSprzedaz[[#This Row],[Marża kwotowa]]/tblSprzedaz[[#This Row],[Przychód netto]],0)</f>
        <v>0.44646002113420219</v>
      </c>
      <c r="Q23" s="16">
        <f>YEAR(tblSprzedaz[[#This Row],[Data]])</f>
        <v>2025</v>
      </c>
      <c r="R23" s="16">
        <f>MONTH(tblSprzedaz[[#This Row],[Data]])</f>
        <v>1</v>
      </c>
      <c r="S23" s="9" t="str">
        <f>YEAR(tblSprzedaz[[#This Row],[Data]])&amp;"-"&amp;RIGHT("0"&amp;MONTH(tblSprzedaz[[#This Row],[Data]]),2)</f>
        <v>2025-01</v>
      </c>
    </row>
    <row r="24" spans="1:19" x14ac:dyDescent="0.25">
      <c r="A24" s="7" t="s">
        <v>215</v>
      </c>
      <c r="B24" s="10">
        <v>45663</v>
      </c>
      <c r="C24" s="7" t="s">
        <v>216</v>
      </c>
      <c r="D24" s="8" t="s">
        <v>93</v>
      </c>
      <c r="E24" s="8" t="s">
        <v>52</v>
      </c>
      <c r="F24" s="8" t="s">
        <v>29</v>
      </c>
      <c r="G24" s="8" t="s">
        <v>32</v>
      </c>
      <c r="H24" s="8" t="s">
        <v>42</v>
      </c>
      <c r="I24" s="11">
        <v>16</v>
      </c>
      <c r="J24" s="12">
        <v>56.78</v>
      </c>
      <c r="K24" s="13">
        <v>0.15</v>
      </c>
      <c r="L24" s="12">
        <v>35.46</v>
      </c>
      <c r="M24" s="14">
        <f>ROUND(tblSprzedaz[[#This Row],[Ilość]]*tblSprzedaz[[#This Row],[Cena netto jednostkowa]]*(1-tblSprzedaz[[#This Row],[Rabat %]]),2)</f>
        <v>772.21</v>
      </c>
      <c r="N24" s="14">
        <f>ROUND(tblSprzedaz[[#This Row],[Ilość]]*tblSprzedaz[[#This Row],[Koszt jednostkowy netto]],2)</f>
        <v>567.36</v>
      </c>
      <c r="O24" s="14">
        <f>tblSprzedaz[[#This Row],[Przychód netto]]-tblSprzedaz[[#This Row],[Koszt całkowity netto]]</f>
        <v>204.85000000000002</v>
      </c>
      <c r="P24" s="15">
        <f>IFERROR(tblSprzedaz[[#This Row],[Marża kwotowa]]/tblSprzedaz[[#This Row],[Przychód netto]],0)</f>
        <v>0.26527757993291984</v>
      </c>
      <c r="Q24" s="16">
        <f>YEAR(tblSprzedaz[[#This Row],[Data]])</f>
        <v>2025</v>
      </c>
      <c r="R24" s="16">
        <f>MONTH(tblSprzedaz[[#This Row],[Data]])</f>
        <v>1</v>
      </c>
      <c r="S24" s="9" t="str">
        <f>YEAR(tblSprzedaz[[#This Row],[Data]])&amp;"-"&amp;RIGHT("0"&amp;MONTH(tblSprzedaz[[#This Row],[Data]]),2)</f>
        <v>2025-01</v>
      </c>
    </row>
    <row r="25" spans="1:19" x14ac:dyDescent="0.25">
      <c r="A25" s="7" t="s">
        <v>217</v>
      </c>
      <c r="B25" s="10">
        <v>45663</v>
      </c>
      <c r="C25" s="7" t="s">
        <v>218</v>
      </c>
      <c r="D25" s="8" t="s">
        <v>149</v>
      </c>
      <c r="E25" s="8" t="s">
        <v>56</v>
      </c>
      <c r="F25" s="8" t="s">
        <v>31</v>
      </c>
      <c r="G25" s="8" t="s">
        <v>30</v>
      </c>
      <c r="H25" s="8" t="s">
        <v>40</v>
      </c>
      <c r="I25" s="11">
        <v>3</v>
      </c>
      <c r="J25" s="12">
        <v>279.3</v>
      </c>
      <c r="K25" s="13">
        <v>0.1</v>
      </c>
      <c r="L25" s="12">
        <v>166.29</v>
      </c>
      <c r="M25" s="14">
        <f>ROUND(tblSprzedaz[[#This Row],[Ilość]]*tblSprzedaz[[#This Row],[Cena netto jednostkowa]]*(1-tblSprzedaz[[#This Row],[Rabat %]]),2)</f>
        <v>754.11</v>
      </c>
      <c r="N25" s="14">
        <f>ROUND(tblSprzedaz[[#This Row],[Ilość]]*tblSprzedaz[[#This Row],[Koszt jednostkowy netto]],2)</f>
        <v>498.87</v>
      </c>
      <c r="O25" s="14">
        <f>tblSprzedaz[[#This Row],[Przychód netto]]-tblSprzedaz[[#This Row],[Koszt całkowity netto]]</f>
        <v>255.24</v>
      </c>
      <c r="P25" s="15">
        <f>IFERROR(tblSprzedaz[[#This Row],[Marża kwotowa]]/tblSprzedaz[[#This Row],[Przychód netto]],0)</f>
        <v>0.33846521064566176</v>
      </c>
      <c r="Q25" s="16">
        <f>YEAR(tblSprzedaz[[#This Row],[Data]])</f>
        <v>2025</v>
      </c>
      <c r="R25" s="16">
        <f>MONTH(tblSprzedaz[[#This Row],[Data]])</f>
        <v>1</v>
      </c>
      <c r="S25" s="9" t="str">
        <f>YEAR(tblSprzedaz[[#This Row],[Data]])&amp;"-"&amp;RIGHT("0"&amp;MONTH(tblSprzedaz[[#This Row],[Data]]),2)</f>
        <v>2025-01</v>
      </c>
    </row>
    <row r="26" spans="1:19" x14ac:dyDescent="0.25">
      <c r="A26" s="7" t="s">
        <v>219</v>
      </c>
      <c r="B26" s="10">
        <v>45663</v>
      </c>
      <c r="C26" s="7" t="s">
        <v>220</v>
      </c>
      <c r="D26" s="8" t="s">
        <v>117</v>
      </c>
      <c r="E26" s="8" t="s">
        <v>71</v>
      </c>
      <c r="F26" s="8" t="s">
        <v>35</v>
      </c>
      <c r="G26" s="8" t="s">
        <v>30</v>
      </c>
      <c r="H26" s="8" t="s">
        <v>40</v>
      </c>
      <c r="I26" s="11">
        <v>11</v>
      </c>
      <c r="J26" s="12">
        <v>55.76</v>
      </c>
      <c r="K26" s="13">
        <v>0.1</v>
      </c>
      <c r="L26" s="12">
        <v>38.9</v>
      </c>
      <c r="M26" s="14">
        <f>ROUND(tblSprzedaz[[#This Row],[Ilość]]*tblSprzedaz[[#This Row],[Cena netto jednostkowa]]*(1-tblSprzedaz[[#This Row],[Rabat %]]),2)</f>
        <v>552.02</v>
      </c>
      <c r="N26" s="14">
        <f>ROUND(tblSprzedaz[[#This Row],[Ilość]]*tblSprzedaz[[#This Row],[Koszt jednostkowy netto]],2)</f>
        <v>427.9</v>
      </c>
      <c r="O26" s="14">
        <f>tblSprzedaz[[#This Row],[Przychód netto]]-tblSprzedaz[[#This Row],[Koszt całkowity netto]]</f>
        <v>124.12</v>
      </c>
      <c r="P26" s="15">
        <f>IFERROR(tblSprzedaz[[#This Row],[Marża kwotowa]]/tblSprzedaz[[#This Row],[Przychód netto]],0)</f>
        <v>0.22484692583602045</v>
      </c>
      <c r="Q26" s="16">
        <f>YEAR(tblSprzedaz[[#This Row],[Data]])</f>
        <v>2025</v>
      </c>
      <c r="R26" s="16">
        <f>MONTH(tblSprzedaz[[#This Row],[Data]])</f>
        <v>1</v>
      </c>
      <c r="S26" s="9" t="str">
        <f>YEAR(tblSprzedaz[[#This Row],[Data]])&amp;"-"&amp;RIGHT("0"&amp;MONTH(tblSprzedaz[[#This Row],[Data]]),2)</f>
        <v>2025-01</v>
      </c>
    </row>
    <row r="27" spans="1:19" x14ac:dyDescent="0.25">
      <c r="A27" s="7" t="s">
        <v>221</v>
      </c>
      <c r="B27" s="10">
        <v>45664</v>
      </c>
      <c r="C27" s="7" t="s">
        <v>222</v>
      </c>
      <c r="D27" s="8" t="s">
        <v>103</v>
      </c>
      <c r="E27" s="8" t="s">
        <v>70</v>
      </c>
      <c r="F27" s="8" t="s">
        <v>35</v>
      </c>
      <c r="G27" s="8" t="s">
        <v>30</v>
      </c>
      <c r="H27" s="8" t="s">
        <v>41</v>
      </c>
      <c r="I27" s="11">
        <v>10</v>
      </c>
      <c r="J27" s="12">
        <v>113.56</v>
      </c>
      <c r="K27" s="13">
        <v>0.1</v>
      </c>
      <c r="L27" s="12">
        <v>82.79</v>
      </c>
      <c r="M27" s="14">
        <f>ROUND(tblSprzedaz[[#This Row],[Ilość]]*tblSprzedaz[[#This Row],[Cena netto jednostkowa]]*(1-tblSprzedaz[[#This Row],[Rabat %]]),2)</f>
        <v>1022.04</v>
      </c>
      <c r="N27" s="14">
        <f>ROUND(tblSprzedaz[[#This Row],[Ilość]]*tblSprzedaz[[#This Row],[Koszt jednostkowy netto]],2)</f>
        <v>827.9</v>
      </c>
      <c r="O27" s="14">
        <f>tblSprzedaz[[#This Row],[Przychód netto]]-tblSprzedaz[[#This Row],[Koszt całkowity netto]]</f>
        <v>194.14</v>
      </c>
      <c r="P27" s="15">
        <f>IFERROR(tblSprzedaz[[#This Row],[Marża kwotowa]]/tblSprzedaz[[#This Row],[Przychód netto]],0)</f>
        <v>0.18995342648037258</v>
      </c>
      <c r="Q27" s="16">
        <f>YEAR(tblSprzedaz[[#This Row],[Data]])</f>
        <v>2025</v>
      </c>
      <c r="R27" s="16">
        <f>MONTH(tblSprzedaz[[#This Row],[Data]])</f>
        <v>1</v>
      </c>
      <c r="S27" s="9" t="str">
        <f>YEAR(tblSprzedaz[[#This Row],[Data]])&amp;"-"&amp;RIGHT("0"&amp;MONTH(tblSprzedaz[[#This Row],[Data]]),2)</f>
        <v>2025-01</v>
      </c>
    </row>
    <row r="28" spans="1:19" x14ac:dyDescent="0.25">
      <c r="A28" s="7" t="s">
        <v>223</v>
      </c>
      <c r="B28" s="10">
        <v>45664</v>
      </c>
      <c r="C28" s="7" t="s">
        <v>224</v>
      </c>
      <c r="D28" s="8" t="s">
        <v>115</v>
      </c>
      <c r="E28" s="8" t="s">
        <v>75</v>
      </c>
      <c r="F28" s="8" t="s">
        <v>37</v>
      </c>
      <c r="G28" s="8" t="s">
        <v>30</v>
      </c>
      <c r="H28" s="8" t="s">
        <v>41</v>
      </c>
      <c r="I28" s="11">
        <v>1</v>
      </c>
      <c r="J28" s="12">
        <v>142.5</v>
      </c>
      <c r="K28" s="13">
        <v>0</v>
      </c>
      <c r="L28" s="12">
        <v>110.1</v>
      </c>
      <c r="M28" s="14">
        <f>ROUND(tblSprzedaz[[#This Row],[Ilość]]*tblSprzedaz[[#This Row],[Cena netto jednostkowa]]*(1-tblSprzedaz[[#This Row],[Rabat %]]),2)</f>
        <v>142.5</v>
      </c>
      <c r="N28" s="14">
        <f>ROUND(tblSprzedaz[[#This Row],[Ilość]]*tblSprzedaz[[#This Row],[Koszt jednostkowy netto]],2)</f>
        <v>110.1</v>
      </c>
      <c r="O28" s="14">
        <f>tblSprzedaz[[#This Row],[Przychód netto]]-tblSprzedaz[[#This Row],[Koszt całkowity netto]]</f>
        <v>32.400000000000006</v>
      </c>
      <c r="P28" s="15">
        <f>IFERROR(tblSprzedaz[[#This Row],[Marża kwotowa]]/tblSprzedaz[[#This Row],[Przychód netto]],0)</f>
        <v>0.22736842105263161</v>
      </c>
      <c r="Q28" s="16">
        <f>YEAR(tblSprzedaz[[#This Row],[Data]])</f>
        <v>2025</v>
      </c>
      <c r="R28" s="16">
        <f>MONTH(tblSprzedaz[[#This Row],[Data]])</f>
        <v>1</v>
      </c>
      <c r="S28" s="9" t="str">
        <f>YEAR(tblSprzedaz[[#This Row],[Data]])&amp;"-"&amp;RIGHT("0"&amp;MONTH(tblSprzedaz[[#This Row],[Data]]),2)</f>
        <v>2025-01</v>
      </c>
    </row>
    <row r="29" spans="1:19" x14ac:dyDescent="0.25">
      <c r="A29" s="7" t="s">
        <v>225</v>
      </c>
      <c r="B29" s="10">
        <v>45664</v>
      </c>
      <c r="C29" s="7" t="s">
        <v>226</v>
      </c>
      <c r="D29" s="8" t="s">
        <v>118</v>
      </c>
      <c r="E29" s="8" t="s">
        <v>49</v>
      </c>
      <c r="F29" s="8" t="s">
        <v>29</v>
      </c>
      <c r="G29" s="8" t="s">
        <v>32</v>
      </c>
      <c r="H29" s="8" t="s">
        <v>42</v>
      </c>
      <c r="I29" s="11">
        <v>3</v>
      </c>
      <c r="J29" s="12">
        <v>39.44</v>
      </c>
      <c r="K29" s="13">
        <v>0</v>
      </c>
      <c r="L29" s="12">
        <v>22.48</v>
      </c>
      <c r="M29" s="14">
        <f>ROUND(tblSprzedaz[[#This Row],[Ilość]]*tblSprzedaz[[#This Row],[Cena netto jednostkowa]]*(1-tblSprzedaz[[#This Row],[Rabat %]]),2)</f>
        <v>118.32</v>
      </c>
      <c r="N29" s="14">
        <f>ROUND(tblSprzedaz[[#This Row],[Ilość]]*tblSprzedaz[[#This Row],[Koszt jednostkowy netto]],2)</f>
        <v>67.44</v>
      </c>
      <c r="O29" s="14">
        <f>tblSprzedaz[[#This Row],[Przychód netto]]-tblSprzedaz[[#This Row],[Koszt całkowity netto]]</f>
        <v>50.879999999999995</v>
      </c>
      <c r="P29" s="15">
        <f>IFERROR(tblSprzedaz[[#This Row],[Marża kwotowa]]/tblSprzedaz[[#This Row],[Przychód netto]],0)</f>
        <v>0.43002028397565922</v>
      </c>
      <c r="Q29" s="16">
        <f>YEAR(tblSprzedaz[[#This Row],[Data]])</f>
        <v>2025</v>
      </c>
      <c r="R29" s="16">
        <f>MONTH(tblSprzedaz[[#This Row],[Data]])</f>
        <v>1</v>
      </c>
      <c r="S29" s="9" t="str">
        <f>YEAR(tblSprzedaz[[#This Row],[Data]])&amp;"-"&amp;RIGHT("0"&amp;MONTH(tblSprzedaz[[#This Row],[Data]]),2)</f>
        <v>2025-01</v>
      </c>
    </row>
    <row r="30" spans="1:19" x14ac:dyDescent="0.25">
      <c r="A30" s="7" t="s">
        <v>227</v>
      </c>
      <c r="B30" s="10">
        <v>45664</v>
      </c>
      <c r="C30" s="7" t="s">
        <v>228</v>
      </c>
      <c r="D30" s="8" t="s">
        <v>94</v>
      </c>
      <c r="E30" s="8" t="s">
        <v>72</v>
      </c>
      <c r="F30" s="8" t="s">
        <v>37</v>
      </c>
      <c r="G30" s="8" t="s">
        <v>34</v>
      </c>
      <c r="H30" s="8" t="s">
        <v>45</v>
      </c>
      <c r="I30" s="11">
        <v>2</v>
      </c>
      <c r="J30" s="12">
        <v>94.05</v>
      </c>
      <c r="K30" s="13">
        <v>0</v>
      </c>
      <c r="L30" s="12">
        <v>75.41</v>
      </c>
      <c r="M30" s="14">
        <f>ROUND(tblSprzedaz[[#This Row],[Ilość]]*tblSprzedaz[[#This Row],[Cena netto jednostkowa]]*(1-tblSprzedaz[[#This Row],[Rabat %]]),2)</f>
        <v>188.1</v>
      </c>
      <c r="N30" s="14">
        <f>ROUND(tblSprzedaz[[#This Row],[Ilość]]*tblSprzedaz[[#This Row],[Koszt jednostkowy netto]],2)</f>
        <v>150.82</v>
      </c>
      <c r="O30" s="14">
        <f>tblSprzedaz[[#This Row],[Przychód netto]]-tblSprzedaz[[#This Row],[Koszt całkowity netto]]</f>
        <v>37.28</v>
      </c>
      <c r="P30" s="15">
        <f>IFERROR(tblSprzedaz[[#This Row],[Marża kwotowa]]/tblSprzedaz[[#This Row],[Przychód netto]],0)</f>
        <v>0.19819245082402978</v>
      </c>
      <c r="Q30" s="16">
        <f>YEAR(tblSprzedaz[[#This Row],[Data]])</f>
        <v>2025</v>
      </c>
      <c r="R30" s="16">
        <f>MONTH(tblSprzedaz[[#This Row],[Data]])</f>
        <v>1</v>
      </c>
      <c r="S30" s="9" t="str">
        <f>YEAR(tblSprzedaz[[#This Row],[Data]])&amp;"-"&amp;RIGHT("0"&amp;MONTH(tblSprzedaz[[#This Row],[Data]]),2)</f>
        <v>2025-01</v>
      </c>
    </row>
    <row r="31" spans="1:19" x14ac:dyDescent="0.25">
      <c r="A31" s="7" t="s">
        <v>229</v>
      </c>
      <c r="B31" s="10">
        <v>45665</v>
      </c>
      <c r="C31" s="7" t="s">
        <v>230</v>
      </c>
      <c r="D31" s="8" t="s">
        <v>100</v>
      </c>
      <c r="E31" s="8" t="s">
        <v>54</v>
      </c>
      <c r="F31" s="8" t="s">
        <v>31</v>
      </c>
      <c r="G31" s="8" t="s">
        <v>28</v>
      </c>
      <c r="H31" s="8" t="s">
        <v>39</v>
      </c>
      <c r="I31" s="11">
        <v>3</v>
      </c>
      <c r="J31" s="12">
        <v>207.9</v>
      </c>
      <c r="K31" s="13">
        <v>0.15</v>
      </c>
      <c r="L31" s="12">
        <v>133.54</v>
      </c>
      <c r="M31" s="14">
        <f>ROUND(tblSprzedaz[[#This Row],[Ilość]]*tblSprzedaz[[#This Row],[Cena netto jednostkowa]]*(1-tblSprzedaz[[#This Row],[Rabat %]]),2)</f>
        <v>530.15</v>
      </c>
      <c r="N31" s="14">
        <f>ROUND(tblSprzedaz[[#This Row],[Ilość]]*tblSprzedaz[[#This Row],[Koszt jednostkowy netto]],2)</f>
        <v>400.62</v>
      </c>
      <c r="O31" s="14">
        <f>tblSprzedaz[[#This Row],[Przychód netto]]-tblSprzedaz[[#This Row],[Koszt całkowity netto]]</f>
        <v>129.52999999999997</v>
      </c>
      <c r="P31" s="15">
        <f>IFERROR(tblSprzedaz[[#This Row],[Marża kwotowa]]/tblSprzedaz[[#This Row],[Przychód netto]],0)</f>
        <v>0.24432707724228989</v>
      </c>
      <c r="Q31" s="16">
        <f>YEAR(tblSprzedaz[[#This Row],[Data]])</f>
        <v>2025</v>
      </c>
      <c r="R31" s="16">
        <f>MONTH(tblSprzedaz[[#This Row],[Data]])</f>
        <v>1</v>
      </c>
      <c r="S31" s="9" t="str">
        <f>YEAR(tblSprzedaz[[#This Row],[Data]])&amp;"-"&amp;RIGHT("0"&amp;MONTH(tblSprzedaz[[#This Row],[Data]]),2)</f>
        <v>2025-01</v>
      </c>
    </row>
    <row r="32" spans="1:19" x14ac:dyDescent="0.25">
      <c r="A32" s="7" t="s">
        <v>231</v>
      </c>
      <c r="B32" s="10">
        <v>45665</v>
      </c>
      <c r="C32" s="7" t="s">
        <v>232</v>
      </c>
      <c r="D32" s="8" t="s">
        <v>119</v>
      </c>
      <c r="E32" s="8" t="s">
        <v>50</v>
      </c>
      <c r="F32" s="8" t="s">
        <v>29</v>
      </c>
      <c r="G32" s="8" t="s">
        <v>30</v>
      </c>
      <c r="H32" s="8" t="s">
        <v>40</v>
      </c>
      <c r="I32" s="11">
        <v>7</v>
      </c>
      <c r="J32" s="12">
        <v>45.22</v>
      </c>
      <c r="K32" s="13">
        <v>0.1</v>
      </c>
      <c r="L32" s="12">
        <v>26.95</v>
      </c>
      <c r="M32" s="14">
        <f>ROUND(tblSprzedaz[[#This Row],[Ilość]]*tblSprzedaz[[#This Row],[Cena netto jednostkowa]]*(1-tblSprzedaz[[#This Row],[Rabat %]]),2)</f>
        <v>284.89</v>
      </c>
      <c r="N32" s="14">
        <f>ROUND(tblSprzedaz[[#This Row],[Ilość]]*tblSprzedaz[[#This Row],[Koszt jednostkowy netto]],2)</f>
        <v>188.65</v>
      </c>
      <c r="O32" s="14">
        <f>tblSprzedaz[[#This Row],[Przychód netto]]-tblSprzedaz[[#This Row],[Koszt całkowity netto]]</f>
        <v>96.239999999999981</v>
      </c>
      <c r="P32" s="15">
        <f>IFERROR(tblSprzedaz[[#This Row],[Marża kwotowa]]/tblSprzedaz[[#This Row],[Przychód netto]],0)</f>
        <v>0.33781459510688333</v>
      </c>
      <c r="Q32" s="16">
        <f>YEAR(tblSprzedaz[[#This Row],[Data]])</f>
        <v>2025</v>
      </c>
      <c r="R32" s="16">
        <f>MONTH(tblSprzedaz[[#This Row],[Data]])</f>
        <v>1</v>
      </c>
      <c r="S32" s="9" t="str">
        <f>YEAR(tblSprzedaz[[#This Row],[Data]])&amp;"-"&amp;RIGHT("0"&amp;MONTH(tblSprzedaz[[#This Row],[Data]]),2)</f>
        <v>2025-01</v>
      </c>
    </row>
    <row r="33" spans="1:19" x14ac:dyDescent="0.25">
      <c r="A33" s="7" t="s">
        <v>233</v>
      </c>
      <c r="B33" s="10">
        <v>45665</v>
      </c>
      <c r="C33" s="7" t="s">
        <v>234</v>
      </c>
      <c r="D33" s="8" t="s">
        <v>80</v>
      </c>
      <c r="E33" s="8" t="s">
        <v>51</v>
      </c>
      <c r="F33" s="8" t="s">
        <v>29</v>
      </c>
      <c r="G33" s="8" t="s">
        <v>32</v>
      </c>
      <c r="H33" s="8" t="s">
        <v>42</v>
      </c>
      <c r="I33" s="11">
        <v>13</v>
      </c>
      <c r="J33" s="12">
        <v>51</v>
      </c>
      <c r="K33" s="13">
        <v>0</v>
      </c>
      <c r="L33" s="12">
        <v>29.23</v>
      </c>
      <c r="M33" s="14">
        <f>ROUND(tblSprzedaz[[#This Row],[Ilość]]*tblSprzedaz[[#This Row],[Cena netto jednostkowa]]*(1-tblSprzedaz[[#This Row],[Rabat %]]),2)</f>
        <v>663</v>
      </c>
      <c r="N33" s="14">
        <f>ROUND(tblSprzedaz[[#This Row],[Ilość]]*tblSprzedaz[[#This Row],[Koszt jednostkowy netto]],2)</f>
        <v>379.99</v>
      </c>
      <c r="O33" s="14">
        <f>tblSprzedaz[[#This Row],[Przychód netto]]-tblSprzedaz[[#This Row],[Koszt całkowity netto]]</f>
        <v>283.01</v>
      </c>
      <c r="P33" s="15">
        <f>IFERROR(tblSprzedaz[[#This Row],[Marża kwotowa]]/tblSprzedaz[[#This Row],[Przychód netto]],0)</f>
        <v>0.42686274509803918</v>
      </c>
      <c r="Q33" s="16">
        <f>YEAR(tblSprzedaz[[#This Row],[Data]])</f>
        <v>2025</v>
      </c>
      <c r="R33" s="16">
        <f>MONTH(tblSprzedaz[[#This Row],[Data]])</f>
        <v>1</v>
      </c>
      <c r="S33" s="9" t="str">
        <f>YEAR(tblSprzedaz[[#This Row],[Data]])&amp;"-"&amp;RIGHT("0"&amp;MONTH(tblSprzedaz[[#This Row],[Data]]),2)</f>
        <v>2025-01</v>
      </c>
    </row>
    <row r="34" spans="1:19" x14ac:dyDescent="0.25">
      <c r="A34" s="7" t="s">
        <v>235</v>
      </c>
      <c r="B34" s="10">
        <v>45665</v>
      </c>
      <c r="C34" s="7" t="s">
        <v>236</v>
      </c>
      <c r="D34" s="8" t="s">
        <v>78</v>
      </c>
      <c r="E34" s="8" t="s">
        <v>52</v>
      </c>
      <c r="F34" s="8" t="s">
        <v>29</v>
      </c>
      <c r="G34" s="8" t="s">
        <v>30</v>
      </c>
      <c r="H34" s="8" t="s">
        <v>41</v>
      </c>
      <c r="I34" s="11">
        <v>13</v>
      </c>
      <c r="J34" s="12">
        <v>56.78</v>
      </c>
      <c r="K34" s="13">
        <v>0.1</v>
      </c>
      <c r="L34" s="12">
        <v>31.71</v>
      </c>
      <c r="M34" s="14">
        <f>ROUND(tblSprzedaz[[#This Row],[Ilość]]*tblSprzedaz[[#This Row],[Cena netto jednostkowa]]*(1-tblSprzedaz[[#This Row],[Rabat %]]),2)</f>
        <v>664.33</v>
      </c>
      <c r="N34" s="14">
        <f>ROUND(tblSprzedaz[[#This Row],[Ilość]]*tblSprzedaz[[#This Row],[Koszt jednostkowy netto]],2)</f>
        <v>412.23</v>
      </c>
      <c r="O34" s="14">
        <f>tblSprzedaz[[#This Row],[Przychód netto]]-tblSprzedaz[[#This Row],[Koszt całkowity netto]]</f>
        <v>252.10000000000002</v>
      </c>
      <c r="P34" s="15">
        <f>IFERROR(tblSprzedaz[[#This Row],[Marża kwotowa]]/tblSprzedaz[[#This Row],[Przychód netto]],0)</f>
        <v>0.37948007767224123</v>
      </c>
      <c r="Q34" s="16">
        <f>YEAR(tblSprzedaz[[#This Row],[Data]])</f>
        <v>2025</v>
      </c>
      <c r="R34" s="16">
        <f>MONTH(tblSprzedaz[[#This Row],[Data]])</f>
        <v>1</v>
      </c>
      <c r="S34" s="9" t="str">
        <f>YEAR(tblSprzedaz[[#This Row],[Data]])&amp;"-"&amp;RIGHT("0"&amp;MONTH(tblSprzedaz[[#This Row],[Data]]),2)</f>
        <v>2025-01</v>
      </c>
    </row>
    <row r="35" spans="1:19" x14ac:dyDescent="0.25">
      <c r="A35" s="7" t="s">
        <v>237</v>
      </c>
      <c r="B35" s="10">
        <v>45666</v>
      </c>
      <c r="C35" s="7" t="s">
        <v>238</v>
      </c>
      <c r="D35" s="8" t="s">
        <v>81</v>
      </c>
      <c r="E35" s="8" t="s">
        <v>48</v>
      </c>
      <c r="F35" s="8" t="s">
        <v>29</v>
      </c>
      <c r="G35" s="8" t="s">
        <v>32</v>
      </c>
      <c r="H35" s="8" t="s">
        <v>42</v>
      </c>
      <c r="I35" s="11">
        <v>10</v>
      </c>
      <c r="J35" s="12">
        <v>33.659999999999997</v>
      </c>
      <c r="K35" s="13">
        <v>0.1</v>
      </c>
      <c r="L35" s="12">
        <v>20.260000000000002</v>
      </c>
      <c r="M35" s="14">
        <f>ROUND(tblSprzedaz[[#This Row],[Ilość]]*tblSprzedaz[[#This Row],[Cena netto jednostkowa]]*(1-tblSprzedaz[[#This Row],[Rabat %]]),2)</f>
        <v>302.94</v>
      </c>
      <c r="N35" s="14">
        <f>ROUND(tblSprzedaz[[#This Row],[Ilość]]*tblSprzedaz[[#This Row],[Koszt jednostkowy netto]],2)</f>
        <v>202.6</v>
      </c>
      <c r="O35" s="14">
        <f>tblSprzedaz[[#This Row],[Przychód netto]]-tblSprzedaz[[#This Row],[Koszt całkowity netto]]</f>
        <v>100.34</v>
      </c>
      <c r="P35" s="15">
        <f>IFERROR(tblSprzedaz[[#This Row],[Marża kwotowa]]/tblSprzedaz[[#This Row],[Przychód netto]],0)</f>
        <v>0.3312207037697234</v>
      </c>
      <c r="Q35" s="16">
        <f>YEAR(tblSprzedaz[[#This Row],[Data]])</f>
        <v>2025</v>
      </c>
      <c r="R35" s="16">
        <f>MONTH(tblSprzedaz[[#This Row],[Data]])</f>
        <v>1</v>
      </c>
      <c r="S35" s="9" t="str">
        <f>YEAR(tblSprzedaz[[#This Row],[Data]])&amp;"-"&amp;RIGHT("0"&amp;MONTH(tblSprzedaz[[#This Row],[Data]]),2)</f>
        <v>2025-01</v>
      </c>
    </row>
    <row r="36" spans="1:19" x14ac:dyDescent="0.25">
      <c r="A36" s="7" t="s">
        <v>239</v>
      </c>
      <c r="B36" s="10">
        <v>45666</v>
      </c>
      <c r="C36" s="7" t="s">
        <v>240</v>
      </c>
      <c r="D36" s="8" t="s">
        <v>107</v>
      </c>
      <c r="E36" s="8" t="s">
        <v>63</v>
      </c>
      <c r="F36" s="8" t="s">
        <v>33</v>
      </c>
      <c r="G36" s="8" t="s">
        <v>28</v>
      </c>
      <c r="H36" s="8" t="s">
        <v>38</v>
      </c>
      <c r="I36" s="11">
        <v>1</v>
      </c>
      <c r="J36" s="12">
        <v>690</v>
      </c>
      <c r="K36" s="13">
        <v>0.15</v>
      </c>
      <c r="L36" s="12">
        <v>489.59</v>
      </c>
      <c r="M36" s="14">
        <f>ROUND(tblSprzedaz[[#This Row],[Ilość]]*tblSprzedaz[[#This Row],[Cena netto jednostkowa]]*(1-tblSprzedaz[[#This Row],[Rabat %]]),2)</f>
        <v>586.5</v>
      </c>
      <c r="N36" s="14">
        <f>ROUND(tblSprzedaz[[#This Row],[Ilość]]*tblSprzedaz[[#This Row],[Koszt jednostkowy netto]],2)</f>
        <v>489.59</v>
      </c>
      <c r="O36" s="14">
        <f>tblSprzedaz[[#This Row],[Przychód netto]]-tblSprzedaz[[#This Row],[Koszt całkowity netto]]</f>
        <v>96.910000000000025</v>
      </c>
      <c r="P36" s="15">
        <f>IFERROR(tblSprzedaz[[#This Row],[Marża kwotowa]]/tblSprzedaz[[#This Row],[Przychód netto]],0)</f>
        <v>0.1652344416027281</v>
      </c>
      <c r="Q36" s="16">
        <f>YEAR(tblSprzedaz[[#This Row],[Data]])</f>
        <v>2025</v>
      </c>
      <c r="R36" s="16">
        <f>MONTH(tblSprzedaz[[#This Row],[Data]])</f>
        <v>1</v>
      </c>
      <c r="S36" s="9" t="str">
        <f>YEAR(tblSprzedaz[[#This Row],[Data]])&amp;"-"&amp;RIGHT("0"&amp;MONTH(tblSprzedaz[[#This Row],[Data]]),2)</f>
        <v>2025-01</v>
      </c>
    </row>
    <row r="37" spans="1:19" x14ac:dyDescent="0.25">
      <c r="A37" s="7" t="s">
        <v>241</v>
      </c>
      <c r="B37" s="10">
        <v>45666</v>
      </c>
      <c r="C37" s="7" t="s">
        <v>242</v>
      </c>
      <c r="D37" s="8" t="s">
        <v>105</v>
      </c>
      <c r="E37" s="8" t="s">
        <v>75</v>
      </c>
      <c r="F37" s="8" t="s">
        <v>37</v>
      </c>
      <c r="G37" s="8" t="s">
        <v>34</v>
      </c>
      <c r="H37" s="8" t="s">
        <v>45</v>
      </c>
      <c r="I37" s="11">
        <v>4</v>
      </c>
      <c r="J37" s="12">
        <v>142.5</v>
      </c>
      <c r="K37" s="13">
        <v>0</v>
      </c>
      <c r="L37" s="12">
        <v>112.01</v>
      </c>
      <c r="M37" s="14">
        <f>ROUND(tblSprzedaz[[#This Row],[Ilość]]*tblSprzedaz[[#This Row],[Cena netto jednostkowa]]*(1-tblSprzedaz[[#This Row],[Rabat %]]),2)</f>
        <v>570</v>
      </c>
      <c r="N37" s="14">
        <f>ROUND(tblSprzedaz[[#This Row],[Ilość]]*tblSprzedaz[[#This Row],[Koszt jednostkowy netto]],2)</f>
        <v>448.04</v>
      </c>
      <c r="O37" s="14">
        <f>tblSprzedaz[[#This Row],[Przychód netto]]-tblSprzedaz[[#This Row],[Koszt całkowity netto]]</f>
        <v>121.95999999999998</v>
      </c>
      <c r="P37" s="15">
        <f>IFERROR(tblSprzedaz[[#This Row],[Marża kwotowa]]/tblSprzedaz[[#This Row],[Przychód netto]],0)</f>
        <v>0.21396491228070172</v>
      </c>
      <c r="Q37" s="16">
        <f>YEAR(tblSprzedaz[[#This Row],[Data]])</f>
        <v>2025</v>
      </c>
      <c r="R37" s="16">
        <f>MONTH(tblSprzedaz[[#This Row],[Data]])</f>
        <v>1</v>
      </c>
      <c r="S37" s="9" t="str">
        <f>YEAR(tblSprzedaz[[#This Row],[Data]])&amp;"-"&amp;RIGHT("0"&amp;MONTH(tblSprzedaz[[#This Row],[Data]]),2)</f>
        <v>2025-01</v>
      </c>
    </row>
    <row r="38" spans="1:19" x14ac:dyDescent="0.25">
      <c r="A38" s="7" t="s">
        <v>243</v>
      </c>
      <c r="B38" s="10">
        <v>45666</v>
      </c>
      <c r="C38" s="7" t="s">
        <v>244</v>
      </c>
      <c r="D38" s="8" t="s">
        <v>111</v>
      </c>
      <c r="E38" s="8" t="s">
        <v>52</v>
      </c>
      <c r="F38" s="8" t="s">
        <v>29</v>
      </c>
      <c r="G38" s="8" t="s">
        <v>30</v>
      </c>
      <c r="H38" s="8" t="s">
        <v>40</v>
      </c>
      <c r="I38" s="11">
        <v>3</v>
      </c>
      <c r="J38" s="12">
        <v>56.78</v>
      </c>
      <c r="K38" s="13">
        <v>0.15</v>
      </c>
      <c r="L38" s="12">
        <v>34.6</v>
      </c>
      <c r="M38" s="14">
        <f>ROUND(tblSprzedaz[[#This Row],[Ilość]]*tblSprzedaz[[#This Row],[Cena netto jednostkowa]]*(1-tblSprzedaz[[#This Row],[Rabat %]]),2)</f>
        <v>144.79</v>
      </c>
      <c r="N38" s="14">
        <f>ROUND(tblSprzedaz[[#This Row],[Ilość]]*tblSprzedaz[[#This Row],[Koszt jednostkowy netto]],2)</f>
        <v>103.8</v>
      </c>
      <c r="O38" s="14">
        <f>tblSprzedaz[[#This Row],[Przychód netto]]-tblSprzedaz[[#This Row],[Koszt całkowity netto]]</f>
        <v>40.989999999999995</v>
      </c>
      <c r="P38" s="15">
        <f>IFERROR(tblSprzedaz[[#This Row],[Marża kwotowa]]/tblSprzedaz[[#This Row],[Przychód netto]],0)</f>
        <v>0.28309966157883831</v>
      </c>
      <c r="Q38" s="16">
        <f>YEAR(tblSprzedaz[[#This Row],[Data]])</f>
        <v>2025</v>
      </c>
      <c r="R38" s="16">
        <f>MONTH(tblSprzedaz[[#This Row],[Data]])</f>
        <v>1</v>
      </c>
      <c r="S38" s="9" t="str">
        <f>YEAR(tblSprzedaz[[#This Row],[Data]])&amp;"-"&amp;RIGHT("0"&amp;MONTH(tblSprzedaz[[#This Row],[Data]]),2)</f>
        <v>2025-01</v>
      </c>
    </row>
    <row r="39" spans="1:19" x14ac:dyDescent="0.25">
      <c r="A39" s="7" t="s">
        <v>245</v>
      </c>
      <c r="B39" s="10">
        <v>45666</v>
      </c>
      <c r="C39" s="7" t="s">
        <v>246</v>
      </c>
      <c r="D39" s="8" t="s">
        <v>95</v>
      </c>
      <c r="E39" s="8" t="s">
        <v>57</v>
      </c>
      <c r="F39" s="8" t="s">
        <v>31</v>
      </c>
      <c r="G39" s="8" t="s">
        <v>30</v>
      </c>
      <c r="H39" s="8" t="s">
        <v>41</v>
      </c>
      <c r="I39" s="11">
        <v>10</v>
      </c>
      <c r="J39" s="12">
        <v>315</v>
      </c>
      <c r="K39" s="13">
        <v>0.05</v>
      </c>
      <c r="L39" s="12">
        <v>201.65</v>
      </c>
      <c r="M39" s="14">
        <f>ROUND(tblSprzedaz[[#This Row],[Ilość]]*tblSprzedaz[[#This Row],[Cena netto jednostkowa]]*(1-tblSprzedaz[[#This Row],[Rabat %]]),2)</f>
        <v>2992.5</v>
      </c>
      <c r="N39" s="14">
        <f>ROUND(tblSprzedaz[[#This Row],[Ilość]]*tblSprzedaz[[#This Row],[Koszt jednostkowy netto]],2)</f>
        <v>2016.5</v>
      </c>
      <c r="O39" s="14">
        <f>tblSprzedaz[[#This Row],[Przychód netto]]-tblSprzedaz[[#This Row],[Koszt całkowity netto]]</f>
        <v>976</v>
      </c>
      <c r="P39" s="15">
        <f>IFERROR(tblSprzedaz[[#This Row],[Marża kwotowa]]/tblSprzedaz[[#This Row],[Przychód netto]],0)</f>
        <v>0.32614870509607352</v>
      </c>
      <c r="Q39" s="16">
        <f>YEAR(tblSprzedaz[[#This Row],[Data]])</f>
        <v>2025</v>
      </c>
      <c r="R39" s="16">
        <f>MONTH(tblSprzedaz[[#This Row],[Data]])</f>
        <v>1</v>
      </c>
      <c r="S39" s="9" t="str">
        <f>YEAR(tblSprzedaz[[#This Row],[Data]])&amp;"-"&amp;RIGHT("0"&amp;MONTH(tblSprzedaz[[#This Row],[Data]]),2)</f>
        <v>2025-01</v>
      </c>
    </row>
    <row r="40" spans="1:19" x14ac:dyDescent="0.25">
      <c r="A40" s="7" t="s">
        <v>247</v>
      </c>
      <c r="B40" s="10">
        <v>45667</v>
      </c>
      <c r="C40" s="7" t="s">
        <v>248</v>
      </c>
      <c r="D40" s="8" t="s">
        <v>127</v>
      </c>
      <c r="E40" s="8" t="s">
        <v>76</v>
      </c>
      <c r="F40" s="8" t="s">
        <v>37</v>
      </c>
      <c r="G40" s="8" t="s">
        <v>28</v>
      </c>
      <c r="H40" s="8" t="s">
        <v>38</v>
      </c>
      <c r="I40" s="11">
        <v>12</v>
      </c>
      <c r="J40" s="12">
        <v>158.65</v>
      </c>
      <c r="K40" s="13">
        <v>0.05</v>
      </c>
      <c r="L40" s="12">
        <v>124.77</v>
      </c>
      <c r="M40" s="14">
        <f>ROUND(tblSprzedaz[[#This Row],[Ilość]]*tblSprzedaz[[#This Row],[Cena netto jednostkowa]]*(1-tblSprzedaz[[#This Row],[Rabat %]]),2)</f>
        <v>1808.61</v>
      </c>
      <c r="N40" s="14">
        <f>ROUND(tblSprzedaz[[#This Row],[Ilość]]*tblSprzedaz[[#This Row],[Koszt jednostkowy netto]],2)</f>
        <v>1497.24</v>
      </c>
      <c r="O40" s="14">
        <f>tblSprzedaz[[#This Row],[Przychód netto]]-tblSprzedaz[[#This Row],[Koszt całkowity netto]]</f>
        <v>311.36999999999989</v>
      </c>
      <c r="P40" s="15">
        <f>IFERROR(tblSprzedaz[[#This Row],[Marża kwotowa]]/tblSprzedaz[[#This Row],[Przychód netto]],0)</f>
        <v>0.17215983545374619</v>
      </c>
      <c r="Q40" s="16">
        <f>YEAR(tblSprzedaz[[#This Row],[Data]])</f>
        <v>2025</v>
      </c>
      <c r="R40" s="16">
        <f>MONTH(tblSprzedaz[[#This Row],[Data]])</f>
        <v>1</v>
      </c>
      <c r="S40" s="9" t="str">
        <f>YEAR(tblSprzedaz[[#This Row],[Data]])&amp;"-"&amp;RIGHT("0"&amp;MONTH(tblSprzedaz[[#This Row],[Data]]),2)</f>
        <v>2025-01</v>
      </c>
    </row>
    <row r="41" spans="1:19" x14ac:dyDescent="0.25">
      <c r="A41" s="7" t="s">
        <v>249</v>
      </c>
      <c r="B41" s="10">
        <v>45667</v>
      </c>
      <c r="C41" s="7" t="s">
        <v>250</v>
      </c>
      <c r="D41" s="8" t="s">
        <v>104</v>
      </c>
      <c r="E41" s="8" t="s">
        <v>68</v>
      </c>
      <c r="F41" s="8" t="s">
        <v>35</v>
      </c>
      <c r="G41" s="8" t="s">
        <v>36</v>
      </c>
      <c r="H41" s="8" t="s">
        <v>47</v>
      </c>
      <c r="I41" s="11">
        <v>13</v>
      </c>
      <c r="J41" s="12">
        <v>90.44</v>
      </c>
      <c r="K41" s="13">
        <v>0</v>
      </c>
      <c r="L41" s="12">
        <v>66.33</v>
      </c>
      <c r="M41" s="14">
        <f>ROUND(tblSprzedaz[[#This Row],[Ilość]]*tblSprzedaz[[#This Row],[Cena netto jednostkowa]]*(1-tblSprzedaz[[#This Row],[Rabat %]]),2)</f>
        <v>1175.72</v>
      </c>
      <c r="N41" s="14">
        <f>ROUND(tblSprzedaz[[#This Row],[Ilość]]*tblSprzedaz[[#This Row],[Koszt jednostkowy netto]],2)</f>
        <v>862.29</v>
      </c>
      <c r="O41" s="14">
        <f>tblSprzedaz[[#This Row],[Przychód netto]]-tblSprzedaz[[#This Row],[Koszt całkowity netto]]</f>
        <v>313.43000000000006</v>
      </c>
      <c r="P41" s="15">
        <f>IFERROR(tblSprzedaz[[#This Row],[Marża kwotowa]]/tblSprzedaz[[#This Row],[Przychód netto]],0)</f>
        <v>0.26658558160106155</v>
      </c>
      <c r="Q41" s="16">
        <f>YEAR(tblSprzedaz[[#This Row],[Data]])</f>
        <v>2025</v>
      </c>
      <c r="R41" s="16">
        <f>MONTH(tblSprzedaz[[#This Row],[Data]])</f>
        <v>1</v>
      </c>
      <c r="S41" s="9" t="str">
        <f>YEAR(tblSprzedaz[[#This Row],[Data]])&amp;"-"&amp;RIGHT("0"&amp;MONTH(tblSprzedaz[[#This Row],[Data]]),2)</f>
        <v>2025-01</v>
      </c>
    </row>
    <row r="42" spans="1:19" x14ac:dyDescent="0.25">
      <c r="A42" s="7" t="s">
        <v>251</v>
      </c>
      <c r="B42" s="10">
        <v>45667</v>
      </c>
      <c r="C42" s="7" t="s">
        <v>252</v>
      </c>
      <c r="D42" s="8" t="s">
        <v>101</v>
      </c>
      <c r="E42" s="8" t="s">
        <v>48</v>
      </c>
      <c r="F42" s="8" t="s">
        <v>29</v>
      </c>
      <c r="G42" s="8" t="s">
        <v>34</v>
      </c>
      <c r="H42" s="8" t="s">
        <v>44</v>
      </c>
      <c r="I42" s="11">
        <v>7</v>
      </c>
      <c r="J42" s="12">
        <v>33.659999999999997</v>
      </c>
      <c r="K42" s="13">
        <v>0.15</v>
      </c>
      <c r="L42" s="12">
        <v>19.940000000000001</v>
      </c>
      <c r="M42" s="14">
        <f>ROUND(tblSprzedaz[[#This Row],[Ilość]]*tblSprzedaz[[#This Row],[Cena netto jednostkowa]]*(1-tblSprzedaz[[#This Row],[Rabat %]]),2)</f>
        <v>200.28</v>
      </c>
      <c r="N42" s="14">
        <f>ROUND(tblSprzedaz[[#This Row],[Ilość]]*tblSprzedaz[[#This Row],[Koszt jednostkowy netto]],2)</f>
        <v>139.58000000000001</v>
      </c>
      <c r="O42" s="14">
        <f>tblSprzedaz[[#This Row],[Przychód netto]]-tblSprzedaz[[#This Row],[Koszt całkowity netto]]</f>
        <v>60.699999999999989</v>
      </c>
      <c r="P42" s="15">
        <f>IFERROR(tblSprzedaz[[#This Row],[Marża kwotowa]]/tblSprzedaz[[#This Row],[Przychód netto]],0)</f>
        <v>0.30307569402836021</v>
      </c>
      <c r="Q42" s="16">
        <f>YEAR(tblSprzedaz[[#This Row],[Data]])</f>
        <v>2025</v>
      </c>
      <c r="R42" s="16">
        <f>MONTH(tblSprzedaz[[#This Row],[Data]])</f>
        <v>1</v>
      </c>
      <c r="S42" s="9" t="str">
        <f>YEAR(tblSprzedaz[[#This Row],[Data]])&amp;"-"&amp;RIGHT("0"&amp;MONTH(tblSprzedaz[[#This Row],[Data]]),2)</f>
        <v>2025-01</v>
      </c>
    </row>
    <row r="43" spans="1:19" x14ac:dyDescent="0.25">
      <c r="A43" s="7" t="s">
        <v>253</v>
      </c>
      <c r="B43" s="10">
        <v>45668</v>
      </c>
      <c r="C43" s="7" t="s">
        <v>254</v>
      </c>
      <c r="D43" s="8" t="s">
        <v>119</v>
      </c>
      <c r="E43" s="8" t="s">
        <v>55</v>
      </c>
      <c r="F43" s="8" t="s">
        <v>31</v>
      </c>
      <c r="G43" s="8" t="s">
        <v>28</v>
      </c>
      <c r="H43" s="8" t="s">
        <v>38</v>
      </c>
      <c r="I43" s="11">
        <v>6</v>
      </c>
      <c r="J43" s="12">
        <v>243.6</v>
      </c>
      <c r="K43" s="13">
        <v>0</v>
      </c>
      <c r="L43" s="12">
        <v>160.74</v>
      </c>
      <c r="M43" s="14">
        <f>ROUND(tblSprzedaz[[#This Row],[Ilość]]*tblSprzedaz[[#This Row],[Cena netto jednostkowa]]*(1-tblSprzedaz[[#This Row],[Rabat %]]),2)</f>
        <v>1461.6</v>
      </c>
      <c r="N43" s="14">
        <f>ROUND(tblSprzedaz[[#This Row],[Ilość]]*tblSprzedaz[[#This Row],[Koszt jednostkowy netto]],2)</f>
        <v>964.44</v>
      </c>
      <c r="O43" s="14">
        <f>tblSprzedaz[[#This Row],[Przychód netto]]-tblSprzedaz[[#This Row],[Koszt całkowity netto]]</f>
        <v>497.15999999999985</v>
      </c>
      <c r="P43" s="15">
        <f>IFERROR(tblSprzedaz[[#This Row],[Marża kwotowa]]/tblSprzedaz[[#This Row],[Przychód netto]],0)</f>
        <v>0.34014778325123146</v>
      </c>
      <c r="Q43" s="16">
        <f>YEAR(tblSprzedaz[[#This Row],[Data]])</f>
        <v>2025</v>
      </c>
      <c r="R43" s="16">
        <f>MONTH(tblSprzedaz[[#This Row],[Data]])</f>
        <v>1</v>
      </c>
      <c r="S43" s="9" t="str">
        <f>YEAR(tblSprzedaz[[#This Row],[Data]])&amp;"-"&amp;RIGHT("0"&amp;MONTH(tblSprzedaz[[#This Row],[Data]]),2)</f>
        <v>2025-01</v>
      </c>
    </row>
    <row r="44" spans="1:19" x14ac:dyDescent="0.25">
      <c r="A44" s="7" t="s">
        <v>255</v>
      </c>
      <c r="B44" s="10">
        <v>45669</v>
      </c>
      <c r="C44" s="7" t="s">
        <v>256</v>
      </c>
      <c r="D44" s="8" t="s">
        <v>109</v>
      </c>
      <c r="E44" s="8" t="s">
        <v>53</v>
      </c>
      <c r="F44" s="8" t="s">
        <v>29</v>
      </c>
      <c r="G44" s="8" t="s">
        <v>30</v>
      </c>
      <c r="H44" s="8" t="s">
        <v>41</v>
      </c>
      <c r="I44" s="11">
        <v>6</v>
      </c>
      <c r="J44" s="12">
        <v>27.88</v>
      </c>
      <c r="K44" s="13">
        <v>0.05</v>
      </c>
      <c r="L44" s="12">
        <v>16.97</v>
      </c>
      <c r="M44" s="14">
        <f>ROUND(tblSprzedaz[[#This Row],[Ilość]]*tblSprzedaz[[#This Row],[Cena netto jednostkowa]]*(1-tblSprzedaz[[#This Row],[Rabat %]]),2)</f>
        <v>158.91999999999999</v>
      </c>
      <c r="N44" s="14">
        <f>ROUND(tblSprzedaz[[#This Row],[Ilość]]*tblSprzedaz[[#This Row],[Koszt jednostkowy netto]],2)</f>
        <v>101.82</v>
      </c>
      <c r="O44" s="14">
        <f>tblSprzedaz[[#This Row],[Przychód netto]]-tblSprzedaz[[#This Row],[Koszt całkowity netto]]</f>
        <v>57.099999999999994</v>
      </c>
      <c r="P44" s="15">
        <f>IFERROR(tblSprzedaz[[#This Row],[Marża kwotowa]]/tblSprzedaz[[#This Row],[Przychód netto]],0)</f>
        <v>0.35930027686886484</v>
      </c>
      <c r="Q44" s="16">
        <f>YEAR(tblSprzedaz[[#This Row],[Data]])</f>
        <v>2025</v>
      </c>
      <c r="R44" s="16">
        <f>MONTH(tblSprzedaz[[#This Row],[Data]])</f>
        <v>1</v>
      </c>
      <c r="S44" s="9" t="str">
        <f>YEAR(tblSprzedaz[[#This Row],[Data]])&amp;"-"&amp;RIGHT("0"&amp;MONTH(tblSprzedaz[[#This Row],[Data]]),2)</f>
        <v>2025-01</v>
      </c>
    </row>
    <row r="45" spans="1:19" x14ac:dyDescent="0.25">
      <c r="A45" s="7" t="s">
        <v>257</v>
      </c>
      <c r="B45" s="10">
        <v>45670</v>
      </c>
      <c r="C45" s="7" t="s">
        <v>258</v>
      </c>
      <c r="D45" s="8" t="s">
        <v>100</v>
      </c>
      <c r="E45" s="8" t="s">
        <v>50</v>
      </c>
      <c r="F45" s="8" t="s">
        <v>29</v>
      </c>
      <c r="G45" s="8" t="s">
        <v>34</v>
      </c>
      <c r="H45" s="8" t="s">
        <v>44</v>
      </c>
      <c r="I45" s="11">
        <v>9</v>
      </c>
      <c r="J45" s="12">
        <v>45.22</v>
      </c>
      <c r="K45" s="13">
        <v>0</v>
      </c>
      <c r="L45" s="12">
        <v>27.87</v>
      </c>
      <c r="M45" s="14">
        <f>ROUND(tblSprzedaz[[#This Row],[Ilość]]*tblSprzedaz[[#This Row],[Cena netto jednostkowa]]*(1-tblSprzedaz[[#This Row],[Rabat %]]),2)</f>
        <v>406.98</v>
      </c>
      <c r="N45" s="14">
        <f>ROUND(tblSprzedaz[[#This Row],[Ilość]]*tblSprzedaz[[#This Row],[Koszt jednostkowy netto]],2)</f>
        <v>250.83</v>
      </c>
      <c r="O45" s="14">
        <f>tblSprzedaz[[#This Row],[Przychód netto]]-tblSprzedaz[[#This Row],[Koszt całkowity netto]]</f>
        <v>156.15</v>
      </c>
      <c r="P45" s="15">
        <f>IFERROR(tblSprzedaz[[#This Row],[Marża kwotowa]]/tblSprzedaz[[#This Row],[Przychód netto]],0)</f>
        <v>0.38367978770455552</v>
      </c>
      <c r="Q45" s="16">
        <f>YEAR(tblSprzedaz[[#This Row],[Data]])</f>
        <v>2025</v>
      </c>
      <c r="R45" s="16">
        <f>MONTH(tblSprzedaz[[#This Row],[Data]])</f>
        <v>1</v>
      </c>
      <c r="S45" s="9" t="str">
        <f>YEAR(tblSprzedaz[[#This Row],[Data]])&amp;"-"&amp;RIGHT("0"&amp;MONTH(tblSprzedaz[[#This Row],[Data]]),2)</f>
        <v>2025-01</v>
      </c>
    </row>
    <row r="46" spans="1:19" x14ac:dyDescent="0.25">
      <c r="A46" s="7" t="s">
        <v>259</v>
      </c>
      <c r="B46" s="10">
        <v>45670</v>
      </c>
      <c r="C46" s="7" t="s">
        <v>260</v>
      </c>
      <c r="D46" s="8" t="s">
        <v>148</v>
      </c>
      <c r="E46" s="8" t="s">
        <v>53</v>
      </c>
      <c r="F46" s="8" t="s">
        <v>29</v>
      </c>
      <c r="G46" s="8" t="s">
        <v>36</v>
      </c>
      <c r="H46" s="8" t="s">
        <v>46</v>
      </c>
      <c r="I46" s="11">
        <v>15</v>
      </c>
      <c r="J46" s="12">
        <v>27.88</v>
      </c>
      <c r="K46" s="13">
        <v>0</v>
      </c>
      <c r="L46" s="12">
        <v>16.91</v>
      </c>
      <c r="M46" s="14">
        <f>ROUND(tblSprzedaz[[#This Row],[Ilość]]*tblSprzedaz[[#This Row],[Cena netto jednostkowa]]*(1-tblSprzedaz[[#This Row],[Rabat %]]),2)</f>
        <v>418.2</v>
      </c>
      <c r="N46" s="14">
        <f>ROUND(tblSprzedaz[[#This Row],[Ilość]]*tblSprzedaz[[#This Row],[Koszt jednostkowy netto]],2)</f>
        <v>253.65</v>
      </c>
      <c r="O46" s="14">
        <f>tblSprzedaz[[#This Row],[Przychód netto]]-tblSprzedaz[[#This Row],[Koszt całkowity netto]]</f>
        <v>164.54999999999998</v>
      </c>
      <c r="P46" s="15">
        <f>IFERROR(tblSprzedaz[[#This Row],[Marża kwotowa]]/tblSprzedaz[[#This Row],[Przychód netto]],0)</f>
        <v>0.39347202295552364</v>
      </c>
      <c r="Q46" s="16">
        <f>YEAR(tblSprzedaz[[#This Row],[Data]])</f>
        <v>2025</v>
      </c>
      <c r="R46" s="16">
        <f>MONTH(tblSprzedaz[[#This Row],[Data]])</f>
        <v>1</v>
      </c>
      <c r="S46" s="9" t="str">
        <f>YEAR(tblSprzedaz[[#This Row],[Data]])&amp;"-"&amp;RIGHT("0"&amp;MONTH(tblSprzedaz[[#This Row],[Data]]),2)</f>
        <v>2025-01</v>
      </c>
    </row>
    <row r="47" spans="1:19" x14ac:dyDescent="0.25">
      <c r="A47" s="7" t="s">
        <v>261</v>
      </c>
      <c r="B47" s="10">
        <v>45670</v>
      </c>
      <c r="C47" s="7" t="s">
        <v>262</v>
      </c>
      <c r="D47" s="8" t="s">
        <v>143</v>
      </c>
      <c r="E47" s="8" t="s">
        <v>58</v>
      </c>
      <c r="F47" s="8" t="s">
        <v>31</v>
      </c>
      <c r="G47" s="8" t="s">
        <v>28</v>
      </c>
      <c r="H47" s="8" t="s">
        <v>38</v>
      </c>
      <c r="I47" s="11">
        <v>14</v>
      </c>
      <c r="J47" s="12">
        <v>350.7</v>
      </c>
      <c r="K47" s="13">
        <v>0</v>
      </c>
      <c r="L47" s="12">
        <v>221.44</v>
      </c>
      <c r="M47" s="14">
        <f>ROUND(tblSprzedaz[[#This Row],[Ilość]]*tblSprzedaz[[#This Row],[Cena netto jednostkowa]]*(1-tblSprzedaz[[#This Row],[Rabat %]]),2)</f>
        <v>4909.8</v>
      </c>
      <c r="N47" s="14">
        <f>ROUND(tblSprzedaz[[#This Row],[Ilość]]*tblSprzedaz[[#This Row],[Koszt jednostkowy netto]],2)</f>
        <v>3100.16</v>
      </c>
      <c r="O47" s="14">
        <f>tblSprzedaz[[#This Row],[Przychód netto]]-tblSprzedaz[[#This Row],[Koszt całkowity netto]]</f>
        <v>1809.6400000000003</v>
      </c>
      <c r="P47" s="15">
        <f>IFERROR(tblSprzedaz[[#This Row],[Marża kwotowa]]/tblSprzedaz[[#This Row],[Przychód netto]],0)</f>
        <v>0.36857713145138299</v>
      </c>
      <c r="Q47" s="16">
        <f>YEAR(tblSprzedaz[[#This Row],[Data]])</f>
        <v>2025</v>
      </c>
      <c r="R47" s="16">
        <f>MONTH(tblSprzedaz[[#This Row],[Data]])</f>
        <v>1</v>
      </c>
      <c r="S47" s="9" t="str">
        <f>YEAR(tblSprzedaz[[#This Row],[Data]])&amp;"-"&amp;RIGHT("0"&amp;MONTH(tblSprzedaz[[#This Row],[Data]]),2)</f>
        <v>2025-01</v>
      </c>
    </row>
    <row r="48" spans="1:19" x14ac:dyDescent="0.25">
      <c r="A48" s="7" t="s">
        <v>263</v>
      </c>
      <c r="B48" s="10">
        <v>45670</v>
      </c>
      <c r="C48" s="7" t="s">
        <v>264</v>
      </c>
      <c r="D48" s="8" t="s">
        <v>149</v>
      </c>
      <c r="E48" s="8" t="s">
        <v>58</v>
      </c>
      <c r="F48" s="8" t="s">
        <v>31</v>
      </c>
      <c r="G48" s="8" t="s">
        <v>30</v>
      </c>
      <c r="H48" s="8" t="s">
        <v>40</v>
      </c>
      <c r="I48" s="11">
        <v>11</v>
      </c>
      <c r="J48" s="12">
        <v>350.7</v>
      </c>
      <c r="K48" s="13">
        <v>0.05</v>
      </c>
      <c r="L48" s="12">
        <v>226.87</v>
      </c>
      <c r="M48" s="14">
        <f>ROUND(tblSprzedaz[[#This Row],[Ilość]]*tblSprzedaz[[#This Row],[Cena netto jednostkowa]]*(1-tblSprzedaz[[#This Row],[Rabat %]]),2)</f>
        <v>3664.82</v>
      </c>
      <c r="N48" s="14">
        <f>ROUND(tblSprzedaz[[#This Row],[Ilość]]*tblSprzedaz[[#This Row],[Koszt jednostkowy netto]],2)</f>
        <v>2495.5700000000002</v>
      </c>
      <c r="O48" s="14">
        <f>tblSprzedaz[[#This Row],[Przychód netto]]-tblSprzedaz[[#This Row],[Koszt całkowity netto]]</f>
        <v>1169.25</v>
      </c>
      <c r="P48" s="15">
        <f>IFERROR(tblSprzedaz[[#This Row],[Marża kwotowa]]/tblSprzedaz[[#This Row],[Przychód netto]],0)</f>
        <v>0.31904704733111039</v>
      </c>
      <c r="Q48" s="16">
        <f>YEAR(tblSprzedaz[[#This Row],[Data]])</f>
        <v>2025</v>
      </c>
      <c r="R48" s="16">
        <f>MONTH(tblSprzedaz[[#This Row],[Data]])</f>
        <v>1</v>
      </c>
      <c r="S48" s="9" t="str">
        <f>YEAR(tblSprzedaz[[#This Row],[Data]])&amp;"-"&amp;RIGHT("0"&amp;MONTH(tblSprzedaz[[#This Row],[Data]]),2)</f>
        <v>2025-01</v>
      </c>
    </row>
    <row r="49" spans="1:19" x14ac:dyDescent="0.25">
      <c r="A49" s="7" t="s">
        <v>265</v>
      </c>
      <c r="B49" s="10">
        <v>45671</v>
      </c>
      <c r="C49" s="7" t="s">
        <v>266</v>
      </c>
      <c r="D49" s="8" t="s">
        <v>140</v>
      </c>
      <c r="E49" s="8" t="s">
        <v>67</v>
      </c>
      <c r="F49" s="8" t="s">
        <v>35</v>
      </c>
      <c r="G49" s="8" t="s">
        <v>34</v>
      </c>
      <c r="H49" s="8" t="s">
        <v>45</v>
      </c>
      <c r="I49" s="11">
        <v>5</v>
      </c>
      <c r="J49" s="12">
        <v>78.88</v>
      </c>
      <c r="K49" s="13">
        <v>0.05</v>
      </c>
      <c r="L49" s="12">
        <v>55.27</v>
      </c>
      <c r="M49" s="14">
        <f>ROUND(tblSprzedaz[[#This Row],[Ilość]]*tblSprzedaz[[#This Row],[Cena netto jednostkowa]]*(1-tblSprzedaz[[#This Row],[Rabat %]]),2)</f>
        <v>374.68</v>
      </c>
      <c r="N49" s="14">
        <f>ROUND(tblSprzedaz[[#This Row],[Ilość]]*tblSprzedaz[[#This Row],[Koszt jednostkowy netto]],2)</f>
        <v>276.35000000000002</v>
      </c>
      <c r="O49" s="14">
        <f>tblSprzedaz[[#This Row],[Przychód netto]]-tblSprzedaz[[#This Row],[Koszt całkowity netto]]</f>
        <v>98.329999999999984</v>
      </c>
      <c r="P49" s="15">
        <f>IFERROR(tblSprzedaz[[#This Row],[Marża kwotowa]]/tblSprzedaz[[#This Row],[Przychód netto]],0)</f>
        <v>0.26243727981210629</v>
      </c>
      <c r="Q49" s="16">
        <f>YEAR(tblSprzedaz[[#This Row],[Data]])</f>
        <v>2025</v>
      </c>
      <c r="R49" s="16">
        <f>MONTH(tblSprzedaz[[#This Row],[Data]])</f>
        <v>1</v>
      </c>
      <c r="S49" s="9" t="str">
        <f>YEAR(tblSprzedaz[[#This Row],[Data]])&amp;"-"&amp;RIGHT("0"&amp;MONTH(tblSprzedaz[[#This Row],[Data]]),2)</f>
        <v>2025-01</v>
      </c>
    </row>
    <row r="50" spans="1:19" x14ac:dyDescent="0.25">
      <c r="A50" s="7" t="s">
        <v>267</v>
      </c>
      <c r="B50" s="10">
        <v>45671</v>
      </c>
      <c r="C50" s="7" t="s">
        <v>268</v>
      </c>
      <c r="D50" s="8" t="s">
        <v>146</v>
      </c>
      <c r="E50" s="8" t="s">
        <v>60</v>
      </c>
      <c r="F50" s="8" t="s">
        <v>33</v>
      </c>
      <c r="G50" s="8" t="s">
        <v>36</v>
      </c>
      <c r="H50" s="8" t="s">
        <v>47</v>
      </c>
      <c r="I50" s="11">
        <v>11</v>
      </c>
      <c r="J50" s="12">
        <v>455.4</v>
      </c>
      <c r="K50" s="13">
        <v>0.1</v>
      </c>
      <c r="L50" s="12">
        <v>292.08999999999997</v>
      </c>
      <c r="M50" s="14">
        <f>ROUND(tblSprzedaz[[#This Row],[Ilość]]*tblSprzedaz[[#This Row],[Cena netto jednostkowa]]*(1-tblSprzedaz[[#This Row],[Rabat %]]),2)</f>
        <v>4508.46</v>
      </c>
      <c r="N50" s="14">
        <f>ROUND(tblSprzedaz[[#This Row],[Ilość]]*tblSprzedaz[[#This Row],[Koszt jednostkowy netto]],2)</f>
        <v>3212.99</v>
      </c>
      <c r="O50" s="14">
        <f>tblSprzedaz[[#This Row],[Przychód netto]]-tblSprzedaz[[#This Row],[Koszt całkowity netto]]</f>
        <v>1295.4700000000003</v>
      </c>
      <c r="P50" s="15">
        <f>IFERROR(tblSprzedaz[[#This Row],[Marża kwotowa]]/tblSprzedaz[[#This Row],[Przychód netto]],0)</f>
        <v>0.28734201922607727</v>
      </c>
      <c r="Q50" s="16">
        <f>YEAR(tblSprzedaz[[#This Row],[Data]])</f>
        <v>2025</v>
      </c>
      <c r="R50" s="16">
        <f>MONTH(tblSprzedaz[[#This Row],[Data]])</f>
        <v>1</v>
      </c>
      <c r="S50" s="9" t="str">
        <f>YEAR(tblSprzedaz[[#This Row],[Data]])&amp;"-"&amp;RIGHT("0"&amp;MONTH(tblSprzedaz[[#This Row],[Data]]),2)</f>
        <v>2025-01</v>
      </c>
    </row>
    <row r="51" spans="1:19" x14ac:dyDescent="0.25">
      <c r="A51" s="7" t="s">
        <v>269</v>
      </c>
      <c r="B51" s="10">
        <v>45671</v>
      </c>
      <c r="C51" s="7" t="s">
        <v>270</v>
      </c>
      <c r="D51" s="8" t="s">
        <v>136</v>
      </c>
      <c r="E51" s="8" t="s">
        <v>76</v>
      </c>
      <c r="F51" s="8" t="s">
        <v>37</v>
      </c>
      <c r="G51" s="8" t="s">
        <v>28</v>
      </c>
      <c r="H51" s="8" t="s">
        <v>39</v>
      </c>
      <c r="I51" s="11">
        <v>6</v>
      </c>
      <c r="J51" s="12">
        <v>158.65</v>
      </c>
      <c r="K51" s="13">
        <v>0</v>
      </c>
      <c r="L51" s="12">
        <v>128.13</v>
      </c>
      <c r="M51" s="14">
        <f>ROUND(tblSprzedaz[[#This Row],[Ilość]]*tblSprzedaz[[#This Row],[Cena netto jednostkowa]]*(1-tblSprzedaz[[#This Row],[Rabat %]]),2)</f>
        <v>951.9</v>
      </c>
      <c r="N51" s="14">
        <f>ROUND(tblSprzedaz[[#This Row],[Ilość]]*tblSprzedaz[[#This Row],[Koszt jednostkowy netto]],2)</f>
        <v>768.78</v>
      </c>
      <c r="O51" s="14">
        <f>tblSprzedaz[[#This Row],[Przychód netto]]-tblSprzedaz[[#This Row],[Koszt całkowity netto]]</f>
        <v>183.12</v>
      </c>
      <c r="P51" s="15">
        <f>IFERROR(tblSprzedaz[[#This Row],[Marża kwotowa]]/tblSprzedaz[[#This Row],[Przychód netto]],0)</f>
        <v>0.1923731484399622</v>
      </c>
      <c r="Q51" s="16">
        <f>YEAR(tblSprzedaz[[#This Row],[Data]])</f>
        <v>2025</v>
      </c>
      <c r="R51" s="16">
        <f>MONTH(tblSprzedaz[[#This Row],[Data]])</f>
        <v>1</v>
      </c>
      <c r="S51" s="9" t="str">
        <f>YEAR(tblSprzedaz[[#This Row],[Data]])&amp;"-"&amp;RIGHT("0"&amp;MONTH(tblSprzedaz[[#This Row],[Data]]),2)</f>
        <v>2025-01</v>
      </c>
    </row>
    <row r="52" spans="1:19" x14ac:dyDescent="0.25">
      <c r="A52" s="7" t="s">
        <v>271</v>
      </c>
      <c r="B52" s="10">
        <v>45672</v>
      </c>
      <c r="C52" s="7" t="s">
        <v>272</v>
      </c>
      <c r="D52" s="8" t="s">
        <v>94</v>
      </c>
      <c r="E52" s="8" t="s">
        <v>75</v>
      </c>
      <c r="F52" s="8" t="s">
        <v>37</v>
      </c>
      <c r="G52" s="8" t="s">
        <v>34</v>
      </c>
      <c r="H52" s="8" t="s">
        <v>45</v>
      </c>
      <c r="I52" s="11">
        <v>7</v>
      </c>
      <c r="J52" s="12">
        <v>142.5</v>
      </c>
      <c r="K52" s="13">
        <v>0.1</v>
      </c>
      <c r="L52" s="12">
        <v>112.07</v>
      </c>
      <c r="M52" s="14">
        <f>ROUND(tblSprzedaz[[#This Row],[Ilość]]*tblSprzedaz[[#This Row],[Cena netto jednostkowa]]*(1-tblSprzedaz[[#This Row],[Rabat %]]),2)</f>
        <v>897.75</v>
      </c>
      <c r="N52" s="14">
        <f>ROUND(tblSprzedaz[[#This Row],[Ilość]]*tblSprzedaz[[#This Row],[Koszt jednostkowy netto]],2)</f>
        <v>784.49</v>
      </c>
      <c r="O52" s="14">
        <f>tblSprzedaz[[#This Row],[Przychód netto]]-tblSprzedaz[[#This Row],[Koszt całkowity netto]]</f>
        <v>113.25999999999999</v>
      </c>
      <c r="P52" s="15">
        <f>IFERROR(tblSprzedaz[[#This Row],[Marża kwotowa]]/tblSprzedaz[[#This Row],[Przychód netto]],0)</f>
        <v>0.12615984405458089</v>
      </c>
      <c r="Q52" s="16">
        <f>YEAR(tblSprzedaz[[#This Row],[Data]])</f>
        <v>2025</v>
      </c>
      <c r="R52" s="16">
        <f>MONTH(tblSprzedaz[[#This Row],[Data]])</f>
        <v>1</v>
      </c>
      <c r="S52" s="9" t="str">
        <f>YEAR(tblSprzedaz[[#This Row],[Data]])&amp;"-"&amp;RIGHT("0"&amp;MONTH(tblSprzedaz[[#This Row],[Data]]),2)</f>
        <v>2025-01</v>
      </c>
    </row>
    <row r="53" spans="1:19" x14ac:dyDescent="0.25">
      <c r="A53" s="7" t="s">
        <v>273</v>
      </c>
      <c r="B53" s="10">
        <v>45672</v>
      </c>
      <c r="C53" s="7" t="s">
        <v>274</v>
      </c>
      <c r="D53" s="8" t="s">
        <v>90</v>
      </c>
      <c r="E53" s="8" t="s">
        <v>77</v>
      </c>
      <c r="F53" s="8" t="s">
        <v>37</v>
      </c>
      <c r="G53" s="8" t="s">
        <v>32</v>
      </c>
      <c r="H53" s="8" t="s">
        <v>43</v>
      </c>
      <c r="I53" s="11">
        <v>15</v>
      </c>
      <c r="J53" s="12">
        <v>77.900000000000006</v>
      </c>
      <c r="K53" s="13">
        <v>0.05</v>
      </c>
      <c r="L53" s="12">
        <v>61.18</v>
      </c>
      <c r="M53" s="14">
        <f>ROUND(tblSprzedaz[[#This Row],[Ilość]]*tblSprzedaz[[#This Row],[Cena netto jednostkowa]]*(1-tblSprzedaz[[#This Row],[Rabat %]]),2)</f>
        <v>1110.08</v>
      </c>
      <c r="N53" s="14">
        <f>ROUND(tblSprzedaz[[#This Row],[Ilość]]*tblSprzedaz[[#This Row],[Koszt jednostkowy netto]],2)</f>
        <v>917.7</v>
      </c>
      <c r="O53" s="14">
        <f>tblSprzedaz[[#This Row],[Przychód netto]]-tblSprzedaz[[#This Row],[Koszt całkowity netto]]</f>
        <v>192.37999999999988</v>
      </c>
      <c r="P53" s="15">
        <f>IFERROR(tblSprzedaz[[#This Row],[Marża kwotowa]]/tblSprzedaz[[#This Row],[Przychód netto]],0)</f>
        <v>0.17330282502161998</v>
      </c>
      <c r="Q53" s="16">
        <f>YEAR(tblSprzedaz[[#This Row],[Data]])</f>
        <v>2025</v>
      </c>
      <c r="R53" s="16">
        <f>MONTH(tblSprzedaz[[#This Row],[Data]])</f>
        <v>1</v>
      </c>
      <c r="S53" s="9" t="str">
        <f>YEAR(tblSprzedaz[[#This Row],[Data]])&amp;"-"&amp;RIGHT("0"&amp;MONTH(tblSprzedaz[[#This Row],[Data]]),2)</f>
        <v>2025-01</v>
      </c>
    </row>
    <row r="54" spans="1:19" x14ac:dyDescent="0.25">
      <c r="A54" s="7" t="s">
        <v>275</v>
      </c>
      <c r="B54" s="10">
        <v>45672</v>
      </c>
      <c r="C54" s="7" t="s">
        <v>276</v>
      </c>
      <c r="D54" s="8" t="s">
        <v>138</v>
      </c>
      <c r="E54" s="8" t="s">
        <v>65</v>
      </c>
      <c r="F54" s="8" t="s">
        <v>33</v>
      </c>
      <c r="G54" s="8" t="s">
        <v>32</v>
      </c>
      <c r="H54" s="8" t="s">
        <v>42</v>
      </c>
      <c r="I54" s="11">
        <v>3</v>
      </c>
      <c r="J54" s="12">
        <v>377.2</v>
      </c>
      <c r="K54" s="13">
        <v>0.1</v>
      </c>
      <c r="L54" s="12">
        <v>267.23</v>
      </c>
      <c r="M54" s="14">
        <f>ROUND(tblSprzedaz[[#This Row],[Ilość]]*tblSprzedaz[[#This Row],[Cena netto jednostkowa]]*(1-tblSprzedaz[[#This Row],[Rabat %]]),2)</f>
        <v>1018.44</v>
      </c>
      <c r="N54" s="14">
        <f>ROUND(tblSprzedaz[[#This Row],[Ilość]]*tblSprzedaz[[#This Row],[Koszt jednostkowy netto]],2)</f>
        <v>801.69</v>
      </c>
      <c r="O54" s="14">
        <f>tblSprzedaz[[#This Row],[Przychód netto]]-tblSprzedaz[[#This Row],[Koszt całkowity netto]]</f>
        <v>216.75</v>
      </c>
      <c r="P54" s="15">
        <f>IFERROR(tblSprzedaz[[#This Row],[Marża kwotowa]]/tblSprzedaz[[#This Row],[Przychód netto]],0)</f>
        <v>0.21282549782019558</v>
      </c>
      <c r="Q54" s="16">
        <f>YEAR(tblSprzedaz[[#This Row],[Data]])</f>
        <v>2025</v>
      </c>
      <c r="R54" s="16">
        <f>MONTH(tblSprzedaz[[#This Row],[Data]])</f>
        <v>1</v>
      </c>
      <c r="S54" s="9" t="str">
        <f>YEAR(tblSprzedaz[[#This Row],[Data]])&amp;"-"&amp;RIGHT("0"&amp;MONTH(tblSprzedaz[[#This Row],[Data]]),2)</f>
        <v>2025-01</v>
      </c>
    </row>
    <row r="55" spans="1:19" x14ac:dyDescent="0.25">
      <c r="A55" s="7" t="s">
        <v>277</v>
      </c>
      <c r="B55" s="10">
        <v>45673</v>
      </c>
      <c r="C55" s="7" t="s">
        <v>278</v>
      </c>
      <c r="D55" s="8" t="s">
        <v>110</v>
      </c>
      <c r="E55" s="8" t="s">
        <v>66</v>
      </c>
      <c r="F55" s="8" t="s">
        <v>35</v>
      </c>
      <c r="G55" s="8" t="s">
        <v>34</v>
      </c>
      <c r="H55" s="8" t="s">
        <v>44</v>
      </c>
      <c r="I55" s="11">
        <v>10</v>
      </c>
      <c r="J55" s="12">
        <v>67.319999999999993</v>
      </c>
      <c r="K55" s="13">
        <v>0.05</v>
      </c>
      <c r="L55" s="12">
        <v>48.58</v>
      </c>
      <c r="M55" s="14">
        <f>ROUND(tblSprzedaz[[#This Row],[Ilość]]*tblSprzedaz[[#This Row],[Cena netto jednostkowa]]*(1-tblSprzedaz[[#This Row],[Rabat %]]),2)</f>
        <v>639.54</v>
      </c>
      <c r="N55" s="14">
        <f>ROUND(tblSprzedaz[[#This Row],[Ilość]]*tblSprzedaz[[#This Row],[Koszt jednostkowy netto]],2)</f>
        <v>485.8</v>
      </c>
      <c r="O55" s="14">
        <f>tblSprzedaz[[#This Row],[Przychód netto]]-tblSprzedaz[[#This Row],[Koszt całkowity netto]]</f>
        <v>153.73999999999995</v>
      </c>
      <c r="P55" s="15">
        <f>IFERROR(tblSprzedaz[[#This Row],[Marża kwotowa]]/tblSprzedaz[[#This Row],[Przychód netto]],0)</f>
        <v>0.24039153141320319</v>
      </c>
      <c r="Q55" s="16">
        <f>YEAR(tblSprzedaz[[#This Row],[Data]])</f>
        <v>2025</v>
      </c>
      <c r="R55" s="16">
        <f>MONTH(tblSprzedaz[[#This Row],[Data]])</f>
        <v>1</v>
      </c>
      <c r="S55" s="9" t="str">
        <f>YEAR(tblSprzedaz[[#This Row],[Data]])&amp;"-"&amp;RIGHT("0"&amp;MONTH(tblSprzedaz[[#This Row],[Data]]),2)</f>
        <v>2025-01</v>
      </c>
    </row>
    <row r="56" spans="1:19" x14ac:dyDescent="0.25">
      <c r="A56" s="7" t="s">
        <v>279</v>
      </c>
      <c r="B56" s="10">
        <v>45673</v>
      </c>
      <c r="C56" s="7" t="s">
        <v>280</v>
      </c>
      <c r="D56" s="8" t="s">
        <v>129</v>
      </c>
      <c r="E56" s="8" t="s">
        <v>71</v>
      </c>
      <c r="F56" s="8" t="s">
        <v>35</v>
      </c>
      <c r="G56" s="8" t="s">
        <v>32</v>
      </c>
      <c r="H56" s="8" t="s">
        <v>43</v>
      </c>
      <c r="I56" s="11">
        <v>16</v>
      </c>
      <c r="J56" s="12">
        <v>55.76</v>
      </c>
      <c r="K56" s="13">
        <v>0.1</v>
      </c>
      <c r="L56" s="12">
        <v>38.21</v>
      </c>
      <c r="M56" s="14">
        <f>ROUND(tblSprzedaz[[#This Row],[Ilość]]*tblSprzedaz[[#This Row],[Cena netto jednostkowa]]*(1-tblSprzedaz[[#This Row],[Rabat %]]),2)</f>
        <v>802.94</v>
      </c>
      <c r="N56" s="14">
        <f>ROUND(tblSprzedaz[[#This Row],[Ilość]]*tblSprzedaz[[#This Row],[Koszt jednostkowy netto]],2)</f>
        <v>611.36</v>
      </c>
      <c r="O56" s="14">
        <f>tblSprzedaz[[#This Row],[Przychód netto]]-tblSprzedaz[[#This Row],[Koszt całkowity netto]]</f>
        <v>191.58000000000004</v>
      </c>
      <c r="P56" s="15">
        <f>IFERROR(tblSprzedaz[[#This Row],[Marża kwotowa]]/tblSprzedaz[[#This Row],[Przychód netto]],0)</f>
        <v>0.23859815179216384</v>
      </c>
      <c r="Q56" s="16">
        <f>YEAR(tblSprzedaz[[#This Row],[Data]])</f>
        <v>2025</v>
      </c>
      <c r="R56" s="16">
        <f>MONTH(tblSprzedaz[[#This Row],[Data]])</f>
        <v>1</v>
      </c>
      <c r="S56" s="9" t="str">
        <f>YEAR(tblSprzedaz[[#This Row],[Data]])&amp;"-"&amp;RIGHT("0"&amp;MONTH(tblSprzedaz[[#This Row],[Data]]),2)</f>
        <v>2025-01</v>
      </c>
    </row>
    <row r="57" spans="1:19" x14ac:dyDescent="0.25">
      <c r="A57" s="7" t="s">
        <v>281</v>
      </c>
      <c r="B57" s="10">
        <v>45673</v>
      </c>
      <c r="C57" s="7" t="s">
        <v>282</v>
      </c>
      <c r="D57" s="8" t="s">
        <v>87</v>
      </c>
      <c r="E57" s="8" t="s">
        <v>74</v>
      </c>
      <c r="F57" s="8" t="s">
        <v>37</v>
      </c>
      <c r="G57" s="8" t="s">
        <v>36</v>
      </c>
      <c r="H57" s="8" t="s">
        <v>46</v>
      </c>
      <c r="I57" s="11">
        <v>1</v>
      </c>
      <c r="J57" s="12">
        <v>126.35</v>
      </c>
      <c r="K57" s="13">
        <v>0.15</v>
      </c>
      <c r="L57" s="12">
        <v>99.98</v>
      </c>
      <c r="M57" s="14">
        <f>ROUND(tblSprzedaz[[#This Row],[Ilość]]*tblSprzedaz[[#This Row],[Cena netto jednostkowa]]*(1-tblSprzedaz[[#This Row],[Rabat %]]),2)</f>
        <v>107.4</v>
      </c>
      <c r="N57" s="14">
        <f>ROUND(tblSprzedaz[[#This Row],[Ilość]]*tblSprzedaz[[#This Row],[Koszt jednostkowy netto]],2)</f>
        <v>99.98</v>
      </c>
      <c r="O57" s="14">
        <f>tblSprzedaz[[#This Row],[Przychód netto]]-tblSprzedaz[[#This Row],[Koszt całkowity netto]]</f>
        <v>7.4200000000000017</v>
      </c>
      <c r="P57" s="15">
        <f>IFERROR(tblSprzedaz[[#This Row],[Marża kwotowa]]/tblSprzedaz[[#This Row],[Przychód netto]],0)</f>
        <v>6.9087523277467422E-2</v>
      </c>
      <c r="Q57" s="16">
        <f>YEAR(tblSprzedaz[[#This Row],[Data]])</f>
        <v>2025</v>
      </c>
      <c r="R57" s="16">
        <f>MONTH(tblSprzedaz[[#This Row],[Data]])</f>
        <v>1</v>
      </c>
      <c r="S57" s="9" t="str">
        <f>YEAR(tblSprzedaz[[#This Row],[Data]])&amp;"-"&amp;RIGHT("0"&amp;MONTH(tblSprzedaz[[#This Row],[Data]]),2)</f>
        <v>2025-01</v>
      </c>
    </row>
    <row r="58" spans="1:19" x14ac:dyDescent="0.25">
      <c r="A58" s="7" t="s">
        <v>283</v>
      </c>
      <c r="B58" s="10">
        <v>45673</v>
      </c>
      <c r="C58" s="7" t="s">
        <v>284</v>
      </c>
      <c r="D58" s="8" t="s">
        <v>92</v>
      </c>
      <c r="E58" s="8" t="s">
        <v>60</v>
      </c>
      <c r="F58" s="8" t="s">
        <v>33</v>
      </c>
      <c r="G58" s="8" t="s">
        <v>32</v>
      </c>
      <c r="H58" s="8" t="s">
        <v>43</v>
      </c>
      <c r="I58" s="11">
        <v>12</v>
      </c>
      <c r="J58" s="12">
        <v>455.4</v>
      </c>
      <c r="K58" s="13">
        <v>0</v>
      </c>
      <c r="L58" s="12">
        <v>327.39</v>
      </c>
      <c r="M58" s="14">
        <f>ROUND(tblSprzedaz[[#This Row],[Ilość]]*tblSprzedaz[[#This Row],[Cena netto jednostkowa]]*(1-tblSprzedaz[[#This Row],[Rabat %]]),2)</f>
        <v>5464.8</v>
      </c>
      <c r="N58" s="14">
        <f>ROUND(tblSprzedaz[[#This Row],[Ilość]]*tblSprzedaz[[#This Row],[Koszt jednostkowy netto]],2)</f>
        <v>3928.68</v>
      </c>
      <c r="O58" s="14">
        <f>tblSprzedaz[[#This Row],[Przychód netto]]-tblSprzedaz[[#This Row],[Koszt całkowity netto]]</f>
        <v>1536.1200000000003</v>
      </c>
      <c r="P58" s="15">
        <f>IFERROR(tblSprzedaz[[#This Row],[Marża kwotowa]]/tblSprzedaz[[#This Row],[Przychód netto]],0)</f>
        <v>0.28109354413702248</v>
      </c>
      <c r="Q58" s="16">
        <f>YEAR(tblSprzedaz[[#This Row],[Data]])</f>
        <v>2025</v>
      </c>
      <c r="R58" s="16">
        <f>MONTH(tblSprzedaz[[#This Row],[Data]])</f>
        <v>1</v>
      </c>
      <c r="S58" s="9" t="str">
        <f>YEAR(tblSprzedaz[[#This Row],[Data]])&amp;"-"&amp;RIGHT("0"&amp;MONTH(tblSprzedaz[[#This Row],[Data]]),2)</f>
        <v>2025-01</v>
      </c>
    </row>
    <row r="59" spans="1:19" x14ac:dyDescent="0.25">
      <c r="A59" s="7" t="s">
        <v>285</v>
      </c>
      <c r="B59" s="10">
        <v>45674</v>
      </c>
      <c r="C59" s="7" t="s">
        <v>286</v>
      </c>
      <c r="D59" s="8" t="s">
        <v>125</v>
      </c>
      <c r="E59" s="8" t="s">
        <v>49</v>
      </c>
      <c r="F59" s="8" t="s">
        <v>29</v>
      </c>
      <c r="G59" s="8" t="s">
        <v>30</v>
      </c>
      <c r="H59" s="8" t="s">
        <v>40</v>
      </c>
      <c r="I59" s="11">
        <v>11</v>
      </c>
      <c r="J59" s="12">
        <v>39.44</v>
      </c>
      <c r="K59" s="13">
        <v>0.05</v>
      </c>
      <c r="L59" s="12">
        <v>23.68</v>
      </c>
      <c r="M59" s="14">
        <f>ROUND(tblSprzedaz[[#This Row],[Ilość]]*tblSprzedaz[[#This Row],[Cena netto jednostkowa]]*(1-tblSprzedaz[[#This Row],[Rabat %]]),2)</f>
        <v>412.15</v>
      </c>
      <c r="N59" s="14">
        <f>ROUND(tblSprzedaz[[#This Row],[Ilość]]*tblSprzedaz[[#This Row],[Koszt jednostkowy netto]],2)</f>
        <v>260.48</v>
      </c>
      <c r="O59" s="14">
        <f>tblSprzedaz[[#This Row],[Przychód netto]]-tblSprzedaz[[#This Row],[Koszt całkowity netto]]</f>
        <v>151.66999999999996</v>
      </c>
      <c r="P59" s="15">
        <f>IFERROR(tblSprzedaz[[#This Row],[Marża kwotowa]]/tblSprzedaz[[#This Row],[Przychód netto]],0)</f>
        <v>0.36799708843867518</v>
      </c>
      <c r="Q59" s="16">
        <f>YEAR(tblSprzedaz[[#This Row],[Data]])</f>
        <v>2025</v>
      </c>
      <c r="R59" s="16">
        <f>MONTH(tblSprzedaz[[#This Row],[Data]])</f>
        <v>1</v>
      </c>
      <c r="S59" s="9" t="str">
        <f>YEAR(tblSprzedaz[[#This Row],[Data]])&amp;"-"&amp;RIGHT("0"&amp;MONTH(tblSprzedaz[[#This Row],[Data]]),2)</f>
        <v>2025-01</v>
      </c>
    </row>
    <row r="60" spans="1:19" x14ac:dyDescent="0.25">
      <c r="A60" s="7" t="s">
        <v>287</v>
      </c>
      <c r="B60" s="10">
        <v>45674</v>
      </c>
      <c r="C60" s="7" t="s">
        <v>288</v>
      </c>
      <c r="D60" s="8" t="s">
        <v>99</v>
      </c>
      <c r="E60" s="8" t="s">
        <v>67</v>
      </c>
      <c r="F60" s="8" t="s">
        <v>35</v>
      </c>
      <c r="G60" s="8" t="s">
        <v>36</v>
      </c>
      <c r="H60" s="8" t="s">
        <v>46</v>
      </c>
      <c r="I60" s="11">
        <v>9</v>
      </c>
      <c r="J60" s="12">
        <v>78.88</v>
      </c>
      <c r="K60" s="13">
        <v>0</v>
      </c>
      <c r="L60" s="12">
        <v>55.85</v>
      </c>
      <c r="M60" s="14">
        <f>ROUND(tblSprzedaz[[#This Row],[Ilość]]*tblSprzedaz[[#This Row],[Cena netto jednostkowa]]*(1-tblSprzedaz[[#This Row],[Rabat %]]),2)</f>
        <v>709.92</v>
      </c>
      <c r="N60" s="14">
        <f>ROUND(tblSprzedaz[[#This Row],[Ilość]]*tblSprzedaz[[#This Row],[Koszt jednostkowy netto]],2)</f>
        <v>502.65</v>
      </c>
      <c r="O60" s="14">
        <f>tblSprzedaz[[#This Row],[Przychód netto]]-tblSprzedaz[[#This Row],[Koszt całkowity netto]]</f>
        <v>207.26999999999998</v>
      </c>
      <c r="P60" s="15">
        <f>IFERROR(tblSprzedaz[[#This Row],[Marża kwotowa]]/tblSprzedaz[[#This Row],[Przychód netto]],0)</f>
        <v>0.29196247464503039</v>
      </c>
      <c r="Q60" s="16">
        <f>YEAR(tblSprzedaz[[#This Row],[Data]])</f>
        <v>2025</v>
      </c>
      <c r="R60" s="16">
        <f>MONTH(tblSprzedaz[[#This Row],[Data]])</f>
        <v>1</v>
      </c>
      <c r="S60" s="9" t="str">
        <f>YEAR(tblSprzedaz[[#This Row],[Data]])&amp;"-"&amp;RIGHT("0"&amp;MONTH(tblSprzedaz[[#This Row],[Data]]),2)</f>
        <v>2025-01</v>
      </c>
    </row>
    <row r="61" spans="1:19" x14ac:dyDescent="0.25">
      <c r="A61" s="7" t="s">
        <v>289</v>
      </c>
      <c r="B61" s="10">
        <v>45674</v>
      </c>
      <c r="C61" s="7" t="s">
        <v>290</v>
      </c>
      <c r="D61" s="8" t="s">
        <v>141</v>
      </c>
      <c r="E61" s="8" t="s">
        <v>60</v>
      </c>
      <c r="F61" s="8" t="s">
        <v>33</v>
      </c>
      <c r="G61" s="8" t="s">
        <v>34</v>
      </c>
      <c r="H61" s="8" t="s">
        <v>44</v>
      </c>
      <c r="I61" s="11">
        <v>4</v>
      </c>
      <c r="J61" s="12">
        <v>455.4</v>
      </c>
      <c r="K61" s="13">
        <v>0.1</v>
      </c>
      <c r="L61" s="12">
        <v>302.18</v>
      </c>
      <c r="M61" s="14">
        <f>ROUND(tblSprzedaz[[#This Row],[Ilość]]*tblSprzedaz[[#This Row],[Cena netto jednostkowa]]*(1-tblSprzedaz[[#This Row],[Rabat %]]),2)</f>
        <v>1639.44</v>
      </c>
      <c r="N61" s="14">
        <f>ROUND(tblSprzedaz[[#This Row],[Ilość]]*tblSprzedaz[[#This Row],[Koszt jednostkowy netto]],2)</f>
        <v>1208.72</v>
      </c>
      <c r="O61" s="14">
        <f>tblSprzedaz[[#This Row],[Przychód netto]]-tblSprzedaz[[#This Row],[Koszt całkowity netto]]</f>
        <v>430.72</v>
      </c>
      <c r="P61" s="15">
        <f>IFERROR(tblSprzedaz[[#This Row],[Marża kwotowa]]/tblSprzedaz[[#This Row],[Przychód netto]],0)</f>
        <v>0.26272385692675548</v>
      </c>
      <c r="Q61" s="16">
        <f>YEAR(tblSprzedaz[[#This Row],[Data]])</f>
        <v>2025</v>
      </c>
      <c r="R61" s="16">
        <f>MONTH(tblSprzedaz[[#This Row],[Data]])</f>
        <v>1</v>
      </c>
      <c r="S61" s="9" t="str">
        <f>YEAR(tblSprzedaz[[#This Row],[Data]])&amp;"-"&amp;RIGHT("0"&amp;MONTH(tblSprzedaz[[#This Row],[Data]]),2)</f>
        <v>2025-01</v>
      </c>
    </row>
    <row r="62" spans="1:19" x14ac:dyDescent="0.25">
      <c r="A62" s="7" t="s">
        <v>291</v>
      </c>
      <c r="B62" s="10">
        <v>45674</v>
      </c>
      <c r="C62" s="7" t="s">
        <v>292</v>
      </c>
      <c r="D62" s="8" t="s">
        <v>144</v>
      </c>
      <c r="E62" s="8" t="s">
        <v>71</v>
      </c>
      <c r="F62" s="8" t="s">
        <v>35</v>
      </c>
      <c r="G62" s="8" t="s">
        <v>30</v>
      </c>
      <c r="H62" s="8" t="s">
        <v>40</v>
      </c>
      <c r="I62" s="11">
        <v>10</v>
      </c>
      <c r="J62" s="12">
        <v>55.76</v>
      </c>
      <c r="K62" s="13">
        <v>0.05</v>
      </c>
      <c r="L62" s="12">
        <v>38.950000000000003</v>
      </c>
      <c r="M62" s="14">
        <f>ROUND(tblSprzedaz[[#This Row],[Ilość]]*tblSprzedaz[[#This Row],[Cena netto jednostkowa]]*(1-tblSprzedaz[[#This Row],[Rabat %]]),2)</f>
        <v>529.72</v>
      </c>
      <c r="N62" s="14">
        <f>ROUND(tblSprzedaz[[#This Row],[Ilość]]*tblSprzedaz[[#This Row],[Koszt jednostkowy netto]],2)</f>
        <v>389.5</v>
      </c>
      <c r="O62" s="14">
        <f>tblSprzedaz[[#This Row],[Przychód netto]]-tblSprzedaz[[#This Row],[Koszt całkowity netto]]</f>
        <v>140.22000000000003</v>
      </c>
      <c r="P62" s="15">
        <f>IFERROR(tblSprzedaz[[#This Row],[Marża kwotowa]]/tblSprzedaz[[#This Row],[Przychód netto]],0)</f>
        <v>0.26470588235294124</v>
      </c>
      <c r="Q62" s="16">
        <f>YEAR(tblSprzedaz[[#This Row],[Data]])</f>
        <v>2025</v>
      </c>
      <c r="R62" s="16">
        <f>MONTH(tblSprzedaz[[#This Row],[Data]])</f>
        <v>1</v>
      </c>
      <c r="S62" s="9" t="str">
        <f>YEAR(tblSprzedaz[[#This Row],[Data]])&amp;"-"&amp;RIGHT("0"&amp;MONTH(tblSprzedaz[[#This Row],[Data]]),2)</f>
        <v>2025-01</v>
      </c>
    </row>
    <row r="63" spans="1:19" x14ac:dyDescent="0.25">
      <c r="A63" s="7" t="s">
        <v>293</v>
      </c>
      <c r="B63" s="10">
        <v>45674</v>
      </c>
      <c r="C63" s="7" t="s">
        <v>294</v>
      </c>
      <c r="D63" s="8" t="s">
        <v>132</v>
      </c>
      <c r="E63" s="8" t="s">
        <v>55</v>
      </c>
      <c r="F63" s="8" t="s">
        <v>31</v>
      </c>
      <c r="G63" s="8" t="s">
        <v>32</v>
      </c>
      <c r="H63" s="8" t="s">
        <v>42</v>
      </c>
      <c r="I63" s="11">
        <v>2</v>
      </c>
      <c r="J63" s="12">
        <v>243.6</v>
      </c>
      <c r="K63" s="13">
        <v>0.1</v>
      </c>
      <c r="L63" s="12">
        <v>152.22999999999999</v>
      </c>
      <c r="M63" s="14">
        <f>ROUND(tblSprzedaz[[#This Row],[Ilość]]*tblSprzedaz[[#This Row],[Cena netto jednostkowa]]*(1-tblSprzedaz[[#This Row],[Rabat %]]),2)</f>
        <v>438.48</v>
      </c>
      <c r="N63" s="14">
        <f>ROUND(tblSprzedaz[[#This Row],[Ilość]]*tblSprzedaz[[#This Row],[Koszt jednostkowy netto]],2)</f>
        <v>304.45999999999998</v>
      </c>
      <c r="O63" s="14">
        <f>tblSprzedaz[[#This Row],[Przychód netto]]-tblSprzedaz[[#This Row],[Koszt całkowity netto]]</f>
        <v>134.02000000000004</v>
      </c>
      <c r="P63" s="15">
        <f>IFERROR(tblSprzedaz[[#This Row],[Marża kwotowa]]/tblSprzedaz[[#This Row],[Przychód netto]],0)</f>
        <v>0.30564677978471089</v>
      </c>
      <c r="Q63" s="16">
        <f>YEAR(tblSprzedaz[[#This Row],[Data]])</f>
        <v>2025</v>
      </c>
      <c r="R63" s="16">
        <f>MONTH(tblSprzedaz[[#This Row],[Data]])</f>
        <v>1</v>
      </c>
      <c r="S63" s="9" t="str">
        <f>YEAR(tblSprzedaz[[#This Row],[Data]])&amp;"-"&amp;RIGHT("0"&amp;MONTH(tblSprzedaz[[#This Row],[Data]]),2)</f>
        <v>2025-01</v>
      </c>
    </row>
    <row r="64" spans="1:19" x14ac:dyDescent="0.25">
      <c r="A64" s="7" t="s">
        <v>295</v>
      </c>
      <c r="B64" s="10">
        <v>45675</v>
      </c>
      <c r="C64" s="7" t="s">
        <v>296</v>
      </c>
      <c r="D64" s="8" t="s">
        <v>129</v>
      </c>
      <c r="E64" s="8" t="s">
        <v>63</v>
      </c>
      <c r="F64" s="8" t="s">
        <v>33</v>
      </c>
      <c r="G64" s="8" t="s">
        <v>36</v>
      </c>
      <c r="H64" s="8" t="s">
        <v>46</v>
      </c>
      <c r="I64" s="11">
        <v>6</v>
      </c>
      <c r="J64" s="12">
        <v>690</v>
      </c>
      <c r="K64" s="13">
        <v>0</v>
      </c>
      <c r="L64" s="12">
        <v>479.81</v>
      </c>
      <c r="M64" s="14">
        <f>ROUND(tblSprzedaz[[#This Row],[Ilość]]*tblSprzedaz[[#This Row],[Cena netto jednostkowa]]*(1-tblSprzedaz[[#This Row],[Rabat %]]),2)</f>
        <v>4140</v>
      </c>
      <c r="N64" s="14">
        <f>ROUND(tblSprzedaz[[#This Row],[Ilość]]*tblSprzedaz[[#This Row],[Koszt jednostkowy netto]],2)</f>
        <v>2878.86</v>
      </c>
      <c r="O64" s="14">
        <f>tblSprzedaz[[#This Row],[Przychód netto]]-tblSprzedaz[[#This Row],[Koszt całkowity netto]]</f>
        <v>1261.1399999999999</v>
      </c>
      <c r="P64" s="15">
        <f>IFERROR(tblSprzedaz[[#This Row],[Marża kwotowa]]/tblSprzedaz[[#This Row],[Przychód netto]],0)</f>
        <v>0.30462318840579705</v>
      </c>
      <c r="Q64" s="16">
        <f>YEAR(tblSprzedaz[[#This Row],[Data]])</f>
        <v>2025</v>
      </c>
      <c r="R64" s="16">
        <f>MONTH(tblSprzedaz[[#This Row],[Data]])</f>
        <v>1</v>
      </c>
      <c r="S64" s="9" t="str">
        <f>YEAR(tblSprzedaz[[#This Row],[Data]])&amp;"-"&amp;RIGHT("0"&amp;MONTH(tblSprzedaz[[#This Row],[Data]]),2)</f>
        <v>2025-01</v>
      </c>
    </row>
    <row r="65" spans="1:19" x14ac:dyDescent="0.25">
      <c r="A65" s="7" t="s">
        <v>297</v>
      </c>
      <c r="B65" s="10">
        <v>45675</v>
      </c>
      <c r="C65" s="7" t="s">
        <v>298</v>
      </c>
      <c r="D65" s="8" t="s">
        <v>118</v>
      </c>
      <c r="E65" s="8" t="s">
        <v>66</v>
      </c>
      <c r="F65" s="8" t="s">
        <v>35</v>
      </c>
      <c r="G65" s="8" t="s">
        <v>30</v>
      </c>
      <c r="H65" s="8" t="s">
        <v>41</v>
      </c>
      <c r="I65" s="11">
        <v>8</v>
      </c>
      <c r="J65" s="12">
        <v>67.319999999999993</v>
      </c>
      <c r="K65" s="13">
        <v>0.15</v>
      </c>
      <c r="L65" s="12">
        <v>47.86</v>
      </c>
      <c r="M65" s="14">
        <f>ROUND(tblSprzedaz[[#This Row],[Ilość]]*tblSprzedaz[[#This Row],[Cena netto jednostkowa]]*(1-tblSprzedaz[[#This Row],[Rabat %]]),2)</f>
        <v>457.78</v>
      </c>
      <c r="N65" s="14">
        <f>ROUND(tblSprzedaz[[#This Row],[Ilość]]*tblSprzedaz[[#This Row],[Koszt jednostkowy netto]],2)</f>
        <v>382.88</v>
      </c>
      <c r="O65" s="14">
        <f>tblSprzedaz[[#This Row],[Przychód netto]]-tblSprzedaz[[#This Row],[Koszt całkowity netto]]</f>
        <v>74.899999999999977</v>
      </c>
      <c r="P65" s="15">
        <f>IFERROR(tblSprzedaz[[#This Row],[Marża kwotowa]]/tblSprzedaz[[#This Row],[Przychód netto]],0)</f>
        <v>0.16361571060334654</v>
      </c>
      <c r="Q65" s="16">
        <f>YEAR(tblSprzedaz[[#This Row],[Data]])</f>
        <v>2025</v>
      </c>
      <c r="R65" s="16">
        <f>MONTH(tblSprzedaz[[#This Row],[Data]])</f>
        <v>1</v>
      </c>
      <c r="S65" s="9" t="str">
        <f>YEAR(tblSprzedaz[[#This Row],[Data]])&amp;"-"&amp;RIGHT("0"&amp;MONTH(tblSprzedaz[[#This Row],[Data]]),2)</f>
        <v>2025-01</v>
      </c>
    </row>
    <row r="66" spans="1:19" x14ac:dyDescent="0.25">
      <c r="A66" s="7" t="s">
        <v>299</v>
      </c>
      <c r="B66" s="10">
        <v>45676</v>
      </c>
      <c r="C66" s="7" t="s">
        <v>300</v>
      </c>
      <c r="D66" s="8" t="s">
        <v>123</v>
      </c>
      <c r="E66" s="8" t="s">
        <v>67</v>
      </c>
      <c r="F66" s="8" t="s">
        <v>35</v>
      </c>
      <c r="G66" s="8" t="s">
        <v>32</v>
      </c>
      <c r="H66" s="8" t="s">
        <v>42</v>
      </c>
      <c r="I66" s="11">
        <v>19</v>
      </c>
      <c r="J66" s="12">
        <v>78.88</v>
      </c>
      <c r="K66" s="13">
        <v>0</v>
      </c>
      <c r="L66" s="12">
        <v>59.89</v>
      </c>
      <c r="M66" s="14">
        <f>ROUND(tblSprzedaz[[#This Row],[Ilość]]*tblSprzedaz[[#This Row],[Cena netto jednostkowa]]*(1-tblSprzedaz[[#This Row],[Rabat %]]),2)</f>
        <v>1498.72</v>
      </c>
      <c r="N66" s="14">
        <f>ROUND(tblSprzedaz[[#This Row],[Ilość]]*tblSprzedaz[[#This Row],[Koszt jednostkowy netto]],2)</f>
        <v>1137.9100000000001</v>
      </c>
      <c r="O66" s="14">
        <f>tblSprzedaz[[#This Row],[Przychód netto]]-tblSprzedaz[[#This Row],[Koszt całkowity netto]]</f>
        <v>360.80999999999995</v>
      </c>
      <c r="P66" s="15">
        <f>IFERROR(tblSprzedaz[[#This Row],[Marża kwotowa]]/tblSprzedaz[[#This Row],[Przychód netto]],0)</f>
        <v>0.24074543610547663</v>
      </c>
      <c r="Q66" s="16">
        <f>YEAR(tblSprzedaz[[#This Row],[Data]])</f>
        <v>2025</v>
      </c>
      <c r="R66" s="16">
        <f>MONTH(tblSprzedaz[[#This Row],[Data]])</f>
        <v>1</v>
      </c>
      <c r="S66" s="9" t="str">
        <f>YEAR(tblSprzedaz[[#This Row],[Data]])&amp;"-"&amp;RIGHT("0"&amp;MONTH(tblSprzedaz[[#This Row],[Data]]),2)</f>
        <v>2025-01</v>
      </c>
    </row>
    <row r="67" spans="1:19" x14ac:dyDescent="0.25">
      <c r="A67" s="7" t="s">
        <v>301</v>
      </c>
      <c r="B67" s="10">
        <v>45677</v>
      </c>
      <c r="C67" s="7" t="s">
        <v>302</v>
      </c>
      <c r="D67" s="8" t="s">
        <v>127</v>
      </c>
      <c r="E67" s="8" t="s">
        <v>67</v>
      </c>
      <c r="F67" s="8" t="s">
        <v>35</v>
      </c>
      <c r="G67" s="8" t="s">
        <v>28</v>
      </c>
      <c r="H67" s="8" t="s">
        <v>38</v>
      </c>
      <c r="I67" s="11">
        <v>2</v>
      </c>
      <c r="J67" s="12">
        <v>78.88</v>
      </c>
      <c r="K67" s="13">
        <v>0.1</v>
      </c>
      <c r="L67" s="12">
        <v>59.93</v>
      </c>
      <c r="M67" s="14">
        <f>ROUND(tblSprzedaz[[#This Row],[Ilość]]*tblSprzedaz[[#This Row],[Cena netto jednostkowa]]*(1-tblSprzedaz[[#This Row],[Rabat %]]),2)</f>
        <v>141.97999999999999</v>
      </c>
      <c r="N67" s="14">
        <f>ROUND(tblSprzedaz[[#This Row],[Ilość]]*tblSprzedaz[[#This Row],[Koszt jednostkowy netto]],2)</f>
        <v>119.86</v>
      </c>
      <c r="O67" s="14">
        <f>tblSprzedaz[[#This Row],[Przychód netto]]-tblSprzedaz[[#This Row],[Koszt całkowity netto]]</f>
        <v>22.11999999999999</v>
      </c>
      <c r="P67" s="15">
        <f>IFERROR(tblSprzedaz[[#This Row],[Marża kwotowa]]/tblSprzedaz[[#This Row],[Przychód netto]],0)</f>
        <v>0.1557965910691646</v>
      </c>
      <c r="Q67" s="16">
        <f>YEAR(tblSprzedaz[[#This Row],[Data]])</f>
        <v>2025</v>
      </c>
      <c r="R67" s="16">
        <f>MONTH(tblSprzedaz[[#This Row],[Data]])</f>
        <v>1</v>
      </c>
      <c r="S67" s="9" t="str">
        <f>YEAR(tblSprzedaz[[#This Row],[Data]])&amp;"-"&amp;RIGHT("0"&amp;MONTH(tblSprzedaz[[#This Row],[Data]]),2)</f>
        <v>2025-01</v>
      </c>
    </row>
    <row r="68" spans="1:19" x14ac:dyDescent="0.25">
      <c r="A68" s="7" t="s">
        <v>303</v>
      </c>
      <c r="B68" s="10">
        <v>45677</v>
      </c>
      <c r="C68" s="7" t="s">
        <v>304</v>
      </c>
      <c r="D68" s="8" t="s">
        <v>87</v>
      </c>
      <c r="E68" s="8" t="s">
        <v>58</v>
      </c>
      <c r="F68" s="8" t="s">
        <v>31</v>
      </c>
      <c r="G68" s="8" t="s">
        <v>36</v>
      </c>
      <c r="H68" s="8" t="s">
        <v>47</v>
      </c>
      <c r="I68" s="11">
        <v>12</v>
      </c>
      <c r="J68" s="12">
        <v>350.7</v>
      </c>
      <c r="K68" s="13">
        <v>0</v>
      </c>
      <c r="L68" s="12">
        <v>227.56</v>
      </c>
      <c r="M68" s="14">
        <f>ROUND(tblSprzedaz[[#This Row],[Ilość]]*tblSprzedaz[[#This Row],[Cena netto jednostkowa]]*(1-tblSprzedaz[[#This Row],[Rabat %]]),2)</f>
        <v>4208.3999999999996</v>
      </c>
      <c r="N68" s="14">
        <f>ROUND(tblSprzedaz[[#This Row],[Ilość]]*tblSprzedaz[[#This Row],[Koszt jednostkowy netto]],2)</f>
        <v>2730.72</v>
      </c>
      <c r="O68" s="14">
        <f>tblSprzedaz[[#This Row],[Przychód netto]]-tblSprzedaz[[#This Row],[Koszt całkowity netto]]</f>
        <v>1477.6799999999998</v>
      </c>
      <c r="P68" s="15">
        <f>IFERROR(tblSprzedaz[[#This Row],[Marża kwotowa]]/tblSprzedaz[[#This Row],[Przychód netto]],0)</f>
        <v>0.35112631879098943</v>
      </c>
      <c r="Q68" s="16">
        <f>YEAR(tblSprzedaz[[#This Row],[Data]])</f>
        <v>2025</v>
      </c>
      <c r="R68" s="16">
        <f>MONTH(tblSprzedaz[[#This Row],[Data]])</f>
        <v>1</v>
      </c>
      <c r="S68" s="9" t="str">
        <f>YEAR(tblSprzedaz[[#This Row],[Data]])&amp;"-"&amp;RIGHT("0"&amp;MONTH(tblSprzedaz[[#This Row],[Data]]),2)</f>
        <v>2025-01</v>
      </c>
    </row>
    <row r="69" spans="1:19" x14ac:dyDescent="0.25">
      <c r="A69" s="7" t="s">
        <v>305</v>
      </c>
      <c r="B69" s="10">
        <v>45677</v>
      </c>
      <c r="C69" s="7" t="s">
        <v>306</v>
      </c>
      <c r="D69" s="8" t="s">
        <v>144</v>
      </c>
      <c r="E69" s="8" t="s">
        <v>74</v>
      </c>
      <c r="F69" s="8" t="s">
        <v>37</v>
      </c>
      <c r="G69" s="8" t="s">
        <v>36</v>
      </c>
      <c r="H69" s="8" t="s">
        <v>47</v>
      </c>
      <c r="I69" s="11">
        <v>4</v>
      </c>
      <c r="J69" s="12">
        <v>126.35</v>
      </c>
      <c r="K69" s="13">
        <v>0</v>
      </c>
      <c r="L69" s="12">
        <v>101.3</v>
      </c>
      <c r="M69" s="14">
        <f>ROUND(tblSprzedaz[[#This Row],[Ilość]]*tblSprzedaz[[#This Row],[Cena netto jednostkowa]]*(1-tblSprzedaz[[#This Row],[Rabat %]]),2)</f>
        <v>505.4</v>
      </c>
      <c r="N69" s="14">
        <f>ROUND(tblSprzedaz[[#This Row],[Ilość]]*tblSprzedaz[[#This Row],[Koszt jednostkowy netto]],2)</f>
        <v>405.2</v>
      </c>
      <c r="O69" s="14">
        <f>tblSprzedaz[[#This Row],[Przychód netto]]-tblSprzedaz[[#This Row],[Koszt całkowity netto]]</f>
        <v>100.19999999999999</v>
      </c>
      <c r="P69" s="15">
        <f>IFERROR(tblSprzedaz[[#This Row],[Marża kwotowa]]/tblSprzedaz[[#This Row],[Przychód netto]],0)</f>
        <v>0.19825880490700434</v>
      </c>
      <c r="Q69" s="16">
        <f>YEAR(tblSprzedaz[[#This Row],[Data]])</f>
        <v>2025</v>
      </c>
      <c r="R69" s="16">
        <f>MONTH(tblSprzedaz[[#This Row],[Data]])</f>
        <v>1</v>
      </c>
      <c r="S69" s="9" t="str">
        <f>YEAR(tblSprzedaz[[#This Row],[Data]])&amp;"-"&amp;RIGHT("0"&amp;MONTH(tblSprzedaz[[#This Row],[Data]]),2)</f>
        <v>2025-01</v>
      </c>
    </row>
    <row r="70" spans="1:19" x14ac:dyDescent="0.25">
      <c r="A70" s="7" t="s">
        <v>307</v>
      </c>
      <c r="B70" s="10">
        <v>45677</v>
      </c>
      <c r="C70" s="7" t="s">
        <v>308</v>
      </c>
      <c r="D70" s="8" t="s">
        <v>139</v>
      </c>
      <c r="E70" s="8" t="s">
        <v>51</v>
      </c>
      <c r="F70" s="8" t="s">
        <v>29</v>
      </c>
      <c r="G70" s="8" t="s">
        <v>36</v>
      </c>
      <c r="H70" s="8" t="s">
        <v>46</v>
      </c>
      <c r="I70" s="11">
        <v>7</v>
      </c>
      <c r="J70" s="12">
        <v>51</v>
      </c>
      <c r="K70" s="13">
        <v>0</v>
      </c>
      <c r="L70" s="12">
        <v>31.29</v>
      </c>
      <c r="M70" s="14">
        <f>ROUND(tblSprzedaz[[#This Row],[Ilość]]*tblSprzedaz[[#This Row],[Cena netto jednostkowa]]*(1-tblSprzedaz[[#This Row],[Rabat %]]),2)</f>
        <v>357</v>
      </c>
      <c r="N70" s="14">
        <f>ROUND(tblSprzedaz[[#This Row],[Ilość]]*tblSprzedaz[[#This Row],[Koszt jednostkowy netto]],2)</f>
        <v>219.03</v>
      </c>
      <c r="O70" s="14">
        <f>tblSprzedaz[[#This Row],[Przychód netto]]-tblSprzedaz[[#This Row],[Koszt całkowity netto]]</f>
        <v>137.97</v>
      </c>
      <c r="P70" s="15">
        <f>IFERROR(tblSprzedaz[[#This Row],[Marża kwotowa]]/tblSprzedaz[[#This Row],[Przychód netto]],0)</f>
        <v>0.38647058823529412</v>
      </c>
      <c r="Q70" s="16">
        <f>YEAR(tblSprzedaz[[#This Row],[Data]])</f>
        <v>2025</v>
      </c>
      <c r="R70" s="16">
        <f>MONTH(tblSprzedaz[[#This Row],[Data]])</f>
        <v>1</v>
      </c>
      <c r="S70" s="9" t="str">
        <f>YEAR(tblSprzedaz[[#This Row],[Data]])&amp;"-"&amp;RIGHT("0"&amp;MONTH(tblSprzedaz[[#This Row],[Data]]),2)</f>
        <v>2025-01</v>
      </c>
    </row>
    <row r="71" spans="1:19" x14ac:dyDescent="0.25">
      <c r="A71" s="7" t="s">
        <v>309</v>
      </c>
      <c r="B71" s="10">
        <v>45678</v>
      </c>
      <c r="C71" s="7" t="s">
        <v>310</v>
      </c>
      <c r="D71" s="8" t="s">
        <v>117</v>
      </c>
      <c r="E71" s="8" t="s">
        <v>53</v>
      </c>
      <c r="F71" s="8" t="s">
        <v>29</v>
      </c>
      <c r="G71" s="8" t="s">
        <v>34</v>
      </c>
      <c r="H71" s="8" t="s">
        <v>44</v>
      </c>
      <c r="I71" s="11">
        <v>7</v>
      </c>
      <c r="J71" s="12">
        <v>27.88</v>
      </c>
      <c r="K71" s="13">
        <v>0</v>
      </c>
      <c r="L71" s="12">
        <v>16.989999999999998</v>
      </c>
      <c r="M71" s="14">
        <f>ROUND(tblSprzedaz[[#This Row],[Ilość]]*tblSprzedaz[[#This Row],[Cena netto jednostkowa]]*(1-tblSprzedaz[[#This Row],[Rabat %]]),2)</f>
        <v>195.16</v>
      </c>
      <c r="N71" s="14">
        <f>ROUND(tblSprzedaz[[#This Row],[Ilość]]*tblSprzedaz[[#This Row],[Koszt jednostkowy netto]],2)</f>
        <v>118.93</v>
      </c>
      <c r="O71" s="14">
        <f>tblSprzedaz[[#This Row],[Przychód netto]]-tblSprzedaz[[#This Row],[Koszt całkowity netto]]</f>
        <v>76.22999999999999</v>
      </c>
      <c r="P71" s="15">
        <f>IFERROR(tblSprzedaz[[#This Row],[Marża kwotowa]]/tblSprzedaz[[#This Row],[Przychód netto]],0)</f>
        <v>0.39060258249641316</v>
      </c>
      <c r="Q71" s="16">
        <f>YEAR(tblSprzedaz[[#This Row],[Data]])</f>
        <v>2025</v>
      </c>
      <c r="R71" s="16">
        <f>MONTH(tblSprzedaz[[#This Row],[Data]])</f>
        <v>1</v>
      </c>
      <c r="S71" s="9" t="str">
        <f>YEAR(tblSprzedaz[[#This Row],[Data]])&amp;"-"&amp;RIGHT("0"&amp;MONTH(tblSprzedaz[[#This Row],[Data]]),2)</f>
        <v>2025-01</v>
      </c>
    </row>
    <row r="72" spans="1:19" x14ac:dyDescent="0.25">
      <c r="A72" s="7" t="s">
        <v>311</v>
      </c>
      <c r="B72" s="10">
        <v>45678</v>
      </c>
      <c r="C72" s="7" t="s">
        <v>312</v>
      </c>
      <c r="D72" s="8" t="s">
        <v>90</v>
      </c>
      <c r="E72" s="8" t="s">
        <v>51</v>
      </c>
      <c r="F72" s="8" t="s">
        <v>29</v>
      </c>
      <c r="G72" s="8" t="s">
        <v>32</v>
      </c>
      <c r="H72" s="8" t="s">
        <v>42</v>
      </c>
      <c r="I72" s="11">
        <v>11</v>
      </c>
      <c r="J72" s="12">
        <v>51</v>
      </c>
      <c r="K72" s="13">
        <v>0.05</v>
      </c>
      <c r="L72" s="12">
        <v>28.93</v>
      </c>
      <c r="M72" s="14">
        <f>ROUND(tblSprzedaz[[#This Row],[Ilość]]*tblSprzedaz[[#This Row],[Cena netto jednostkowa]]*(1-tblSprzedaz[[#This Row],[Rabat %]]),2)</f>
        <v>532.95000000000005</v>
      </c>
      <c r="N72" s="14">
        <f>ROUND(tblSprzedaz[[#This Row],[Ilość]]*tblSprzedaz[[#This Row],[Koszt jednostkowy netto]],2)</f>
        <v>318.23</v>
      </c>
      <c r="O72" s="14">
        <f>tblSprzedaz[[#This Row],[Przychód netto]]-tblSprzedaz[[#This Row],[Koszt całkowity netto]]</f>
        <v>214.72000000000003</v>
      </c>
      <c r="P72" s="15">
        <f>IFERROR(tblSprzedaz[[#This Row],[Marża kwotowa]]/tblSprzedaz[[#This Row],[Przychód netto]],0)</f>
        <v>0.40288957688338495</v>
      </c>
      <c r="Q72" s="16">
        <f>YEAR(tblSprzedaz[[#This Row],[Data]])</f>
        <v>2025</v>
      </c>
      <c r="R72" s="16">
        <f>MONTH(tblSprzedaz[[#This Row],[Data]])</f>
        <v>1</v>
      </c>
      <c r="S72" s="9" t="str">
        <f>YEAR(tblSprzedaz[[#This Row],[Data]])&amp;"-"&amp;RIGHT("0"&amp;MONTH(tblSprzedaz[[#This Row],[Data]]),2)</f>
        <v>2025-01</v>
      </c>
    </row>
    <row r="73" spans="1:19" x14ac:dyDescent="0.25">
      <c r="A73" s="7" t="s">
        <v>313</v>
      </c>
      <c r="B73" s="10">
        <v>45678</v>
      </c>
      <c r="C73" s="7" t="s">
        <v>314</v>
      </c>
      <c r="D73" s="8" t="s">
        <v>101</v>
      </c>
      <c r="E73" s="8" t="s">
        <v>54</v>
      </c>
      <c r="F73" s="8" t="s">
        <v>31</v>
      </c>
      <c r="G73" s="8" t="s">
        <v>34</v>
      </c>
      <c r="H73" s="8" t="s">
        <v>44</v>
      </c>
      <c r="I73" s="11">
        <v>1</v>
      </c>
      <c r="J73" s="12">
        <v>207.9</v>
      </c>
      <c r="K73" s="13">
        <v>0.1</v>
      </c>
      <c r="L73" s="12">
        <v>129</v>
      </c>
      <c r="M73" s="14">
        <f>ROUND(tblSprzedaz[[#This Row],[Ilość]]*tblSprzedaz[[#This Row],[Cena netto jednostkowa]]*(1-tblSprzedaz[[#This Row],[Rabat %]]),2)</f>
        <v>187.11</v>
      </c>
      <c r="N73" s="14">
        <f>ROUND(tblSprzedaz[[#This Row],[Ilość]]*tblSprzedaz[[#This Row],[Koszt jednostkowy netto]],2)</f>
        <v>129</v>
      </c>
      <c r="O73" s="14">
        <f>tblSprzedaz[[#This Row],[Przychód netto]]-tblSprzedaz[[#This Row],[Koszt całkowity netto]]</f>
        <v>58.110000000000014</v>
      </c>
      <c r="P73" s="15">
        <f>IFERROR(tblSprzedaz[[#This Row],[Marża kwotowa]]/tblSprzedaz[[#This Row],[Przychód netto]],0)</f>
        <v>0.31056597723264395</v>
      </c>
      <c r="Q73" s="16">
        <f>YEAR(tblSprzedaz[[#This Row],[Data]])</f>
        <v>2025</v>
      </c>
      <c r="R73" s="16">
        <f>MONTH(tblSprzedaz[[#This Row],[Data]])</f>
        <v>1</v>
      </c>
      <c r="S73" s="9" t="str">
        <f>YEAR(tblSprzedaz[[#This Row],[Data]])&amp;"-"&amp;RIGHT("0"&amp;MONTH(tblSprzedaz[[#This Row],[Data]]),2)</f>
        <v>2025-01</v>
      </c>
    </row>
    <row r="74" spans="1:19" x14ac:dyDescent="0.25">
      <c r="A74" s="7" t="s">
        <v>315</v>
      </c>
      <c r="B74" s="10">
        <v>45678</v>
      </c>
      <c r="C74" s="7" t="s">
        <v>316</v>
      </c>
      <c r="D74" s="8" t="s">
        <v>85</v>
      </c>
      <c r="E74" s="8" t="s">
        <v>56</v>
      </c>
      <c r="F74" s="8" t="s">
        <v>31</v>
      </c>
      <c r="G74" s="8" t="s">
        <v>32</v>
      </c>
      <c r="H74" s="8" t="s">
        <v>43</v>
      </c>
      <c r="I74" s="11">
        <v>1</v>
      </c>
      <c r="J74" s="12">
        <v>279.3</v>
      </c>
      <c r="K74" s="13">
        <v>0</v>
      </c>
      <c r="L74" s="12">
        <v>171.09</v>
      </c>
      <c r="M74" s="14">
        <f>ROUND(tblSprzedaz[[#This Row],[Ilość]]*tblSprzedaz[[#This Row],[Cena netto jednostkowa]]*(1-tblSprzedaz[[#This Row],[Rabat %]]),2)</f>
        <v>279.3</v>
      </c>
      <c r="N74" s="14">
        <f>ROUND(tblSprzedaz[[#This Row],[Ilość]]*tblSprzedaz[[#This Row],[Koszt jednostkowy netto]],2)</f>
        <v>171.09</v>
      </c>
      <c r="O74" s="14">
        <f>tblSprzedaz[[#This Row],[Przychód netto]]-tblSprzedaz[[#This Row],[Koszt całkowity netto]]</f>
        <v>108.21000000000001</v>
      </c>
      <c r="P74" s="15">
        <f>IFERROR(tblSprzedaz[[#This Row],[Marża kwotowa]]/tblSprzedaz[[#This Row],[Przychód netto]],0)</f>
        <v>0.38743286788399572</v>
      </c>
      <c r="Q74" s="16">
        <f>YEAR(tblSprzedaz[[#This Row],[Data]])</f>
        <v>2025</v>
      </c>
      <c r="R74" s="16">
        <f>MONTH(tblSprzedaz[[#This Row],[Data]])</f>
        <v>1</v>
      </c>
      <c r="S74" s="9" t="str">
        <f>YEAR(tblSprzedaz[[#This Row],[Data]])&amp;"-"&amp;RIGHT("0"&amp;MONTH(tblSprzedaz[[#This Row],[Data]]),2)</f>
        <v>2025-01</v>
      </c>
    </row>
    <row r="75" spans="1:19" x14ac:dyDescent="0.25">
      <c r="A75" s="7" t="s">
        <v>317</v>
      </c>
      <c r="B75" s="10">
        <v>45679</v>
      </c>
      <c r="C75" s="7" t="s">
        <v>318</v>
      </c>
      <c r="D75" s="8" t="s">
        <v>131</v>
      </c>
      <c r="E75" s="8" t="s">
        <v>55</v>
      </c>
      <c r="F75" s="8" t="s">
        <v>31</v>
      </c>
      <c r="G75" s="8" t="s">
        <v>34</v>
      </c>
      <c r="H75" s="8" t="s">
        <v>44</v>
      </c>
      <c r="I75" s="11">
        <v>2</v>
      </c>
      <c r="J75" s="12">
        <v>243.6</v>
      </c>
      <c r="K75" s="13">
        <v>0.05</v>
      </c>
      <c r="L75" s="12">
        <v>154.13</v>
      </c>
      <c r="M75" s="14">
        <f>ROUND(tblSprzedaz[[#This Row],[Ilość]]*tblSprzedaz[[#This Row],[Cena netto jednostkowa]]*(1-tblSprzedaz[[#This Row],[Rabat %]]),2)</f>
        <v>462.84</v>
      </c>
      <c r="N75" s="14">
        <f>ROUND(tblSprzedaz[[#This Row],[Ilość]]*tblSprzedaz[[#This Row],[Koszt jednostkowy netto]],2)</f>
        <v>308.26</v>
      </c>
      <c r="O75" s="14">
        <f>tblSprzedaz[[#This Row],[Przychód netto]]-tblSprzedaz[[#This Row],[Koszt całkowity netto]]</f>
        <v>154.57999999999998</v>
      </c>
      <c r="P75" s="15">
        <f>IFERROR(tblSprzedaz[[#This Row],[Marża kwotowa]]/tblSprzedaz[[#This Row],[Przychód netto]],0)</f>
        <v>0.33398150548785754</v>
      </c>
      <c r="Q75" s="16">
        <f>YEAR(tblSprzedaz[[#This Row],[Data]])</f>
        <v>2025</v>
      </c>
      <c r="R75" s="16">
        <f>MONTH(tblSprzedaz[[#This Row],[Data]])</f>
        <v>1</v>
      </c>
      <c r="S75" s="9" t="str">
        <f>YEAR(tblSprzedaz[[#This Row],[Data]])&amp;"-"&amp;RIGHT("0"&amp;MONTH(tblSprzedaz[[#This Row],[Data]]),2)</f>
        <v>2025-01</v>
      </c>
    </row>
    <row r="76" spans="1:19" x14ac:dyDescent="0.25">
      <c r="A76" s="7" t="s">
        <v>319</v>
      </c>
      <c r="B76" s="10">
        <v>45679</v>
      </c>
      <c r="C76" s="7" t="s">
        <v>320</v>
      </c>
      <c r="D76" s="8" t="s">
        <v>97</v>
      </c>
      <c r="E76" s="8" t="s">
        <v>69</v>
      </c>
      <c r="F76" s="8" t="s">
        <v>35</v>
      </c>
      <c r="G76" s="8" t="s">
        <v>32</v>
      </c>
      <c r="H76" s="8" t="s">
        <v>43</v>
      </c>
      <c r="I76" s="11">
        <v>9</v>
      </c>
      <c r="J76" s="12">
        <v>102</v>
      </c>
      <c r="K76" s="13">
        <v>0</v>
      </c>
      <c r="L76" s="12">
        <v>74.510000000000005</v>
      </c>
      <c r="M76" s="14">
        <f>ROUND(tblSprzedaz[[#This Row],[Ilość]]*tblSprzedaz[[#This Row],[Cena netto jednostkowa]]*(1-tblSprzedaz[[#This Row],[Rabat %]]),2)</f>
        <v>918</v>
      </c>
      <c r="N76" s="14">
        <f>ROUND(tblSprzedaz[[#This Row],[Ilość]]*tblSprzedaz[[#This Row],[Koszt jednostkowy netto]],2)</f>
        <v>670.59</v>
      </c>
      <c r="O76" s="14">
        <f>tblSprzedaz[[#This Row],[Przychód netto]]-tblSprzedaz[[#This Row],[Koszt całkowity netto]]</f>
        <v>247.40999999999997</v>
      </c>
      <c r="P76" s="15">
        <f>IFERROR(tblSprzedaz[[#This Row],[Marża kwotowa]]/tblSprzedaz[[#This Row],[Przychód netto]],0)</f>
        <v>0.26950980392156859</v>
      </c>
      <c r="Q76" s="16">
        <f>YEAR(tblSprzedaz[[#This Row],[Data]])</f>
        <v>2025</v>
      </c>
      <c r="R76" s="16">
        <f>MONTH(tblSprzedaz[[#This Row],[Data]])</f>
        <v>1</v>
      </c>
      <c r="S76" s="9" t="str">
        <f>YEAR(tblSprzedaz[[#This Row],[Data]])&amp;"-"&amp;RIGHT("0"&amp;MONTH(tblSprzedaz[[#This Row],[Data]]),2)</f>
        <v>2025-01</v>
      </c>
    </row>
    <row r="77" spans="1:19" x14ac:dyDescent="0.25">
      <c r="A77" s="7" t="s">
        <v>321</v>
      </c>
      <c r="B77" s="10">
        <v>45679</v>
      </c>
      <c r="C77" s="7" t="s">
        <v>322</v>
      </c>
      <c r="D77" s="8" t="s">
        <v>139</v>
      </c>
      <c r="E77" s="8" t="s">
        <v>76</v>
      </c>
      <c r="F77" s="8" t="s">
        <v>37</v>
      </c>
      <c r="G77" s="8" t="s">
        <v>28</v>
      </c>
      <c r="H77" s="8" t="s">
        <v>39</v>
      </c>
      <c r="I77" s="11">
        <v>13</v>
      </c>
      <c r="J77" s="12">
        <v>158.65</v>
      </c>
      <c r="K77" s="13">
        <v>0</v>
      </c>
      <c r="L77" s="12">
        <v>120.4</v>
      </c>
      <c r="M77" s="14">
        <f>ROUND(tblSprzedaz[[#This Row],[Ilość]]*tblSprzedaz[[#This Row],[Cena netto jednostkowa]]*(1-tblSprzedaz[[#This Row],[Rabat %]]),2)</f>
        <v>2062.4499999999998</v>
      </c>
      <c r="N77" s="14">
        <f>ROUND(tblSprzedaz[[#This Row],[Ilość]]*tblSprzedaz[[#This Row],[Koszt jednostkowy netto]],2)</f>
        <v>1565.2</v>
      </c>
      <c r="O77" s="14">
        <f>tblSprzedaz[[#This Row],[Przychód netto]]-tblSprzedaz[[#This Row],[Koszt całkowity netto]]</f>
        <v>497.24999999999977</v>
      </c>
      <c r="P77" s="15">
        <f>IFERROR(tblSprzedaz[[#This Row],[Marża kwotowa]]/tblSprzedaz[[#This Row],[Przychód netto]],0)</f>
        <v>0.24109675386069956</v>
      </c>
      <c r="Q77" s="16">
        <f>YEAR(tblSprzedaz[[#This Row],[Data]])</f>
        <v>2025</v>
      </c>
      <c r="R77" s="16">
        <f>MONTH(tblSprzedaz[[#This Row],[Data]])</f>
        <v>1</v>
      </c>
      <c r="S77" s="9" t="str">
        <f>YEAR(tblSprzedaz[[#This Row],[Data]])&amp;"-"&amp;RIGHT("0"&amp;MONTH(tblSprzedaz[[#This Row],[Data]]),2)</f>
        <v>2025-01</v>
      </c>
    </row>
    <row r="78" spans="1:19" x14ac:dyDescent="0.25">
      <c r="A78" s="7" t="s">
        <v>323</v>
      </c>
      <c r="B78" s="10">
        <v>45679</v>
      </c>
      <c r="C78" s="7" t="s">
        <v>324</v>
      </c>
      <c r="D78" s="8" t="s">
        <v>93</v>
      </c>
      <c r="E78" s="8" t="s">
        <v>61</v>
      </c>
      <c r="F78" s="8" t="s">
        <v>33</v>
      </c>
      <c r="G78" s="8" t="s">
        <v>28</v>
      </c>
      <c r="H78" s="8" t="s">
        <v>39</v>
      </c>
      <c r="I78" s="11">
        <v>3</v>
      </c>
      <c r="J78" s="12">
        <v>533.6</v>
      </c>
      <c r="K78" s="13">
        <v>0.05</v>
      </c>
      <c r="L78" s="12">
        <v>374.36</v>
      </c>
      <c r="M78" s="14">
        <f>ROUND(tblSprzedaz[[#This Row],[Ilość]]*tblSprzedaz[[#This Row],[Cena netto jednostkowa]]*(1-tblSprzedaz[[#This Row],[Rabat %]]),2)</f>
        <v>1520.76</v>
      </c>
      <c r="N78" s="14">
        <f>ROUND(tblSprzedaz[[#This Row],[Ilość]]*tblSprzedaz[[#This Row],[Koszt jednostkowy netto]],2)</f>
        <v>1123.08</v>
      </c>
      <c r="O78" s="14">
        <f>tblSprzedaz[[#This Row],[Przychód netto]]-tblSprzedaz[[#This Row],[Koszt całkowity netto]]</f>
        <v>397.68000000000006</v>
      </c>
      <c r="P78" s="15">
        <f>IFERROR(tblSprzedaz[[#This Row],[Marża kwotowa]]/tblSprzedaz[[#This Row],[Przychód netto]],0)</f>
        <v>0.26150082853310191</v>
      </c>
      <c r="Q78" s="16">
        <f>YEAR(tblSprzedaz[[#This Row],[Data]])</f>
        <v>2025</v>
      </c>
      <c r="R78" s="16">
        <f>MONTH(tblSprzedaz[[#This Row],[Data]])</f>
        <v>1</v>
      </c>
      <c r="S78" s="9" t="str">
        <f>YEAR(tblSprzedaz[[#This Row],[Data]])&amp;"-"&amp;RIGHT("0"&amp;MONTH(tblSprzedaz[[#This Row],[Data]]),2)</f>
        <v>2025-01</v>
      </c>
    </row>
    <row r="79" spans="1:19" x14ac:dyDescent="0.25">
      <c r="A79" s="7" t="s">
        <v>325</v>
      </c>
      <c r="B79" s="10">
        <v>45680</v>
      </c>
      <c r="C79" s="7" t="s">
        <v>326</v>
      </c>
      <c r="D79" s="8" t="s">
        <v>114</v>
      </c>
      <c r="E79" s="8" t="s">
        <v>59</v>
      </c>
      <c r="F79" s="8" t="s">
        <v>31</v>
      </c>
      <c r="G79" s="8" t="s">
        <v>34</v>
      </c>
      <c r="H79" s="8" t="s">
        <v>45</v>
      </c>
      <c r="I79" s="11">
        <v>2</v>
      </c>
      <c r="J79" s="12">
        <v>172.2</v>
      </c>
      <c r="K79" s="13">
        <v>0</v>
      </c>
      <c r="L79" s="12">
        <v>103.41</v>
      </c>
      <c r="M79" s="14">
        <f>ROUND(tblSprzedaz[[#This Row],[Ilość]]*tblSprzedaz[[#This Row],[Cena netto jednostkowa]]*(1-tblSprzedaz[[#This Row],[Rabat %]]),2)</f>
        <v>344.4</v>
      </c>
      <c r="N79" s="14">
        <f>ROUND(tblSprzedaz[[#This Row],[Ilość]]*tblSprzedaz[[#This Row],[Koszt jednostkowy netto]],2)</f>
        <v>206.82</v>
      </c>
      <c r="O79" s="14">
        <f>tblSprzedaz[[#This Row],[Przychód netto]]-tblSprzedaz[[#This Row],[Koszt całkowity netto]]</f>
        <v>137.57999999999998</v>
      </c>
      <c r="P79" s="15">
        <f>IFERROR(tblSprzedaz[[#This Row],[Marża kwotowa]]/tblSprzedaz[[#This Row],[Przychód netto]],0)</f>
        <v>0.39947735191637629</v>
      </c>
      <c r="Q79" s="16">
        <f>YEAR(tblSprzedaz[[#This Row],[Data]])</f>
        <v>2025</v>
      </c>
      <c r="R79" s="16">
        <f>MONTH(tblSprzedaz[[#This Row],[Data]])</f>
        <v>1</v>
      </c>
      <c r="S79" s="9" t="str">
        <f>YEAR(tblSprzedaz[[#This Row],[Data]])&amp;"-"&amp;RIGHT("0"&amp;MONTH(tblSprzedaz[[#This Row],[Data]]),2)</f>
        <v>2025-01</v>
      </c>
    </row>
    <row r="80" spans="1:19" x14ac:dyDescent="0.25">
      <c r="A80" s="7" t="s">
        <v>327</v>
      </c>
      <c r="B80" s="10">
        <v>45680</v>
      </c>
      <c r="C80" s="7" t="s">
        <v>328</v>
      </c>
      <c r="D80" s="8" t="s">
        <v>135</v>
      </c>
      <c r="E80" s="8" t="s">
        <v>57</v>
      </c>
      <c r="F80" s="8" t="s">
        <v>31</v>
      </c>
      <c r="G80" s="8" t="s">
        <v>30</v>
      </c>
      <c r="H80" s="8" t="s">
        <v>41</v>
      </c>
      <c r="I80" s="11">
        <v>12</v>
      </c>
      <c r="J80" s="12">
        <v>315</v>
      </c>
      <c r="K80" s="13">
        <v>0.1</v>
      </c>
      <c r="L80" s="12">
        <v>201.7</v>
      </c>
      <c r="M80" s="14">
        <f>ROUND(tblSprzedaz[[#This Row],[Ilość]]*tblSprzedaz[[#This Row],[Cena netto jednostkowa]]*(1-tblSprzedaz[[#This Row],[Rabat %]]),2)</f>
        <v>3402</v>
      </c>
      <c r="N80" s="14">
        <f>ROUND(tblSprzedaz[[#This Row],[Ilość]]*tblSprzedaz[[#This Row],[Koszt jednostkowy netto]],2)</f>
        <v>2420.4</v>
      </c>
      <c r="O80" s="14">
        <f>tblSprzedaz[[#This Row],[Przychód netto]]-tblSprzedaz[[#This Row],[Koszt całkowity netto]]</f>
        <v>981.59999999999991</v>
      </c>
      <c r="P80" s="15">
        <f>IFERROR(tblSprzedaz[[#This Row],[Marża kwotowa]]/tblSprzedaz[[#This Row],[Przychód netto]],0)</f>
        <v>0.28853615520282183</v>
      </c>
      <c r="Q80" s="16">
        <f>YEAR(tblSprzedaz[[#This Row],[Data]])</f>
        <v>2025</v>
      </c>
      <c r="R80" s="16">
        <f>MONTH(tblSprzedaz[[#This Row],[Data]])</f>
        <v>1</v>
      </c>
      <c r="S80" s="9" t="str">
        <f>YEAR(tblSprzedaz[[#This Row],[Data]])&amp;"-"&amp;RIGHT("0"&amp;MONTH(tblSprzedaz[[#This Row],[Data]]),2)</f>
        <v>2025-01</v>
      </c>
    </row>
    <row r="81" spans="1:19" x14ac:dyDescent="0.25">
      <c r="A81" s="7" t="s">
        <v>329</v>
      </c>
      <c r="B81" s="10">
        <v>45680</v>
      </c>
      <c r="C81" s="7" t="s">
        <v>330</v>
      </c>
      <c r="D81" s="8" t="s">
        <v>118</v>
      </c>
      <c r="E81" s="8" t="s">
        <v>62</v>
      </c>
      <c r="F81" s="8" t="s">
        <v>33</v>
      </c>
      <c r="G81" s="8" t="s">
        <v>36</v>
      </c>
      <c r="H81" s="8" t="s">
        <v>46</v>
      </c>
      <c r="I81" s="11">
        <v>2</v>
      </c>
      <c r="J81" s="12">
        <v>611.79999999999995</v>
      </c>
      <c r="K81" s="13">
        <v>0</v>
      </c>
      <c r="L81" s="12">
        <v>397.65</v>
      </c>
      <c r="M81" s="14">
        <f>ROUND(tblSprzedaz[[#This Row],[Ilość]]*tblSprzedaz[[#This Row],[Cena netto jednostkowa]]*(1-tblSprzedaz[[#This Row],[Rabat %]]),2)</f>
        <v>1223.5999999999999</v>
      </c>
      <c r="N81" s="14">
        <f>ROUND(tblSprzedaz[[#This Row],[Ilość]]*tblSprzedaz[[#This Row],[Koszt jednostkowy netto]],2)</f>
        <v>795.3</v>
      </c>
      <c r="O81" s="14">
        <f>tblSprzedaz[[#This Row],[Przychód netto]]-tblSprzedaz[[#This Row],[Koszt całkowity netto]]</f>
        <v>428.29999999999995</v>
      </c>
      <c r="P81" s="15">
        <f>IFERROR(tblSprzedaz[[#This Row],[Marża kwotowa]]/tblSprzedaz[[#This Row],[Przychód netto]],0)</f>
        <v>0.35003269042170643</v>
      </c>
      <c r="Q81" s="16">
        <f>YEAR(tblSprzedaz[[#This Row],[Data]])</f>
        <v>2025</v>
      </c>
      <c r="R81" s="16">
        <f>MONTH(tblSprzedaz[[#This Row],[Data]])</f>
        <v>1</v>
      </c>
      <c r="S81" s="9" t="str">
        <f>YEAR(tblSprzedaz[[#This Row],[Data]])&amp;"-"&amp;RIGHT("0"&amp;MONTH(tblSprzedaz[[#This Row],[Data]]),2)</f>
        <v>2025-01</v>
      </c>
    </row>
    <row r="82" spans="1:19" x14ac:dyDescent="0.25">
      <c r="A82" s="7" t="s">
        <v>331</v>
      </c>
      <c r="B82" s="10">
        <v>45680</v>
      </c>
      <c r="C82" s="7" t="s">
        <v>332</v>
      </c>
      <c r="D82" s="8" t="s">
        <v>106</v>
      </c>
      <c r="E82" s="8" t="s">
        <v>69</v>
      </c>
      <c r="F82" s="8" t="s">
        <v>35</v>
      </c>
      <c r="G82" s="8" t="s">
        <v>32</v>
      </c>
      <c r="H82" s="8" t="s">
        <v>43</v>
      </c>
      <c r="I82" s="11">
        <v>1</v>
      </c>
      <c r="J82" s="12">
        <v>102</v>
      </c>
      <c r="K82" s="13">
        <v>0.1</v>
      </c>
      <c r="L82" s="12">
        <v>75.89</v>
      </c>
      <c r="M82" s="14">
        <f>ROUND(tblSprzedaz[[#This Row],[Ilość]]*tblSprzedaz[[#This Row],[Cena netto jednostkowa]]*(1-tblSprzedaz[[#This Row],[Rabat %]]),2)</f>
        <v>91.8</v>
      </c>
      <c r="N82" s="14">
        <f>ROUND(tblSprzedaz[[#This Row],[Ilość]]*tblSprzedaz[[#This Row],[Koszt jednostkowy netto]],2)</f>
        <v>75.89</v>
      </c>
      <c r="O82" s="14">
        <f>tblSprzedaz[[#This Row],[Przychód netto]]-tblSprzedaz[[#This Row],[Koszt całkowity netto]]</f>
        <v>15.909999999999997</v>
      </c>
      <c r="P82" s="15">
        <f>IFERROR(tblSprzedaz[[#This Row],[Marża kwotowa]]/tblSprzedaz[[#This Row],[Przychód netto]],0)</f>
        <v>0.17331154684095856</v>
      </c>
      <c r="Q82" s="16">
        <f>YEAR(tblSprzedaz[[#This Row],[Data]])</f>
        <v>2025</v>
      </c>
      <c r="R82" s="16">
        <f>MONTH(tblSprzedaz[[#This Row],[Data]])</f>
        <v>1</v>
      </c>
      <c r="S82" s="9" t="str">
        <f>YEAR(tblSprzedaz[[#This Row],[Data]])&amp;"-"&amp;RIGHT("0"&amp;MONTH(tblSprzedaz[[#This Row],[Data]]),2)</f>
        <v>2025-01</v>
      </c>
    </row>
    <row r="83" spans="1:19" x14ac:dyDescent="0.25">
      <c r="A83" s="7" t="s">
        <v>333</v>
      </c>
      <c r="B83" s="10">
        <v>45681</v>
      </c>
      <c r="C83" s="7" t="s">
        <v>334</v>
      </c>
      <c r="D83" s="8" t="s">
        <v>123</v>
      </c>
      <c r="E83" s="8" t="s">
        <v>52</v>
      </c>
      <c r="F83" s="8" t="s">
        <v>29</v>
      </c>
      <c r="G83" s="8" t="s">
        <v>30</v>
      </c>
      <c r="H83" s="8" t="s">
        <v>40</v>
      </c>
      <c r="I83" s="11">
        <v>2</v>
      </c>
      <c r="J83" s="12">
        <v>56.78</v>
      </c>
      <c r="K83" s="13">
        <v>0.15</v>
      </c>
      <c r="L83" s="12">
        <v>34.01</v>
      </c>
      <c r="M83" s="14">
        <f>ROUND(tblSprzedaz[[#This Row],[Ilość]]*tblSprzedaz[[#This Row],[Cena netto jednostkowa]]*(1-tblSprzedaz[[#This Row],[Rabat %]]),2)</f>
        <v>96.53</v>
      </c>
      <c r="N83" s="14">
        <f>ROUND(tblSprzedaz[[#This Row],[Ilość]]*tblSprzedaz[[#This Row],[Koszt jednostkowy netto]],2)</f>
        <v>68.02</v>
      </c>
      <c r="O83" s="14">
        <f>tblSprzedaz[[#This Row],[Przychód netto]]-tblSprzedaz[[#This Row],[Koszt całkowity netto]]</f>
        <v>28.510000000000005</v>
      </c>
      <c r="P83" s="15">
        <f>IFERROR(tblSprzedaz[[#This Row],[Marża kwotowa]]/tblSprzedaz[[#This Row],[Przychód netto]],0)</f>
        <v>0.29534859629130844</v>
      </c>
      <c r="Q83" s="16">
        <f>YEAR(tblSprzedaz[[#This Row],[Data]])</f>
        <v>2025</v>
      </c>
      <c r="R83" s="16">
        <f>MONTH(tblSprzedaz[[#This Row],[Data]])</f>
        <v>1</v>
      </c>
      <c r="S83" s="9" t="str">
        <f>YEAR(tblSprzedaz[[#This Row],[Data]])&amp;"-"&amp;RIGHT("0"&amp;MONTH(tblSprzedaz[[#This Row],[Data]]),2)</f>
        <v>2025-01</v>
      </c>
    </row>
    <row r="84" spans="1:19" x14ac:dyDescent="0.25">
      <c r="A84" s="7" t="s">
        <v>335</v>
      </c>
      <c r="B84" s="10">
        <v>45681</v>
      </c>
      <c r="C84" s="7" t="s">
        <v>336</v>
      </c>
      <c r="D84" s="8" t="s">
        <v>151</v>
      </c>
      <c r="E84" s="8" t="s">
        <v>55</v>
      </c>
      <c r="F84" s="8" t="s">
        <v>31</v>
      </c>
      <c r="G84" s="8" t="s">
        <v>28</v>
      </c>
      <c r="H84" s="8" t="s">
        <v>39</v>
      </c>
      <c r="I84" s="11">
        <v>5</v>
      </c>
      <c r="J84" s="12">
        <v>243.6</v>
      </c>
      <c r="K84" s="13">
        <v>0.1</v>
      </c>
      <c r="L84" s="12">
        <v>156.85</v>
      </c>
      <c r="M84" s="14">
        <f>ROUND(tblSprzedaz[[#This Row],[Ilość]]*tblSprzedaz[[#This Row],[Cena netto jednostkowa]]*(1-tblSprzedaz[[#This Row],[Rabat %]]),2)</f>
        <v>1096.2</v>
      </c>
      <c r="N84" s="14">
        <f>ROUND(tblSprzedaz[[#This Row],[Ilość]]*tblSprzedaz[[#This Row],[Koszt jednostkowy netto]],2)</f>
        <v>784.25</v>
      </c>
      <c r="O84" s="14">
        <f>tblSprzedaz[[#This Row],[Przychód netto]]-tblSprzedaz[[#This Row],[Koszt całkowity netto]]</f>
        <v>311.95000000000005</v>
      </c>
      <c r="P84" s="15">
        <f>IFERROR(tblSprzedaz[[#This Row],[Marża kwotowa]]/tblSprzedaz[[#This Row],[Przychód netto]],0)</f>
        <v>0.28457398284984498</v>
      </c>
      <c r="Q84" s="16">
        <f>YEAR(tblSprzedaz[[#This Row],[Data]])</f>
        <v>2025</v>
      </c>
      <c r="R84" s="16">
        <f>MONTH(tblSprzedaz[[#This Row],[Data]])</f>
        <v>1</v>
      </c>
      <c r="S84" s="9" t="str">
        <f>YEAR(tblSprzedaz[[#This Row],[Data]])&amp;"-"&amp;RIGHT("0"&amp;MONTH(tblSprzedaz[[#This Row],[Data]]),2)</f>
        <v>2025-01</v>
      </c>
    </row>
    <row r="85" spans="1:19" x14ac:dyDescent="0.25">
      <c r="A85" s="7" t="s">
        <v>337</v>
      </c>
      <c r="B85" s="10">
        <v>45681</v>
      </c>
      <c r="C85" s="7" t="s">
        <v>338</v>
      </c>
      <c r="D85" s="8" t="s">
        <v>149</v>
      </c>
      <c r="E85" s="8" t="s">
        <v>68</v>
      </c>
      <c r="F85" s="8" t="s">
        <v>35</v>
      </c>
      <c r="G85" s="8" t="s">
        <v>32</v>
      </c>
      <c r="H85" s="8" t="s">
        <v>42</v>
      </c>
      <c r="I85" s="11">
        <v>5</v>
      </c>
      <c r="J85" s="12">
        <v>90.44</v>
      </c>
      <c r="K85" s="13">
        <v>0.05</v>
      </c>
      <c r="L85" s="12">
        <v>67.459999999999994</v>
      </c>
      <c r="M85" s="14">
        <f>ROUND(tblSprzedaz[[#This Row],[Ilość]]*tblSprzedaz[[#This Row],[Cena netto jednostkowa]]*(1-tblSprzedaz[[#This Row],[Rabat %]]),2)</f>
        <v>429.59</v>
      </c>
      <c r="N85" s="14">
        <f>ROUND(tblSprzedaz[[#This Row],[Ilość]]*tblSprzedaz[[#This Row],[Koszt jednostkowy netto]],2)</f>
        <v>337.3</v>
      </c>
      <c r="O85" s="14">
        <f>tblSprzedaz[[#This Row],[Przychód netto]]-tblSprzedaz[[#This Row],[Koszt całkowity netto]]</f>
        <v>92.289999999999964</v>
      </c>
      <c r="P85" s="15">
        <f>IFERROR(tblSprzedaz[[#This Row],[Marża kwotowa]]/tblSprzedaz[[#This Row],[Przychód netto]],0)</f>
        <v>0.21483274750343342</v>
      </c>
      <c r="Q85" s="16">
        <f>YEAR(tblSprzedaz[[#This Row],[Data]])</f>
        <v>2025</v>
      </c>
      <c r="R85" s="16">
        <f>MONTH(tblSprzedaz[[#This Row],[Data]])</f>
        <v>1</v>
      </c>
      <c r="S85" s="9" t="str">
        <f>YEAR(tblSprzedaz[[#This Row],[Data]])&amp;"-"&amp;RIGHT("0"&amp;MONTH(tblSprzedaz[[#This Row],[Data]]),2)</f>
        <v>2025-01</v>
      </c>
    </row>
    <row r="86" spans="1:19" x14ac:dyDescent="0.25">
      <c r="A86" s="7" t="s">
        <v>339</v>
      </c>
      <c r="B86" s="10">
        <v>45681</v>
      </c>
      <c r="C86" s="7" t="s">
        <v>340</v>
      </c>
      <c r="D86" s="8" t="s">
        <v>148</v>
      </c>
      <c r="E86" s="8" t="s">
        <v>62</v>
      </c>
      <c r="F86" s="8" t="s">
        <v>33</v>
      </c>
      <c r="G86" s="8" t="s">
        <v>34</v>
      </c>
      <c r="H86" s="8" t="s">
        <v>44</v>
      </c>
      <c r="I86" s="11">
        <v>8</v>
      </c>
      <c r="J86" s="12">
        <v>611.79999999999995</v>
      </c>
      <c r="K86" s="13">
        <v>0.15</v>
      </c>
      <c r="L86" s="12">
        <v>423</v>
      </c>
      <c r="M86" s="14">
        <f>ROUND(tblSprzedaz[[#This Row],[Ilość]]*tblSprzedaz[[#This Row],[Cena netto jednostkowa]]*(1-tblSprzedaz[[#This Row],[Rabat %]]),2)</f>
        <v>4160.24</v>
      </c>
      <c r="N86" s="14">
        <f>ROUND(tblSprzedaz[[#This Row],[Ilość]]*tblSprzedaz[[#This Row],[Koszt jednostkowy netto]],2)</f>
        <v>3384</v>
      </c>
      <c r="O86" s="14">
        <f>tblSprzedaz[[#This Row],[Przychód netto]]-tblSprzedaz[[#This Row],[Koszt całkowity netto]]</f>
        <v>776.23999999999978</v>
      </c>
      <c r="P86" s="15">
        <f>IFERROR(tblSprzedaz[[#This Row],[Marża kwotowa]]/tblSprzedaz[[#This Row],[Przychód netto]],0)</f>
        <v>0.18658538930446317</v>
      </c>
      <c r="Q86" s="16">
        <f>YEAR(tblSprzedaz[[#This Row],[Data]])</f>
        <v>2025</v>
      </c>
      <c r="R86" s="16">
        <f>MONTH(tblSprzedaz[[#This Row],[Data]])</f>
        <v>1</v>
      </c>
      <c r="S86" s="9" t="str">
        <f>YEAR(tblSprzedaz[[#This Row],[Data]])&amp;"-"&amp;RIGHT("0"&amp;MONTH(tblSprzedaz[[#This Row],[Data]]),2)</f>
        <v>2025-01</v>
      </c>
    </row>
    <row r="87" spans="1:19" x14ac:dyDescent="0.25">
      <c r="A87" s="7" t="s">
        <v>341</v>
      </c>
      <c r="B87" s="10">
        <v>45681</v>
      </c>
      <c r="C87" s="7" t="s">
        <v>342</v>
      </c>
      <c r="D87" s="8" t="s">
        <v>102</v>
      </c>
      <c r="E87" s="8" t="s">
        <v>70</v>
      </c>
      <c r="F87" s="8" t="s">
        <v>35</v>
      </c>
      <c r="G87" s="8" t="s">
        <v>28</v>
      </c>
      <c r="H87" s="8" t="s">
        <v>38</v>
      </c>
      <c r="I87" s="11">
        <v>3</v>
      </c>
      <c r="J87" s="12">
        <v>113.56</v>
      </c>
      <c r="K87" s="13">
        <v>0.1</v>
      </c>
      <c r="L87" s="12">
        <v>81.23</v>
      </c>
      <c r="M87" s="14">
        <f>ROUND(tblSprzedaz[[#This Row],[Ilość]]*tblSprzedaz[[#This Row],[Cena netto jednostkowa]]*(1-tblSprzedaz[[#This Row],[Rabat %]]),2)</f>
        <v>306.61</v>
      </c>
      <c r="N87" s="14">
        <f>ROUND(tblSprzedaz[[#This Row],[Ilość]]*tblSprzedaz[[#This Row],[Koszt jednostkowy netto]],2)</f>
        <v>243.69</v>
      </c>
      <c r="O87" s="14">
        <f>tblSprzedaz[[#This Row],[Przychód netto]]-tblSprzedaz[[#This Row],[Koszt całkowity netto]]</f>
        <v>62.920000000000016</v>
      </c>
      <c r="P87" s="15">
        <f>IFERROR(tblSprzedaz[[#This Row],[Marża kwotowa]]/tblSprzedaz[[#This Row],[Przychód netto]],0)</f>
        <v>0.20521183262124526</v>
      </c>
      <c r="Q87" s="16">
        <f>YEAR(tblSprzedaz[[#This Row],[Data]])</f>
        <v>2025</v>
      </c>
      <c r="R87" s="16">
        <f>MONTH(tblSprzedaz[[#This Row],[Data]])</f>
        <v>1</v>
      </c>
      <c r="S87" s="9" t="str">
        <f>YEAR(tblSprzedaz[[#This Row],[Data]])&amp;"-"&amp;RIGHT("0"&amp;MONTH(tblSprzedaz[[#This Row],[Data]]),2)</f>
        <v>2025-01</v>
      </c>
    </row>
    <row r="88" spans="1:19" x14ac:dyDescent="0.25">
      <c r="A88" s="7" t="s">
        <v>343</v>
      </c>
      <c r="B88" s="10">
        <v>45682</v>
      </c>
      <c r="C88" s="7" t="s">
        <v>344</v>
      </c>
      <c r="D88" s="8" t="s">
        <v>90</v>
      </c>
      <c r="E88" s="8" t="s">
        <v>71</v>
      </c>
      <c r="F88" s="8" t="s">
        <v>35</v>
      </c>
      <c r="G88" s="8" t="s">
        <v>36</v>
      </c>
      <c r="H88" s="8" t="s">
        <v>46</v>
      </c>
      <c r="I88" s="11">
        <v>13</v>
      </c>
      <c r="J88" s="12">
        <v>55.76</v>
      </c>
      <c r="K88" s="13">
        <v>0</v>
      </c>
      <c r="L88" s="12">
        <v>41.56</v>
      </c>
      <c r="M88" s="14">
        <f>ROUND(tblSprzedaz[[#This Row],[Ilość]]*tblSprzedaz[[#This Row],[Cena netto jednostkowa]]*(1-tblSprzedaz[[#This Row],[Rabat %]]),2)</f>
        <v>724.88</v>
      </c>
      <c r="N88" s="14">
        <f>ROUND(tblSprzedaz[[#This Row],[Ilość]]*tblSprzedaz[[#This Row],[Koszt jednostkowy netto]],2)</f>
        <v>540.28</v>
      </c>
      <c r="O88" s="14">
        <f>tblSprzedaz[[#This Row],[Przychód netto]]-tblSprzedaz[[#This Row],[Koszt całkowity netto]]</f>
        <v>184.60000000000002</v>
      </c>
      <c r="P88" s="15">
        <f>IFERROR(tblSprzedaz[[#This Row],[Marża kwotowa]]/tblSprzedaz[[#This Row],[Przychód netto]],0)</f>
        <v>0.25466284074605455</v>
      </c>
      <c r="Q88" s="16">
        <f>YEAR(tblSprzedaz[[#This Row],[Data]])</f>
        <v>2025</v>
      </c>
      <c r="R88" s="16">
        <f>MONTH(tblSprzedaz[[#This Row],[Data]])</f>
        <v>1</v>
      </c>
      <c r="S88" s="9" t="str">
        <f>YEAR(tblSprzedaz[[#This Row],[Data]])&amp;"-"&amp;RIGHT("0"&amp;MONTH(tblSprzedaz[[#This Row],[Data]]),2)</f>
        <v>2025-01</v>
      </c>
    </row>
    <row r="89" spans="1:19" x14ac:dyDescent="0.25">
      <c r="A89" s="7" t="s">
        <v>345</v>
      </c>
      <c r="B89" s="10">
        <v>45682</v>
      </c>
      <c r="C89" s="7" t="s">
        <v>346</v>
      </c>
      <c r="D89" s="8" t="s">
        <v>119</v>
      </c>
      <c r="E89" s="8" t="s">
        <v>50</v>
      </c>
      <c r="F89" s="8" t="s">
        <v>29</v>
      </c>
      <c r="G89" s="8" t="s">
        <v>32</v>
      </c>
      <c r="H89" s="8" t="s">
        <v>42</v>
      </c>
      <c r="I89" s="11">
        <v>6</v>
      </c>
      <c r="J89" s="12">
        <v>45.22</v>
      </c>
      <c r="K89" s="13">
        <v>0.1</v>
      </c>
      <c r="L89" s="12">
        <v>25.51</v>
      </c>
      <c r="M89" s="14">
        <f>ROUND(tblSprzedaz[[#This Row],[Ilość]]*tblSprzedaz[[#This Row],[Cena netto jednostkowa]]*(1-tblSprzedaz[[#This Row],[Rabat %]]),2)</f>
        <v>244.19</v>
      </c>
      <c r="N89" s="14">
        <f>ROUND(tblSprzedaz[[#This Row],[Ilość]]*tblSprzedaz[[#This Row],[Koszt jednostkowy netto]],2)</f>
        <v>153.06</v>
      </c>
      <c r="O89" s="14">
        <f>tblSprzedaz[[#This Row],[Przychód netto]]-tblSprzedaz[[#This Row],[Koszt całkowity netto]]</f>
        <v>91.13</v>
      </c>
      <c r="P89" s="15">
        <f>IFERROR(tblSprzedaz[[#This Row],[Marża kwotowa]]/tblSprzedaz[[#This Row],[Przychód netto]],0)</f>
        <v>0.37319300544657846</v>
      </c>
      <c r="Q89" s="16">
        <f>YEAR(tblSprzedaz[[#This Row],[Data]])</f>
        <v>2025</v>
      </c>
      <c r="R89" s="16">
        <f>MONTH(tblSprzedaz[[#This Row],[Data]])</f>
        <v>1</v>
      </c>
      <c r="S89" s="9" t="str">
        <f>YEAR(tblSprzedaz[[#This Row],[Data]])&amp;"-"&amp;RIGHT("0"&amp;MONTH(tblSprzedaz[[#This Row],[Data]]),2)</f>
        <v>2025-01</v>
      </c>
    </row>
    <row r="90" spans="1:19" x14ac:dyDescent="0.25">
      <c r="A90" s="7" t="s">
        <v>347</v>
      </c>
      <c r="B90" s="10">
        <v>45683</v>
      </c>
      <c r="C90" s="7" t="s">
        <v>348</v>
      </c>
      <c r="D90" s="8" t="s">
        <v>134</v>
      </c>
      <c r="E90" s="8" t="s">
        <v>69</v>
      </c>
      <c r="F90" s="8" t="s">
        <v>35</v>
      </c>
      <c r="G90" s="8" t="s">
        <v>34</v>
      </c>
      <c r="H90" s="8" t="s">
        <v>44</v>
      </c>
      <c r="I90" s="11">
        <v>7</v>
      </c>
      <c r="J90" s="12">
        <v>102</v>
      </c>
      <c r="K90" s="13">
        <v>0</v>
      </c>
      <c r="L90" s="12">
        <v>74.959999999999994</v>
      </c>
      <c r="M90" s="14">
        <f>ROUND(tblSprzedaz[[#This Row],[Ilość]]*tblSprzedaz[[#This Row],[Cena netto jednostkowa]]*(1-tblSprzedaz[[#This Row],[Rabat %]]),2)</f>
        <v>714</v>
      </c>
      <c r="N90" s="14">
        <f>ROUND(tblSprzedaz[[#This Row],[Ilość]]*tblSprzedaz[[#This Row],[Koszt jednostkowy netto]],2)</f>
        <v>524.72</v>
      </c>
      <c r="O90" s="14">
        <f>tblSprzedaz[[#This Row],[Przychód netto]]-tblSprzedaz[[#This Row],[Koszt całkowity netto]]</f>
        <v>189.27999999999997</v>
      </c>
      <c r="P90" s="15">
        <f>IFERROR(tblSprzedaz[[#This Row],[Marża kwotowa]]/tblSprzedaz[[#This Row],[Przychód netto]],0)</f>
        <v>0.26509803921568625</v>
      </c>
      <c r="Q90" s="16">
        <f>YEAR(tblSprzedaz[[#This Row],[Data]])</f>
        <v>2025</v>
      </c>
      <c r="R90" s="16">
        <f>MONTH(tblSprzedaz[[#This Row],[Data]])</f>
        <v>1</v>
      </c>
      <c r="S90" s="9" t="str">
        <f>YEAR(tblSprzedaz[[#This Row],[Data]])&amp;"-"&amp;RIGHT("0"&amp;MONTH(tblSprzedaz[[#This Row],[Data]]),2)</f>
        <v>2025-01</v>
      </c>
    </row>
    <row r="91" spans="1:19" x14ac:dyDescent="0.25">
      <c r="A91" s="7" t="s">
        <v>349</v>
      </c>
      <c r="B91" s="10">
        <v>45684</v>
      </c>
      <c r="C91" s="7" t="s">
        <v>350</v>
      </c>
      <c r="D91" s="8" t="s">
        <v>105</v>
      </c>
      <c r="E91" s="8" t="s">
        <v>60</v>
      </c>
      <c r="F91" s="8" t="s">
        <v>33</v>
      </c>
      <c r="G91" s="8" t="s">
        <v>28</v>
      </c>
      <c r="H91" s="8" t="s">
        <v>39</v>
      </c>
      <c r="I91" s="11">
        <v>9</v>
      </c>
      <c r="J91" s="12">
        <v>455.4</v>
      </c>
      <c r="K91" s="13">
        <v>0.15</v>
      </c>
      <c r="L91" s="12">
        <v>321.97000000000003</v>
      </c>
      <c r="M91" s="14">
        <f>ROUND(tblSprzedaz[[#This Row],[Ilość]]*tblSprzedaz[[#This Row],[Cena netto jednostkowa]]*(1-tblSprzedaz[[#This Row],[Rabat %]]),2)</f>
        <v>3483.81</v>
      </c>
      <c r="N91" s="14">
        <f>ROUND(tblSprzedaz[[#This Row],[Ilość]]*tblSprzedaz[[#This Row],[Koszt jednostkowy netto]],2)</f>
        <v>2897.73</v>
      </c>
      <c r="O91" s="14">
        <f>tblSprzedaz[[#This Row],[Przychód netto]]-tblSprzedaz[[#This Row],[Koszt całkowity netto]]</f>
        <v>586.07999999999993</v>
      </c>
      <c r="P91" s="15">
        <f>IFERROR(tblSprzedaz[[#This Row],[Marża kwotowa]]/tblSprzedaz[[#This Row],[Przychód netto]],0)</f>
        <v>0.16822961068485362</v>
      </c>
      <c r="Q91" s="16">
        <f>YEAR(tblSprzedaz[[#This Row],[Data]])</f>
        <v>2025</v>
      </c>
      <c r="R91" s="16">
        <f>MONTH(tblSprzedaz[[#This Row],[Data]])</f>
        <v>1</v>
      </c>
      <c r="S91" s="9" t="str">
        <f>YEAR(tblSprzedaz[[#This Row],[Data]])&amp;"-"&amp;RIGHT("0"&amp;MONTH(tblSprzedaz[[#This Row],[Data]]),2)</f>
        <v>2025-01</v>
      </c>
    </row>
    <row r="92" spans="1:19" x14ac:dyDescent="0.25">
      <c r="A92" s="7" t="s">
        <v>351</v>
      </c>
      <c r="B92" s="10">
        <v>45684</v>
      </c>
      <c r="C92" s="7" t="s">
        <v>352</v>
      </c>
      <c r="D92" s="8" t="s">
        <v>144</v>
      </c>
      <c r="E92" s="8" t="s">
        <v>60</v>
      </c>
      <c r="F92" s="8" t="s">
        <v>33</v>
      </c>
      <c r="G92" s="8" t="s">
        <v>32</v>
      </c>
      <c r="H92" s="8" t="s">
        <v>42</v>
      </c>
      <c r="I92" s="11">
        <v>12</v>
      </c>
      <c r="J92" s="12">
        <v>455.4</v>
      </c>
      <c r="K92" s="13">
        <v>0.15</v>
      </c>
      <c r="L92" s="12">
        <v>305.95</v>
      </c>
      <c r="M92" s="14">
        <f>ROUND(tblSprzedaz[[#This Row],[Ilość]]*tblSprzedaz[[#This Row],[Cena netto jednostkowa]]*(1-tblSprzedaz[[#This Row],[Rabat %]]),2)</f>
        <v>4645.08</v>
      </c>
      <c r="N92" s="14">
        <f>ROUND(tblSprzedaz[[#This Row],[Ilość]]*tblSprzedaz[[#This Row],[Koszt jednostkowy netto]],2)</f>
        <v>3671.4</v>
      </c>
      <c r="O92" s="14">
        <f>tblSprzedaz[[#This Row],[Przychód netto]]-tblSprzedaz[[#This Row],[Koszt całkowity netto]]</f>
        <v>973.67999999999984</v>
      </c>
      <c r="P92" s="15">
        <f>IFERROR(tblSprzedaz[[#This Row],[Marża kwotowa]]/tblSprzedaz[[#This Row],[Przychód netto]],0)</f>
        <v>0.20961533493502799</v>
      </c>
      <c r="Q92" s="16">
        <f>YEAR(tblSprzedaz[[#This Row],[Data]])</f>
        <v>2025</v>
      </c>
      <c r="R92" s="16">
        <f>MONTH(tblSprzedaz[[#This Row],[Data]])</f>
        <v>1</v>
      </c>
      <c r="S92" s="9" t="str">
        <f>YEAR(tblSprzedaz[[#This Row],[Data]])&amp;"-"&amp;RIGHT("0"&amp;MONTH(tblSprzedaz[[#This Row],[Data]]),2)</f>
        <v>2025-01</v>
      </c>
    </row>
    <row r="93" spans="1:19" x14ac:dyDescent="0.25">
      <c r="A93" s="7" t="s">
        <v>353</v>
      </c>
      <c r="B93" s="10">
        <v>45684</v>
      </c>
      <c r="C93" s="7" t="s">
        <v>354</v>
      </c>
      <c r="D93" s="8" t="s">
        <v>144</v>
      </c>
      <c r="E93" s="8" t="s">
        <v>61</v>
      </c>
      <c r="F93" s="8" t="s">
        <v>33</v>
      </c>
      <c r="G93" s="8" t="s">
        <v>30</v>
      </c>
      <c r="H93" s="8" t="s">
        <v>41</v>
      </c>
      <c r="I93" s="11">
        <v>6</v>
      </c>
      <c r="J93" s="12">
        <v>533.6</v>
      </c>
      <c r="K93" s="13">
        <v>0</v>
      </c>
      <c r="L93" s="12">
        <v>357.4</v>
      </c>
      <c r="M93" s="14">
        <f>ROUND(tblSprzedaz[[#This Row],[Ilość]]*tblSprzedaz[[#This Row],[Cena netto jednostkowa]]*(1-tblSprzedaz[[#This Row],[Rabat %]]),2)</f>
        <v>3201.6</v>
      </c>
      <c r="N93" s="14">
        <f>ROUND(tblSprzedaz[[#This Row],[Ilość]]*tblSprzedaz[[#This Row],[Koszt jednostkowy netto]],2)</f>
        <v>2144.4</v>
      </c>
      <c r="O93" s="14">
        <f>tblSprzedaz[[#This Row],[Przychód netto]]-tblSprzedaz[[#This Row],[Koszt całkowity netto]]</f>
        <v>1057.1999999999998</v>
      </c>
      <c r="P93" s="15">
        <f>IFERROR(tblSprzedaz[[#This Row],[Marża kwotowa]]/tblSprzedaz[[#This Row],[Przychód netto]],0)</f>
        <v>0.33020989505247372</v>
      </c>
      <c r="Q93" s="16">
        <f>YEAR(tblSprzedaz[[#This Row],[Data]])</f>
        <v>2025</v>
      </c>
      <c r="R93" s="16">
        <f>MONTH(tblSprzedaz[[#This Row],[Data]])</f>
        <v>1</v>
      </c>
      <c r="S93" s="9" t="str">
        <f>YEAR(tblSprzedaz[[#This Row],[Data]])&amp;"-"&amp;RIGHT("0"&amp;MONTH(tblSprzedaz[[#This Row],[Data]]),2)</f>
        <v>2025-01</v>
      </c>
    </row>
    <row r="94" spans="1:19" x14ac:dyDescent="0.25">
      <c r="A94" s="7" t="s">
        <v>355</v>
      </c>
      <c r="B94" s="10">
        <v>45685</v>
      </c>
      <c r="C94" s="7" t="s">
        <v>356</v>
      </c>
      <c r="D94" s="8" t="s">
        <v>133</v>
      </c>
      <c r="E94" s="8" t="s">
        <v>48</v>
      </c>
      <c r="F94" s="8" t="s">
        <v>29</v>
      </c>
      <c r="G94" s="8" t="s">
        <v>30</v>
      </c>
      <c r="H94" s="8" t="s">
        <v>40</v>
      </c>
      <c r="I94" s="11">
        <v>6</v>
      </c>
      <c r="J94" s="12">
        <v>33.659999999999997</v>
      </c>
      <c r="K94" s="13">
        <v>0</v>
      </c>
      <c r="L94" s="12">
        <v>18.95</v>
      </c>
      <c r="M94" s="14">
        <f>ROUND(tblSprzedaz[[#This Row],[Ilość]]*tblSprzedaz[[#This Row],[Cena netto jednostkowa]]*(1-tblSprzedaz[[#This Row],[Rabat %]]),2)</f>
        <v>201.96</v>
      </c>
      <c r="N94" s="14">
        <f>ROUND(tblSprzedaz[[#This Row],[Ilość]]*tblSprzedaz[[#This Row],[Koszt jednostkowy netto]],2)</f>
        <v>113.7</v>
      </c>
      <c r="O94" s="14">
        <f>tblSprzedaz[[#This Row],[Przychód netto]]-tblSprzedaz[[#This Row],[Koszt całkowity netto]]</f>
        <v>88.26</v>
      </c>
      <c r="P94" s="15">
        <f>IFERROR(tblSprzedaz[[#This Row],[Marża kwotowa]]/tblSprzedaz[[#This Row],[Przychód netto]],0)</f>
        <v>0.43701723113487823</v>
      </c>
      <c r="Q94" s="16">
        <f>YEAR(tblSprzedaz[[#This Row],[Data]])</f>
        <v>2025</v>
      </c>
      <c r="R94" s="16">
        <f>MONTH(tblSprzedaz[[#This Row],[Data]])</f>
        <v>1</v>
      </c>
      <c r="S94" s="9" t="str">
        <f>YEAR(tblSprzedaz[[#This Row],[Data]])&amp;"-"&amp;RIGHT("0"&amp;MONTH(tblSprzedaz[[#This Row],[Data]]),2)</f>
        <v>2025-01</v>
      </c>
    </row>
    <row r="95" spans="1:19" x14ac:dyDescent="0.25">
      <c r="A95" s="7" t="s">
        <v>357</v>
      </c>
      <c r="B95" s="10">
        <v>45685</v>
      </c>
      <c r="C95" s="7" t="s">
        <v>358</v>
      </c>
      <c r="D95" s="8" t="s">
        <v>129</v>
      </c>
      <c r="E95" s="8" t="s">
        <v>58</v>
      </c>
      <c r="F95" s="8" t="s">
        <v>31</v>
      </c>
      <c r="G95" s="8" t="s">
        <v>30</v>
      </c>
      <c r="H95" s="8" t="s">
        <v>40</v>
      </c>
      <c r="I95" s="11">
        <v>3</v>
      </c>
      <c r="J95" s="12">
        <v>350.7</v>
      </c>
      <c r="K95" s="13">
        <v>0.05</v>
      </c>
      <c r="L95" s="12">
        <v>220.59</v>
      </c>
      <c r="M95" s="14">
        <f>ROUND(tblSprzedaz[[#This Row],[Ilość]]*tblSprzedaz[[#This Row],[Cena netto jednostkowa]]*(1-tblSprzedaz[[#This Row],[Rabat %]]),2)</f>
        <v>999.5</v>
      </c>
      <c r="N95" s="14">
        <f>ROUND(tblSprzedaz[[#This Row],[Ilość]]*tblSprzedaz[[#This Row],[Koszt jednostkowy netto]],2)</f>
        <v>661.77</v>
      </c>
      <c r="O95" s="14">
        <f>tblSprzedaz[[#This Row],[Przychód netto]]-tblSprzedaz[[#This Row],[Koszt całkowity netto]]</f>
        <v>337.73</v>
      </c>
      <c r="P95" s="15">
        <f>IFERROR(tblSprzedaz[[#This Row],[Marża kwotowa]]/tblSprzedaz[[#This Row],[Przychód netto]],0)</f>
        <v>0.33789894947473736</v>
      </c>
      <c r="Q95" s="16">
        <f>YEAR(tblSprzedaz[[#This Row],[Data]])</f>
        <v>2025</v>
      </c>
      <c r="R95" s="16">
        <f>MONTH(tblSprzedaz[[#This Row],[Data]])</f>
        <v>1</v>
      </c>
      <c r="S95" s="9" t="str">
        <f>YEAR(tblSprzedaz[[#This Row],[Data]])&amp;"-"&amp;RIGHT("0"&amp;MONTH(tblSprzedaz[[#This Row],[Data]]),2)</f>
        <v>2025-01</v>
      </c>
    </row>
    <row r="96" spans="1:19" x14ac:dyDescent="0.25">
      <c r="A96" s="7" t="s">
        <v>359</v>
      </c>
      <c r="B96" s="10">
        <v>45685</v>
      </c>
      <c r="C96" s="7" t="s">
        <v>360</v>
      </c>
      <c r="D96" s="8" t="s">
        <v>105</v>
      </c>
      <c r="E96" s="8" t="s">
        <v>73</v>
      </c>
      <c r="F96" s="8" t="s">
        <v>37</v>
      </c>
      <c r="G96" s="8" t="s">
        <v>34</v>
      </c>
      <c r="H96" s="8" t="s">
        <v>45</v>
      </c>
      <c r="I96" s="11">
        <v>5</v>
      </c>
      <c r="J96" s="12">
        <v>110.2</v>
      </c>
      <c r="K96" s="13">
        <v>0</v>
      </c>
      <c r="L96" s="12">
        <v>84.16</v>
      </c>
      <c r="M96" s="14">
        <f>ROUND(tblSprzedaz[[#This Row],[Ilość]]*tblSprzedaz[[#This Row],[Cena netto jednostkowa]]*(1-tblSprzedaz[[#This Row],[Rabat %]]),2)</f>
        <v>551</v>
      </c>
      <c r="N96" s="14">
        <f>ROUND(tblSprzedaz[[#This Row],[Ilość]]*tblSprzedaz[[#This Row],[Koszt jednostkowy netto]],2)</f>
        <v>420.8</v>
      </c>
      <c r="O96" s="14">
        <f>tblSprzedaz[[#This Row],[Przychód netto]]-tblSprzedaz[[#This Row],[Koszt całkowity netto]]</f>
        <v>130.19999999999999</v>
      </c>
      <c r="P96" s="15">
        <f>IFERROR(tblSprzedaz[[#This Row],[Marża kwotowa]]/tblSprzedaz[[#This Row],[Przychód netto]],0)</f>
        <v>0.23629764065335751</v>
      </c>
      <c r="Q96" s="16">
        <f>YEAR(tblSprzedaz[[#This Row],[Data]])</f>
        <v>2025</v>
      </c>
      <c r="R96" s="16">
        <f>MONTH(tblSprzedaz[[#This Row],[Data]])</f>
        <v>1</v>
      </c>
      <c r="S96" s="9" t="str">
        <f>YEAR(tblSprzedaz[[#This Row],[Data]])&amp;"-"&amp;RIGHT("0"&amp;MONTH(tblSprzedaz[[#This Row],[Data]]),2)</f>
        <v>2025-01</v>
      </c>
    </row>
    <row r="97" spans="1:19" x14ac:dyDescent="0.25">
      <c r="A97" s="7" t="s">
        <v>361</v>
      </c>
      <c r="B97" s="10">
        <v>45685</v>
      </c>
      <c r="C97" s="7" t="s">
        <v>362</v>
      </c>
      <c r="D97" s="8" t="s">
        <v>138</v>
      </c>
      <c r="E97" s="8" t="s">
        <v>51</v>
      </c>
      <c r="F97" s="8" t="s">
        <v>29</v>
      </c>
      <c r="G97" s="8" t="s">
        <v>36</v>
      </c>
      <c r="H97" s="8" t="s">
        <v>47</v>
      </c>
      <c r="I97" s="11">
        <v>10</v>
      </c>
      <c r="J97" s="12">
        <v>51</v>
      </c>
      <c r="K97" s="13">
        <v>0</v>
      </c>
      <c r="L97" s="12">
        <v>28.58</v>
      </c>
      <c r="M97" s="14">
        <f>ROUND(tblSprzedaz[[#This Row],[Ilość]]*tblSprzedaz[[#This Row],[Cena netto jednostkowa]]*(1-tblSprzedaz[[#This Row],[Rabat %]]),2)</f>
        <v>510</v>
      </c>
      <c r="N97" s="14">
        <f>ROUND(tblSprzedaz[[#This Row],[Ilość]]*tblSprzedaz[[#This Row],[Koszt jednostkowy netto]],2)</f>
        <v>285.8</v>
      </c>
      <c r="O97" s="14">
        <f>tblSprzedaz[[#This Row],[Przychód netto]]-tblSprzedaz[[#This Row],[Koszt całkowity netto]]</f>
        <v>224.2</v>
      </c>
      <c r="P97" s="15">
        <f>IFERROR(tblSprzedaz[[#This Row],[Marża kwotowa]]/tblSprzedaz[[#This Row],[Przychód netto]],0)</f>
        <v>0.43960784313725487</v>
      </c>
      <c r="Q97" s="16">
        <f>YEAR(tblSprzedaz[[#This Row],[Data]])</f>
        <v>2025</v>
      </c>
      <c r="R97" s="16">
        <f>MONTH(tblSprzedaz[[#This Row],[Data]])</f>
        <v>1</v>
      </c>
      <c r="S97" s="9" t="str">
        <f>YEAR(tblSprzedaz[[#This Row],[Data]])&amp;"-"&amp;RIGHT("0"&amp;MONTH(tblSprzedaz[[#This Row],[Data]]),2)</f>
        <v>2025-01</v>
      </c>
    </row>
    <row r="98" spans="1:19" x14ac:dyDescent="0.25">
      <c r="A98" s="7" t="s">
        <v>363</v>
      </c>
      <c r="B98" s="10">
        <v>45686</v>
      </c>
      <c r="C98" s="7" t="s">
        <v>364</v>
      </c>
      <c r="D98" s="8" t="s">
        <v>100</v>
      </c>
      <c r="E98" s="8" t="s">
        <v>51</v>
      </c>
      <c r="F98" s="8" t="s">
        <v>29</v>
      </c>
      <c r="G98" s="8" t="s">
        <v>36</v>
      </c>
      <c r="H98" s="8" t="s">
        <v>46</v>
      </c>
      <c r="I98" s="11">
        <v>14</v>
      </c>
      <c r="J98" s="12">
        <v>51</v>
      </c>
      <c r="K98" s="13">
        <v>0.05</v>
      </c>
      <c r="L98" s="12">
        <v>31.64</v>
      </c>
      <c r="M98" s="14">
        <f>ROUND(tblSprzedaz[[#This Row],[Ilość]]*tblSprzedaz[[#This Row],[Cena netto jednostkowa]]*(1-tblSprzedaz[[#This Row],[Rabat %]]),2)</f>
        <v>678.3</v>
      </c>
      <c r="N98" s="14">
        <f>ROUND(tblSprzedaz[[#This Row],[Ilość]]*tblSprzedaz[[#This Row],[Koszt jednostkowy netto]],2)</f>
        <v>442.96</v>
      </c>
      <c r="O98" s="14">
        <f>tblSprzedaz[[#This Row],[Przychód netto]]-tblSprzedaz[[#This Row],[Koszt całkowity netto]]</f>
        <v>235.33999999999997</v>
      </c>
      <c r="P98" s="15">
        <f>IFERROR(tblSprzedaz[[#This Row],[Marża kwotowa]]/tblSprzedaz[[#This Row],[Przychód netto]],0)</f>
        <v>0.34695562435500515</v>
      </c>
      <c r="Q98" s="16">
        <f>YEAR(tblSprzedaz[[#This Row],[Data]])</f>
        <v>2025</v>
      </c>
      <c r="R98" s="16">
        <f>MONTH(tblSprzedaz[[#This Row],[Data]])</f>
        <v>1</v>
      </c>
      <c r="S98" s="9" t="str">
        <f>YEAR(tblSprzedaz[[#This Row],[Data]])&amp;"-"&amp;RIGHT("0"&amp;MONTH(tblSprzedaz[[#This Row],[Data]]),2)</f>
        <v>2025-01</v>
      </c>
    </row>
    <row r="99" spans="1:19" x14ac:dyDescent="0.25">
      <c r="A99" s="7" t="s">
        <v>365</v>
      </c>
      <c r="B99" s="10">
        <v>45686</v>
      </c>
      <c r="C99" s="7" t="s">
        <v>366</v>
      </c>
      <c r="D99" s="8" t="s">
        <v>111</v>
      </c>
      <c r="E99" s="8" t="s">
        <v>70</v>
      </c>
      <c r="F99" s="8" t="s">
        <v>35</v>
      </c>
      <c r="G99" s="8" t="s">
        <v>30</v>
      </c>
      <c r="H99" s="8" t="s">
        <v>40</v>
      </c>
      <c r="I99" s="11">
        <v>6</v>
      </c>
      <c r="J99" s="12">
        <v>113.56</v>
      </c>
      <c r="K99" s="13">
        <v>0.05</v>
      </c>
      <c r="L99" s="12">
        <v>80.48</v>
      </c>
      <c r="M99" s="14">
        <f>ROUND(tblSprzedaz[[#This Row],[Ilość]]*tblSprzedaz[[#This Row],[Cena netto jednostkowa]]*(1-tblSprzedaz[[#This Row],[Rabat %]]),2)</f>
        <v>647.29</v>
      </c>
      <c r="N99" s="14">
        <f>ROUND(tblSprzedaz[[#This Row],[Ilość]]*tblSprzedaz[[#This Row],[Koszt jednostkowy netto]],2)</f>
        <v>482.88</v>
      </c>
      <c r="O99" s="14">
        <f>tblSprzedaz[[#This Row],[Przychód netto]]-tblSprzedaz[[#This Row],[Koszt całkowity netto]]</f>
        <v>164.40999999999997</v>
      </c>
      <c r="P99" s="15">
        <f>IFERROR(tblSprzedaz[[#This Row],[Marża kwotowa]]/tblSprzedaz[[#This Row],[Przychód netto]],0)</f>
        <v>0.25399743546169412</v>
      </c>
      <c r="Q99" s="16">
        <f>YEAR(tblSprzedaz[[#This Row],[Data]])</f>
        <v>2025</v>
      </c>
      <c r="R99" s="16">
        <f>MONTH(tblSprzedaz[[#This Row],[Data]])</f>
        <v>1</v>
      </c>
      <c r="S99" s="9" t="str">
        <f>YEAR(tblSprzedaz[[#This Row],[Data]])&amp;"-"&amp;RIGHT("0"&amp;MONTH(tblSprzedaz[[#This Row],[Data]]),2)</f>
        <v>2025-01</v>
      </c>
    </row>
    <row r="100" spans="1:19" x14ac:dyDescent="0.25">
      <c r="A100" s="7" t="s">
        <v>367</v>
      </c>
      <c r="B100" s="10">
        <v>45686</v>
      </c>
      <c r="C100" s="7" t="s">
        <v>368</v>
      </c>
      <c r="D100" s="8" t="s">
        <v>133</v>
      </c>
      <c r="E100" s="8" t="s">
        <v>68</v>
      </c>
      <c r="F100" s="8" t="s">
        <v>35</v>
      </c>
      <c r="G100" s="8" t="s">
        <v>30</v>
      </c>
      <c r="H100" s="8" t="s">
        <v>40</v>
      </c>
      <c r="I100" s="11">
        <v>5</v>
      </c>
      <c r="J100" s="12">
        <v>90.44</v>
      </c>
      <c r="K100" s="13">
        <v>0.05</v>
      </c>
      <c r="L100" s="12">
        <v>64.510000000000005</v>
      </c>
      <c r="M100" s="14">
        <f>ROUND(tblSprzedaz[[#This Row],[Ilość]]*tblSprzedaz[[#This Row],[Cena netto jednostkowa]]*(1-tblSprzedaz[[#This Row],[Rabat %]]),2)</f>
        <v>429.59</v>
      </c>
      <c r="N100" s="14">
        <f>ROUND(tblSprzedaz[[#This Row],[Ilość]]*tblSprzedaz[[#This Row],[Koszt jednostkowy netto]],2)</f>
        <v>322.55</v>
      </c>
      <c r="O100" s="14">
        <f>tblSprzedaz[[#This Row],[Przychód netto]]-tblSprzedaz[[#This Row],[Koszt całkowity netto]]</f>
        <v>107.03999999999996</v>
      </c>
      <c r="P100" s="15">
        <f>IFERROR(tblSprzedaz[[#This Row],[Marża kwotowa]]/tblSprzedaz[[#This Row],[Przychód netto]],0)</f>
        <v>0.24916781116878878</v>
      </c>
      <c r="Q100" s="16">
        <f>YEAR(tblSprzedaz[[#This Row],[Data]])</f>
        <v>2025</v>
      </c>
      <c r="R100" s="16">
        <f>MONTH(tblSprzedaz[[#This Row],[Data]])</f>
        <v>1</v>
      </c>
      <c r="S100" s="9" t="str">
        <f>YEAR(tblSprzedaz[[#This Row],[Data]])&amp;"-"&amp;RIGHT("0"&amp;MONTH(tblSprzedaz[[#This Row],[Data]]),2)</f>
        <v>2025-01</v>
      </c>
    </row>
    <row r="101" spans="1:19" x14ac:dyDescent="0.25">
      <c r="A101" s="7" t="s">
        <v>369</v>
      </c>
      <c r="B101" s="10">
        <v>45686</v>
      </c>
      <c r="C101" s="7" t="s">
        <v>370</v>
      </c>
      <c r="D101" s="8" t="s">
        <v>87</v>
      </c>
      <c r="E101" s="8" t="s">
        <v>50</v>
      </c>
      <c r="F101" s="8" t="s">
        <v>29</v>
      </c>
      <c r="G101" s="8" t="s">
        <v>36</v>
      </c>
      <c r="H101" s="8" t="s">
        <v>46</v>
      </c>
      <c r="I101" s="11">
        <v>8</v>
      </c>
      <c r="J101" s="12">
        <v>45.22</v>
      </c>
      <c r="K101" s="13">
        <v>0</v>
      </c>
      <c r="L101" s="12">
        <v>26.77</v>
      </c>
      <c r="M101" s="14">
        <f>ROUND(tblSprzedaz[[#This Row],[Ilość]]*tblSprzedaz[[#This Row],[Cena netto jednostkowa]]*(1-tblSprzedaz[[#This Row],[Rabat %]]),2)</f>
        <v>361.76</v>
      </c>
      <c r="N101" s="14">
        <f>ROUND(tblSprzedaz[[#This Row],[Ilość]]*tblSprzedaz[[#This Row],[Koszt jednostkowy netto]],2)</f>
        <v>214.16</v>
      </c>
      <c r="O101" s="14">
        <f>tblSprzedaz[[#This Row],[Przychód netto]]-tblSprzedaz[[#This Row],[Koszt całkowity netto]]</f>
        <v>147.6</v>
      </c>
      <c r="P101" s="15">
        <f>IFERROR(tblSprzedaz[[#This Row],[Marża kwotowa]]/tblSprzedaz[[#This Row],[Przychód netto]],0)</f>
        <v>0.40800530738611235</v>
      </c>
      <c r="Q101" s="16">
        <f>YEAR(tblSprzedaz[[#This Row],[Data]])</f>
        <v>2025</v>
      </c>
      <c r="R101" s="16">
        <f>MONTH(tblSprzedaz[[#This Row],[Data]])</f>
        <v>1</v>
      </c>
      <c r="S101" s="9" t="str">
        <f>YEAR(tblSprzedaz[[#This Row],[Data]])&amp;"-"&amp;RIGHT("0"&amp;MONTH(tblSprzedaz[[#This Row],[Data]]),2)</f>
        <v>2025-01</v>
      </c>
    </row>
    <row r="102" spans="1:19" x14ac:dyDescent="0.25">
      <c r="A102" s="7" t="s">
        <v>371</v>
      </c>
      <c r="B102" s="10">
        <v>45686</v>
      </c>
      <c r="C102" s="7" t="s">
        <v>372</v>
      </c>
      <c r="D102" s="8" t="s">
        <v>128</v>
      </c>
      <c r="E102" s="8" t="s">
        <v>53</v>
      </c>
      <c r="F102" s="8" t="s">
        <v>29</v>
      </c>
      <c r="G102" s="8" t="s">
        <v>36</v>
      </c>
      <c r="H102" s="8" t="s">
        <v>47</v>
      </c>
      <c r="I102" s="11">
        <v>11</v>
      </c>
      <c r="J102" s="12">
        <v>27.88</v>
      </c>
      <c r="K102" s="13">
        <v>0</v>
      </c>
      <c r="L102" s="12">
        <v>16.95</v>
      </c>
      <c r="M102" s="14">
        <f>ROUND(tblSprzedaz[[#This Row],[Ilość]]*tblSprzedaz[[#This Row],[Cena netto jednostkowa]]*(1-tblSprzedaz[[#This Row],[Rabat %]]),2)</f>
        <v>306.68</v>
      </c>
      <c r="N102" s="14">
        <f>ROUND(tblSprzedaz[[#This Row],[Ilość]]*tblSprzedaz[[#This Row],[Koszt jednostkowy netto]],2)</f>
        <v>186.45</v>
      </c>
      <c r="O102" s="14">
        <f>tblSprzedaz[[#This Row],[Przychód netto]]-tblSprzedaz[[#This Row],[Koszt całkowity netto]]</f>
        <v>120.23000000000002</v>
      </c>
      <c r="P102" s="15">
        <f>IFERROR(tblSprzedaz[[#This Row],[Marża kwotowa]]/tblSprzedaz[[#This Row],[Przychód netto]],0)</f>
        <v>0.39203730272596848</v>
      </c>
      <c r="Q102" s="16">
        <f>YEAR(tblSprzedaz[[#This Row],[Data]])</f>
        <v>2025</v>
      </c>
      <c r="R102" s="16">
        <f>MONTH(tblSprzedaz[[#This Row],[Data]])</f>
        <v>1</v>
      </c>
      <c r="S102" s="9" t="str">
        <f>YEAR(tblSprzedaz[[#This Row],[Data]])&amp;"-"&amp;RIGHT("0"&amp;MONTH(tblSprzedaz[[#This Row],[Data]]),2)</f>
        <v>2025-01</v>
      </c>
    </row>
    <row r="103" spans="1:19" x14ac:dyDescent="0.25">
      <c r="A103" s="7" t="s">
        <v>373</v>
      </c>
      <c r="B103" s="10">
        <v>45687</v>
      </c>
      <c r="C103" s="7" t="s">
        <v>374</v>
      </c>
      <c r="D103" s="8" t="s">
        <v>94</v>
      </c>
      <c r="E103" s="8" t="s">
        <v>53</v>
      </c>
      <c r="F103" s="8" t="s">
        <v>29</v>
      </c>
      <c r="G103" s="8" t="s">
        <v>36</v>
      </c>
      <c r="H103" s="8" t="s">
        <v>47</v>
      </c>
      <c r="I103" s="11">
        <v>11</v>
      </c>
      <c r="J103" s="12">
        <v>27.88</v>
      </c>
      <c r="K103" s="13">
        <v>0</v>
      </c>
      <c r="L103" s="12">
        <v>15.92</v>
      </c>
      <c r="M103" s="14">
        <f>ROUND(tblSprzedaz[[#This Row],[Ilość]]*tblSprzedaz[[#This Row],[Cena netto jednostkowa]]*(1-tblSprzedaz[[#This Row],[Rabat %]]),2)</f>
        <v>306.68</v>
      </c>
      <c r="N103" s="14">
        <f>ROUND(tblSprzedaz[[#This Row],[Ilość]]*tblSprzedaz[[#This Row],[Koszt jednostkowy netto]],2)</f>
        <v>175.12</v>
      </c>
      <c r="O103" s="14">
        <f>tblSprzedaz[[#This Row],[Przychód netto]]-tblSprzedaz[[#This Row],[Koszt całkowity netto]]</f>
        <v>131.56</v>
      </c>
      <c r="P103" s="15">
        <f>IFERROR(tblSprzedaz[[#This Row],[Marża kwotowa]]/tblSprzedaz[[#This Row],[Przychód netto]],0)</f>
        <v>0.42898134863701576</v>
      </c>
      <c r="Q103" s="16">
        <f>YEAR(tblSprzedaz[[#This Row],[Data]])</f>
        <v>2025</v>
      </c>
      <c r="R103" s="16">
        <f>MONTH(tblSprzedaz[[#This Row],[Data]])</f>
        <v>1</v>
      </c>
      <c r="S103" s="9" t="str">
        <f>YEAR(tblSprzedaz[[#This Row],[Data]])&amp;"-"&amp;RIGHT("0"&amp;MONTH(tblSprzedaz[[#This Row],[Data]]),2)</f>
        <v>2025-01</v>
      </c>
    </row>
    <row r="104" spans="1:19" x14ac:dyDescent="0.25">
      <c r="A104" s="7" t="s">
        <v>375</v>
      </c>
      <c r="B104" s="10">
        <v>45687</v>
      </c>
      <c r="C104" s="7" t="s">
        <v>376</v>
      </c>
      <c r="D104" s="8" t="s">
        <v>99</v>
      </c>
      <c r="E104" s="8" t="s">
        <v>62</v>
      </c>
      <c r="F104" s="8" t="s">
        <v>33</v>
      </c>
      <c r="G104" s="8" t="s">
        <v>32</v>
      </c>
      <c r="H104" s="8" t="s">
        <v>43</v>
      </c>
      <c r="I104" s="11">
        <v>3</v>
      </c>
      <c r="J104" s="12">
        <v>611.79999999999995</v>
      </c>
      <c r="K104" s="13">
        <v>0</v>
      </c>
      <c r="L104" s="12">
        <v>406.85</v>
      </c>
      <c r="M104" s="14">
        <f>ROUND(tblSprzedaz[[#This Row],[Ilość]]*tblSprzedaz[[#This Row],[Cena netto jednostkowa]]*(1-tblSprzedaz[[#This Row],[Rabat %]]),2)</f>
        <v>1835.4</v>
      </c>
      <c r="N104" s="14">
        <f>ROUND(tblSprzedaz[[#This Row],[Ilość]]*tblSprzedaz[[#This Row],[Koszt jednostkowy netto]],2)</f>
        <v>1220.55</v>
      </c>
      <c r="O104" s="14">
        <f>tblSprzedaz[[#This Row],[Przychód netto]]-tblSprzedaz[[#This Row],[Koszt całkowity netto]]</f>
        <v>614.85000000000014</v>
      </c>
      <c r="P104" s="15">
        <f>IFERROR(tblSprzedaz[[#This Row],[Marża kwotowa]]/tblSprzedaz[[#This Row],[Przychód netto]],0)</f>
        <v>0.33499509643674408</v>
      </c>
      <c r="Q104" s="16">
        <f>YEAR(tblSprzedaz[[#This Row],[Data]])</f>
        <v>2025</v>
      </c>
      <c r="R104" s="16">
        <f>MONTH(tblSprzedaz[[#This Row],[Data]])</f>
        <v>1</v>
      </c>
      <c r="S104" s="9" t="str">
        <f>YEAR(tblSprzedaz[[#This Row],[Data]])&amp;"-"&amp;RIGHT("0"&amp;MONTH(tblSprzedaz[[#This Row],[Data]]),2)</f>
        <v>2025-01</v>
      </c>
    </row>
    <row r="105" spans="1:19" x14ac:dyDescent="0.25">
      <c r="A105" s="7" t="s">
        <v>377</v>
      </c>
      <c r="B105" s="10">
        <v>45687</v>
      </c>
      <c r="C105" s="7" t="s">
        <v>378</v>
      </c>
      <c r="D105" s="8" t="s">
        <v>148</v>
      </c>
      <c r="E105" s="8" t="s">
        <v>52</v>
      </c>
      <c r="F105" s="8" t="s">
        <v>29</v>
      </c>
      <c r="G105" s="8" t="s">
        <v>30</v>
      </c>
      <c r="H105" s="8" t="s">
        <v>40</v>
      </c>
      <c r="I105" s="11">
        <v>14</v>
      </c>
      <c r="J105" s="12">
        <v>56.78</v>
      </c>
      <c r="K105" s="13">
        <v>0</v>
      </c>
      <c r="L105" s="12">
        <v>35.24</v>
      </c>
      <c r="M105" s="14">
        <f>ROUND(tblSprzedaz[[#This Row],[Ilość]]*tblSprzedaz[[#This Row],[Cena netto jednostkowa]]*(1-tblSprzedaz[[#This Row],[Rabat %]]),2)</f>
        <v>794.92</v>
      </c>
      <c r="N105" s="14">
        <f>ROUND(tblSprzedaz[[#This Row],[Ilość]]*tblSprzedaz[[#This Row],[Koszt jednostkowy netto]],2)</f>
        <v>493.36</v>
      </c>
      <c r="O105" s="14">
        <f>tblSprzedaz[[#This Row],[Przychód netto]]-tblSprzedaz[[#This Row],[Koszt całkowity netto]]</f>
        <v>301.55999999999995</v>
      </c>
      <c r="P105" s="15">
        <f>IFERROR(tblSprzedaz[[#This Row],[Marża kwotowa]]/tblSprzedaz[[#This Row],[Przychód netto]],0)</f>
        <v>0.37935892920042263</v>
      </c>
      <c r="Q105" s="16">
        <f>YEAR(tblSprzedaz[[#This Row],[Data]])</f>
        <v>2025</v>
      </c>
      <c r="R105" s="16">
        <f>MONTH(tblSprzedaz[[#This Row],[Data]])</f>
        <v>1</v>
      </c>
      <c r="S105" s="9" t="str">
        <f>YEAR(tblSprzedaz[[#This Row],[Data]])&amp;"-"&amp;RIGHT("0"&amp;MONTH(tblSprzedaz[[#This Row],[Data]]),2)</f>
        <v>2025-01</v>
      </c>
    </row>
    <row r="106" spans="1:19" x14ac:dyDescent="0.25">
      <c r="A106" s="7" t="s">
        <v>379</v>
      </c>
      <c r="B106" s="10">
        <v>45688</v>
      </c>
      <c r="C106" s="7" t="s">
        <v>380</v>
      </c>
      <c r="D106" s="8" t="s">
        <v>118</v>
      </c>
      <c r="E106" s="8" t="s">
        <v>64</v>
      </c>
      <c r="F106" s="8" t="s">
        <v>33</v>
      </c>
      <c r="G106" s="8" t="s">
        <v>30</v>
      </c>
      <c r="H106" s="8" t="s">
        <v>40</v>
      </c>
      <c r="I106" s="11">
        <v>10</v>
      </c>
      <c r="J106" s="12">
        <v>768.2</v>
      </c>
      <c r="K106" s="13">
        <v>0</v>
      </c>
      <c r="L106" s="12">
        <v>510.96</v>
      </c>
      <c r="M106" s="14">
        <f>ROUND(tblSprzedaz[[#This Row],[Ilość]]*tblSprzedaz[[#This Row],[Cena netto jednostkowa]]*(1-tblSprzedaz[[#This Row],[Rabat %]]),2)</f>
        <v>7682</v>
      </c>
      <c r="N106" s="14">
        <f>ROUND(tblSprzedaz[[#This Row],[Ilość]]*tblSprzedaz[[#This Row],[Koszt jednostkowy netto]],2)</f>
        <v>5109.6000000000004</v>
      </c>
      <c r="O106" s="14">
        <f>tblSprzedaz[[#This Row],[Przychód netto]]-tblSprzedaz[[#This Row],[Koszt całkowity netto]]</f>
        <v>2572.3999999999996</v>
      </c>
      <c r="P106" s="15">
        <f>IFERROR(tblSprzedaz[[#This Row],[Marża kwotowa]]/tblSprzedaz[[#This Row],[Przychód netto]],0)</f>
        <v>0.33486071335589684</v>
      </c>
      <c r="Q106" s="16">
        <f>YEAR(tblSprzedaz[[#This Row],[Data]])</f>
        <v>2025</v>
      </c>
      <c r="R106" s="16">
        <f>MONTH(tblSprzedaz[[#This Row],[Data]])</f>
        <v>1</v>
      </c>
      <c r="S106" s="9" t="str">
        <f>YEAR(tblSprzedaz[[#This Row],[Data]])&amp;"-"&amp;RIGHT("0"&amp;MONTH(tblSprzedaz[[#This Row],[Data]]),2)</f>
        <v>2025-01</v>
      </c>
    </row>
    <row r="107" spans="1:19" x14ac:dyDescent="0.25">
      <c r="A107" s="7" t="s">
        <v>381</v>
      </c>
      <c r="B107" s="10">
        <v>45688</v>
      </c>
      <c r="C107" s="7" t="s">
        <v>382</v>
      </c>
      <c r="D107" s="8" t="s">
        <v>130</v>
      </c>
      <c r="E107" s="8" t="s">
        <v>68</v>
      </c>
      <c r="F107" s="8" t="s">
        <v>35</v>
      </c>
      <c r="G107" s="8" t="s">
        <v>34</v>
      </c>
      <c r="H107" s="8" t="s">
        <v>44</v>
      </c>
      <c r="I107" s="11">
        <v>2</v>
      </c>
      <c r="J107" s="12">
        <v>90.44</v>
      </c>
      <c r="K107" s="13">
        <v>0.15</v>
      </c>
      <c r="L107" s="12">
        <v>66.58</v>
      </c>
      <c r="M107" s="14">
        <f>ROUND(tblSprzedaz[[#This Row],[Ilość]]*tblSprzedaz[[#This Row],[Cena netto jednostkowa]]*(1-tblSprzedaz[[#This Row],[Rabat %]]),2)</f>
        <v>153.75</v>
      </c>
      <c r="N107" s="14">
        <f>ROUND(tblSprzedaz[[#This Row],[Ilość]]*tblSprzedaz[[#This Row],[Koszt jednostkowy netto]],2)</f>
        <v>133.16</v>
      </c>
      <c r="O107" s="14">
        <f>tblSprzedaz[[#This Row],[Przychód netto]]-tblSprzedaz[[#This Row],[Koszt całkowity netto]]</f>
        <v>20.590000000000003</v>
      </c>
      <c r="P107" s="15">
        <f>IFERROR(tblSprzedaz[[#This Row],[Marża kwotowa]]/tblSprzedaz[[#This Row],[Przychód netto]],0)</f>
        <v>0.1339186991869919</v>
      </c>
      <c r="Q107" s="16">
        <f>YEAR(tblSprzedaz[[#This Row],[Data]])</f>
        <v>2025</v>
      </c>
      <c r="R107" s="16">
        <f>MONTH(tblSprzedaz[[#This Row],[Data]])</f>
        <v>1</v>
      </c>
      <c r="S107" s="9" t="str">
        <f>YEAR(tblSprzedaz[[#This Row],[Data]])&amp;"-"&amp;RIGHT("0"&amp;MONTH(tblSprzedaz[[#This Row],[Data]]),2)</f>
        <v>2025-01</v>
      </c>
    </row>
    <row r="108" spans="1:19" x14ac:dyDescent="0.25">
      <c r="A108" s="7" t="s">
        <v>383</v>
      </c>
      <c r="B108" s="10">
        <v>45688</v>
      </c>
      <c r="C108" s="7" t="s">
        <v>384</v>
      </c>
      <c r="D108" s="8" t="s">
        <v>115</v>
      </c>
      <c r="E108" s="8" t="s">
        <v>49</v>
      </c>
      <c r="F108" s="8" t="s">
        <v>29</v>
      </c>
      <c r="G108" s="8" t="s">
        <v>36</v>
      </c>
      <c r="H108" s="8" t="s">
        <v>47</v>
      </c>
      <c r="I108" s="11">
        <v>1</v>
      </c>
      <c r="J108" s="12">
        <v>39.44</v>
      </c>
      <c r="K108" s="13">
        <v>0.1</v>
      </c>
      <c r="L108" s="12">
        <v>23.92</v>
      </c>
      <c r="M108" s="14">
        <f>ROUND(tblSprzedaz[[#This Row],[Ilość]]*tblSprzedaz[[#This Row],[Cena netto jednostkowa]]*(1-tblSprzedaz[[#This Row],[Rabat %]]),2)</f>
        <v>35.5</v>
      </c>
      <c r="N108" s="14">
        <f>ROUND(tblSprzedaz[[#This Row],[Ilość]]*tblSprzedaz[[#This Row],[Koszt jednostkowy netto]],2)</f>
        <v>23.92</v>
      </c>
      <c r="O108" s="14">
        <f>tblSprzedaz[[#This Row],[Przychód netto]]-tblSprzedaz[[#This Row],[Koszt całkowity netto]]</f>
        <v>11.579999999999998</v>
      </c>
      <c r="P108" s="15">
        <f>IFERROR(tblSprzedaz[[#This Row],[Marża kwotowa]]/tblSprzedaz[[#This Row],[Przychód netto]],0)</f>
        <v>0.32619718309859153</v>
      </c>
      <c r="Q108" s="16">
        <f>YEAR(tblSprzedaz[[#This Row],[Data]])</f>
        <v>2025</v>
      </c>
      <c r="R108" s="16">
        <f>MONTH(tblSprzedaz[[#This Row],[Data]])</f>
        <v>1</v>
      </c>
      <c r="S108" s="9" t="str">
        <f>YEAR(tblSprzedaz[[#This Row],[Data]])&amp;"-"&amp;RIGHT("0"&amp;MONTH(tblSprzedaz[[#This Row],[Data]]),2)</f>
        <v>2025-01</v>
      </c>
    </row>
    <row r="109" spans="1:19" x14ac:dyDescent="0.25">
      <c r="A109" s="7" t="s">
        <v>385</v>
      </c>
      <c r="B109" s="10">
        <v>45688</v>
      </c>
      <c r="C109" s="7" t="s">
        <v>386</v>
      </c>
      <c r="D109" s="8" t="s">
        <v>138</v>
      </c>
      <c r="E109" s="8" t="s">
        <v>67</v>
      </c>
      <c r="F109" s="8" t="s">
        <v>35</v>
      </c>
      <c r="G109" s="8" t="s">
        <v>28</v>
      </c>
      <c r="H109" s="8" t="s">
        <v>39</v>
      </c>
      <c r="I109" s="11">
        <v>10</v>
      </c>
      <c r="J109" s="12">
        <v>78.88</v>
      </c>
      <c r="K109" s="13">
        <v>0.05</v>
      </c>
      <c r="L109" s="12">
        <v>56.46</v>
      </c>
      <c r="M109" s="14">
        <f>ROUND(tblSprzedaz[[#This Row],[Ilość]]*tblSprzedaz[[#This Row],[Cena netto jednostkowa]]*(1-tblSprzedaz[[#This Row],[Rabat %]]),2)</f>
        <v>749.36</v>
      </c>
      <c r="N109" s="14">
        <f>ROUND(tblSprzedaz[[#This Row],[Ilość]]*tblSprzedaz[[#This Row],[Koszt jednostkowy netto]],2)</f>
        <v>564.6</v>
      </c>
      <c r="O109" s="14">
        <f>tblSprzedaz[[#This Row],[Przychód netto]]-tblSprzedaz[[#This Row],[Koszt całkowity netto]]</f>
        <v>184.76</v>
      </c>
      <c r="P109" s="15">
        <f>IFERROR(tblSprzedaz[[#This Row],[Marża kwotowa]]/tblSprzedaz[[#This Row],[Przychód netto]],0)</f>
        <v>0.2465570620262624</v>
      </c>
      <c r="Q109" s="16">
        <f>YEAR(tblSprzedaz[[#This Row],[Data]])</f>
        <v>2025</v>
      </c>
      <c r="R109" s="16">
        <f>MONTH(tblSprzedaz[[#This Row],[Data]])</f>
        <v>1</v>
      </c>
      <c r="S109" s="9" t="str">
        <f>YEAR(tblSprzedaz[[#This Row],[Data]])&amp;"-"&amp;RIGHT("0"&amp;MONTH(tblSprzedaz[[#This Row],[Data]]),2)</f>
        <v>2025-01</v>
      </c>
    </row>
    <row r="110" spans="1:19" x14ac:dyDescent="0.25">
      <c r="A110" s="7" t="s">
        <v>387</v>
      </c>
      <c r="B110" s="10">
        <v>45688</v>
      </c>
      <c r="C110" s="7" t="s">
        <v>388</v>
      </c>
      <c r="D110" s="8" t="s">
        <v>151</v>
      </c>
      <c r="E110" s="8" t="s">
        <v>62</v>
      </c>
      <c r="F110" s="8" t="s">
        <v>33</v>
      </c>
      <c r="G110" s="8" t="s">
        <v>36</v>
      </c>
      <c r="H110" s="8" t="s">
        <v>47</v>
      </c>
      <c r="I110" s="11">
        <v>3</v>
      </c>
      <c r="J110" s="12">
        <v>611.79999999999995</v>
      </c>
      <c r="K110" s="13">
        <v>0.05</v>
      </c>
      <c r="L110" s="12">
        <v>417.65</v>
      </c>
      <c r="M110" s="14">
        <f>ROUND(tblSprzedaz[[#This Row],[Ilość]]*tblSprzedaz[[#This Row],[Cena netto jednostkowa]]*(1-tblSprzedaz[[#This Row],[Rabat %]]),2)</f>
        <v>1743.63</v>
      </c>
      <c r="N110" s="14">
        <f>ROUND(tblSprzedaz[[#This Row],[Ilość]]*tblSprzedaz[[#This Row],[Koszt jednostkowy netto]],2)</f>
        <v>1252.95</v>
      </c>
      <c r="O110" s="14">
        <f>tblSprzedaz[[#This Row],[Przychód netto]]-tblSprzedaz[[#This Row],[Koszt całkowity netto]]</f>
        <v>490.68000000000006</v>
      </c>
      <c r="P110" s="15">
        <f>IFERROR(tblSprzedaz[[#This Row],[Marża kwotowa]]/tblSprzedaz[[#This Row],[Przychód netto]],0)</f>
        <v>0.28141291443712257</v>
      </c>
      <c r="Q110" s="16">
        <f>YEAR(tblSprzedaz[[#This Row],[Data]])</f>
        <v>2025</v>
      </c>
      <c r="R110" s="16">
        <f>MONTH(tblSprzedaz[[#This Row],[Data]])</f>
        <v>1</v>
      </c>
      <c r="S110" s="9" t="str">
        <f>YEAR(tblSprzedaz[[#This Row],[Data]])&amp;"-"&amp;RIGHT("0"&amp;MONTH(tblSprzedaz[[#This Row],[Data]]),2)</f>
        <v>2025-01</v>
      </c>
    </row>
    <row r="111" spans="1:19" x14ac:dyDescent="0.25">
      <c r="A111" s="7" t="s">
        <v>389</v>
      </c>
      <c r="B111" s="10">
        <v>45689</v>
      </c>
      <c r="C111" s="7" t="s">
        <v>390</v>
      </c>
      <c r="D111" s="8" t="s">
        <v>110</v>
      </c>
      <c r="E111" s="8" t="s">
        <v>73</v>
      </c>
      <c r="F111" s="8" t="s">
        <v>37</v>
      </c>
      <c r="G111" s="8" t="s">
        <v>28</v>
      </c>
      <c r="H111" s="8" t="s">
        <v>38</v>
      </c>
      <c r="I111" s="11">
        <v>8</v>
      </c>
      <c r="J111" s="12">
        <v>110.2</v>
      </c>
      <c r="K111" s="13">
        <v>0.1</v>
      </c>
      <c r="L111" s="12">
        <v>82.01</v>
      </c>
      <c r="M111" s="14">
        <f>ROUND(tblSprzedaz[[#This Row],[Ilość]]*tblSprzedaz[[#This Row],[Cena netto jednostkowa]]*(1-tblSprzedaz[[#This Row],[Rabat %]]),2)</f>
        <v>793.44</v>
      </c>
      <c r="N111" s="14">
        <f>ROUND(tblSprzedaz[[#This Row],[Ilość]]*tblSprzedaz[[#This Row],[Koszt jednostkowy netto]],2)</f>
        <v>656.08</v>
      </c>
      <c r="O111" s="14">
        <f>tblSprzedaz[[#This Row],[Przychód netto]]-tblSprzedaz[[#This Row],[Koszt całkowity netto]]</f>
        <v>137.36000000000001</v>
      </c>
      <c r="P111" s="15">
        <f>IFERROR(tblSprzedaz[[#This Row],[Marża kwotowa]]/tblSprzedaz[[#This Row],[Przychód netto]],0)</f>
        <v>0.1731195805605969</v>
      </c>
      <c r="Q111" s="16">
        <f>YEAR(tblSprzedaz[[#This Row],[Data]])</f>
        <v>2025</v>
      </c>
      <c r="R111" s="16">
        <f>MONTH(tblSprzedaz[[#This Row],[Data]])</f>
        <v>2</v>
      </c>
      <c r="S111" s="9" t="str">
        <f>YEAR(tblSprzedaz[[#This Row],[Data]])&amp;"-"&amp;RIGHT("0"&amp;MONTH(tblSprzedaz[[#This Row],[Data]]),2)</f>
        <v>2025-02</v>
      </c>
    </row>
    <row r="112" spans="1:19" x14ac:dyDescent="0.25">
      <c r="A112" s="7" t="s">
        <v>391</v>
      </c>
      <c r="B112" s="10">
        <v>45690</v>
      </c>
      <c r="C112" s="7" t="s">
        <v>392</v>
      </c>
      <c r="D112" s="8" t="s">
        <v>142</v>
      </c>
      <c r="E112" s="8" t="s">
        <v>63</v>
      </c>
      <c r="F112" s="8" t="s">
        <v>33</v>
      </c>
      <c r="G112" s="8" t="s">
        <v>34</v>
      </c>
      <c r="H112" s="8" t="s">
        <v>44</v>
      </c>
      <c r="I112" s="11">
        <v>5</v>
      </c>
      <c r="J112" s="12">
        <v>690</v>
      </c>
      <c r="K112" s="13">
        <v>0</v>
      </c>
      <c r="L112" s="12">
        <v>457.98</v>
      </c>
      <c r="M112" s="14">
        <f>ROUND(tblSprzedaz[[#This Row],[Ilość]]*tblSprzedaz[[#This Row],[Cena netto jednostkowa]]*(1-tblSprzedaz[[#This Row],[Rabat %]]),2)</f>
        <v>3450</v>
      </c>
      <c r="N112" s="14">
        <f>ROUND(tblSprzedaz[[#This Row],[Ilość]]*tblSprzedaz[[#This Row],[Koszt jednostkowy netto]],2)</f>
        <v>2289.9</v>
      </c>
      <c r="O112" s="14">
        <f>tblSprzedaz[[#This Row],[Przychód netto]]-tblSprzedaz[[#This Row],[Koszt całkowity netto]]</f>
        <v>1160.0999999999999</v>
      </c>
      <c r="P112" s="15">
        <f>IFERROR(tblSprzedaz[[#This Row],[Marża kwotowa]]/tblSprzedaz[[#This Row],[Przychód netto]],0)</f>
        <v>0.33626086956521739</v>
      </c>
      <c r="Q112" s="16">
        <f>YEAR(tblSprzedaz[[#This Row],[Data]])</f>
        <v>2025</v>
      </c>
      <c r="R112" s="16">
        <f>MONTH(tblSprzedaz[[#This Row],[Data]])</f>
        <v>2</v>
      </c>
      <c r="S112" s="9" t="str">
        <f>YEAR(tblSprzedaz[[#This Row],[Data]])&amp;"-"&amp;RIGHT("0"&amp;MONTH(tblSprzedaz[[#This Row],[Data]]),2)</f>
        <v>2025-02</v>
      </c>
    </row>
    <row r="113" spans="1:19" x14ac:dyDescent="0.25">
      <c r="A113" s="7" t="s">
        <v>393</v>
      </c>
      <c r="B113" s="10">
        <v>45691</v>
      </c>
      <c r="C113" s="7" t="s">
        <v>394</v>
      </c>
      <c r="D113" s="8" t="s">
        <v>136</v>
      </c>
      <c r="E113" s="8" t="s">
        <v>77</v>
      </c>
      <c r="F113" s="8" t="s">
        <v>37</v>
      </c>
      <c r="G113" s="8" t="s">
        <v>34</v>
      </c>
      <c r="H113" s="8" t="s">
        <v>45</v>
      </c>
      <c r="I113" s="11">
        <v>1</v>
      </c>
      <c r="J113" s="12">
        <v>77.900000000000006</v>
      </c>
      <c r="K113" s="13">
        <v>0</v>
      </c>
      <c r="L113" s="12">
        <v>61.72</v>
      </c>
      <c r="M113" s="14">
        <f>ROUND(tblSprzedaz[[#This Row],[Ilość]]*tblSprzedaz[[#This Row],[Cena netto jednostkowa]]*(1-tblSprzedaz[[#This Row],[Rabat %]]),2)</f>
        <v>77.900000000000006</v>
      </c>
      <c r="N113" s="14">
        <f>ROUND(tblSprzedaz[[#This Row],[Ilość]]*tblSprzedaz[[#This Row],[Koszt jednostkowy netto]],2)</f>
        <v>61.72</v>
      </c>
      <c r="O113" s="14">
        <f>tblSprzedaz[[#This Row],[Przychód netto]]-tblSprzedaz[[#This Row],[Koszt całkowity netto]]</f>
        <v>16.180000000000007</v>
      </c>
      <c r="P113" s="15">
        <f>IFERROR(tblSprzedaz[[#This Row],[Marża kwotowa]]/tblSprzedaz[[#This Row],[Przychód netto]],0)</f>
        <v>0.20770218228498083</v>
      </c>
      <c r="Q113" s="16">
        <f>YEAR(tblSprzedaz[[#This Row],[Data]])</f>
        <v>2025</v>
      </c>
      <c r="R113" s="16">
        <f>MONTH(tblSprzedaz[[#This Row],[Data]])</f>
        <v>2</v>
      </c>
      <c r="S113" s="9" t="str">
        <f>YEAR(tblSprzedaz[[#This Row],[Data]])&amp;"-"&amp;RIGHT("0"&amp;MONTH(tblSprzedaz[[#This Row],[Data]]),2)</f>
        <v>2025-02</v>
      </c>
    </row>
    <row r="114" spans="1:19" x14ac:dyDescent="0.25">
      <c r="A114" s="7" t="s">
        <v>395</v>
      </c>
      <c r="B114" s="10">
        <v>45691</v>
      </c>
      <c r="C114" s="7" t="s">
        <v>396</v>
      </c>
      <c r="D114" s="8" t="s">
        <v>150</v>
      </c>
      <c r="E114" s="8" t="s">
        <v>72</v>
      </c>
      <c r="F114" s="8" t="s">
        <v>37</v>
      </c>
      <c r="G114" s="8" t="s">
        <v>32</v>
      </c>
      <c r="H114" s="8" t="s">
        <v>42</v>
      </c>
      <c r="I114" s="11">
        <v>7</v>
      </c>
      <c r="J114" s="12">
        <v>94.05</v>
      </c>
      <c r="K114" s="13">
        <v>0</v>
      </c>
      <c r="L114" s="12">
        <v>75.06</v>
      </c>
      <c r="M114" s="14">
        <f>ROUND(tblSprzedaz[[#This Row],[Ilość]]*tblSprzedaz[[#This Row],[Cena netto jednostkowa]]*(1-tblSprzedaz[[#This Row],[Rabat %]]),2)</f>
        <v>658.35</v>
      </c>
      <c r="N114" s="14">
        <f>ROUND(tblSprzedaz[[#This Row],[Ilość]]*tblSprzedaz[[#This Row],[Koszt jednostkowy netto]],2)</f>
        <v>525.41999999999996</v>
      </c>
      <c r="O114" s="14">
        <f>tblSprzedaz[[#This Row],[Przychód netto]]-tblSprzedaz[[#This Row],[Koszt całkowity netto]]</f>
        <v>132.93000000000006</v>
      </c>
      <c r="P114" s="15">
        <f>IFERROR(tblSprzedaz[[#This Row],[Marża kwotowa]]/tblSprzedaz[[#This Row],[Przychód netto]],0)</f>
        <v>0.20191387559808621</v>
      </c>
      <c r="Q114" s="16">
        <f>YEAR(tblSprzedaz[[#This Row],[Data]])</f>
        <v>2025</v>
      </c>
      <c r="R114" s="16">
        <f>MONTH(tblSprzedaz[[#This Row],[Data]])</f>
        <v>2</v>
      </c>
      <c r="S114" s="9" t="str">
        <f>YEAR(tblSprzedaz[[#This Row],[Data]])&amp;"-"&amp;RIGHT("0"&amp;MONTH(tblSprzedaz[[#This Row],[Data]]),2)</f>
        <v>2025-02</v>
      </c>
    </row>
    <row r="115" spans="1:19" x14ac:dyDescent="0.25">
      <c r="A115" s="7" t="s">
        <v>397</v>
      </c>
      <c r="B115" s="10">
        <v>45691</v>
      </c>
      <c r="C115" s="7" t="s">
        <v>398</v>
      </c>
      <c r="D115" s="8" t="s">
        <v>127</v>
      </c>
      <c r="E115" s="8" t="s">
        <v>55</v>
      </c>
      <c r="F115" s="8" t="s">
        <v>31</v>
      </c>
      <c r="G115" s="8" t="s">
        <v>28</v>
      </c>
      <c r="H115" s="8" t="s">
        <v>38</v>
      </c>
      <c r="I115" s="11">
        <v>12</v>
      </c>
      <c r="J115" s="12">
        <v>243.6</v>
      </c>
      <c r="K115" s="13">
        <v>0</v>
      </c>
      <c r="L115" s="12">
        <v>149.75</v>
      </c>
      <c r="M115" s="14">
        <f>ROUND(tblSprzedaz[[#This Row],[Ilość]]*tblSprzedaz[[#This Row],[Cena netto jednostkowa]]*(1-tblSprzedaz[[#This Row],[Rabat %]]),2)</f>
        <v>2923.2</v>
      </c>
      <c r="N115" s="14">
        <f>ROUND(tblSprzedaz[[#This Row],[Ilość]]*tblSprzedaz[[#This Row],[Koszt jednostkowy netto]],2)</f>
        <v>1797</v>
      </c>
      <c r="O115" s="14">
        <f>tblSprzedaz[[#This Row],[Przychód netto]]-tblSprzedaz[[#This Row],[Koszt całkowity netto]]</f>
        <v>1126.1999999999998</v>
      </c>
      <c r="P115" s="15">
        <f>IFERROR(tblSprzedaz[[#This Row],[Marża kwotowa]]/tblSprzedaz[[#This Row],[Przychód netto]],0)</f>
        <v>0.38526272577996712</v>
      </c>
      <c r="Q115" s="16">
        <f>YEAR(tblSprzedaz[[#This Row],[Data]])</f>
        <v>2025</v>
      </c>
      <c r="R115" s="16">
        <f>MONTH(tblSprzedaz[[#This Row],[Data]])</f>
        <v>2</v>
      </c>
      <c r="S115" s="9" t="str">
        <f>YEAR(tblSprzedaz[[#This Row],[Data]])&amp;"-"&amp;RIGHT("0"&amp;MONTH(tblSprzedaz[[#This Row],[Data]]),2)</f>
        <v>2025-02</v>
      </c>
    </row>
    <row r="116" spans="1:19" x14ac:dyDescent="0.25">
      <c r="A116" s="7" t="s">
        <v>399</v>
      </c>
      <c r="B116" s="10">
        <v>45692</v>
      </c>
      <c r="C116" s="7" t="s">
        <v>400</v>
      </c>
      <c r="D116" s="8" t="s">
        <v>121</v>
      </c>
      <c r="E116" s="8" t="s">
        <v>59</v>
      </c>
      <c r="F116" s="8" t="s">
        <v>31</v>
      </c>
      <c r="G116" s="8" t="s">
        <v>34</v>
      </c>
      <c r="H116" s="8" t="s">
        <v>44</v>
      </c>
      <c r="I116" s="11">
        <v>7</v>
      </c>
      <c r="J116" s="12">
        <v>172.2</v>
      </c>
      <c r="K116" s="13">
        <v>0.05</v>
      </c>
      <c r="L116" s="12">
        <v>110.34</v>
      </c>
      <c r="M116" s="14">
        <f>ROUND(tblSprzedaz[[#This Row],[Ilość]]*tblSprzedaz[[#This Row],[Cena netto jednostkowa]]*(1-tblSprzedaz[[#This Row],[Rabat %]]),2)</f>
        <v>1145.1300000000001</v>
      </c>
      <c r="N116" s="14">
        <f>ROUND(tblSprzedaz[[#This Row],[Ilość]]*tblSprzedaz[[#This Row],[Koszt jednostkowy netto]],2)</f>
        <v>772.38</v>
      </c>
      <c r="O116" s="14">
        <f>tblSprzedaz[[#This Row],[Przychód netto]]-tblSprzedaz[[#This Row],[Koszt całkowity netto]]</f>
        <v>372.75000000000011</v>
      </c>
      <c r="P116" s="15">
        <f>IFERROR(tblSprzedaz[[#This Row],[Marża kwotowa]]/tblSprzedaz[[#This Row],[Przychód netto]],0)</f>
        <v>0.32550889418668627</v>
      </c>
      <c r="Q116" s="16">
        <f>YEAR(tblSprzedaz[[#This Row],[Data]])</f>
        <v>2025</v>
      </c>
      <c r="R116" s="16">
        <f>MONTH(tblSprzedaz[[#This Row],[Data]])</f>
        <v>2</v>
      </c>
      <c r="S116" s="9" t="str">
        <f>YEAR(tblSprzedaz[[#This Row],[Data]])&amp;"-"&amp;RIGHT("0"&amp;MONTH(tblSprzedaz[[#This Row],[Data]]),2)</f>
        <v>2025-02</v>
      </c>
    </row>
    <row r="117" spans="1:19" x14ac:dyDescent="0.25">
      <c r="A117" s="7" t="s">
        <v>401</v>
      </c>
      <c r="B117" s="10">
        <v>45692</v>
      </c>
      <c r="C117" s="7" t="s">
        <v>402</v>
      </c>
      <c r="D117" s="8" t="s">
        <v>140</v>
      </c>
      <c r="E117" s="8" t="s">
        <v>56</v>
      </c>
      <c r="F117" s="8" t="s">
        <v>31</v>
      </c>
      <c r="G117" s="8" t="s">
        <v>28</v>
      </c>
      <c r="H117" s="8" t="s">
        <v>39</v>
      </c>
      <c r="I117" s="11">
        <v>6</v>
      </c>
      <c r="J117" s="12">
        <v>279.3</v>
      </c>
      <c r="K117" s="13">
        <v>0.15</v>
      </c>
      <c r="L117" s="12">
        <v>177.26</v>
      </c>
      <c r="M117" s="14">
        <f>ROUND(tblSprzedaz[[#This Row],[Ilość]]*tblSprzedaz[[#This Row],[Cena netto jednostkowa]]*(1-tblSprzedaz[[#This Row],[Rabat %]]),2)</f>
        <v>1424.43</v>
      </c>
      <c r="N117" s="14">
        <f>ROUND(tblSprzedaz[[#This Row],[Ilość]]*tblSprzedaz[[#This Row],[Koszt jednostkowy netto]],2)</f>
        <v>1063.56</v>
      </c>
      <c r="O117" s="14">
        <f>tblSprzedaz[[#This Row],[Przychód netto]]-tblSprzedaz[[#This Row],[Koszt całkowity netto]]</f>
        <v>360.87000000000012</v>
      </c>
      <c r="P117" s="15">
        <f>IFERROR(tblSprzedaz[[#This Row],[Marża kwotowa]]/tblSprzedaz[[#This Row],[Przychód netto]],0)</f>
        <v>0.25334344264021408</v>
      </c>
      <c r="Q117" s="16">
        <f>YEAR(tblSprzedaz[[#This Row],[Data]])</f>
        <v>2025</v>
      </c>
      <c r="R117" s="16">
        <f>MONTH(tblSprzedaz[[#This Row],[Data]])</f>
        <v>2</v>
      </c>
      <c r="S117" s="9" t="str">
        <f>YEAR(tblSprzedaz[[#This Row],[Data]])&amp;"-"&amp;RIGHT("0"&amp;MONTH(tblSprzedaz[[#This Row],[Data]]),2)</f>
        <v>2025-02</v>
      </c>
    </row>
    <row r="118" spans="1:19" x14ac:dyDescent="0.25">
      <c r="A118" s="7" t="s">
        <v>403</v>
      </c>
      <c r="B118" s="10">
        <v>45692</v>
      </c>
      <c r="C118" s="7" t="s">
        <v>404</v>
      </c>
      <c r="D118" s="8" t="s">
        <v>103</v>
      </c>
      <c r="E118" s="8" t="s">
        <v>77</v>
      </c>
      <c r="F118" s="8" t="s">
        <v>37</v>
      </c>
      <c r="G118" s="8" t="s">
        <v>36</v>
      </c>
      <c r="H118" s="8" t="s">
        <v>46</v>
      </c>
      <c r="I118" s="11">
        <v>9</v>
      </c>
      <c r="J118" s="12">
        <v>77.900000000000006</v>
      </c>
      <c r="K118" s="13">
        <v>0</v>
      </c>
      <c r="L118" s="12">
        <v>57.8</v>
      </c>
      <c r="M118" s="14">
        <f>ROUND(tblSprzedaz[[#This Row],[Ilość]]*tblSprzedaz[[#This Row],[Cena netto jednostkowa]]*(1-tblSprzedaz[[#This Row],[Rabat %]]),2)</f>
        <v>701.1</v>
      </c>
      <c r="N118" s="14">
        <f>ROUND(tblSprzedaz[[#This Row],[Ilość]]*tblSprzedaz[[#This Row],[Koszt jednostkowy netto]],2)</f>
        <v>520.20000000000005</v>
      </c>
      <c r="O118" s="14">
        <f>tblSprzedaz[[#This Row],[Przychód netto]]-tblSprzedaz[[#This Row],[Koszt całkowity netto]]</f>
        <v>180.89999999999998</v>
      </c>
      <c r="P118" s="15">
        <f>IFERROR(tblSprzedaz[[#This Row],[Marża kwotowa]]/tblSprzedaz[[#This Row],[Przychód netto]],0)</f>
        <v>0.2580231065468549</v>
      </c>
      <c r="Q118" s="16">
        <f>YEAR(tblSprzedaz[[#This Row],[Data]])</f>
        <v>2025</v>
      </c>
      <c r="R118" s="16">
        <f>MONTH(tblSprzedaz[[#This Row],[Data]])</f>
        <v>2</v>
      </c>
      <c r="S118" s="9" t="str">
        <f>YEAR(tblSprzedaz[[#This Row],[Data]])&amp;"-"&amp;RIGHT("0"&amp;MONTH(tblSprzedaz[[#This Row],[Data]]),2)</f>
        <v>2025-02</v>
      </c>
    </row>
    <row r="119" spans="1:19" x14ac:dyDescent="0.25">
      <c r="A119" s="7" t="s">
        <v>405</v>
      </c>
      <c r="B119" s="10">
        <v>45692</v>
      </c>
      <c r="C119" s="7" t="s">
        <v>406</v>
      </c>
      <c r="D119" s="8" t="s">
        <v>96</v>
      </c>
      <c r="E119" s="8" t="s">
        <v>52</v>
      </c>
      <c r="F119" s="8" t="s">
        <v>29</v>
      </c>
      <c r="G119" s="8" t="s">
        <v>28</v>
      </c>
      <c r="H119" s="8" t="s">
        <v>38</v>
      </c>
      <c r="I119" s="11">
        <v>13</v>
      </c>
      <c r="J119" s="12">
        <v>56.78</v>
      </c>
      <c r="K119" s="13">
        <v>0.05</v>
      </c>
      <c r="L119" s="12">
        <v>34.090000000000003</v>
      </c>
      <c r="M119" s="14">
        <f>ROUND(tblSprzedaz[[#This Row],[Ilość]]*tblSprzedaz[[#This Row],[Cena netto jednostkowa]]*(1-tblSprzedaz[[#This Row],[Rabat %]]),2)</f>
        <v>701.23</v>
      </c>
      <c r="N119" s="14">
        <f>ROUND(tblSprzedaz[[#This Row],[Ilość]]*tblSprzedaz[[#This Row],[Koszt jednostkowy netto]],2)</f>
        <v>443.17</v>
      </c>
      <c r="O119" s="14">
        <f>tblSprzedaz[[#This Row],[Przychód netto]]-tblSprzedaz[[#This Row],[Koszt całkowity netto]]</f>
        <v>258.06</v>
      </c>
      <c r="P119" s="15">
        <f>IFERROR(tblSprzedaz[[#This Row],[Marża kwotowa]]/tblSprzedaz[[#This Row],[Przychód netto]],0)</f>
        <v>0.3680104958430187</v>
      </c>
      <c r="Q119" s="16">
        <f>YEAR(tblSprzedaz[[#This Row],[Data]])</f>
        <v>2025</v>
      </c>
      <c r="R119" s="16">
        <f>MONTH(tblSprzedaz[[#This Row],[Data]])</f>
        <v>2</v>
      </c>
      <c r="S119" s="9" t="str">
        <f>YEAR(tblSprzedaz[[#This Row],[Data]])&amp;"-"&amp;RIGHT("0"&amp;MONTH(tblSprzedaz[[#This Row],[Data]]),2)</f>
        <v>2025-02</v>
      </c>
    </row>
    <row r="120" spans="1:19" x14ac:dyDescent="0.25">
      <c r="A120" s="7" t="s">
        <v>407</v>
      </c>
      <c r="B120" s="10">
        <v>45693</v>
      </c>
      <c r="C120" s="7" t="s">
        <v>408</v>
      </c>
      <c r="D120" s="8" t="s">
        <v>133</v>
      </c>
      <c r="E120" s="8" t="s">
        <v>56</v>
      </c>
      <c r="F120" s="8" t="s">
        <v>31</v>
      </c>
      <c r="G120" s="8" t="s">
        <v>36</v>
      </c>
      <c r="H120" s="8" t="s">
        <v>47</v>
      </c>
      <c r="I120" s="11">
        <v>13</v>
      </c>
      <c r="J120" s="12">
        <v>279.3</v>
      </c>
      <c r="K120" s="13">
        <v>0.1</v>
      </c>
      <c r="L120" s="12">
        <v>173.35</v>
      </c>
      <c r="M120" s="14">
        <f>ROUND(tblSprzedaz[[#This Row],[Ilość]]*tblSprzedaz[[#This Row],[Cena netto jednostkowa]]*(1-tblSprzedaz[[#This Row],[Rabat %]]),2)</f>
        <v>3267.81</v>
      </c>
      <c r="N120" s="14">
        <f>ROUND(tblSprzedaz[[#This Row],[Ilość]]*tblSprzedaz[[#This Row],[Koszt jednostkowy netto]],2)</f>
        <v>2253.5500000000002</v>
      </c>
      <c r="O120" s="14">
        <f>tblSprzedaz[[#This Row],[Przychód netto]]-tblSprzedaz[[#This Row],[Koszt całkowity netto]]</f>
        <v>1014.2599999999998</v>
      </c>
      <c r="P120" s="15">
        <f>IFERROR(tblSprzedaz[[#This Row],[Marża kwotowa]]/tblSprzedaz[[#This Row],[Przychód netto]],0)</f>
        <v>0.31037912240919752</v>
      </c>
      <c r="Q120" s="16">
        <f>YEAR(tblSprzedaz[[#This Row],[Data]])</f>
        <v>2025</v>
      </c>
      <c r="R120" s="16">
        <f>MONTH(tblSprzedaz[[#This Row],[Data]])</f>
        <v>2</v>
      </c>
      <c r="S120" s="9" t="str">
        <f>YEAR(tblSprzedaz[[#This Row],[Data]])&amp;"-"&amp;RIGHT("0"&amp;MONTH(tblSprzedaz[[#This Row],[Data]]),2)</f>
        <v>2025-02</v>
      </c>
    </row>
    <row r="121" spans="1:19" x14ac:dyDescent="0.25">
      <c r="A121" s="7" t="s">
        <v>409</v>
      </c>
      <c r="B121" s="10">
        <v>45693</v>
      </c>
      <c r="C121" s="7" t="s">
        <v>410</v>
      </c>
      <c r="D121" s="8" t="s">
        <v>98</v>
      </c>
      <c r="E121" s="8" t="s">
        <v>56</v>
      </c>
      <c r="F121" s="8" t="s">
        <v>31</v>
      </c>
      <c r="G121" s="8" t="s">
        <v>32</v>
      </c>
      <c r="H121" s="8" t="s">
        <v>42</v>
      </c>
      <c r="I121" s="11">
        <v>9</v>
      </c>
      <c r="J121" s="12">
        <v>279.3</v>
      </c>
      <c r="K121" s="13">
        <v>0</v>
      </c>
      <c r="L121" s="12">
        <v>166.32</v>
      </c>
      <c r="M121" s="14">
        <f>ROUND(tblSprzedaz[[#This Row],[Ilość]]*tblSprzedaz[[#This Row],[Cena netto jednostkowa]]*(1-tblSprzedaz[[#This Row],[Rabat %]]),2)</f>
        <v>2513.6999999999998</v>
      </c>
      <c r="N121" s="14">
        <f>ROUND(tblSprzedaz[[#This Row],[Ilość]]*tblSprzedaz[[#This Row],[Koszt jednostkowy netto]],2)</f>
        <v>1496.88</v>
      </c>
      <c r="O121" s="14">
        <f>tblSprzedaz[[#This Row],[Przychód netto]]-tblSprzedaz[[#This Row],[Koszt całkowity netto]]</f>
        <v>1016.8199999999997</v>
      </c>
      <c r="P121" s="15">
        <f>IFERROR(tblSprzedaz[[#This Row],[Marża kwotowa]]/tblSprzedaz[[#This Row],[Przychód netto]],0)</f>
        <v>0.40451127819548865</v>
      </c>
      <c r="Q121" s="16">
        <f>YEAR(tblSprzedaz[[#This Row],[Data]])</f>
        <v>2025</v>
      </c>
      <c r="R121" s="16">
        <f>MONTH(tblSprzedaz[[#This Row],[Data]])</f>
        <v>2</v>
      </c>
      <c r="S121" s="9" t="str">
        <f>YEAR(tblSprzedaz[[#This Row],[Data]])&amp;"-"&amp;RIGHT("0"&amp;MONTH(tblSprzedaz[[#This Row],[Data]]),2)</f>
        <v>2025-02</v>
      </c>
    </row>
    <row r="122" spans="1:19" x14ac:dyDescent="0.25">
      <c r="A122" s="7" t="s">
        <v>411</v>
      </c>
      <c r="B122" s="10">
        <v>45693</v>
      </c>
      <c r="C122" s="7" t="s">
        <v>412</v>
      </c>
      <c r="D122" s="8" t="s">
        <v>128</v>
      </c>
      <c r="E122" s="8" t="s">
        <v>59</v>
      </c>
      <c r="F122" s="8" t="s">
        <v>31</v>
      </c>
      <c r="G122" s="8" t="s">
        <v>36</v>
      </c>
      <c r="H122" s="8" t="s">
        <v>46</v>
      </c>
      <c r="I122" s="11">
        <v>3</v>
      </c>
      <c r="J122" s="12">
        <v>172.2</v>
      </c>
      <c r="K122" s="13">
        <v>0.15</v>
      </c>
      <c r="L122" s="12">
        <v>106.46</v>
      </c>
      <c r="M122" s="14">
        <f>ROUND(tblSprzedaz[[#This Row],[Ilość]]*tblSprzedaz[[#This Row],[Cena netto jednostkowa]]*(1-tblSprzedaz[[#This Row],[Rabat %]]),2)</f>
        <v>439.11</v>
      </c>
      <c r="N122" s="14">
        <f>ROUND(tblSprzedaz[[#This Row],[Ilość]]*tblSprzedaz[[#This Row],[Koszt jednostkowy netto]],2)</f>
        <v>319.38</v>
      </c>
      <c r="O122" s="14">
        <f>tblSprzedaz[[#This Row],[Przychód netto]]-tblSprzedaz[[#This Row],[Koszt całkowity netto]]</f>
        <v>119.73000000000002</v>
      </c>
      <c r="P122" s="15">
        <f>IFERROR(tblSprzedaz[[#This Row],[Marża kwotowa]]/tblSprzedaz[[#This Row],[Przychód netto]],0)</f>
        <v>0.27266516362642623</v>
      </c>
      <c r="Q122" s="16">
        <f>YEAR(tblSprzedaz[[#This Row],[Data]])</f>
        <v>2025</v>
      </c>
      <c r="R122" s="16">
        <f>MONTH(tblSprzedaz[[#This Row],[Data]])</f>
        <v>2</v>
      </c>
      <c r="S122" s="9" t="str">
        <f>YEAR(tblSprzedaz[[#This Row],[Data]])&amp;"-"&amp;RIGHT("0"&amp;MONTH(tblSprzedaz[[#This Row],[Data]]),2)</f>
        <v>2025-02</v>
      </c>
    </row>
    <row r="123" spans="1:19" x14ac:dyDescent="0.25">
      <c r="A123" s="7" t="s">
        <v>413</v>
      </c>
      <c r="B123" s="10">
        <v>45694</v>
      </c>
      <c r="C123" s="7" t="s">
        <v>414</v>
      </c>
      <c r="D123" s="8" t="s">
        <v>122</v>
      </c>
      <c r="E123" s="8" t="s">
        <v>52</v>
      </c>
      <c r="F123" s="8" t="s">
        <v>29</v>
      </c>
      <c r="G123" s="8" t="s">
        <v>34</v>
      </c>
      <c r="H123" s="8" t="s">
        <v>45</v>
      </c>
      <c r="I123" s="11">
        <v>5</v>
      </c>
      <c r="J123" s="12">
        <v>56.78</v>
      </c>
      <c r="K123" s="13">
        <v>0</v>
      </c>
      <c r="L123" s="12">
        <v>34.83</v>
      </c>
      <c r="M123" s="14">
        <f>ROUND(tblSprzedaz[[#This Row],[Ilość]]*tblSprzedaz[[#This Row],[Cena netto jednostkowa]]*(1-tblSprzedaz[[#This Row],[Rabat %]]),2)</f>
        <v>283.89999999999998</v>
      </c>
      <c r="N123" s="14">
        <f>ROUND(tblSprzedaz[[#This Row],[Ilość]]*tblSprzedaz[[#This Row],[Koszt jednostkowy netto]],2)</f>
        <v>174.15</v>
      </c>
      <c r="O123" s="14">
        <f>tblSprzedaz[[#This Row],[Przychód netto]]-tblSprzedaz[[#This Row],[Koszt całkowity netto]]</f>
        <v>109.74999999999997</v>
      </c>
      <c r="P123" s="15">
        <f>IFERROR(tblSprzedaz[[#This Row],[Marża kwotowa]]/tblSprzedaz[[#This Row],[Przychód netto]],0)</f>
        <v>0.38657978161324402</v>
      </c>
      <c r="Q123" s="16">
        <f>YEAR(tblSprzedaz[[#This Row],[Data]])</f>
        <v>2025</v>
      </c>
      <c r="R123" s="16">
        <f>MONTH(tblSprzedaz[[#This Row],[Data]])</f>
        <v>2</v>
      </c>
      <c r="S123" s="9" t="str">
        <f>YEAR(tblSprzedaz[[#This Row],[Data]])&amp;"-"&amp;RIGHT("0"&amp;MONTH(tblSprzedaz[[#This Row],[Data]]),2)</f>
        <v>2025-02</v>
      </c>
    </row>
    <row r="124" spans="1:19" x14ac:dyDescent="0.25">
      <c r="A124" s="7" t="s">
        <v>415</v>
      </c>
      <c r="B124" s="10">
        <v>45694</v>
      </c>
      <c r="C124" s="7" t="s">
        <v>416</v>
      </c>
      <c r="D124" s="8" t="s">
        <v>99</v>
      </c>
      <c r="E124" s="8" t="s">
        <v>70</v>
      </c>
      <c r="F124" s="8" t="s">
        <v>35</v>
      </c>
      <c r="G124" s="8" t="s">
        <v>30</v>
      </c>
      <c r="H124" s="8" t="s">
        <v>41</v>
      </c>
      <c r="I124" s="11">
        <v>4</v>
      </c>
      <c r="J124" s="12">
        <v>113.56</v>
      </c>
      <c r="K124" s="13">
        <v>0.15</v>
      </c>
      <c r="L124" s="12">
        <v>79.45</v>
      </c>
      <c r="M124" s="14">
        <f>ROUND(tblSprzedaz[[#This Row],[Ilość]]*tblSprzedaz[[#This Row],[Cena netto jednostkowa]]*(1-tblSprzedaz[[#This Row],[Rabat %]]),2)</f>
        <v>386.1</v>
      </c>
      <c r="N124" s="14">
        <f>ROUND(tblSprzedaz[[#This Row],[Ilość]]*tblSprzedaz[[#This Row],[Koszt jednostkowy netto]],2)</f>
        <v>317.8</v>
      </c>
      <c r="O124" s="14">
        <f>tblSprzedaz[[#This Row],[Przychód netto]]-tblSprzedaz[[#This Row],[Koszt całkowity netto]]</f>
        <v>68.300000000000011</v>
      </c>
      <c r="P124" s="15">
        <f>IFERROR(tblSprzedaz[[#This Row],[Marża kwotowa]]/tblSprzedaz[[#This Row],[Przychód netto]],0)</f>
        <v>0.17689717689717691</v>
      </c>
      <c r="Q124" s="16">
        <f>YEAR(tblSprzedaz[[#This Row],[Data]])</f>
        <v>2025</v>
      </c>
      <c r="R124" s="16">
        <f>MONTH(tblSprzedaz[[#This Row],[Data]])</f>
        <v>2</v>
      </c>
      <c r="S124" s="9" t="str">
        <f>YEAR(tblSprzedaz[[#This Row],[Data]])&amp;"-"&amp;RIGHT("0"&amp;MONTH(tblSprzedaz[[#This Row],[Data]]),2)</f>
        <v>2025-02</v>
      </c>
    </row>
    <row r="125" spans="1:19" x14ac:dyDescent="0.25">
      <c r="A125" s="7" t="s">
        <v>417</v>
      </c>
      <c r="B125" s="10">
        <v>45694</v>
      </c>
      <c r="C125" s="7" t="s">
        <v>418</v>
      </c>
      <c r="D125" s="8" t="s">
        <v>82</v>
      </c>
      <c r="E125" s="8" t="s">
        <v>56</v>
      </c>
      <c r="F125" s="8" t="s">
        <v>31</v>
      </c>
      <c r="G125" s="8" t="s">
        <v>28</v>
      </c>
      <c r="H125" s="8" t="s">
        <v>39</v>
      </c>
      <c r="I125" s="11">
        <v>15</v>
      </c>
      <c r="J125" s="12">
        <v>279.3</v>
      </c>
      <c r="K125" s="13">
        <v>0</v>
      </c>
      <c r="L125" s="12">
        <v>185.32</v>
      </c>
      <c r="M125" s="14">
        <f>ROUND(tblSprzedaz[[#This Row],[Ilość]]*tblSprzedaz[[#This Row],[Cena netto jednostkowa]]*(1-tblSprzedaz[[#This Row],[Rabat %]]),2)</f>
        <v>4189.5</v>
      </c>
      <c r="N125" s="14">
        <f>ROUND(tblSprzedaz[[#This Row],[Ilość]]*tblSprzedaz[[#This Row],[Koszt jednostkowy netto]],2)</f>
        <v>2779.8</v>
      </c>
      <c r="O125" s="14">
        <f>tblSprzedaz[[#This Row],[Przychód netto]]-tblSprzedaz[[#This Row],[Koszt całkowity netto]]</f>
        <v>1409.6999999999998</v>
      </c>
      <c r="P125" s="15">
        <f>IFERROR(tblSprzedaz[[#This Row],[Marża kwotowa]]/tblSprzedaz[[#This Row],[Przychód netto]],0)</f>
        <v>0.33648406731113495</v>
      </c>
      <c r="Q125" s="16">
        <f>YEAR(tblSprzedaz[[#This Row],[Data]])</f>
        <v>2025</v>
      </c>
      <c r="R125" s="16">
        <f>MONTH(tblSprzedaz[[#This Row],[Data]])</f>
        <v>2</v>
      </c>
      <c r="S125" s="9" t="str">
        <f>YEAR(tblSprzedaz[[#This Row],[Data]])&amp;"-"&amp;RIGHT("0"&amp;MONTH(tblSprzedaz[[#This Row],[Data]]),2)</f>
        <v>2025-02</v>
      </c>
    </row>
    <row r="126" spans="1:19" x14ac:dyDescent="0.25">
      <c r="A126" s="7" t="s">
        <v>419</v>
      </c>
      <c r="B126" s="10">
        <v>45694</v>
      </c>
      <c r="C126" s="7" t="s">
        <v>420</v>
      </c>
      <c r="D126" s="8" t="s">
        <v>108</v>
      </c>
      <c r="E126" s="8" t="s">
        <v>58</v>
      </c>
      <c r="F126" s="8" t="s">
        <v>31</v>
      </c>
      <c r="G126" s="8" t="s">
        <v>32</v>
      </c>
      <c r="H126" s="8" t="s">
        <v>43</v>
      </c>
      <c r="I126" s="11">
        <v>4</v>
      </c>
      <c r="J126" s="12">
        <v>350.7</v>
      </c>
      <c r="K126" s="13">
        <v>0.15</v>
      </c>
      <c r="L126" s="12">
        <v>230.2</v>
      </c>
      <c r="M126" s="14">
        <f>ROUND(tblSprzedaz[[#This Row],[Ilość]]*tblSprzedaz[[#This Row],[Cena netto jednostkowa]]*(1-tblSprzedaz[[#This Row],[Rabat %]]),2)</f>
        <v>1192.3800000000001</v>
      </c>
      <c r="N126" s="14">
        <f>ROUND(tblSprzedaz[[#This Row],[Ilość]]*tblSprzedaz[[#This Row],[Koszt jednostkowy netto]],2)</f>
        <v>920.8</v>
      </c>
      <c r="O126" s="14">
        <f>tblSprzedaz[[#This Row],[Przychód netto]]-tblSprzedaz[[#This Row],[Koszt całkowity netto]]</f>
        <v>271.58000000000015</v>
      </c>
      <c r="P126" s="15">
        <f>IFERROR(tblSprzedaz[[#This Row],[Marża kwotowa]]/tblSprzedaz[[#This Row],[Przychód netto]],0)</f>
        <v>0.22776296147201405</v>
      </c>
      <c r="Q126" s="16">
        <f>YEAR(tblSprzedaz[[#This Row],[Data]])</f>
        <v>2025</v>
      </c>
      <c r="R126" s="16">
        <f>MONTH(tblSprzedaz[[#This Row],[Data]])</f>
        <v>2</v>
      </c>
      <c r="S126" s="9" t="str">
        <f>YEAR(tblSprzedaz[[#This Row],[Data]])&amp;"-"&amp;RIGHT("0"&amp;MONTH(tblSprzedaz[[#This Row],[Data]]),2)</f>
        <v>2025-02</v>
      </c>
    </row>
    <row r="127" spans="1:19" x14ac:dyDescent="0.25">
      <c r="A127" s="7" t="s">
        <v>421</v>
      </c>
      <c r="B127" s="10">
        <v>45694</v>
      </c>
      <c r="C127" s="7" t="s">
        <v>422</v>
      </c>
      <c r="D127" s="8" t="s">
        <v>138</v>
      </c>
      <c r="E127" s="8" t="s">
        <v>71</v>
      </c>
      <c r="F127" s="8" t="s">
        <v>35</v>
      </c>
      <c r="G127" s="8" t="s">
        <v>30</v>
      </c>
      <c r="H127" s="8" t="s">
        <v>40</v>
      </c>
      <c r="I127" s="11">
        <v>17</v>
      </c>
      <c r="J127" s="12">
        <v>55.76</v>
      </c>
      <c r="K127" s="13">
        <v>0</v>
      </c>
      <c r="L127" s="12">
        <v>38.54</v>
      </c>
      <c r="M127" s="14">
        <f>ROUND(tblSprzedaz[[#This Row],[Ilość]]*tblSprzedaz[[#This Row],[Cena netto jednostkowa]]*(1-tblSprzedaz[[#This Row],[Rabat %]]),2)</f>
        <v>947.92</v>
      </c>
      <c r="N127" s="14">
        <f>ROUND(tblSprzedaz[[#This Row],[Ilość]]*tblSprzedaz[[#This Row],[Koszt jednostkowy netto]],2)</f>
        <v>655.17999999999995</v>
      </c>
      <c r="O127" s="14">
        <f>tblSprzedaz[[#This Row],[Przychód netto]]-tblSprzedaz[[#This Row],[Koszt całkowity netto]]</f>
        <v>292.74</v>
      </c>
      <c r="P127" s="15">
        <f>IFERROR(tblSprzedaz[[#This Row],[Marża kwotowa]]/tblSprzedaz[[#This Row],[Przychód netto]],0)</f>
        <v>0.30882352941176472</v>
      </c>
      <c r="Q127" s="16">
        <f>YEAR(tblSprzedaz[[#This Row],[Data]])</f>
        <v>2025</v>
      </c>
      <c r="R127" s="16">
        <f>MONTH(tblSprzedaz[[#This Row],[Data]])</f>
        <v>2</v>
      </c>
      <c r="S127" s="9" t="str">
        <f>YEAR(tblSprzedaz[[#This Row],[Data]])&amp;"-"&amp;RIGHT("0"&amp;MONTH(tblSprzedaz[[#This Row],[Data]]),2)</f>
        <v>2025-02</v>
      </c>
    </row>
    <row r="128" spans="1:19" x14ac:dyDescent="0.25">
      <c r="A128" s="7" t="s">
        <v>423</v>
      </c>
      <c r="B128" s="10">
        <v>45695</v>
      </c>
      <c r="C128" s="7" t="s">
        <v>424</v>
      </c>
      <c r="D128" s="8" t="s">
        <v>114</v>
      </c>
      <c r="E128" s="8" t="s">
        <v>51</v>
      </c>
      <c r="F128" s="8" t="s">
        <v>29</v>
      </c>
      <c r="G128" s="8" t="s">
        <v>36</v>
      </c>
      <c r="H128" s="8" t="s">
        <v>46</v>
      </c>
      <c r="I128" s="11">
        <v>16</v>
      </c>
      <c r="J128" s="12">
        <v>51</v>
      </c>
      <c r="K128" s="13">
        <v>0.05</v>
      </c>
      <c r="L128" s="12">
        <v>30.7</v>
      </c>
      <c r="M128" s="14">
        <f>ROUND(tblSprzedaz[[#This Row],[Ilość]]*tblSprzedaz[[#This Row],[Cena netto jednostkowa]]*(1-tblSprzedaz[[#This Row],[Rabat %]]),2)</f>
        <v>775.2</v>
      </c>
      <c r="N128" s="14">
        <f>ROUND(tblSprzedaz[[#This Row],[Ilość]]*tblSprzedaz[[#This Row],[Koszt jednostkowy netto]],2)</f>
        <v>491.2</v>
      </c>
      <c r="O128" s="14">
        <f>tblSprzedaz[[#This Row],[Przychód netto]]-tblSprzedaz[[#This Row],[Koszt całkowity netto]]</f>
        <v>284.00000000000006</v>
      </c>
      <c r="P128" s="15">
        <f>IFERROR(tblSprzedaz[[#This Row],[Marża kwotowa]]/tblSprzedaz[[#This Row],[Przychód netto]],0)</f>
        <v>0.3663570691434469</v>
      </c>
      <c r="Q128" s="16">
        <f>YEAR(tblSprzedaz[[#This Row],[Data]])</f>
        <v>2025</v>
      </c>
      <c r="R128" s="16">
        <f>MONTH(tblSprzedaz[[#This Row],[Data]])</f>
        <v>2</v>
      </c>
      <c r="S128" s="9" t="str">
        <f>YEAR(tblSprzedaz[[#This Row],[Data]])&amp;"-"&amp;RIGHT("0"&amp;MONTH(tblSprzedaz[[#This Row],[Data]]),2)</f>
        <v>2025-02</v>
      </c>
    </row>
    <row r="129" spans="1:19" x14ac:dyDescent="0.25">
      <c r="A129" s="7" t="s">
        <v>425</v>
      </c>
      <c r="B129" s="10">
        <v>45695</v>
      </c>
      <c r="C129" s="7" t="s">
        <v>426</v>
      </c>
      <c r="D129" s="8" t="s">
        <v>138</v>
      </c>
      <c r="E129" s="8" t="s">
        <v>50</v>
      </c>
      <c r="F129" s="8" t="s">
        <v>29</v>
      </c>
      <c r="G129" s="8" t="s">
        <v>32</v>
      </c>
      <c r="H129" s="8" t="s">
        <v>43</v>
      </c>
      <c r="I129" s="11">
        <v>13</v>
      </c>
      <c r="J129" s="12">
        <v>45.22</v>
      </c>
      <c r="K129" s="13">
        <v>0</v>
      </c>
      <c r="L129" s="12">
        <v>28.14</v>
      </c>
      <c r="M129" s="14">
        <f>ROUND(tblSprzedaz[[#This Row],[Ilość]]*tblSprzedaz[[#This Row],[Cena netto jednostkowa]]*(1-tblSprzedaz[[#This Row],[Rabat %]]),2)</f>
        <v>587.86</v>
      </c>
      <c r="N129" s="14">
        <f>ROUND(tblSprzedaz[[#This Row],[Ilość]]*tblSprzedaz[[#This Row],[Koszt jednostkowy netto]],2)</f>
        <v>365.82</v>
      </c>
      <c r="O129" s="14">
        <f>tblSprzedaz[[#This Row],[Przychód netto]]-tblSprzedaz[[#This Row],[Koszt całkowity netto]]</f>
        <v>222.04000000000002</v>
      </c>
      <c r="P129" s="15">
        <f>IFERROR(tblSprzedaz[[#This Row],[Marża kwotowa]]/tblSprzedaz[[#This Row],[Przychód netto]],0)</f>
        <v>0.37770897832817341</v>
      </c>
      <c r="Q129" s="16">
        <f>YEAR(tblSprzedaz[[#This Row],[Data]])</f>
        <v>2025</v>
      </c>
      <c r="R129" s="16">
        <f>MONTH(tblSprzedaz[[#This Row],[Data]])</f>
        <v>2</v>
      </c>
      <c r="S129" s="9" t="str">
        <f>YEAR(tblSprzedaz[[#This Row],[Data]])&amp;"-"&amp;RIGHT("0"&amp;MONTH(tblSprzedaz[[#This Row],[Data]]),2)</f>
        <v>2025-02</v>
      </c>
    </row>
    <row r="130" spans="1:19" x14ac:dyDescent="0.25">
      <c r="A130" s="7" t="s">
        <v>427</v>
      </c>
      <c r="B130" s="10">
        <v>45695</v>
      </c>
      <c r="C130" s="7" t="s">
        <v>428</v>
      </c>
      <c r="D130" s="8" t="s">
        <v>95</v>
      </c>
      <c r="E130" s="8" t="s">
        <v>54</v>
      </c>
      <c r="F130" s="8" t="s">
        <v>31</v>
      </c>
      <c r="G130" s="8" t="s">
        <v>28</v>
      </c>
      <c r="H130" s="8" t="s">
        <v>38</v>
      </c>
      <c r="I130" s="11">
        <v>7</v>
      </c>
      <c r="J130" s="12">
        <v>207.9</v>
      </c>
      <c r="K130" s="13">
        <v>0.1</v>
      </c>
      <c r="L130" s="12">
        <v>128.9</v>
      </c>
      <c r="M130" s="14">
        <f>ROUND(tblSprzedaz[[#This Row],[Ilość]]*tblSprzedaz[[#This Row],[Cena netto jednostkowa]]*(1-tblSprzedaz[[#This Row],[Rabat %]]),2)</f>
        <v>1309.77</v>
      </c>
      <c r="N130" s="14">
        <f>ROUND(tblSprzedaz[[#This Row],[Ilość]]*tblSprzedaz[[#This Row],[Koszt jednostkowy netto]],2)</f>
        <v>902.3</v>
      </c>
      <c r="O130" s="14">
        <f>tblSprzedaz[[#This Row],[Przychód netto]]-tblSprzedaz[[#This Row],[Koszt całkowity netto]]</f>
        <v>407.47</v>
      </c>
      <c r="P130" s="15">
        <f>IFERROR(tblSprzedaz[[#This Row],[Marża kwotowa]]/tblSprzedaz[[#This Row],[Przychód netto]],0)</f>
        <v>0.31110042221153333</v>
      </c>
      <c r="Q130" s="16">
        <f>YEAR(tblSprzedaz[[#This Row],[Data]])</f>
        <v>2025</v>
      </c>
      <c r="R130" s="16">
        <f>MONTH(tblSprzedaz[[#This Row],[Data]])</f>
        <v>2</v>
      </c>
      <c r="S130" s="9" t="str">
        <f>YEAR(tblSprzedaz[[#This Row],[Data]])&amp;"-"&amp;RIGHT("0"&amp;MONTH(tblSprzedaz[[#This Row],[Data]]),2)</f>
        <v>2025-02</v>
      </c>
    </row>
    <row r="131" spans="1:19" x14ac:dyDescent="0.25">
      <c r="A131" s="7" t="s">
        <v>429</v>
      </c>
      <c r="B131" s="10">
        <v>45695</v>
      </c>
      <c r="C131" s="7" t="s">
        <v>430</v>
      </c>
      <c r="D131" s="8" t="s">
        <v>101</v>
      </c>
      <c r="E131" s="8" t="s">
        <v>74</v>
      </c>
      <c r="F131" s="8" t="s">
        <v>37</v>
      </c>
      <c r="G131" s="8" t="s">
        <v>36</v>
      </c>
      <c r="H131" s="8" t="s">
        <v>46</v>
      </c>
      <c r="I131" s="11">
        <v>8</v>
      </c>
      <c r="J131" s="12">
        <v>126.35</v>
      </c>
      <c r="K131" s="13">
        <v>0.15</v>
      </c>
      <c r="L131" s="12">
        <v>96.25</v>
      </c>
      <c r="M131" s="14">
        <f>ROUND(tblSprzedaz[[#This Row],[Ilość]]*tblSprzedaz[[#This Row],[Cena netto jednostkowa]]*(1-tblSprzedaz[[#This Row],[Rabat %]]),2)</f>
        <v>859.18</v>
      </c>
      <c r="N131" s="14">
        <f>ROUND(tblSprzedaz[[#This Row],[Ilość]]*tblSprzedaz[[#This Row],[Koszt jednostkowy netto]],2)</f>
        <v>770</v>
      </c>
      <c r="O131" s="14">
        <f>tblSprzedaz[[#This Row],[Przychód netto]]-tblSprzedaz[[#This Row],[Koszt całkowity netto]]</f>
        <v>89.17999999999995</v>
      </c>
      <c r="P131" s="15">
        <f>IFERROR(tblSprzedaz[[#This Row],[Marża kwotowa]]/tblSprzedaz[[#This Row],[Przychód netto]],0)</f>
        <v>0.10379664331106399</v>
      </c>
      <c r="Q131" s="16">
        <f>YEAR(tblSprzedaz[[#This Row],[Data]])</f>
        <v>2025</v>
      </c>
      <c r="R131" s="16">
        <f>MONTH(tblSprzedaz[[#This Row],[Data]])</f>
        <v>2</v>
      </c>
      <c r="S131" s="9" t="str">
        <f>YEAR(tblSprzedaz[[#This Row],[Data]])&amp;"-"&amp;RIGHT("0"&amp;MONTH(tblSprzedaz[[#This Row],[Data]]),2)</f>
        <v>2025-02</v>
      </c>
    </row>
    <row r="132" spans="1:19" x14ac:dyDescent="0.25">
      <c r="A132" s="7" t="s">
        <v>431</v>
      </c>
      <c r="B132" s="10">
        <v>45696</v>
      </c>
      <c r="C132" s="7" t="s">
        <v>432</v>
      </c>
      <c r="D132" s="8" t="s">
        <v>92</v>
      </c>
      <c r="E132" s="8" t="s">
        <v>53</v>
      </c>
      <c r="F132" s="8" t="s">
        <v>29</v>
      </c>
      <c r="G132" s="8" t="s">
        <v>28</v>
      </c>
      <c r="H132" s="8" t="s">
        <v>39</v>
      </c>
      <c r="I132" s="11">
        <v>1</v>
      </c>
      <c r="J132" s="12">
        <v>27.88</v>
      </c>
      <c r="K132" s="13">
        <v>0</v>
      </c>
      <c r="L132" s="12">
        <v>16.41</v>
      </c>
      <c r="M132" s="14">
        <f>ROUND(tblSprzedaz[[#This Row],[Ilość]]*tblSprzedaz[[#This Row],[Cena netto jednostkowa]]*(1-tblSprzedaz[[#This Row],[Rabat %]]),2)</f>
        <v>27.88</v>
      </c>
      <c r="N132" s="14">
        <f>ROUND(tblSprzedaz[[#This Row],[Ilość]]*tblSprzedaz[[#This Row],[Koszt jednostkowy netto]],2)</f>
        <v>16.41</v>
      </c>
      <c r="O132" s="14">
        <f>tblSprzedaz[[#This Row],[Przychód netto]]-tblSprzedaz[[#This Row],[Koszt całkowity netto]]</f>
        <v>11.469999999999999</v>
      </c>
      <c r="P132" s="15">
        <f>IFERROR(tblSprzedaz[[#This Row],[Marża kwotowa]]/tblSprzedaz[[#This Row],[Przychód netto]],0)</f>
        <v>0.41140602582496411</v>
      </c>
      <c r="Q132" s="16">
        <f>YEAR(tblSprzedaz[[#This Row],[Data]])</f>
        <v>2025</v>
      </c>
      <c r="R132" s="16">
        <f>MONTH(tblSprzedaz[[#This Row],[Data]])</f>
        <v>2</v>
      </c>
      <c r="S132" s="9" t="str">
        <f>YEAR(tblSprzedaz[[#This Row],[Data]])&amp;"-"&amp;RIGHT("0"&amp;MONTH(tblSprzedaz[[#This Row],[Data]]),2)</f>
        <v>2025-02</v>
      </c>
    </row>
    <row r="133" spans="1:19" x14ac:dyDescent="0.25">
      <c r="A133" s="7" t="s">
        <v>433</v>
      </c>
      <c r="B133" s="10">
        <v>45696</v>
      </c>
      <c r="C133" s="7" t="s">
        <v>434</v>
      </c>
      <c r="D133" s="8" t="s">
        <v>133</v>
      </c>
      <c r="E133" s="8" t="s">
        <v>70</v>
      </c>
      <c r="F133" s="8" t="s">
        <v>35</v>
      </c>
      <c r="G133" s="8" t="s">
        <v>30</v>
      </c>
      <c r="H133" s="8" t="s">
        <v>40</v>
      </c>
      <c r="I133" s="11">
        <v>13</v>
      </c>
      <c r="J133" s="12">
        <v>113.56</v>
      </c>
      <c r="K133" s="13">
        <v>0.1</v>
      </c>
      <c r="L133" s="12">
        <v>79.930000000000007</v>
      </c>
      <c r="M133" s="14">
        <f>ROUND(tblSprzedaz[[#This Row],[Ilość]]*tblSprzedaz[[#This Row],[Cena netto jednostkowa]]*(1-tblSprzedaz[[#This Row],[Rabat %]]),2)</f>
        <v>1328.65</v>
      </c>
      <c r="N133" s="14">
        <f>ROUND(tblSprzedaz[[#This Row],[Ilość]]*tblSprzedaz[[#This Row],[Koszt jednostkowy netto]],2)</f>
        <v>1039.0899999999999</v>
      </c>
      <c r="O133" s="14">
        <f>tblSprzedaz[[#This Row],[Przychód netto]]-tblSprzedaz[[#This Row],[Koszt całkowity netto]]</f>
        <v>289.56000000000017</v>
      </c>
      <c r="P133" s="15">
        <f>IFERROR(tblSprzedaz[[#This Row],[Marża kwotowa]]/tblSprzedaz[[#This Row],[Przychód netto]],0)</f>
        <v>0.21793549843826451</v>
      </c>
      <c r="Q133" s="16">
        <f>YEAR(tblSprzedaz[[#This Row],[Data]])</f>
        <v>2025</v>
      </c>
      <c r="R133" s="16">
        <f>MONTH(tblSprzedaz[[#This Row],[Data]])</f>
        <v>2</v>
      </c>
      <c r="S133" s="9" t="str">
        <f>YEAR(tblSprzedaz[[#This Row],[Data]])&amp;"-"&amp;RIGHT("0"&amp;MONTH(tblSprzedaz[[#This Row],[Data]]),2)</f>
        <v>2025-02</v>
      </c>
    </row>
    <row r="134" spans="1:19" x14ac:dyDescent="0.25">
      <c r="A134" s="7" t="s">
        <v>435</v>
      </c>
      <c r="B134" s="10">
        <v>45697</v>
      </c>
      <c r="C134" s="7" t="s">
        <v>436</v>
      </c>
      <c r="D134" s="8" t="s">
        <v>86</v>
      </c>
      <c r="E134" s="8" t="s">
        <v>51</v>
      </c>
      <c r="F134" s="8" t="s">
        <v>29</v>
      </c>
      <c r="G134" s="8" t="s">
        <v>30</v>
      </c>
      <c r="H134" s="8" t="s">
        <v>40</v>
      </c>
      <c r="I134" s="11">
        <v>2</v>
      </c>
      <c r="J134" s="12">
        <v>51</v>
      </c>
      <c r="K134" s="13">
        <v>0.05</v>
      </c>
      <c r="L134" s="12">
        <v>29.77</v>
      </c>
      <c r="M134" s="14">
        <f>ROUND(tblSprzedaz[[#This Row],[Ilość]]*tblSprzedaz[[#This Row],[Cena netto jednostkowa]]*(1-tblSprzedaz[[#This Row],[Rabat %]]),2)</f>
        <v>96.9</v>
      </c>
      <c r="N134" s="14">
        <f>ROUND(tblSprzedaz[[#This Row],[Ilość]]*tblSprzedaz[[#This Row],[Koszt jednostkowy netto]],2)</f>
        <v>59.54</v>
      </c>
      <c r="O134" s="14">
        <f>tblSprzedaz[[#This Row],[Przychód netto]]-tblSprzedaz[[#This Row],[Koszt całkowity netto]]</f>
        <v>37.360000000000007</v>
      </c>
      <c r="P134" s="15">
        <f>IFERROR(tblSprzedaz[[#This Row],[Marża kwotowa]]/tblSprzedaz[[#This Row],[Przychód netto]],0)</f>
        <v>0.38555211558307539</v>
      </c>
      <c r="Q134" s="16">
        <f>YEAR(tblSprzedaz[[#This Row],[Data]])</f>
        <v>2025</v>
      </c>
      <c r="R134" s="16">
        <f>MONTH(tblSprzedaz[[#This Row],[Data]])</f>
        <v>2</v>
      </c>
      <c r="S134" s="9" t="str">
        <f>YEAR(tblSprzedaz[[#This Row],[Data]])&amp;"-"&amp;RIGHT("0"&amp;MONTH(tblSprzedaz[[#This Row],[Data]]),2)</f>
        <v>2025-02</v>
      </c>
    </row>
    <row r="135" spans="1:19" x14ac:dyDescent="0.25">
      <c r="A135" s="7" t="s">
        <v>437</v>
      </c>
      <c r="B135" s="10">
        <v>45697</v>
      </c>
      <c r="C135" s="7" t="s">
        <v>438</v>
      </c>
      <c r="D135" s="8" t="s">
        <v>83</v>
      </c>
      <c r="E135" s="8" t="s">
        <v>55</v>
      </c>
      <c r="F135" s="8" t="s">
        <v>31</v>
      </c>
      <c r="G135" s="8" t="s">
        <v>34</v>
      </c>
      <c r="H135" s="8" t="s">
        <v>45</v>
      </c>
      <c r="I135" s="11">
        <v>8</v>
      </c>
      <c r="J135" s="12">
        <v>243.6</v>
      </c>
      <c r="K135" s="13">
        <v>0</v>
      </c>
      <c r="L135" s="12">
        <v>155.61000000000001</v>
      </c>
      <c r="M135" s="14">
        <f>ROUND(tblSprzedaz[[#This Row],[Ilość]]*tblSprzedaz[[#This Row],[Cena netto jednostkowa]]*(1-tblSprzedaz[[#This Row],[Rabat %]]),2)</f>
        <v>1948.8</v>
      </c>
      <c r="N135" s="14">
        <f>ROUND(tblSprzedaz[[#This Row],[Ilość]]*tblSprzedaz[[#This Row],[Koszt jednostkowy netto]],2)</f>
        <v>1244.8800000000001</v>
      </c>
      <c r="O135" s="14">
        <f>tblSprzedaz[[#This Row],[Przychód netto]]-tblSprzedaz[[#This Row],[Koszt całkowity netto]]</f>
        <v>703.91999999999985</v>
      </c>
      <c r="P135" s="15">
        <f>IFERROR(tblSprzedaz[[#This Row],[Marża kwotowa]]/tblSprzedaz[[#This Row],[Przychód netto]],0)</f>
        <v>0.36120689655172405</v>
      </c>
      <c r="Q135" s="16">
        <f>YEAR(tblSprzedaz[[#This Row],[Data]])</f>
        <v>2025</v>
      </c>
      <c r="R135" s="16">
        <f>MONTH(tblSprzedaz[[#This Row],[Data]])</f>
        <v>2</v>
      </c>
      <c r="S135" s="9" t="str">
        <f>YEAR(tblSprzedaz[[#This Row],[Data]])&amp;"-"&amp;RIGHT("0"&amp;MONTH(tblSprzedaz[[#This Row],[Data]]),2)</f>
        <v>2025-02</v>
      </c>
    </row>
    <row r="136" spans="1:19" x14ac:dyDescent="0.25">
      <c r="A136" s="7" t="s">
        <v>439</v>
      </c>
      <c r="B136" s="10">
        <v>45698</v>
      </c>
      <c r="C136" s="7" t="s">
        <v>440</v>
      </c>
      <c r="D136" s="8" t="s">
        <v>152</v>
      </c>
      <c r="E136" s="8" t="s">
        <v>52</v>
      </c>
      <c r="F136" s="8" t="s">
        <v>29</v>
      </c>
      <c r="G136" s="8" t="s">
        <v>36</v>
      </c>
      <c r="H136" s="8" t="s">
        <v>46</v>
      </c>
      <c r="I136" s="11">
        <v>6</v>
      </c>
      <c r="J136" s="12">
        <v>56.78</v>
      </c>
      <c r="K136" s="13">
        <v>0.1</v>
      </c>
      <c r="L136" s="12">
        <v>31.77</v>
      </c>
      <c r="M136" s="14">
        <f>ROUND(tblSprzedaz[[#This Row],[Ilość]]*tblSprzedaz[[#This Row],[Cena netto jednostkowa]]*(1-tblSprzedaz[[#This Row],[Rabat %]]),2)</f>
        <v>306.61</v>
      </c>
      <c r="N136" s="14">
        <f>ROUND(tblSprzedaz[[#This Row],[Ilość]]*tblSprzedaz[[#This Row],[Koszt jednostkowy netto]],2)</f>
        <v>190.62</v>
      </c>
      <c r="O136" s="14">
        <f>tblSprzedaz[[#This Row],[Przychód netto]]-tblSprzedaz[[#This Row],[Koszt całkowity netto]]</f>
        <v>115.99000000000001</v>
      </c>
      <c r="P136" s="15">
        <f>IFERROR(tblSprzedaz[[#This Row],[Marża kwotowa]]/tblSprzedaz[[#This Row],[Przychód netto]],0)</f>
        <v>0.37829816379113534</v>
      </c>
      <c r="Q136" s="16">
        <f>YEAR(tblSprzedaz[[#This Row],[Data]])</f>
        <v>2025</v>
      </c>
      <c r="R136" s="16">
        <f>MONTH(tblSprzedaz[[#This Row],[Data]])</f>
        <v>2</v>
      </c>
      <c r="S136" s="9" t="str">
        <f>YEAR(tblSprzedaz[[#This Row],[Data]])&amp;"-"&amp;RIGHT("0"&amp;MONTH(tblSprzedaz[[#This Row],[Data]]),2)</f>
        <v>2025-02</v>
      </c>
    </row>
    <row r="137" spans="1:19" x14ac:dyDescent="0.25">
      <c r="A137" s="7" t="s">
        <v>441</v>
      </c>
      <c r="B137" s="10">
        <v>45698</v>
      </c>
      <c r="C137" s="7" t="s">
        <v>442</v>
      </c>
      <c r="D137" s="8" t="s">
        <v>137</v>
      </c>
      <c r="E137" s="8" t="s">
        <v>76</v>
      </c>
      <c r="F137" s="8" t="s">
        <v>37</v>
      </c>
      <c r="G137" s="8" t="s">
        <v>36</v>
      </c>
      <c r="H137" s="8" t="s">
        <v>46</v>
      </c>
      <c r="I137" s="11">
        <v>1</v>
      </c>
      <c r="J137" s="12">
        <v>158.65</v>
      </c>
      <c r="K137" s="13">
        <v>0.15</v>
      </c>
      <c r="L137" s="12">
        <v>126.53</v>
      </c>
      <c r="M137" s="14">
        <f>ROUND(tblSprzedaz[[#This Row],[Ilość]]*tblSprzedaz[[#This Row],[Cena netto jednostkowa]]*(1-tblSprzedaz[[#This Row],[Rabat %]]),2)</f>
        <v>134.85</v>
      </c>
      <c r="N137" s="14">
        <f>ROUND(tblSprzedaz[[#This Row],[Ilość]]*tblSprzedaz[[#This Row],[Koszt jednostkowy netto]],2)</f>
        <v>126.53</v>
      </c>
      <c r="O137" s="14">
        <f>tblSprzedaz[[#This Row],[Przychód netto]]-tblSprzedaz[[#This Row],[Koszt całkowity netto]]</f>
        <v>8.3199999999999932</v>
      </c>
      <c r="P137" s="15">
        <f>IFERROR(tblSprzedaz[[#This Row],[Marża kwotowa]]/tblSprzedaz[[#This Row],[Przychód netto]],0)</f>
        <v>6.1698183166481228E-2</v>
      </c>
      <c r="Q137" s="16">
        <f>YEAR(tblSprzedaz[[#This Row],[Data]])</f>
        <v>2025</v>
      </c>
      <c r="R137" s="16">
        <f>MONTH(tblSprzedaz[[#This Row],[Data]])</f>
        <v>2</v>
      </c>
      <c r="S137" s="9" t="str">
        <f>YEAR(tblSprzedaz[[#This Row],[Data]])&amp;"-"&amp;RIGHT("0"&amp;MONTH(tblSprzedaz[[#This Row],[Data]]),2)</f>
        <v>2025-02</v>
      </c>
    </row>
    <row r="138" spans="1:19" x14ac:dyDescent="0.25">
      <c r="A138" s="7" t="s">
        <v>443</v>
      </c>
      <c r="B138" s="10">
        <v>45698</v>
      </c>
      <c r="C138" s="7" t="s">
        <v>444</v>
      </c>
      <c r="D138" s="8" t="s">
        <v>141</v>
      </c>
      <c r="E138" s="8" t="s">
        <v>66</v>
      </c>
      <c r="F138" s="8" t="s">
        <v>35</v>
      </c>
      <c r="G138" s="8" t="s">
        <v>36</v>
      </c>
      <c r="H138" s="8" t="s">
        <v>47</v>
      </c>
      <c r="I138" s="11">
        <v>12</v>
      </c>
      <c r="J138" s="12">
        <v>67.319999999999993</v>
      </c>
      <c r="K138" s="13">
        <v>0</v>
      </c>
      <c r="L138" s="12">
        <v>46.62</v>
      </c>
      <c r="M138" s="14">
        <f>ROUND(tblSprzedaz[[#This Row],[Ilość]]*tblSprzedaz[[#This Row],[Cena netto jednostkowa]]*(1-tblSprzedaz[[#This Row],[Rabat %]]),2)</f>
        <v>807.84</v>
      </c>
      <c r="N138" s="14">
        <f>ROUND(tblSprzedaz[[#This Row],[Ilość]]*tblSprzedaz[[#This Row],[Koszt jednostkowy netto]],2)</f>
        <v>559.44000000000005</v>
      </c>
      <c r="O138" s="14">
        <f>tblSprzedaz[[#This Row],[Przychód netto]]-tblSprzedaz[[#This Row],[Koszt całkowity netto]]</f>
        <v>248.39999999999998</v>
      </c>
      <c r="P138" s="15">
        <f>IFERROR(tblSprzedaz[[#This Row],[Marża kwotowa]]/tblSprzedaz[[#This Row],[Przychód netto]],0)</f>
        <v>0.30748663101604273</v>
      </c>
      <c r="Q138" s="16">
        <f>YEAR(tblSprzedaz[[#This Row],[Data]])</f>
        <v>2025</v>
      </c>
      <c r="R138" s="16">
        <f>MONTH(tblSprzedaz[[#This Row],[Data]])</f>
        <v>2</v>
      </c>
      <c r="S138" s="9" t="str">
        <f>YEAR(tblSprzedaz[[#This Row],[Data]])&amp;"-"&amp;RIGHT("0"&amp;MONTH(tblSprzedaz[[#This Row],[Data]]),2)</f>
        <v>2025-02</v>
      </c>
    </row>
    <row r="139" spans="1:19" x14ac:dyDescent="0.25">
      <c r="A139" s="7" t="s">
        <v>445</v>
      </c>
      <c r="B139" s="10">
        <v>45698</v>
      </c>
      <c r="C139" s="7" t="s">
        <v>446</v>
      </c>
      <c r="D139" s="8" t="s">
        <v>101</v>
      </c>
      <c r="E139" s="8" t="s">
        <v>54</v>
      </c>
      <c r="F139" s="8" t="s">
        <v>31</v>
      </c>
      <c r="G139" s="8" t="s">
        <v>34</v>
      </c>
      <c r="H139" s="8" t="s">
        <v>45</v>
      </c>
      <c r="I139" s="11">
        <v>7</v>
      </c>
      <c r="J139" s="12">
        <v>207.9</v>
      </c>
      <c r="K139" s="13">
        <v>0.15</v>
      </c>
      <c r="L139" s="12">
        <v>131.5</v>
      </c>
      <c r="M139" s="14">
        <f>ROUND(tblSprzedaz[[#This Row],[Ilość]]*tblSprzedaz[[#This Row],[Cena netto jednostkowa]]*(1-tblSprzedaz[[#This Row],[Rabat %]]),2)</f>
        <v>1237.01</v>
      </c>
      <c r="N139" s="14">
        <f>ROUND(tblSprzedaz[[#This Row],[Ilość]]*tblSprzedaz[[#This Row],[Koszt jednostkowy netto]],2)</f>
        <v>920.5</v>
      </c>
      <c r="O139" s="14">
        <f>tblSprzedaz[[#This Row],[Przychód netto]]-tblSprzedaz[[#This Row],[Koszt całkowity netto]]</f>
        <v>316.51</v>
      </c>
      <c r="P139" s="15">
        <f>IFERROR(tblSprzedaz[[#This Row],[Marża kwotowa]]/tblSprzedaz[[#This Row],[Przychód netto]],0)</f>
        <v>0.25586696954753801</v>
      </c>
      <c r="Q139" s="16">
        <f>YEAR(tblSprzedaz[[#This Row],[Data]])</f>
        <v>2025</v>
      </c>
      <c r="R139" s="16">
        <f>MONTH(tblSprzedaz[[#This Row],[Data]])</f>
        <v>2</v>
      </c>
      <c r="S139" s="9" t="str">
        <f>YEAR(tblSprzedaz[[#This Row],[Data]])&amp;"-"&amp;RIGHT("0"&amp;MONTH(tblSprzedaz[[#This Row],[Data]]),2)</f>
        <v>2025-02</v>
      </c>
    </row>
    <row r="140" spans="1:19" x14ac:dyDescent="0.25">
      <c r="A140" s="7" t="s">
        <v>447</v>
      </c>
      <c r="B140" s="10">
        <v>45699</v>
      </c>
      <c r="C140" s="7" t="s">
        <v>448</v>
      </c>
      <c r="D140" s="8" t="s">
        <v>103</v>
      </c>
      <c r="E140" s="8" t="s">
        <v>53</v>
      </c>
      <c r="F140" s="8" t="s">
        <v>29</v>
      </c>
      <c r="G140" s="8" t="s">
        <v>32</v>
      </c>
      <c r="H140" s="8" t="s">
        <v>43</v>
      </c>
      <c r="I140" s="11">
        <v>11</v>
      </c>
      <c r="J140" s="12">
        <v>27.88</v>
      </c>
      <c r="K140" s="13">
        <v>0.1</v>
      </c>
      <c r="L140" s="12">
        <v>17.149999999999999</v>
      </c>
      <c r="M140" s="14">
        <f>ROUND(tblSprzedaz[[#This Row],[Ilość]]*tblSprzedaz[[#This Row],[Cena netto jednostkowa]]*(1-tblSprzedaz[[#This Row],[Rabat %]]),2)</f>
        <v>276.01</v>
      </c>
      <c r="N140" s="14">
        <f>ROUND(tblSprzedaz[[#This Row],[Ilość]]*tblSprzedaz[[#This Row],[Koszt jednostkowy netto]],2)</f>
        <v>188.65</v>
      </c>
      <c r="O140" s="14">
        <f>tblSprzedaz[[#This Row],[Przychód netto]]-tblSprzedaz[[#This Row],[Koszt całkowity netto]]</f>
        <v>87.359999999999985</v>
      </c>
      <c r="P140" s="15">
        <f>IFERROR(tblSprzedaz[[#This Row],[Marża kwotowa]]/tblSprzedaz[[#This Row],[Przychód netto]],0)</f>
        <v>0.3165102713669794</v>
      </c>
      <c r="Q140" s="16">
        <f>YEAR(tblSprzedaz[[#This Row],[Data]])</f>
        <v>2025</v>
      </c>
      <c r="R140" s="16">
        <f>MONTH(tblSprzedaz[[#This Row],[Data]])</f>
        <v>2</v>
      </c>
      <c r="S140" s="9" t="str">
        <f>YEAR(tblSprzedaz[[#This Row],[Data]])&amp;"-"&amp;RIGHT("0"&amp;MONTH(tblSprzedaz[[#This Row],[Data]]),2)</f>
        <v>2025-02</v>
      </c>
    </row>
    <row r="141" spans="1:19" x14ac:dyDescent="0.25">
      <c r="A141" s="7" t="s">
        <v>449</v>
      </c>
      <c r="B141" s="10">
        <v>45699</v>
      </c>
      <c r="C141" s="7" t="s">
        <v>450</v>
      </c>
      <c r="D141" s="8" t="s">
        <v>138</v>
      </c>
      <c r="E141" s="8" t="s">
        <v>60</v>
      </c>
      <c r="F141" s="8" t="s">
        <v>33</v>
      </c>
      <c r="G141" s="8" t="s">
        <v>30</v>
      </c>
      <c r="H141" s="8" t="s">
        <v>41</v>
      </c>
      <c r="I141" s="11">
        <v>11</v>
      </c>
      <c r="J141" s="12">
        <v>455.4</v>
      </c>
      <c r="K141" s="13">
        <v>0</v>
      </c>
      <c r="L141" s="12">
        <v>294.06</v>
      </c>
      <c r="M141" s="14">
        <f>ROUND(tblSprzedaz[[#This Row],[Ilość]]*tblSprzedaz[[#This Row],[Cena netto jednostkowa]]*(1-tblSprzedaz[[#This Row],[Rabat %]]),2)</f>
        <v>5009.3999999999996</v>
      </c>
      <c r="N141" s="14">
        <f>ROUND(tblSprzedaz[[#This Row],[Ilość]]*tblSprzedaz[[#This Row],[Koszt jednostkowy netto]],2)</f>
        <v>3234.66</v>
      </c>
      <c r="O141" s="14">
        <f>tblSprzedaz[[#This Row],[Przychód netto]]-tblSprzedaz[[#This Row],[Koszt całkowity netto]]</f>
        <v>1774.7399999999998</v>
      </c>
      <c r="P141" s="15">
        <f>IFERROR(tblSprzedaz[[#This Row],[Marża kwotowa]]/tblSprzedaz[[#This Row],[Przychód netto]],0)</f>
        <v>0.35428194993412382</v>
      </c>
      <c r="Q141" s="16">
        <f>YEAR(tblSprzedaz[[#This Row],[Data]])</f>
        <v>2025</v>
      </c>
      <c r="R141" s="16">
        <f>MONTH(tblSprzedaz[[#This Row],[Data]])</f>
        <v>2</v>
      </c>
      <c r="S141" s="9" t="str">
        <f>YEAR(tblSprzedaz[[#This Row],[Data]])&amp;"-"&amp;RIGHT("0"&amp;MONTH(tblSprzedaz[[#This Row],[Data]]),2)</f>
        <v>2025-02</v>
      </c>
    </row>
    <row r="142" spans="1:19" x14ac:dyDescent="0.25">
      <c r="A142" s="7" t="s">
        <v>451</v>
      </c>
      <c r="B142" s="10">
        <v>45699</v>
      </c>
      <c r="C142" s="7" t="s">
        <v>452</v>
      </c>
      <c r="D142" s="8" t="s">
        <v>102</v>
      </c>
      <c r="E142" s="8" t="s">
        <v>70</v>
      </c>
      <c r="F142" s="8" t="s">
        <v>35</v>
      </c>
      <c r="G142" s="8" t="s">
        <v>36</v>
      </c>
      <c r="H142" s="8" t="s">
        <v>47</v>
      </c>
      <c r="I142" s="11">
        <v>5</v>
      </c>
      <c r="J142" s="12">
        <v>113.56</v>
      </c>
      <c r="K142" s="13">
        <v>0.05</v>
      </c>
      <c r="L142" s="12">
        <v>83.67</v>
      </c>
      <c r="M142" s="14">
        <f>ROUND(tblSprzedaz[[#This Row],[Ilość]]*tblSprzedaz[[#This Row],[Cena netto jednostkowa]]*(1-tblSprzedaz[[#This Row],[Rabat %]]),2)</f>
        <v>539.41</v>
      </c>
      <c r="N142" s="14">
        <f>ROUND(tblSprzedaz[[#This Row],[Ilość]]*tblSprzedaz[[#This Row],[Koszt jednostkowy netto]],2)</f>
        <v>418.35</v>
      </c>
      <c r="O142" s="14">
        <f>tblSprzedaz[[#This Row],[Przychód netto]]-tblSprzedaz[[#This Row],[Koszt całkowity netto]]</f>
        <v>121.05999999999995</v>
      </c>
      <c r="P142" s="15">
        <f>IFERROR(tblSprzedaz[[#This Row],[Marża kwotowa]]/tblSprzedaz[[#This Row],[Przychód netto]],0)</f>
        <v>0.224430396173597</v>
      </c>
      <c r="Q142" s="16">
        <f>YEAR(tblSprzedaz[[#This Row],[Data]])</f>
        <v>2025</v>
      </c>
      <c r="R142" s="16">
        <f>MONTH(tblSprzedaz[[#This Row],[Data]])</f>
        <v>2</v>
      </c>
      <c r="S142" s="9" t="str">
        <f>YEAR(tblSprzedaz[[#This Row],[Data]])&amp;"-"&amp;RIGHT("0"&amp;MONTH(tblSprzedaz[[#This Row],[Data]]),2)</f>
        <v>2025-02</v>
      </c>
    </row>
    <row r="143" spans="1:19" x14ac:dyDescent="0.25">
      <c r="A143" s="7" t="s">
        <v>453</v>
      </c>
      <c r="B143" s="10">
        <v>45699</v>
      </c>
      <c r="C143" s="7" t="s">
        <v>454</v>
      </c>
      <c r="D143" s="8" t="s">
        <v>113</v>
      </c>
      <c r="E143" s="8" t="s">
        <v>67</v>
      </c>
      <c r="F143" s="8" t="s">
        <v>35</v>
      </c>
      <c r="G143" s="8" t="s">
        <v>30</v>
      </c>
      <c r="H143" s="8" t="s">
        <v>41</v>
      </c>
      <c r="I143" s="11">
        <v>12</v>
      </c>
      <c r="J143" s="12">
        <v>78.88</v>
      </c>
      <c r="K143" s="13">
        <v>0.15</v>
      </c>
      <c r="L143" s="12">
        <v>54.57</v>
      </c>
      <c r="M143" s="14">
        <f>ROUND(tblSprzedaz[[#This Row],[Ilość]]*tblSprzedaz[[#This Row],[Cena netto jednostkowa]]*(1-tblSprzedaz[[#This Row],[Rabat %]]),2)</f>
        <v>804.58</v>
      </c>
      <c r="N143" s="14">
        <f>ROUND(tblSprzedaz[[#This Row],[Ilość]]*tblSprzedaz[[#This Row],[Koszt jednostkowy netto]],2)</f>
        <v>654.84</v>
      </c>
      <c r="O143" s="14">
        <f>tblSprzedaz[[#This Row],[Przychód netto]]-tblSprzedaz[[#This Row],[Koszt całkowity netto]]</f>
        <v>149.74</v>
      </c>
      <c r="P143" s="15">
        <f>IFERROR(tblSprzedaz[[#This Row],[Marża kwotowa]]/tblSprzedaz[[#This Row],[Przychód netto]],0)</f>
        <v>0.18610952298093417</v>
      </c>
      <c r="Q143" s="16">
        <f>YEAR(tblSprzedaz[[#This Row],[Data]])</f>
        <v>2025</v>
      </c>
      <c r="R143" s="16">
        <f>MONTH(tblSprzedaz[[#This Row],[Data]])</f>
        <v>2</v>
      </c>
      <c r="S143" s="9" t="str">
        <f>YEAR(tblSprzedaz[[#This Row],[Data]])&amp;"-"&amp;RIGHT("0"&amp;MONTH(tblSprzedaz[[#This Row],[Data]]),2)</f>
        <v>2025-02</v>
      </c>
    </row>
    <row r="144" spans="1:19" x14ac:dyDescent="0.25">
      <c r="A144" s="7" t="s">
        <v>455</v>
      </c>
      <c r="B144" s="10">
        <v>45699</v>
      </c>
      <c r="C144" s="7" t="s">
        <v>456</v>
      </c>
      <c r="D144" s="8" t="s">
        <v>133</v>
      </c>
      <c r="E144" s="8" t="s">
        <v>76</v>
      </c>
      <c r="F144" s="8" t="s">
        <v>37</v>
      </c>
      <c r="G144" s="8" t="s">
        <v>34</v>
      </c>
      <c r="H144" s="8" t="s">
        <v>44</v>
      </c>
      <c r="I144" s="11">
        <v>10</v>
      </c>
      <c r="J144" s="12">
        <v>158.65</v>
      </c>
      <c r="K144" s="13">
        <v>0.15</v>
      </c>
      <c r="L144" s="12">
        <v>124.57</v>
      </c>
      <c r="M144" s="14">
        <f>ROUND(tblSprzedaz[[#This Row],[Ilość]]*tblSprzedaz[[#This Row],[Cena netto jednostkowa]]*(1-tblSprzedaz[[#This Row],[Rabat %]]),2)</f>
        <v>1348.53</v>
      </c>
      <c r="N144" s="14">
        <f>ROUND(tblSprzedaz[[#This Row],[Ilość]]*tblSprzedaz[[#This Row],[Koszt jednostkowy netto]],2)</f>
        <v>1245.7</v>
      </c>
      <c r="O144" s="14">
        <f>tblSprzedaz[[#This Row],[Przychód netto]]-tblSprzedaz[[#This Row],[Koszt całkowity netto]]</f>
        <v>102.82999999999993</v>
      </c>
      <c r="P144" s="15">
        <f>IFERROR(tblSprzedaz[[#This Row],[Marża kwotowa]]/tblSprzedaz[[#This Row],[Przychód netto]],0)</f>
        <v>7.6253401852387367E-2</v>
      </c>
      <c r="Q144" s="16">
        <f>YEAR(tblSprzedaz[[#This Row],[Data]])</f>
        <v>2025</v>
      </c>
      <c r="R144" s="16">
        <f>MONTH(tblSprzedaz[[#This Row],[Data]])</f>
        <v>2</v>
      </c>
      <c r="S144" s="9" t="str">
        <f>YEAR(tblSprzedaz[[#This Row],[Data]])&amp;"-"&amp;RIGHT("0"&amp;MONTH(tblSprzedaz[[#This Row],[Data]]),2)</f>
        <v>2025-02</v>
      </c>
    </row>
    <row r="145" spans="1:19" x14ac:dyDescent="0.25">
      <c r="A145" s="7" t="s">
        <v>457</v>
      </c>
      <c r="B145" s="10">
        <v>45700</v>
      </c>
      <c r="C145" s="7" t="s">
        <v>458</v>
      </c>
      <c r="D145" s="8" t="s">
        <v>116</v>
      </c>
      <c r="E145" s="8" t="s">
        <v>60</v>
      </c>
      <c r="F145" s="8" t="s">
        <v>33</v>
      </c>
      <c r="G145" s="8" t="s">
        <v>30</v>
      </c>
      <c r="H145" s="8" t="s">
        <v>40</v>
      </c>
      <c r="I145" s="11">
        <v>17</v>
      </c>
      <c r="J145" s="12">
        <v>455.4</v>
      </c>
      <c r="K145" s="13">
        <v>0</v>
      </c>
      <c r="L145" s="12">
        <v>310.06</v>
      </c>
      <c r="M145" s="14">
        <f>ROUND(tblSprzedaz[[#This Row],[Ilość]]*tblSprzedaz[[#This Row],[Cena netto jednostkowa]]*(1-tblSprzedaz[[#This Row],[Rabat %]]),2)</f>
        <v>7741.8</v>
      </c>
      <c r="N145" s="14">
        <f>ROUND(tblSprzedaz[[#This Row],[Ilość]]*tblSprzedaz[[#This Row],[Koszt jednostkowy netto]],2)</f>
        <v>5271.02</v>
      </c>
      <c r="O145" s="14">
        <f>tblSprzedaz[[#This Row],[Przychód netto]]-tblSprzedaz[[#This Row],[Koszt całkowity netto]]</f>
        <v>2470.7799999999997</v>
      </c>
      <c r="P145" s="15">
        <f>IFERROR(tblSprzedaz[[#This Row],[Marża kwotowa]]/tblSprzedaz[[#This Row],[Przychód netto]],0)</f>
        <v>0.31914800175669739</v>
      </c>
      <c r="Q145" s="16">
        <f>YEAR(tblSprzedaz[[#This Row],[Data]])</f>
        <v>2025</v>
      </c>
      <c r="R145" s="16">
        <f>MONTH(tblSprzedaz[[#This Row],[Data]])</f>
        <v>2</v>
      </c>
      <c r="S145" s="9" t="str">
        <f>YEAR(tblSprzedaz[[#This Row],[Data]])&amp;"-"&amp;RIGHT("0"&amp;MONTH(tblSprzedaz[[#This Row],[Data]]),2)</f>
        <v>2025-02</v>
      </c>
    </row>
    <row r="146" spans="1:19" x14ac:dyDescent="0.25">
      <c r="A146" s="7" t="s">
        <v>459</v>
      </c>
      <c r="B146" s="10">
        <v>45700</v>
      </c>
      <c r="C146" s="7" t="s">
        <v>460</v>
      </c>
      <c r="D146" s="8" t="s">
        <v>136</v>
      </c>
      <c r="E146" s="8" t="s">
        <v>61</v>
      </c>
      <c r="F146" s="8" t="s">
        <v>33</v>
      </c>
      <c r="G146" s="8" t="s">
        <v>30</v>
      </c>
      <c r="H146" s="8" t="s">
        <v>40</v>
      </c>
      <c r="I146" s="11">
        <v>18</v>
      </c>
      <c r="J146" s="12">
        <v>533.6</v>
      </c>
      <c r="K146" s="13">
        <v>0</v>
      </c>
      <c r="L146" s="12">
        <v>382.73</v>
      </c>
      <c r="M146" s="14">
        <f>ROUND(tblSprzedaz[[#This Row],[Ilość]]*tblSprzedaz[[#This Row],[Cena netto jednostkowa]]*(1-tblSprzedaz[[#This Row],[Rabat %]]),2)</f>
        <v>9604.7999999999993</v>
      </c>
      <c r="N146" s="14">
        <f>ROUND(tblSprzedaz[[#This Row],[Ilość]]*tblSprzedaz[[#This Row],[Koszt jednostkowy netto]],2)</f>
        <v>6889.14</v>
      </c>
      <c r="O146" s="14">
        <f>tblSprzedaz[[#This Row],[Przychód netto]]-tblSprzedaz[[#This Row],[Koszt całkowity netto]]</f>
        <v>2715.6599999999989</v>
      </c>
      <c r="P146" s="15">
        <f>IFERROR(tblSprzedaz[[#This Row],[Marża kwotowa]]/tblSprzedaz[[#This Row],[Przychód netto]],0)</f>
        <v>0.28273988005996992</v>
      </c>
      <c r="Q146" s="16">
        <f>YEAR(tblSprzedaz[[#This Row],[Data]])</f>
        <v>2025</v>
      </c>
      <c r="R146" s="16">
        <f>MONTH(tblSprzedaz[[#This Row],[Data]])</f>
        <v>2</v>
      </c>
      <c r="S146" s="9" t="str">
        <f>YEAR(tblSprzedaz[[#This Row],[Data]])&amp;"-"&amp;RIGHT("0"&amp;MONTH(tblSprzedaz[[#This Row],[Data]]),2)</f>
        <v>2025-02</v>
      </c>
    </row>
    <row r="147" spans="1:19" x14ac:dyDescent="0.25">
      <c r="A147" s="7" t="s">
        <v>461</v>
      </c>
      <c r="B147" s="10">
        <v>45700</v>
      </c>
      <c r="C147" s="7" t="s">
        <v>462</v>
      </c>
      <c r="D147" s="8" t="s">
        <v>85</v>
      </c>
      <c r="E147" s="8" t="s">
        <v>50</v>
      </c>
      <c r="F147" s="8" t="s">
        <v>29</v>
      </c>
      <c r="G147" s="8" t="s">
        <v>28</v>
      </c>
      <c r="H147" s="8" t="s">
        <v>39</v>
      </c>
      <c r="I147" s="11">
        <v>6</v>
      </c>
      <c r="J147" s="12">
        <v>45.22</v>
      </c>
      <c r="K147" s="13">
        <v>0</v>
      </c>
      <c r="L147" s="12">
        <v>28.07</v>
      </c>
      <c r="M147" s="14">
        <f>ROUND(tblSprzedaz[[#This Row],[Ilość]]*tblSprzedaz[[#This Row],[Cena netto jednostkowa]]*(1-tblSprzedaz[[#This Row],[Rabat %]]),2)</f>
        <v>271.32</v>
      </c>
      <c r="N147" s="14">
        <f>ROUND(tblSprzedaz[[#This Row],[Ilość]]*tblSprzedaz[[#This Row],[Koszt jednostkowy netto]],2)</f>
        <v>168.42</v>
      </c>
      <c r="O147" s="14">
        <f>tblSprzedaz[[#This Row],[Przychód netto]]-tblSprzedaz[[#This Row],[Koszt całkowity netto]]</f>
        <v>102.9</v>
      </c>
      <c r="P147" s="15">
        <f>IFERROR(tblSprzedaz[[#This Row],[Marża kwotowa]]/tblSprzedaz[[#This Row],[Przychód netto]],0)</f>
        <v>0.37925696594427249</v>
      </c>
      <c r="Q147" s="16">
        <f>YEAR(tblSprzedaz[[#This Row],[Data]])</f>
        <v>2025</v>
      </c>
      <c r="R147" s="16">
        <f>MONTH(tblSprzedaz[[#This Row],[Data]])</f>
        <v>2</v>
      </c>
      <c r="S147" s="9" t="str">
        <f>YEAR(tblSprzedaz[[#This Row],[Data]])&amp;"-"&amp;RIGHT("0"&amp;MONTH(tblSprzedaz[[#This Row],[Data]]),2)</f>
        <v>2025-02</v>
      </c>
    </row>
    <row r="148" spans="1:19" x14ac:dyDescent="0.25">
      <c r="A148" s="7" t="s">
        <v>463</v>
      </c>
      <c r="B148" s="10">
        <v>45700</v>
      </c>
      <c r="C148" s="7" t="s">
        <v>464</v>
      </c>
      <c r="D148" s="8" t="s">
        <v>123</v>
      </c>
      <c r="E148" s="8" t="s">
        <v>67</v>
      </c>
      <c r="F148" s="8" t="s">
        <v>35</v>
      </c>
      <c r="G148" s="8" t="s">
        <v>34</v>
      </c>
      <c r="H148" s="8" t="s">
        <v>45</v>
      </c>
      <c r="I148" s="11">
        <v>3</v>
      </c>
      <c r="J148" s="12">
        <v>78.88</v>
      </c>
      <c r="K148" s="13">
        <v>0</v>
      </c>
      <c r="L148" s="12">
        <v>56.77</v>
      </c>
      <c r="M148" s="14">
        <f>ROUND(tblSprzedaz[[#This Row],[Ilość]]*tblSprzedaz[[#This Row],[Cena netto jednostkowa]]*(1-tblSprzedaz[[#This Row],[Rabat %]]),2)</f>
        <v>236.64</v>
      </c>
      <c r="N148" s="14">
        <f>ROUND(tblSprzedaz[[#This Row],[Ilość]]*tblSprzedaz[[#This Row],[Koszt jednostkowy netto]],2)</f>
        <v>170.31</v>
      </c>
      <c r="O148" s="14">
        <f>tblSprzedaz[[#This Row],[Przychód netto]]-tblSprzedaz[[#This Row],[Koszt całkowity netto]]</f>
        <v>66.329999999999984</v>
      </c>
      <c r="P148" s="15">
        <f>IFERROR(tblSprzedaz[[#This Row],[Marża kwotowa]]/tblSprzedaz[[#This Row],[Przychód netto]],0)</f>
        <v>0.28029918864097358</v>
      </c>
      <c r="Q148" s="16">
        <f>YEAR(tblSprzedaz[[#This Row],[Data]])</f>
        <v>2025</v>
      </c>
      <c r="R148" s="16">
        <f>MONTH(tblSprzedaz[[#This Row],[Data]])</f>
        <v>2</v>
      </c>
      <c r="S148" s="9" t="str">
        <f>YEAR(tblSprzedaz[[#This Row],[Data]])&amp;"-"&amp;RIGHT("0"&amp;MONTH(tblSprzedaz[[#This Row],[Data]]),2)</f>
        <v>2025-02</v>
      </c>
    </row>
    <row r="149" spans="1:19" x14ac:dyDescent="0.25">
      <c r="A149" s="7" t="s">
        <v>465</v>
      </c>
      <c r="B149" s="10">
        <v>45700</v>
      </c>
      <c r="C149" s="7" t="s">
        <v>466</v>
      </c>
      <c r="D149" s="8" t="s">
        <v>152</v>
      </c>
      <c r="E149" s="8" t="s">
        <v>63</v>
      </c>
      <c r="F149" s="8" t="s">
        <v>33</v>
      </c>
      <c r="G149" s="8" t="s">
        <v>36</v>
      </c>
      <c r="H149" s="8" t="s">
        <v>46</v>
      </c>
      <c r="I149" s="11">
        <v>15</v>
      </c>
      <c r="J149" s="12">
        <v>690</v>
      </c>
      <c r="K149" s="13">
        <v>0</v>
      </c>
      <c r="L149" s="12">
        <v>492.19</v>
      </c>
      <c r="M149" s="14">
        <f>ROUND(tblSprzedaz[[#This Row],[Ilość]]*tblSprzedaz[[#This Row],[Cena netto jednostkowa]]*(1-tblSprzedaz[[#This Row],[Rabat %]]),2)</f>
        <v>10350</v>
      </c>
      <c r="N149" s="14">
        <f>ROUND(tblSprzedaz[[#This Row],[Ilość]]*tblSprzedaz[[#This Row],[Koszt jednostkowy netto]],2)</f>
        <v>7382.85</v>
      </c>
      <c r="O149" s="14">
        <f>tblSprzedaz[[#This Row],[Przychód netto]]-tblSprzedaz[[#This Row],[Koszt całkowity netto]]</f>
        <v>2967.1499999999996</v>
      </c>
      <c r="P149" s="15">
        <f>IFERROR(tblSprzedaz[[#This Row],[Marża kwotowa]]/tblSprzedaz[[#This Row],[Przychód netto]],0)</f>
        <v>0.28668115942028982</v>
      </c>
      <c r="Q149" s="16">
        <f>YEAR(tblSprzedaz[[#This Row],[Data]])</f>
        <v>2025</v>
      </c>
      <c r="R149" s="16">
        <f>MONTH(tblSprzedaz[[#This Row],[Data]])</f>
        <v>2</v>
      </c>
      <c r="S149" s="9" t="str">
        <f>YEAR(tblSprzedaz[[#This Row],[Data]])&amp;"-"&amp;RIGHT("0"&amp;MONTH(tblSprzedaz[[#This Row],[Data]]),2)</f>
        <v>2025-02</v>
      </c>
    </row>
    <row r="150" spans="1:19" x14ac:dyDescent="0.25">
      <c r="A150" s="7" t="s">
        <v>467</v>
      </c>
      <c r="B150" s="10">
        <v>45701</v>
      </c>
      <c r="C150" s="7" t="s">
        <v>468</v>
      </c>
      <c r="D150" s="8" t="s">
        <v>105</v>
      </c>
      <c r="E150" s="8" t="s">
        <v>48</v>
      </c>
      <c r="F150" s="8" t="s">
        <v>29</v>
      </c>
      <c r="G150" s="8" t="s">
        <v>36</v>
      </c>
      <c r="H150" s="8" t="s">
        <v>46</v>
      </c>
      <c r="I150" s="11">
        <v>10</v>
      </c>
      <c r="J150" s="12">
        <v>33.659999999999997</v>
      </c>
      <c r="K150" s="13">
        <v>0</v>
      </c>
      <c r="L150" s="12">
        <v>18.829999999999998</v>
      </c>
      <c r="M150" s="14">
        <f>ROUND(tblSprzedaz[[#This Row],[Ilość]]*tblSprzedaz[[#This Row],[Cena netto jednostkowa]]*(1-tblSprzedaz[[#This Row],[Rabat %]]),2)</f>
        <v>336.6</v>
      </c>
      <c r="N150" s="14">
        <f>ROUND(tblSprzedaz[[#This Row],[Ilość]]*tblSprzedaz[[#This Row],[Koszt jednostkowy netto]],2)</f>
        <v>188.3</v>
      </c>
      <c r="O150" s="14">
        <f>tblSprzedaz[[#This Row],[Przychód netto]]-tblSprzedaz[[#This Row],[Koszt całkowity netto]]</f>
        <v>148.30000000000001</v>
      </c>
      <c r="P150" s="15">
        <f>IFERROR(tblSprzedaz[[#This Row],[Marża kwotowa]]/tblSprzedaz[[#This Row],[Przychód netto]],0)</f>
        <v>0.44058229352347</v>
      </c>
      <c r="Q150" s="16">
        <f>YEAR(tblSprzedaz[[#This Row],[Data]])</f>
        <v>2025</v>
      </c>
      <c r="R150" s="16">
        <f>MONTH(tblSprzedaz[[#This Row],[Data]])</f>
        <v>2</v>
      </c>
      <c r="S150" s="9" t="str">
        <f>YEAR(tblSprzedaz[[#This Row],[Data]])&amp;"-"&amp;RIGHT("0"&amp;MONTH(tblSprzedaz[[#This Row],[Data]]),2)</f>
        <v>2025-02</v>
      </c>
    </row>
    <row r="151" spans="1:19" x14ac:dyDescent="0.25">
      <c r="A151" s="7" t="s">
        <v>469</v>
      </c>
      <c r="B151" s="10">
        <v>45701</v>
      </c>
      <c r="C151" s="7" t="s">
        <v>470</v>
      </c>
      <c r="D151" s="8" t="s">
        <v>82</v>
      </c>
      <c r="E151" s="8" t="s">
        <v>66</v>
      </c>
      <c r="F151" s="8" t="s">
        <v>35</v>
      </c>
      <c r="G151" s="8" t="s">
        <v>30</v>
      </c>
      <c r="H151" s="8" t="s">
        <v>40</v>
      </c>
      <c r="I151" s="11">
        <v>1</v>
      </c>
      <c r="J151" s="12">
        <v>67.319999999999993</v>
      </c>
      <c r="K151" s="13">
        <v>0</v>
      </c>
      <c r="L151" s="12">
        <v>49.79</v>
      </c>
      <c r="M151" s="14">
        <f>ROUND(tblSprzedaz[[#This Row],[Ilość]]*tblSprzedaz[[#This Row],[Cena netto jednostkowa]]*(1-tblSprzedaz[[#This Row],[Rabat %]]),2)</f>
        <v>67.319999999999993</v>
      </c>
      <c r="N151" s="14">
        <f>ROUND(tblSprzedaz[[#This Row],[Ilość]]*tblSprzedaz[[#This Row],[Koszt jednostkowy netto]],2)</f>
        <v>49.79</v>
      </c>
      <c r="O151" s="14">
        <f>tblSprzedaz[[#This Row],[Przychód netto]]-tblSprzedaz[[#This Row],[Koszt całkowity netto]]</f>
        <v>17.529999999999994</v>
      </c>
      <c r="P151" s="15">
        <f>IFERROR(tblSprzedaz[[#This Row],[Marża kwotowa]]/tblSprzedaz[[#This Row],[Przychód netto]],0)</f>
        <v>0.26039809863339269</v>
      </c>
      <c r="Q151" s="16">
        <f>YEAR(tblSprzedaz[[#This Row],[Data]])</f>
        <v>2025</v>
      </c>
      <c r="R151" s="16">
        <f>MONTH(tblSprzedaz[[#This Row],[Data]])</f>
        <v>2</v>
      </c>
      <c r="S151" s="9" t="str">
        <f>YEAR(tblSprzedaz[[#This Row],[Data]])&amp;"-"&amp;RIGHT("0"&amp;MONTH(tblSprzedaz[[#This Row],[Data]]),2)</f>
        <v>2025-02</v>
      </c>
    </row>
    <row r="152" spans="1:19" x14ac:dyDescent="0.25">
      <c r="A152" s="7" t="s">
        <v>471</v>
      </c>
      <c r="B152" s="10">
        <v>45701</v>
      </c>
      <c r="C152" s="7" t="s">
        <v>472</v>
      </c>
      <c r="D152" s="8" t="s">
        <v>90</v>
      </c>
      <c r="E152" s="8" t="s">
        <v>48</v>
      </c>
      <c r="F152" s="8" t="s">
        <v>29</v>
      </c>
      <c r="G152" s="8" t="s">
        <v>30</v>
      </c>
      <c r="H152" s="8" t="s">
        <v>40</v>
      </c>
      <c r="I152" s="11">
        <v>7</v>
      </c>
      <c r="J152" s="12">
        <v>33.659999999999997</v>
      </c>
      <c r="K152" s="13">
        <v>0</v>
      </c>
      <c r="L152" s="12">
        <v>20.43</v>
      </c>
      <c r="M152" s="14">
        <f>ROUND(tblSprzedaz[[#This Row],[Ilość]]*tblSprzedaz[[#This Row],[Cena netto jednostkowa]]*(1-tblSprzedaz[[#This Row],[Rabat %]]),2)</f>
        <v>235.62</v>
      </c>
      <c r="N152" s="14">
        <f>ROUND(tblSprzedaz[[#This Row],[Ilość]]*tblSprzedaz[[#This Row],[Koszt jednostkowy netto]],2)</f>
        <v>143.01</v>
      </c>
      <c r="O152" s="14">
        <f>tblSprzedaz[[#This Row],[Przychód netto]]-tblSprzedaz[[#This Row],[Koszt całkowity netto]]</f>
        <v>92.610000000000014</v>
      </c>
      <c r="P152" s="15">
        <f>IFERROR(tblSprzedaz[[#This Row],[Marża kwotowa]]/tblSprzedaz[[#This Row],[Przychód netto]],0)</f>
        <v>0.39304812834224606</v>
      </c>
      <c r="Q152" s="16">
        <f>YEAR(tblSprzedaz[[#This Row],[Data]])</f>
        <v>2025</v>
      </c>
      <c r="R152" s="16">
        <f>MONTH(tblSprzedaz[[#This Row],[Data]])</f>
        <v>2</v>
      </c>
      <c r="S152" s="9" t="str">
        <f>YEAR(tblSprzedaz[[#This Row],[Data]])&amp;"-"&amp;RIGHT("0"&amp;MONTH(tblSprzedaz[[#This Row],[Data]]),2)</f>
        <v>2025-02</v>
      </c>
    </row>
    <row r="153" spans="1:19" x14ac:dyDescent="0.25">
      <c r="A153" s="7" t="s">
        <v>473</v>
      </c>
      <c r="B153" s="10">
        <v>45701</v>
      </c>
      <c r="C153" s="7" t="s">
        <v>474</v>
      </c>
      <c r="D153" s="8" t="s">
        <v>148</v>
      </c>
      <c r="E153" s="8" t="s">
        <v>62</v>
      </c>
      <c r="F153" s="8" t="s">
        <v>33</v>
      </c>
      <c r="G153" s="8" t="s">
        <v>30</v>
      </c>
      <c r="H153" s="8" t="s">
        <v>41</v>
      </c>
      <c r="I153" s="11">
        <v>1</v>
      </c>
      <c r="J153" s="12">
        <v>611.79999999999995</v>
      </c>
      <c r="K153" s="13">
        <v>0.05</v>
      </c>
      <c r="L153" s="12">
        <v>405.14</v>
      </c>
      <c r="M153" s="14">
        <f>ROUND(tblSprzedaz[[#This Row],[Ilość]]*tblSprzedaz[[#This Row],[Cena netto jednostkowa]]*(1-tblSprzedaz[[#This Row],[Rabat %]]),2)</f>
        <v>581.21</v>
      </c>
      <c r="N153" s="14">
        <f>ROUND(tblSprzedaz[[#This Row],[Ilość]]*tblSprzedaz[[#This Row],[Koszt jednostkowy netto]],2)</f>
        <v>405.14</v>
      </c>
      <c r="O153" s="14">
        <f>tblSprzedaz[[#This Row],[Przychód netto]]-tblSprzedaz[[#This Row],[Koszt całkowity netto]]</f>
        <v>176.07000000000005</v>
      </c>
      <c r="P153" s="15">
        <f>IFERROR(tblSprzedaz[[#This Row],[Marża kwotowa]]/tblSprzedaz[[#This Row],[Przychód netto]],0)</f>
        <v>0.30293697630804706</v>
      </c>
      <c r="Q153" s="16">
        <f>YEAR(tblSprzedaz[[#This Row],[Data]])</f>
        <v>2025</v>
      </c>
      <c r="R153" s="16">
        <f>MONTH(tblSprzedaz[[#This Row],[Data]])</f>
        <v>2</v>
      </c>
      <c r="S153" s="9" t="str">
        <f>YEAR(tblSprzedaz[[#This Row],[Data]])&amp;"-"&amp;RIGHT("0"&amp;MONTH(tblSprzedaz[[#This Row],[Data]]),2)</f>
        <v>2025-02</v>
      </c>
    </row>
    <row r="154" spans="1:19" x14ac:dyDescent="0.25">
      <c r="A154" s="7" t="s">
        <v>475</v>
      </c>
      <c r="B154" s="10">
        <v>45701</v>
      </c>
      <c r="C154" s="7" t="s">
        <v>476</v>
      </c>
      <c r="D154" s="8" t="s">
        <v>121</v>
      </c>
      <c r="E154" s="8" t="s">
        <v>58</v>
      </c>
      <c r="F154" s="8" t="s">
        <v>31</v>
      </c>
      <c r="G154" s="8" t="s">
        <v>28</v>
      </c>
      <c r="H154" s="8" t="s">
        <v>38</v>
      </c>
      <c r="I154" s="11">
        <v>4</v>
      </c>
      <c r="J154" s="12">
        <v>350.7</v>
      </c>
      <c r="K154" s="13">
        <v>0.15</v>
      </c>
      <c r="L154" s="12">
        <v>208.98</v>
      </c>
      <c r="M154" s="14">
        <f>ROUND(tblSprzedaz[[#This Row],[Ilość]]*tblSprzedaz[[#This Row],[Cena netto jednostkowa]]*(1-tblSprzedaz[[#This Row],[Rabat %]]),2)</f>
        <v>1192.3800000000001</v>
      </c>
      <c r="N154" s="14">
        <f>ROUND(tblSprzedaz[[#This Row],[Ilość]]*tblSprzedaz[[#This Row],[Koszt jednostkowy netto]],2)</f>
        <v>835.92</v>
      </c>
      <c r="O154" s="14">
        <f>tblSprzedaz[[#This Row],[Przychód netto]]-tblSprzedaz[[#This Row],[Koszt całkowity netto]]</f>
        <v>356.46000000000015</v>
      </c>
      <c r="P154" s="15">
        <f>IFERROR(tblSprzedaz[[#This Row],[Marża kwotowa]]/tblSprzedaz[[#This Row],[Przychód netto]],0)</f>
        <v>0.29894832184370762</v>
      </c>
      <c r="Q154" s="16">
        <f>YEAR(tblSprzedaz[[#This Row],[Data]])</f>
        <v>2025</v>
      </c>
      <c r="R154" s="16">
        <f>MONTH(tblSprzedaz[[#This Row],[Data]])</f>
        <v>2</v>
      </c>
      <c r="S154" s="9" t="str">
        <f>YEAR(tblSprzedaz[[#This Row],[Data]])&amp;"-"&amp;RIGHT("0"&amp;MONTH(tblSprzedaz[[#This Row],[Data]]),2)</f>
        <v>2025-02</v>
      </c>
    </row>
    <row r="155" spans="1:19" x14ac:dyDescent="0.25">
      <c r="A155" s="7" t="s">
        <v>477</v>
      </c>
      <c r="B155" s="10">
        <v>45702</v>
      </c>
      <c r="C155" s="7" t="s">
        <v>478</v>
      </c>
      <c r="D155" s="8" t="s">
        <v>134</v>
      </c>
      <c r="E155" s="8" t="s">
        <v>62</v>
      </c>
      <c r="F155" s="8" t="s">
        <v>33</v>
      </c>
      <c r="G155" s="8" t="s">
        <v>32</v>
      </c>
      <c r="H155" s="8" t="s">
        <v>42</v>
      </c>
      <c r="I155" s="11">
        <v>18</v>
      </c>
      <c r="J155" s="12">
        <v>611.79999999999995</v>
      </c>
      <c r="K155" s="13">
        <v>0.15</v>
      </c>
      <c r="L155" s="12">
        <v>435.39</v>
      </c>
      <c r="M155" s="14">
        <f>ROUND(tblSprzedaz[[#This Row],[Ilość]]*tblSprzedaz[[#This Row],[Cena netto jednostkowa]]*(1-tblSprzedaz[[#This Row],[Rabat %]]),2)</f>
        <v>9360.5400000000009</v>
      </c>
      <c r="N155" s="14">
        <f>ROUND(tblSprzedaz[[#This Row],[Ilość]]*tblSprzedaz[[#This Row],[Koszt jednostkowy netto]],2)</f>
        <v>7837.02</v>
      </c>
      <c r="O155" s="14">
        <f>tblSprzedaz[[#This Row],[Przychód netto]]-tblSprzedaz[[#This Row],[Koszt całkowity netto]]</f>
        <v>1523.5200000000004</v>
      </c>
      <c r="P155" s="15">
        <f>IFERROR(tblSprzedaz[[#This Row],[Marża kwotowa]]/tblSprzedaz[[#This Row],[Przychód netto]],0)</f>
        <v>0.16275984077841665</v>
      </c>
      <c r="Q155" s="16">
        <f>YEAR(tblSprzedaz[[#This Row],[Data]])</f>
        <v>2025</v>
      </c>
      <c r="R155" s="16">
        <f>MONTH(tblSprzedaz[[#This Row],[Data]])</f>
        <v>2</v>
      </c>
      <c r="S155" s="9" t="str">
        <f>YEAR(tblSprzedaz[[#This Row],[Data]])&amp;"-"&amp;RIGHT("0"&amp;MONTH(tblSprzedaz[[#This Row],[Data]]),2)</f>
        <v>2025-02</v>
      </c>
    </row>
    <row r="156" spans="1:19" x14ac:dyDescent="0.25">
      <c r="A156" s="7" t="s">
        <v>479</v>
      </c>
      <c r="B156" s="10">
        <v>45702</v>
      </c>
      <c r="C156" s="7" t="s">
        <v>480</v>
      </c>
      <c r="D156" s="8" t="s">
        <v>92</v>
      </c>
      <c r="E156" s="8" t="s">
        <v>57</v>
      </c>
      <c r="F156" s="8" t="s">
        <v>31</v>
      </c>
      <c r="G156" s="8" t="s">
        <v>34</v>
      </c>
      <c r="H156" s="8" t="s">
        <v>45</v>
      </c>
      <c r="I156" s="11">
        <v>9</v>
      </c>
      <c r="J156" s="12">
        <v>315</v>
      </c>
      <c r="K156" s="13">
        <v>0.05</v>
      </c>
      <c r="L156" s="12">
        <v>200.23</v>
      </c>
      <c r="M156" s="14">
        <f>ROUND(tblSprzedaz[[#This Row],[Ilość]]*tblSprzedaz[[#This Row],[Cena netto jednostkowa]]*(1-tblSprzedaz[[#This Row],[Rabat %]]),2)</f>
        <v>2693.25</v>
      </c>
      <c r="N156" s="14">
        <f>ROUND(tblSprzedaz[[#This Row],[Ilość]]*tblSprzedaz[[#This Row],[Koszt jednostkowy netto]],2)</f>
        <v>1802.07</v>
      </c>
      <c r="O156" s="14">
        <f>tblSprzedaz[[#This Row],[Przychód netto]]-tblSprzedaz[[#This Row],[Koszt całkowity netto]]</f>
        <v>891.18000000000006</v>
      </c>
      <c r="P156" s="15">
        <f>IFERROR(tblSprzedaz[[#This Row],[Marża kwotowa]]/tblSprzedaz[[#This Row],[Przychód netto]],0)</f>
        <v>0.33089390142021724</v>
      </c>
      <c r="Q156" s="16">
        <f>YEAR(tblSprzedaz[[#This Row],[Data]])</f>
        <v>2025</v>
      </c>
      <c r="R156" s="16">
        <f>MONTH(tblSprzedaz[[#This Row],[Data]])</f>
        <v>2</v>
      </c>
      <c r="S156" s="9" t="str">
        <f>YEAR(tblSprzedaz[[#This Row],[Data]])&amp;"-"&amp;RIGHT("0"&amp;MONTH(tblSprzedaz[[#This Row],[Data]]),2)</f>
        <v>2025-02</v>
      </c>
    </row>
    <row r="157" spans="1:19" x14ac:dyDescent="0.25">
      <c r="A157" s="7" t="s">
        <v>481</v>
      </c>
      <c r="B157" s="10">
        <v>45702</v>
      </c>
      <c r="C157" s="7" t="s">
        <v>482</v>
      </c>
      <c r="D157" s="8" t="s">
        <v>107</v>
      </c>
      <c r="E157" s="8" t="s">
        <v>55</v>
      </c>
      <c r="F157" s="8" t="s">
        <v>31</v>
      </c>
      <c r="G157" s="8" t="s">
        <v>32</v>
      </c>
      <c r="H157" s="8" t="s">
        <v>42</v>
      </c>
      <c r="I157" s="11">
        <v>16</v>
      </c>
      <c r="J157" s="12">
        <v>243.6</v>
      </c>
      <c r="K157" s="13">
        <v>0</v>
      </c>
      <c r="L157" s="12">
        <v>163.31</v>
      </c>
      <c r="M157" s="14">
        <f>ROUND(tblSprzedaz[[#This Row],[Ilość]]*tblSprzedaz[[#This Row],[Cena netto jednostkowa]]*(1-tblSprzedaz[[#This Row],[Rabat %]]),2)</f>
        <v>3897.6</v>
      </c>
      <c r="N157" s="14">
        <f>ROUND(tblSprzedaz[[#This Row],[Ilość]]*tblSprzedaz[[#This Row],[Koszt jednostkowy netto]],2)</f>
        <v>2612.96</v>
      </c>
      <c r="O157" s="14">
        <f>tblSprzedaz[[#This Row],[Przychód netto]]-tblSprzedaz[[#This Row],[Koszt całkowity netto]]</f>
        <v>1284.6399999999999</v>
      </c>
      <c r="P157" s="15">
        <f>IFERROR(tblSprzedaz[[#This Row],[Marża kwotowa]]/tblSprzedaz[[#This Row],[Przychód netto]],0)</f>
        <v>0.32959770114942527</v>
      </c>
      <c r="Q157" s="16">
        <f>YEAR(tblSprzedaz[[#This Row],[Data]])</f>
        <v>2025</v>
      </c>
      <c r="R157" s="16">
        <f>MONTH(tblSprzedaz[[#This Row],[Data]])</f>
        <v>2</v>
      </c>
      <c r="S157" s="9" t="str">
        <f>YEAR(tblSprzedaz[[#This Row],[Data]])&amp;"-"&amp;RIGHT("0"&amp;MONTH(tblSprzedaz[[#This Row],[Data]]),2)</f>
        <v>2025-02</v>
      </c>
    </row>
    <row r="158" spans="1:19" x14ac:dyDescent="0.25">
      <c r="A158" s="7" t="s">
        <v>483</v>
      </c>
      <c r="B158" s="10">
        <v>45702</v>
      </c>
      <c r="C158" s="7" t="s">
        <v>484</v>
      </c>
      <c r="D158" s="8" t="s">
        <v>138</v>
      </c>
      <c r="E158" s="8" t="s">
        <v>49</v>
      </c>
      <c r="F158" s="8" t="s">
        <v>29</v>
      </c>
      <c r="G158" s="8" t="s">
        <v>34</v>
      </c>
      <c r="H158" s="8" t="s">
        <v>44</v>
      </c>
      <c r="I158" s="11">
        <v>9</v>
      </c>
      <c r="J158" s="12">
        <v>39.44</v>
      </c>
      <c r="K158" s="13">
        <v>0.05</v>
      </c>
      <c r="L158" s="12">
        <v>22.69</v>
      </c>
      <c r="M158" s="14">
        <f>ROUND(tblSprzedaz[[#This Row],[Ilość]]*tblSprzedaz[[#This Row],[Cena netto jednostkowa]]*(1-tblSprzedaz[[#This Row],[Rabat %]]),2)</f>
        <v>337.21</v>
      </c>
      <c r="N158" s="14">
        <f>ROUND(tblSprzedaz[[#This Row],[Ilość]]*tblSprzedaz[[#This Row],[Koszt jednostkowy netto]],2)</f>
        <v>204.21</v>
      </c>
      <c r="O158" s="14">
        <f>tblSprzedaz[[#This Row],[Przychód netto]]-tblSprzedaz[[#This Row],[Koszt całkowity netto]]</f>
        <v>132.99999999999997</v>
      </c>
      <c r="P158" s="15">
        <f>IFERROR(tblSprzedaz[[#This Row],[Marża kwotowa]]/tblSprzedaz[[#This Row],[Przychód netto]],0)</f>
        <v>0.39441297707659911</v>
      </c>
      <c r="Q158" s="16">
        <f>YEAR(tblSprzedaz[[#This Row],[Data]])</f>
        <v>2025</v>
      </c>
      <c r="R158" s="16">
        <f>MONTH(tblSprzedaz[[#This Row],[Data]])</f>
        <v>2</v>
      </c>
      <c r="S158" s="9" t="str">
        <f>YEAR(tblSprzedaz[[#This Row],[Data]])&amp;"-"&amp;RIGHT("0"&amp;MONTH(tblSprzedaz[[#This Row],[Data]]),2)</f>
        <v>2025-02</v>
      </c>
    </row>
    <row r="159" spans="1:19" x14ac:dyDescent="0.25">
      <c r="A159" s="7" t="s">
        <v>485</v>
      </c>
      <c r="B159" s="10">
        <v>45702</v>
      </c>
      <c r="C159" s="7" t="s">
        <v>486</v>
      </c>
      <c r="D159" s="8" t="s">
        <v>95</v>
      </c>
      <c r="E159" s="8" t="s">
        <v>61</v>
      </c>
      <c r="F159" s="8" t="s">
        <v>33</v>
      </c>
      <c r="G159" s="8" t="s">
        <v>36</v>
      </c>
      <c r="H159" s="8" t="s">
        <v>46</v>
      </c>
      <c r="I159" s="11">
        <v>10</v>
      </c>
      <c r="J159" s="12">
        <v>533.6</v>
      </c>
      <c r="K159" s="13">
        <v>0.05</v>
      </c>
      <c r="L159" s="12">
        <v>368.98</v>
      </c>
      <c r="M159" s="14">
        <f>ROUND(tblSprzedaz[[#This Row],[Ilość]]*tblSprzedaz[[#This Row],[Cena netto jednostkowa]]*(1-tblSprzedaz[[#This Row],[Rabat %]]),2)</f>
        <v>5069.2</v>
      </c>
      <c r="N159" s="14">
        <f>ROUND(tblSprzedaz[[#This Row],[Ilość]]*tblSprzedaz[[#This Row],[Koszt jednostkowy netto]],2)</f>
        <v>3689.8</v>
      </c>
      <c r="O159" s="14">
        <f>tblSprzedaz[[#This Row],[Przychód netto]]-tblSprzedaz[[#This Row],[Koszt całkowity netto]]</f>
        <v>1379.3999999999996</v>
      </c>
      <c r="P159" s="15">
        <f>IFERROR(tblSprzedaz[[#This Row],[Marża kwotowa]]/tblSprzedaz[[#This Row],[Przychód netto]],0)</f>
        <v>0.27211394302848568</v>
      </c>
      <c r="Q159" s="16">
        <f>YEAR(tblSprzedaz[[#This Row],[Data]])</f>
        <v>2025</v>
      </c>
      <c r="R159" s="16">
        <f>MONTH(tblSprzedaz[[#This Row],[Data]])</f>
        <v>2</v>
      </c>
      <c r="S159" s="9" t="str">
        <f>YEAR(tblSprzedaz[[#This Row],[Data]])&amp;"-"&amp;RIGHT("0"&amp;MONTH(tblSprzedaz[[#This Row],[Data]]),2)</f>
        <v>2025-02</v>
      </c>
    </row>
    <row r="160" spans="1:19" x14ac:dyDescent="0.25">
      <c r="A160" s="7" t="s">
        <v>487</v>
      </c>
      <c r="B160" s="10">
        <v>45703</v>
      </c>
      <c r="C160" s="7" t="s">
        <v>488</v>
      </c>
      <c r="D160" s="8" t="s">
        <v>125</v>
      </c>
      <c r="E160" s="8" t="s">
        <v>71</v>
      </c>
      <c r="F160" s="8" t="s">
        <v>35</v>
      </c>
      <c r="G160" s="8" t="s">
        <v>28</v>
      </c>
      <c r="H160" s="8" t="s">
        <v>38</v>
      </c>
      <c r="I160" s="11">
        <v>14</v>
      </c>
      <c r="J160" s="12">
        <v>55.76</v>
      </c>
      <c r="K160" s="13">
        <v>0.05</v>
      </c>
      <c r="L160" s="12">
        <v>40.340000000000003</v>
      </c>
      <c r="M160" s="14">
        <f>ROUND(tblSprzedaz[[#This Row],[Ilość]]*tblSprzedaz[[#This Row],[Cena netto jednostkowa]]*(1-tblSprzedaz[[#This Row],[Rabat %]]),2)</f>
        <v>741.61</v>
      </c>
      <c r="N160" s="14">
        <f>ROUND(tblSprzedaz[[#This Row],[Ilość]]*tblSprzedaz[[#This Row],[Koszt jednostkowy netto]],2)</f>
        <v>564.76</v>
      </c>
      <c r="O160" s="14">
        <f>tblSprzedaz[[#This Row],[Przychód netto]]-tblSprzedaz[[#This Row],[Koszt całkowity netto]]</f>
        <v>176.85000000000002</v>
      </c>
      <c r="P160" s="15">
        <f>IFERROR(tblSprzedaz[[#This Row],[Marża kwotowa]]/tblSprzedaz[[#This Row],[Przychód netto]],0)</f>
        <v>0.2384676582030987</v>
      </c>
      <c r="Q160" s="16">
        <f>YEAR(tblSprzedaz[[#This Row],[Data]])</f>
        <v>2025</v>
      </c>
      <c r="R160" s="16">
        <f>MONTH(tblSprzedaz[[#This Row],[Data]])</f>
        <v>2</v>
      </c>
      <c r="S160" s="9" t="str">
        <f>YEAR(tblSprzedaz[[#This Row],[Data]])&amp;"-"&amp;RIGHT("0"&amp;MONTH(tblSprzedaz[[#This Row],[Data]]),2)</f>
        <v>2025-02</v>
      </c>
    </row>
    <row r="161" spans="1:19" x14ac:dyDescent="0.25">
      <c r="A161" s="7" t="s">
        <v>489</v>
      </c>
      <c r="B161" s="10">
        <v>45704</v>
      </c>
      <c r="C161" s="7" t="s">
        <v>490</v>
      </c>
      <c r="D161" s="8" t="s">
        <v>95</v>
      </c>
      <c r="E161" s="8" t="s">
        <v>58</v>
      </c>
      <c r="F161" s="8" t="s">
        <v>31</v>
      </c>
      <c r="G161" s="8" t="s">
        <v>36</v>
      </c>
      <c r="H161" s="8" t="s">
        <v>46</v>
      </c>
      <c r="I161" s="11">
        <v>3</v>
      </c>
      <c r="J161" s="12">
        <v>350.7</v>
      </c>
      <c r="K161" s="13">
        <v>0.15</v>
      </c>
      <c r="L161" s="12">
        <v>229.49</v>
      </c>
      <c r="M161" s="14">
        <f>ROUND(tblSprzedaz[[#This Row],[Ilość]]*tblSprzedaz[[#This Row],[Cena netto jednostkowa]]*(1-tblSprzedaz[[#This Row],[Rabat %]]),2)</f>
        <v>894.29</v>
      </c>
      <c r="N161" s="14">
        <f>ROUND(tblSprzedaz[[#This Row],[Ilość]]*tblSprzedaz[[#This Row],[Koszt jednostkowy netto]],2)</f>
        <v>688.47</v>
      </c>
      <c r="O161" s="14">
        <f>tblSprzedaz[[#This Row],[Przychód netto]]-tblSprzedaz[[#This Row],[Koszt całkowity netto]]</f>
        <v>205.81999999999994</v>
      </c>
      <c r="P161" s="15">
        <f>IFERROR(tblSprzedaz[[#This Row],[Marża kwotowa]]/tblSprzedaz[[#This Row],[Przychód netto]],0)</f>
        <v>0.23014905679365746</v>
      </c>
      <c r="Q161" s="16">
        <f>YEAR(tblSprzedaz[[#This Row],[Data]])</f>
        <v>2025</v>
      </c>
      <c r="R161" s="16">
        <f>MONTH(tblSprzedaz[[#This Row],[Data]])</f>
        <v>2</v>
      </c>
      <c r="S161" s="9" t="str">
        <f>YEAR(tblSprzedaz[[#This Row],[Data]])&amp;"-"&amp;RIGHT("0"&amp;MONTH(tblSprzedaz[[#This Row],[Data]]),2)</f>
        <v>2025-02</v>
      </c>
    </row>
    <row r="162" spans="1:19" x14ac:dyDescent="0.25">
      <c r="A162" s="7" t="s">
        <v>491</v>
      </c>
      <c r="B162" s="10">
        <v>45705</v>
      </c>
      <c r="C162" s="7" t="s">
        <v>492</v>
      </c>
      <c r="D162" s="8" t="s">
        <v>136</v>
      </c>
      <c r="E162" s="8" t="s">
        <v>48</v>
      </c>
      <c r="F162" s="8" t="s">
        <v>29</v>
      </c>
      <c r="G162" s="8" t="s">
        <v>34</v>
      </c>
      <c r="H162" s="8" t="s">
        <v>45</v>
      </c>
      <c r="I162" s="11">
        <v>11</v>
      </c>
      <c r="J162" s="12">
        <v>33.659999999999997</v>
      </c>
      <c r="K162" s="13">
        <v>0.05</v>
      </c>
      <c r="L162" s="12">
        <v>21.15</v>
      </c>
      <c r="M162" s="14">
        <f>ROUND(tblSprzedaz[[#This Row],[Ilość]]*tblSprzedaz[[#This Row],[Cena netto jednostkowa]]*(1-tblSprzedaz[[#This Row],[Rabat %]]),2)</f>
        <v>351.75</v>
      </c>
      <c r="N162" s="14">
        <f>ROUND(tblSprzedaz[[#This Row],[Ilość]]*tblSprzedaz[[#This Row],[Koszt jednostkowy netto]],2)</f>
        <v>232.65</v>
      </c>
      <c r="O162" s="14">
        <f>tblSprzedaz[[#This Row],[Przychód netto]]-tblSprzedaz[[#This Row],[Koszt całkowity netto]]</f>
        <v>119.1</v>
      </c>
      <c r="P162" s="15">
        <f>IFERROR(tblSprzedaz[[#This Row],[Marża kwotowa]]/tblSprzedaz[[#This Row],[Przychód netto]],0)</f>
        <v>0.33859275053304905</v>
      </c>
      <c r="Q162" s="16">
        <f>YEAR(tblSprzedaz[[#This Row],[Data]])</f>
        <v>2025</v>
      </c>
      <c r="R162" s="16">
        <f>MONTH(tblSprzedaz[[#This Row],[Data]])</f>
        <v>2</v>
      </c>
      <c r="S162" s="9" t="str">
        <f>YEAR(tblSprzedaz[[#This Row],[Data]])&amp;"-"&amp;RIGHT("0"&amp;MONTH(tblSprzedaz[[#This Row],[Data]]),2)</f>
        <v>2025-02</v>
      </c>
    </row>
    <row r="163" spans="1:19" x14ac:dyDescent="0.25">
      <c r="A163" s="7" t="s">
        <v>493</v>
      </c>
      <c r="B163" s="10">
        <v>45705</v>
      </c>
      <c r="C163" s="7" t="s">
        <v>494</v>
      </c>
      <c r="D163" s="8" t="s">
        <v>134</v>
      </c>
      <c r="E163" s="8" t="s">
        <v>62</v>
      </c>
      <c r="F163" s="8" t="s">
        <v>33</v>
      </c>
      <c r="G163" s="8" t="s">
        <v>30</v>
      </c>
      <c r="H163" s="8" t="s">
        <v>40</v>
      </c>
      <c r="I163" s="11">
        <v>14</v>
      </c>
      <c r="J163" s="12">
        <v>611.79999999999995</v>
      </c>
      <c r="K163" s="13">
        <v>0</v>
      </c>
      <c r="L163" s="12">
        <v>431.25</v>
      </c>
      <c r="M163" s="14">
        <f>ROUND(tblSprzedaz[[#This Row],[Ilość]]*tblSprzedaz[[#This Row],[Cena netto jednostkowa]]*(1-tblSprzedaz[[#This Row],[Rabat %]]),2)</f>
        <v>8565.2000000000007</v>
      </c>
      <c r="N163" s="14">
        <f>ROUND(tblSprzedaz[[#This Row],[Ilość]]*tblSprzedaz[[#This Row],[Koszt jednostkowy netto]],2)</f>
        <v>6037.5</v>
      </c>
      <c r="O163" s="14">
        <f>tblSprzedaz[[#This Row],[Przychód netto]]-tblSprzedaz[[#This Row],[Koszt całkowity netto]]</f>
        <v>2527.7000000000007</v>
      </c>
      <c r="P163" s="15">
        <f>IFERROR(tblSprzedaz[[#This Row],[Marża kwotowa]]/tblSprzedaz[[#This Row],[Przychód netto]],0)</f>
        <v>0.29511278195488727</v>
      </c>
      <c r="Q163" s="16">
        <f>YEAR(tblSprzedaz[[#This Row],[Data]])</f>
        <v>2025</v>
      </c>
      <c r="R163" s="16">
        <f>MONTH(tblSprzedaz[[#This Row],[Data]])</f>
        <v>2</v>
      </c>
      <c r="S163" s="9" t="str">
        <f>YEAR(tblSprzedaz[[#This Row],[Data]])&amp;"-"&amp;RIGHT("0"&amp;MONTH(tblSprzedaz[[#This Row],[Data]]),2)</f>
        <v>2025-02</v>
      </c>
    </row>
    <row r="164" spans="1:19" x14ac:dyDescent="0.25">
      <c r="A164" s="7" t="s">
        <v>495</v>
      </c>
      <c r="B164" s="10">
        <v>45705</v>
      </c>
      <c r="C164" s="7" t="s">
        <v>496</v>
      </c>
      <c r="D164" s="8" t="s">
        <v>123</v>
      </c>
      <c r="E164" s="8" t="s">
        <v>70</v>
      </c>
      <c r="F164" s="8" t="s">
        <v>35</v>
      </c>
      <c r="G164" s="8" t="s">
        <v>30</v>
      </c>
      <c r="H164" s="8" t="s">
        <v>40</v>
      </c>
      <c r="I164" s="11">
        <v>10</v>
      </c>
      <c r="J164" s="12">
        <v>113.56</v>
      </c>
      <c r="K164" s="13">
        <v>0.1</v>
      </c>
      <c r="L164" s="12">
        <v>77.900000000000006</v>
      </c>
      <c r="M164" s="14">
        <f>ROUND(tblSprzedaz[[#This Row],[Ilość]]*tblSprzedaz[[#This Row],[Cena netto jednostkowa]]*(1-tblSprzedaz[[#This Row],[Rabat %]]),2)</f>
        <v>1022.04</v>
      </c>
      <c r="N164" s="14">
        <f>ROUND(tblSprzedaz[[#This Row],[Ilość]]*tblSprzedaz[[#This Row],[Koszt jednostkowy netto]],2)</f>
        <v>779</v>
      </c>
      <c r="O164" s="14">
        <f>tblSprzedaz[[#This Row],[Przychód netto]]-tblSprzedaz[[#This Row],[Koszt całkowity netto]]</f>
        <v>243.03999999999996</v>
      </c>
      <c r="P164" s="15">
        <f>IFERROR(tblSprzedaz[[#This Row],[Marża kwotowa]]/tblSprzedaz[[#This Row],[Przychód netto]],0)</f>
        <v>0.23779891197996161</v>
      </c>
      <c r="Q164" s="16">
        <f>YEAR(tblSprzedaz[[#This Row],[Data]])</f>
        <v>2025</v>
      </c>
      <c r="R164" s="16">
        <f>MONTH(tblSprzedaz[[#This Row],[Data]])</f>
        <v>2</v>
      </c>
      <c r="S164" s="9" t="str">
        <f>YEAR(tblSprzedaz[[#This Row],[Data]])&amp;"-"&amp;RIGHT("0"&amp;MONTH(tblSprzedaz[[#This Row],[Data]]),2)</f>
        <v>2025-02</v>
      </c>
    </row>
    <row r="165" spans="1:19" x14ac:dyDescent="0.25">
      <c r="A165" s="7" t="s">
        <v>497</v>
      </c>
      <c r="B165" s="10">
        <v>45705</v>
      </c>
      <c r="C165" s="7" t="s">
        <v>498</v>
      </c>
      <c r="D165" s="8" t="s">
        <v>93</v>
      </c>
      <c r="E165" s="8" t="s">
        <v>61</v>
      </c>
      <c r="F165" s="8" t="s">
        <v>33</v>
      </c>
      <c r="G165" s="8" t="s">
        <v>30</v>
      </c>
      <c r="H165" s="8" t="s">
        <v>41</v>
      </c>
      <c r="I165" s="11">
        <v>6</v>
      </c>
      <c r="J165" s="12">
        <v>533.6</v>
      </c>
      <c r="K165" s="13">
        <v>0.05</v>
      </c>
      <c r="L165" s="12">
        <v>354.97</v>
      </c>
      <c r="M165" s="14">
        <f>ROUND(tblSprzedaz[[#This Row],[Ilość]]*tblSprzedaz[[#This Row],[Cena netto jednostkowa]]*(1-tblSprzedaz[[#This Row],[Rabat %]]),2)</f>
        <v>3041.52</v>
      </c>
      <c r="N165" s="14">
        <f>ROUND(tblSprzedaz[[#This Row],[Ilość]]*tblSprzedaz[[#This Row],[Koszt jednostkowy netto]],2)</f>
        <v>2129.8200000000002</v>
      </c>
      <c r="O165" s="14">
        <f>tblSprzedaz[[#This Row],[Przychód netto]]-tblSprzedaz[[#This Row],[Koszt całkowity netto]]</f>
        <v>911.69999999999982</v>
      </c>
      <c r="P165" s="15">
        <f>IFERROR(tblSprzedaz[[#This Row],[Marża kwotowa]]/tblSprzedaz[[#This Row],[Przychód netto]],0)</f>
        <v>0.29975144006943888</v>
      </c>
      <c r="Q165" s="16">
        <f>YEAR(tblSprzedaz[[#This Row],[Data]])</f>
        <v>2025</v>
      </c>
      <c r="R165" s="16">
        <f>MONTH(tblSprzedaz[[#This Row],[Data]])</f>
        <v>2</v>
      </c>
      <c r="S165" s="9" t="str">
        <f>YEAR(tblSprzedaz[[#This Row],[Data]])&amp;"-"&amp;RIGHT("0"&amp;MONTH(tblSprzedaz[[#This Row],[Data]]),2)</f>
        <v>2025-02</v>
      </c>
    </row>
    <row r="166" spans="1:19" x14ac:dyDescent="0.25">
      <c r="A166" s="7" t="s">
        <v>499</v>
      </c>
      <c r="B166" s="10">
        <v>45705</v>
      </c>
      <c r="C166" s="7" t="s">
        <v>500</v>
      </c>
      <c r="D166" s="8" t="s">
        <v>144</v>
      </c>
      <c r="E166" s="8" t="s">
        <v>63</v>
      </c>
      <c r="F166" s="8" t="s">
        <v>33</v>
      </c>
      <c r="G166" s="8" t="s">
        <v>34</v>
      </c>
      <c r="H166" s="8" t="s">
        <v>45</v>
      </c>
      <c r="I166" s="11">
        <v>2</v>
      </c>
      <c r="J166" s="12">
        <v>690</v>
      </c>
      <c r="K166" s="13">
        <v>0.1</v>
      </c>
      <c r="L166" s="12">
        <v>476.74</v>
      </c>
      <c r="M166" s="14">
        <f>ROUND(tblSprzedaz[[#This Row],[Ilość]]*tblSprzedaz[[#This Row],[Cena netto jednostkowa]]*(1-tblSprzedaz[[#This Row],[Rabat %]]),2)</f>
        <v>1242</v>
      </c>
      <c r="N166" s="14">
        <f>ROUND(tblSprzedaz[[#This Row],[Ilość]]*tblSprzedaz[[#This Row],[Koszt jednostkowy netto]],2)</f>
        <v>953.48</v>
      </c>
      <c r="O166" s="14">
        <f>tblSprzedaz[[#This Row],[Przychód netto]]-tblSprzedaz[[#This Row],[Koszt całkowity netto]]</f>
        <v>288.52</v>
      </c>
      <c r="P166" s="15">
        <f>IFERROR(tblSprzedaz[[#This Row],[Marża kwotowa]]/tblSprzedaz[[#This Row],[Przychód netto]],0)</f>
        <v>0.23230273752012881</v>
      </c>
      <c r="Q166" s="16">
        <f>YEAR(tblSprzedaz[[#This Row],[Data]])</f>
        <v>2025</v>
      </c>
      <c r="R166" s="16">
        <f>MONTH(tblSprzedaz[[#This Row],[Data]])</f>
        <v>2</v>
      </c>
      <c r="S166" s="9" t="str">
        <f>YEAR(tblSprzedaz[[#This Row],[Data]])&amp;"-"&amp;RIGHT("0"&amp;MONTH(tblSprzedaz[[#This Row],[Data]]),2)</f>
        <v>2025-02</v>
      </c>
    </row>
    <row r="167" spans="1:19" x14ac:dyDescent="0.25">
      <c r="A167" s="7" t="s">
        <v>501</v>
      </c>
      <c r="B167" s="10">
        <v>45706</v>
      </c>
      <c r="C167" s="7" t="s">
        <v>502</v>
      </c>
      <c r="D167" s="8" t="s">
        <v>121</v>
      </c>
      <c r="E167" s="8" t="s">
        <v>49</v>
      </c>
      <c r="F167" s="8" t="s">
        <v>29</v>
      </c>
      <c r="G167" s="8" t="s">
        <v>36</v>
      </c>
      <c r="H167" s="8" t="s">
        <v>46</v>
      </c>
      <c r="I167" s="11">
        <v>2</v>
      </c>
      <c r="J167" s="12">
        <v>39.44</v>
      </c>
      <c r="K167" s="13">
        <v>0.15</v>
      </c>
      <c r="L167" s="12">
        <v>23.37</v>
      </c>
      <c r="M167" s="14">
        <f>ROUND(tblSprzedaz[[#This Row],[Ilość]]*tblSprzedaz[[#This Row],[Cena netto jednostkowa]]*(1-tblSprzedaz[[#This Row],[Rabat %]]),2)</f>
        <v>67.05</v>
      </c>
      <c r="N167" s="14">
        <f>ROUND(tblSprzedaz[[#This Row],[Ilość]]*tblSprzedaz[[#This Row],[Koszt jednostkowy netto]],2)</f>
        <v>46.74</v>
      </c>
      <c r="O167" s="14">
        <f>tblSprzedaz[[#This Row],[Przychód netto]]-tblSprzedaz[[#This Row],[Koszt całkowity netto]]</f>
        <v>20.309999999999995</v>
      </c>
      <c r="P167" s="15">
        <f>IFERROR(tblSprzedaz[[#This Row],[Marża kwotowa]]/tblSprzedaz[[#This Row],[Przychód netto]],0)</f>
        <v>0.30290827740492166</v>
      </c>
      <c r="Q167" s="16">
        <f>YEAR(tblSprzedaz[[#This Row],[Data]])</f>
        <v>2025</v>
      </c>
      <c r="R167" s="16">
        <f>MONTH(tblSprzedaz[[#This Row],[Data]])</f>
        <v>2</v>
      </c>
      <c r="S167" s="9" t="str">
        <f>YEAR(tblSprzedaz[[#This Row],[Data]])&amp;"-"&amp;RIGHT("0"&amp;MONTH(tblSprzedaz[[#This Row],[Data]]),2)</f>
        <v>2025-02</v>
      </c>
    </row>
    <row r="168" spans="1:19" x14ac:dyDescent="0.25">
      <c r="A168" s="7" t="s">
        <v>503</v>
      </c>
      <c r="B168" s="10">
        <v>45706</v>
      </c>
      <c r="C168" s="7" t="s">
        <v>504</v>
      </c>
      <c r="D168" s="8" t="s">
        <v>83</v>
      </c>
      <c r="E168" s="8" t="s">
        <v>66</v>
      </c>
      <c r="F168" s="8" t="s">
        <v>35</v>
      </c>
      <c r="G168" s="8" t="s">
        <v>34</v>
      </c>
      <c r="H168" s="8" t="s">
        <v>45</v>
      </c>
      <c r="I168" s="11">
        <v>8</v>
      </c>
      <c r="J168" s="12">
        <v>67.319999999999993</v>
      </c>
      <c r="K168" s="13">
        <v>0.1</v>
      </c>
      <c r="L168" s="12">
        <v>49.13</v>
      </c>
      <c r="M168" s="14">
        <f>ROUND(tblSprzedaz[[#This Row],[Ilość]]*tblSprzedaz[[#This Row],[Cena netto jednostkowa]]*(1-tblSprzedaz[[#This Row],[Rabat %]]),2)</f>
        <v>484.7</v>
      </c>
      <c r="N168" s="14">
        <f>ROUND(tblSprzedaz[[#This Row],[Ilość]]*tblSprzedaz[[#This Row],[Koszt jednostkowy netto]],2)</f>
        <v>393.04</v>
      </c>
      <c r="O168" s="14">
        <f>tblSprzedaz[[#This Row],[Przychód netto]]-tblSprzedaz[[#This Row],[Koszt całkowity netto]]</f>
        <v>91.659999999999968</v>
      </c>
      <c r="P168" s="15">
        <f>IFERROR(tblSprzedaz[[#This Row],[Marża kwotowa]]/tblSprzedaz[[#This Row],[Przychód netto]],0)</f>
        <v>0.18910666391582415</v>
      </c>
      <c r="Q168" s="16">
        <f>YEAR(tblSprzedaz[[#This Row],[Data]])</f>
        <v>2025</v>
      </c>
      <c r="R168" s="16">
        <f>MONTH(tblSprzedaz[[#This Row],[Data]])</f>
        <v>2</v>
      </c>
      <c r="S168" s="9" t="str">
        <f>YEAR(tblSprzedaz[[#This Row],[Data]])&amp;"-"&amp;RIGHT("0"&amp;MONTH(tblSprzedaz[[#This Row],[Data]]),2)</f>
        <v>2025-02</v>
      </c>
    </row>
    <row r="169" spans="1:19" x14ac:dyDescent="0.25">
      <c r="A169" s="7" t="s">
        <v>505</v>
      </c>
      <c r="B169" s="10">
        <v>45706</v>
      </c>
      <c r="C169" s="7" t="s">
        <v>506</v>
      </c>
      <c r="D169" s="8" t="s">
        <v>152</v>
      </c>
      <c r="E169" s="8" t="s">
        <v>73</v>
      </c>
      <c r="F169" s="8" t="s">
        <v>37</v>
      </c>
      <c r="G169" s="8" t="s">
        <v>30</v>
      </c>
      <c r="H169" s="8" t="s">
        <v>41</v>
      </c>
      <c r="I169" s="11">
        <v>14</v>
      </c>
      <c r="J169" s="12">
        <v>110.2</v>
      </c>
      <c r="K169" s="13">
        <v>0.15</v>
      </c>
      <c r="L169" s="12">
        <v>87.01</v>
      </c>
      <c r="M169" s="14">
        <f>ROUND(tblSprzedaz[[#This Row],[Ilość]]*tblSprzedaz[[#This Row],[Cena netto jednostkowa]]*(1-tblSprzedaz[[#This Row],[Rabat %]]),2)</f>
        <v>1311.38</v>
      </c>
      <c r="N169" s="14">
        <f>ROUND(tblSprzedaz[[#This Row],[Ilość]]*tblSprzedaz[[#This Row],[Koszt jednostkowy netto]],2)</f>
        <v>1218.1400000000001</v>
      </c>
      <c r="O169" s="14">
        <f>tblSprzedaz[[#This Row],[Przychód netto]]-tblSprzedaz[[#This Row],[Koszt całkowity netto]]</f>
        <v>93.240000000000009</v>
      </c>
      <c r="P169" s="15">
        <f>IFERROR(tblSprzedaz[[#This Row],[Marża kwotowa]]/tblSprzedaz[[#This Row],[Przychód netto]],0)</f>
        <v>7.1100672573929755E-2</v>
      </c>
      <c r="Q169" s="16">
        <f>YEAR(tblSprzedaz[[#This Row],[Data]])</f>
        <v>2025</v>
      </c>
      <c r="R169" s="16">
        <f>MONTH(tblSprzedaz[[#This Row],[Data]])</f>
        <v>2</v>
      </c>
      <c r="S169" s="9" t="str">
        <f>YEAR(tblSprzedaz[[#This Row],[Data]])&amp;"-"&amp;RIGHT("0"&amp;MONTH(tblSprzedaz[[#This Row],[Data]]),2)</f>
        <v>2025-02</v>
      </c>
    </row>
    <row r="170" spans="1:19" x14ac:dyDescent="0.25">
      <c r="A170" s="7" t="s">
        <v>507</v>
      </c>
      <c r="B170" s="10">
        <v>45706</v>
      </c>
      <c r="C170" s="7" t="s">
        <v>508</v>
      </c>
      <c r="D170" s="8" t="s">
        <v>115</v>
      </c>
      <c r="E170" s="8" t="s">
        <v>57</v>
      </c>
      <c r="F170" s="8" t="s">
        <v>31</v>
      </c>
      <c r="G170" s="8" t="s">
        <v>32</v>
      </c>
      <c r="H170" s="8" t="s">
        <v>42</v>
      </c>
      <c r="I170" s="11">
        <v>6</v>
      </c>
      <c r="J170" s="12">
        <v>315</v>
      </c>
      <c r="K170" s="13">
        <v>0.1</v>
      </c>
      <c r="L170" s="12">
        <v>189.59</v>
      </c>
      <c r="M170" s="14">
        <f>ROUND(tblSprzedaz[[#This Row],[Ilość]]*tblSprzedaz[[#This Row],[Cena netto jednostkowa]]*(1-tblSprzedaz[[#This Row],[Rabat %]]),2)</f>
        <v>1701</v>
      </c>
      <c r="N170" s="14">
        <f>ROUND(tblSprzedaz[[#This Row],[Ilość]]*tblSprzedaz[[#This Row],[Koszt jednostkowy netto]],2)</f>
        <v>1137.54</v>
      </c>
      <c r="O170" s="14">
        <f>tblSprzedaz[[#This Row],[Przychód netto]]-tblSprzedaz[[#This Row],[Koszt całkowity netto]]</f>
        <v>563.46</v>
      </c>
      <c r="P170" s="15">
        <f>IFERROR(tblSprzedaz[[#This Row],[Marża kwotowa]]/tblSprzedaz[[#This Row],[Przychód netto]],0)</f>
        <v>0.33125220458553795</v>
      </c>
      <c r="Q170" s="16">
        <f>YEAR(tblSprzedaz[[#This Row],[Data]])</f>
        <v>2025</v>
      </c>
      <c r="R170" s="16">
        <f>MONTH(tblSprzedaz[[#This Row],[Data]])</f>
        <v>2</v>
      </c>
      <c r="S170" s="9" t="str">
        <f>YEAR(tblSprzedaz[[#This Row],[Data]])&amp;"-"&amp;RIGHT("0"&amp;MONTH(tblSprzedaz[[#This Row],[Data]]),2)</f>
        <v>2025-02</v>
      </c>
    </row>
    <row r="171" spans="1:19" x14ac:dyDescent="0.25">
      <c r="A171" s="7" t="s">
        <v>509</v>
      </c>
      <c r="B171" s="10">
        <v>45707</v>
      </c>
      <c r="C171" s="7" t="s">
        <v>510</v>
      </c>
      <c r="D171" s="8" t="s">
        <v>122</v>
      </c>
      <c r="E171" s="8" t="s">
        <v>50</v>
      </c>
      <c r="F171" s="8" t="s">
        <v>29</v>
      </c>
      <c r="G171" s="8" t="s">
        <v>36</v>
      </c>
      <c r="H171" s="8" t="s">
        <v>46</v>
      </c>
      <c r="I171" s="11">
        <v>7</v>
      </c>
      <c r="J171" s="12">
        <v>45.22</v>
      </c>
      <c r="K171" s="13">
        <v>0.1</v>
      </c>
      <c r="L171" s="12">
        <v>25.08</v>
      </c>
      <c r="M171" s="14">
        <f>ROUND(tblSprzedaz[[#This Row],[Ilość]]*tblSprzedaz[[#This Row],[Cena netto jednostkowa]]*(1-tblSprzedaz[[#This Row],[Rabat %]]),2)</f>
        <v>284.89</v>
      </c>
      <c r="N171" s="14">
        <f>ROUND(tblSprzedaz[[#This Row],[Ilość]]*tblSprzedaz[[#This Row],[Koszt jednostkowy netto]],2)</f>
        <v>175.56</v>
      </c>
      <c r="O171" s="14">
        <f>tblSprzedaz[[#This Row],[Przychód netto]]-tblSprzedaz[[#This Row],[Koszt całkowity netto]]</f>
        <v>109.32999999999998</v>
      </c>
      <c r="P171" s="15">
        <f>IFERROR(tblSprzedaz[[#This Row],[Marża kwotowa]]/tblSprzedaz[[#This Row],[Przychód netto]],0)</f>
        <v>0.38376215381375262</v>
      </c>
      <c r="Q171" s="16">
        <f>YEAR(tblSprzedaz[[#This Row],[Data]])</f>
        <v>2025</v>
      </c>
      <c r="R171" s="16">
        <f>MONTH(tblSprzedaz[[#This Row],[Data]])</f>
        <v>2</v>
      </c>
      <c r="S171" s="9" t="str">
        <f>YEAR(tblSprzedaz[[#This Row],[Data]])&amp;"-"&amp;RIGHT("0"&amp;MONTH(tblSprzedaz[[#This Row],[Data]]),2)</f>
        <v>2025-02</v>
      </c>
    </row>
    <row r="172" spans="1:19" x14ac:dyDescent="0.25">
      <c r="A172" s="7" t="s">
        <v>511</v>
      </c>
      <c r="B172" s="10">
        <v>45707</v>
      </c>
      <c r="C172" s="7" t="s">
        <v>512</v>
      </c>
      <c r="D172" s="8" t="s">
        <v>146</v>
      </c>
      <c r="E172" s="8" t="s">
        <v>64</v>
      </c>
      <c r="F172" s="8" t="s">
        <v>33</v>
      </c>
      <c r="G172" s="8" t="s">
        <v>30</v>
      </c>
      <c r="H172" s="8" t="s">
        <v>40</v>
      </c>
      <c r="I172" s="11">
        <v>18</v>
      </c>
      <c r="J172" s="12">
        <v>768.2</v>
      </c>
      <c r="K172" s="13">
        <v>0</v>
      </c>
      <c r="L172" s="12">
        <v>498.04</v>
      </c>
      <c r="M172" s="14">
        <f>ROUND(tblSprzedaz[[#This Row],[Ilość]]*tblSprzedaz[[#This Row],[Cena netto jednostkowa]]*(1-tblSprzedaz[[#This Row],[Rabat %]]),2)</f>
        <v>13827.6</v>
      </c>
      <c r="N172" s="14">
        <f>ROUND(tblSprzedaz[[#This Row],[Ilość]]*tblSprzedaz[[#This Row],[Koszt jednostkowy netto]],2)</f>
        <v>8964.7199999999993</v>
      </c>
      <c r="O172" s="14">
        <f>tblSprzedaz[[#This Row],[Przychód netto]]-tblSprzedaz[[#This Row],[Koszt całkowity netto]]</f>
        <v>4862.880000000001</v>
      </c>
      <c r="P172" s="15">
        <f>IFERROR(tblSprzedaz[[#This Row],[Marża kwotowa]]/tblSprzedaz[[#This Row],[Przychód netto]],0)</f>
        <v>0.35167925019526169</v>
      </c>
      <c r="Q172" s="16">
        <f>YEAR(tblSprzedaz[[#This Row],[Data]])</f>
        <v>2025</v>
      </c>
      <c r="R172" s="16">
        <f>MONTH(tblSprzedaz[[#This Row],[Data]])</f>
        <v>2</v>
      </c>
      <c r="S172" s="9" t="str">
        <f>YEAR(tblSprzedaz[[#This Row],[Data]])&amp;"-"&amp;RIGHT("0"&amp;MONTH(tblSprzedaz[[#This Row],[Data]]),2)</f>
        <v>2025-02</v>
      </c>
    </row>
    <row r="173" spans="1:19" x14ac:dyDescent="0.25">
      <c r="A173" s="7" t="s">
        <v>513</v>
      </c>
      <c r="B173" s="10">
        <v>45707</v>
      </c>
      <c r="C173" s="7" t="s">
        <v>514</v>
      </c>
      <c r="D173" s="8" t="s">
        <v>152</v>
      </c>
      <c r="E173" s="8" t="s">
        <v>72</v>
      </c>
      <c r="F173" s="8" t="s">
        <v>37</v>
      </c>
      <c r="G173" s="8" t="s">
        <v>28</v>
      </c>
      <c r="H173" s="8" t="s">
        <v>39</v>
      </c>
      <c r="I173" s="11">
        <v>13</v>
      </c>
      <c r="J173" s="12">
        <v>94.05</v>
      </c>
      <c r="K173" s="13">
        <v>0</v>
      </c>
      <c r="L173" s="12">
        <v>70.98</v>
      </c>
      <c r="M173" s="14">
        <f>ROUND(tblSprzedaz[[#This Row],[Ilość]]*tblSprzedaz[[#This Row],[Cena netto jednostkowa]]*(1-tblSprzedaz[[#This Row],[Rabat %]]),2)</f>
        <v>1222.6500000000001</v>
      </c>
      <c r="N173" s="14">
        <f>ROUND(tblSprzedaz[[#This Row],[Ilość]]*tblSprzedaz[[#This Row],[Koszt jednostkowy netto]],2)</f>
        <v>922.74</v>
      </c>
      <c r="O173" s="14">
        <f>tblSprzedaz[[#This Row],[Przychód netto]]-tblSprzedaz[[#This Row],[Koszt całkowity netto]]</f>
        <v>299.91000000000008</v>
      </c>
      <c r="P173" s="15">
        <f>IFERROR(tblSprzedaz[[#This Row],[Marża kwotowa]]/tblSprzedaz[[#This Row],[Przychód netto]],0)</f>
        <v>0.24529505582137165</v>
      </c>
      <c r="Q173" s="16">
        <f>YEAR(tblSprzedaz[[#This Row],[Data]])</f>
        <v>2025</v>
      </c>
      <c r="R173" s="16">
        <f>MONTH(tblSprzedaz[[#This Row],[Data]])</f>
        <v>2</v>
      </c>
      <c r="S173" s="9" t="str">
        <f>YEAR(tblSprzedaz[[#This Row],[Data]])&amp;"-"&amp;RIGHT("0"&amp;MONTH(tblSprzedaz[[#This Row],[Data]]),2)</f>
        <v>2025-02</v>
      </c>
    </row>
    <row r="174" spans="1:19" x14ac:dyDescent="0.25">
      <c r="A174" s="7" t="s">
        <v>515</v>
      </c>
      <c r="B174" s="10">
        <v>45707</v>
      </c>
      <c r="C174" s="7" t="s">
        <v>516</v>
      </c>
      <c r="D174" s="8" t="s">
        <v>122</v>
      </c>
      <c r="E174" s="8" t="s">
        <v>55</v>
      </c>
      <c r="F174" s="8" t="s">
        <v>31</v>
      </c>
      <c r="G174" s="8" t="s">
        <v>28</v>
      </c>
      <c r="H174" s="8" t="s">
        <v>38</v>
      </c>
      <c r="I174" s="11">
        <v>2</v>
      </c>
      <c r="J174" s="12">
        <v>243.6</v>
      </c>
      <c r="K174" s="13">
        <v>0.15</v>
      </c>
      <c r="L174" s="12">
        <v>152.34</v>
      </c>
      <c r="M174" s="14">
        <f>ROUND(tblSprzedaz[[#This Row],[Ilość]]*tblSprzedaz[[#This Row],[Cena netto jednostkowa]]*(1-tblSprzedaz[[#This Row],[Rabat %]]),2)</f>
        <v>414.12</v>
      </c>
      <c r="N174" s="14">
        <f>ROUND(tblSprzedaz[[#This Row],[Ilość]]*tblSprzedaz[[#This Row],[Koszt jednostkowy netto]],2)</f>
        <v>304.68</v>
      </c>
      <c r="O174" s="14">
        <f>tblSprzedaz[[#This Row],[Przychód netto]]-tblSprzedaz[[#This Row],[Koszt całkowity netto]]</f>
        <v>109.44</v>
      </c>
      <c r="P174" s="15">
        <f>IFERROR(tblSprzedaz[[#This Row],[Marża kwotowa]]/tblSprzedaz[[#This Row],[Przychód netto]],0)</f>
        <v>0.26427122573167194</v>
      </c>
      <c r="Q174" s="16">
        <f>YEAR(tblSprzedaz[[#This Row],[Data]])</f>
        <v>2025</v>
      </c>
      <c r="R174" s="16">
        <f>MONTH(tblSprzedaz[[#This Row],[Data]])</f>
        <v>2</v>
      </c>
      <c r="S174" s="9" t="str">
        <f>YEAR(tblSprzedaz[[#This Row],[Data]])&amp;"-"&amp;RIGHT("0"&amp;MONTH(tblSprzedaz[[#This Row],[Data]]),2)</f>
        <v>2025-02</v>
      </c>
    </row>
    <row r="175" spans="1:19" x14ac:dyDescent="0.25">
      <c r="A175" s="7" t="s">
        <v>517</v>
      </c>
      <c r="B175" s="10">
        <v>45707</v>
      </c>
      <c r="C175" s="7" t="s">
        <v>518</v>
      </c>
      <c r="D175" s="8" t="s">
        <v>85</v>
      </c>
      <c r="E175" s="8" t="s">
        <v>71</v>
      </c>
      <c r="F175" s="8" t="s">
        <v>35</v>
      </c>
      <c r="G175" s="8" t="s">
        <v>34</v>
      </c>
      <c r="H175" s="8" t="s">
        <v>44</v>
      </c>
      <c r="I175" s="11">
        <v>8</v>
      </c>
      <c r="J175" s="12">
        <v>55.76</v>
      </c>
      <c r="K175" s="13">
        <v>0.15</v>
      </c>
      <c r="L175" s="12">
        <v>42.09</v>
      </c>
      <c r="M175" s="14">
        <f>ROUND(tblSprzedaz[[#This Row],[Ilość]]*tblSprzedaz[[#This Row],[Cena netto jednostkowa]]*(1-tblSprzedaz[[#This Row],[Rabat %]]),2)</f>
        <v>379.17</v>
      </c>
      <c r="N175" s="14">
        <f>ROUND(tblSprzedaz[[#This Row],[Ilość]]*tblSprzedaz[[#This Row],[Koszt jednostkowy netto]],2)</f>
        <v>336.72</v>
      </c>
      <c r="O175" s="14">
        <f>tblSprzedaz[[#This Row],[Przychód netto]]-tblSprzedaz[[#This Row],[Koszt całkowity netto]]</f>
        <v>42.449999999999989</v>
      </c>
      <c r="P175" s="15">
        <f>IFERROR(tblSprzedaz[[#This Row],[Marża kwotowa]]/tblSprzedaz[[#This Row],[Przychód netto]],0)</f>
        <v>0.11195505973573855</v>
      </c>
      <c r="Q175" s="16">
        <f>YEAR(tblSprzedaz[[#This Row],[Data]])</f>
        <v>2025</v>
      </c>
      <c r="R175" s="16">
        <f>MONTH(tblSprzedaz[[#This Row],[Data]])</f>
        <v>2</v>
      </c>
      <c r="S175" s="9" t="str">
        <f>YEAR(tblSprzedaz[[#This Row],[Data]])&amp;"-"&amp;RIGHT("0"&amp;MONTH(tblSprzedaz[[#This Row],[Data]]),2)</f>
        <v>2025-02</v>
      </c>
    </row>
    <row r="176" spans="1:19" x14ac:dyDescent="0.25">
      <c r="A176" s="7" t="s">
        <v>519</v>
      </c>
      <c r="B176" s="10">
        <v>45708</v>
      </c>
      <c r="C176" s="7" t="s">
        <v>520</v>
      </c>
      <c r="D176" s="8" t="s">
        <v>109</v>
      </c>
      <c r="E176" s="8" t="s">
        <v>73</v>
      </c>
      <c r="F176" s="8" t="s">
        <v>37</v>
      </c>
      <c r="G176" s="8" t="s">
        <v>34</v>
      </c>
      <c r="H176" s="8" t="s">
        <v>44</v>
      </c>
      <c r="I176" s="11">
        <v>3</v>
      </c>
      <c r="J176" s="12">
        <v>110.2</v>
      </c>
      <c r="K176" s="13">
        <v>0.1</v>
      </c>
      <c r="L176" s="12">
        <v>85.04</v>
      </c>
      <c r="M176" s="14">
        <f>ROUND(tblSprzedaz[[#This Row],[Ilość]]*tblSprzedaz[[#This Row],[Cena netto jednostkowa]]*(1-tblSprzedaz[[#This Row],[Rabat %]]),2)</f>
        <v>297.54000000000002</v>
      </c>
      <c r="N176" s="14">
        <f>ROUND(tblSprzedaz[[#This Row],[Ilość]]*tblSprzedaz[[#This Row],[Koszt jednostkowy netto]],2)</f>
        <v>255.12</v>
      </c>
      <c r="O176" s="14">
        <f>tblSprzedaz[[#This Row],[Przychód netto]]-tblSprzedaz[[#This Row],[Koszt całkowity netto]]</f>
        <v>42.420000000000016</v>
      </c>
      <c r="P176" s="15">
        <f>IFERROR(tblSprzedaz[[#This Row],[Marża kwotowa]]/tblSprzedaz[[#This Row],[Przychód netto]],0)</f>
        <v>0.14256906634402103</v>
      </c>
      <c r="Q176" s="16">
        <f>YEAR(tblSprzedaz[[#This Row],[Data]])</f>
        <v>2025</v>
      </c>
      <c r="R176" s="16">
        <f>MONTH(tblSprzedaz[[#This Row],[Data]])</f>
        <v>2</v>
      </c>
      <c r="S176" s="9" t="str">
        <f>YEAR(tblSprzedaz[[#This Row],[Data]])&amp;"-"&amp;RIGHT("0"&amp;MONTH(tblSprzedaz[[#This Row],[Data]]),2)</f>
        <v>2025-02</v>
      </c>
    </row>
    <row r="177" spans="1:19" x14ac:dyDescent="0.25">
      <c r="A177" s="7" t="s">
        <v>521</v>
      </c>
      <c r="B177" s="10">
        <v>45708</v>
      </c>
      <c r="C177" s="7" t="s">
        <v>522</v>
      </c>
      <c r="D177" s="8" t="s">
        <v>80</v>
      </c>
      <c r="E177" s="8" t="s">
        <v>77</v>
      </c>
      <c r="F177" s="8" t="s">
        <v>37</v>
      </c>
      <c r="G177" s="8" t="s">
        <v>28</v>
      </c>
      <c r="H177" s="8" t="s">
        <v>38</v>
      </c>
      <c r="I177" s="11">
        <v>3</v>
      </c>
      <c r="J177" s="12">
        <v>77.900000000000006</v>
      </c>
      <c r="K177" s="13">
        <v>0.1</v>
      </c>
      <c r="L177" s="12">
        <v>61.13</v>
      </c>
      <c r="M177" s="14">
        <f>ROUND(tblSprzedaz[[#This Row],[Ilość]]*tblSprzedaz[[#This Row],[Cena netto jednostkowa]]*(1-tblSprzedaz[[#This Row],[Rabat %]]),2)</f>
        <v>210.33</v>
      </c>
      <c r="N177" s="14">
        <f>ROUND(tblSprzedaz[[#This Row],[Ilość]]*tblSprzedaz[[#This Row],[Koszt jednostkowy netto]],2)</f>
        <v>183.39</v>
      </c>
      <c r="O177" s="14">
        <f>tblSprzedaz[[#This Row],[Przychód netto]]-tblSprzedaz[[#This Row],[Koszt całkowity netto]]</f>
        <v>26.940000000000026</v>
      </c>
      <c r="P177" s="15">
        <f>IFERROR(tblSprzedaz[[#This Row],[Marża kwotowa]]/tblSprzedaz[[#This Row],[Przychód netto]],0)</f>
        <v>0.12808443873912434</v>
      </c>
      <c r="Q177" s="16">
        <f>YEAR(tblSprzedaz[[#This Row],[Data]])</f>
        <v>2025</v>
      </c>
      <c r="R177" s="16">
        <f>MONTH(tblSprzedaz[[#This Row],[Data]])</f>
        <v>2</v>
      </c>
      <c r="S177" s="9" t="str">
        <f>YEAR(tblSprzedaz[[#This Row],[Data]])&amp;"-"&amp;RIGHT("0"&amp;MONTH(tblSprzedaz[[#This Row],[Data]]),2)</f>
        <v>2025-02</v>
      </c>
    </row>
    <row r="178" spans="1:19" x14ac:dyDescent="0.25">
      <c r="A178" s="7" t="s">
        <v>523</v>
      </c>
      <c r="B178" s="10">
        <v>45708</v>
      </c>
      <c r="C178" s="7" t="s">
        <v>524</v>
      </c>
      <c r="D178" s="8" t="s">
        <v>140</v>
      </c>
      <c r="E178" s="8" t="s">
        <v>73</v>
      </c>
      <c r="F178" s="8" t="s">
        <v>37</v>
      </c>
      <c r="G178" s="8" t="s">
        <v>34</v>
      </c>
      <c r="H178" s="8" t="s">
        <v>44</v>
      </c>
      <c r="I178" s="11">
        <v>8</v>
      </c>
      <c r="J178" s="12">
        <v>110.2</v>
      </c>
      <c r="K178" s="13">
        <v>0.15</v>
      </c>
      <c r="L178" s="12">
        <v>88.42</v>
      </c>
      <c r="M178" s="14">
        <f>ROUND(tblSprzedaz[[#This Row],[Ilość]]*tblSprzedaz[[#This Row],[Cena netto jednostkowa]]*(1-tblSprzedaz[[#This Row],[Rabat %]]),2)</f>
        <v>749.36</v>
      </c>
      <c r="N178" s="14">
        <f>ROUND(tblSprzedaz[[#This Row],[Ilość]]*tblSprzedaz[[#This Row],[Koszt jednostkowy netto]],2)</f>
        <v>707.36</v>
      </c>
      <c r="O178" s="14">
        <f>tblSprzedaz[[#This Row],[Przychód netto]]-tblSprzedaz[[#This Row],[Koszt całkowity netto]]</f>
        <v>42</v>
      </c>
      <c r="P178" s="15">
        <f>IFERROR(tblSprzedaz[[#This Row],[Marża kwotowa]]/tblSprzedaz[[#This Row],[Przychód netto]],0)</f>
        <v>5.6047827479449128E-2</v>
      </c>
      <c r="Q178" s="16">
        <f>YEAR(tblSprzedaz[[#This Row],[Data]])</f>
        <v>2025</v>
      </c>
      <c r="R178" s="16">
        <f>MONTH(tblSprzedaz[[#This Row],[Data]])</f>
        <v>2</v>
      </c>
      <c r="S178" s="9" t="str">
        <f>YEAR(tblSprzedaz[[#This Row],[Data]])&amp;"-"&amp;RIGHT("0"&amp;MONTH(tblSprzedaz[[#This Row],[Data]]),2)</f>
        <v>2025-02</v>
      </c>
    </row>
    <row r="179" spans="1:19" x14ac:dyDescent="0.25">
      <c r="A179" s="7" t="s">
        <v>525</v>
      </c>
      <c r="B179" s="10">
        <v>45708</v>
      </c>
      <c r="C179" s="7" t="s">
        <v>526</v>
      </c>
      <c r="D179" s="8" t="s">
        <v>82</v>
      </c>
      <c r="E179" s="8" t="s">
        <v>75</v>
      </c>
      <c r="F179" s="8" t="s">
        <v>37</v>
      </c>
      <c r="G179" s="8" t="s">
        <v>34</v>
      </c>
      <c r="H179" s="8" t="s">
        <v>44</v>
      </c>
      <c r="I179" s="11">
        <v>6</v>
      </c>
      <c r="J179" s="12">
        <v>142.5</v>
      </c>
      <c r="K179" s="13">
        <v>0</v>
      </c>
      <c r="L179" s="12">
        <v>105.32</v>
      </c>
      <c r="M179" s="14">
        <f>ROUND(tblSprzedaz[[#This Row],[Ilość]]*tblSprzedaz[[#This Row],[Cena netto jednostkowa]]*(1-tblSprzedaz[[#This Row],[Rabat %]]),2)</f>
        <v>855</v>
      </c>
      <c r="N179" s="14">
        <f>ROUND(tblSprzedaz[[#This Row],[Ilość]]*tblSprzedaz[[#This Row],[Koszt jednostkowy netto]],2)</f>
        <v>631.91999999999996</v>
      </c>
      <c r="O179" s="14">
        <f>tblSprzedaz[[#This Row],[Przychód netto]]-tblSprzedaz[[#This Row],[Koszt całkowity netto]]</f>
        <v>223.08000000000004</v>
      </c>
      <c r="P179" s="15">
        <f>IFERROR(tblSprzedaz[[#This Row],[Marża kwotowa]]/tblSprzedaz[[#This Row],[Przychód netto]],0)</f>
        <v>0.26091228070175443</v>
      </c>
      <c r="Q179" s="16">
        <f>YEAR(tblSprzedaz[[#This Row],[Data]])</f>
        <v>2025</v>
      </c>
      <c r="R179" s="16">
        <f>MONTH(tblSprzedaz[[#This Row],[Data]])</f>
        <v>2</v>
      </c>
      <c r="S179" s="9" t="str">
        <f>YEAR(tblSprzedaz[[#This Row],[Data]])&amp;"-"&amp;RIGHT("0"&amp;MONTH(tblSprzedaz[[#This Row],[Data]]),2)</f>
        <v>2025-02</v>
      </c>
    </row>
    <row r="180" spans="1:19" x14ac:dyDescent="0.25">
      <c r="A180" s="7" t="s">
        <v>527</v>
      </c>
      <c r="B180" s="10">
        <v>45709</v>
      </c>
      <c r="C180" s="7" t="s">
        <v>528</v>
      </c>
      <c r="D180" s="8" t="s">
        <v>139</v>
      </c>
      <c r="E180" s="8" t="s">
        <v>71</v>
      </c>
      <c r="F180" s="8" t="s">
        <v>35</v>
      </c>
      <c r="G180" s="8" t="s">
        <v>32</v>
      </c>
      <c r="H180" s="8" t="s">
        <v>42</v>
      </c>
      <c r="I180" s="11">
        <v>15</v>
      </c>
      <c r="J180" s="12">
        <v>55.76</v>
      </c>
      <c r="K180" s="13">
        <v>0.1</v>
      </c>
      <c r="L180" s="12">
        <v>39.630000000000003</v>
      </c>
      <c r="M180" s="14">
        <f>ROUND(tblSprzedaz[[#This Row],[Ilość]]*tblSprzedaz[[#This Row],[Cena netto jednostkowa]]*(1-tblSprzedaz[[#This Row],[Rabat %]]),2)</f>
        <v>752.76</v>
      </c>
      <c r="N180" s="14">
        <f>ROUND(tblSprzedaz[[#This Row],[Ilość]]*tblSprzedaz[[#This Row],[Koszt jednostkowy netto]],2)</f>
        <v>594.45000000000005</v>
      </c>
      <c r="O180" s="14">
        <f>tblSprzedaz[[#This Row],[Przychód netto]]-tblSprzedaz[[#This Row],[Koszt całkowity netto]]</f>
        <v>158.30999999999995</v>
      </c>
      <c r="P180" s="15">
        <f>IFERROR(tblSprzedaz[[#This Row],[Marża kwotowa]]/tblSprzedaz[[#This Row],[Przychód netto]],0)</f>
        <v>0.21030607364897172</v>
      </c>
      <c r="Q180" s="16">
        <f>YEAR(tblSprzedaz[[#This Row],[Data]])</f>
        <v>2025</v>
      </c>
      <c r="R180" s="16">
        <f>MONTH(tblSprzedaz[[#This Row],[Data]])</f>
        <v>2</v>
      </c>
      <c r="S180" s="9" t="str">
        <f>YEAR(tblSprzedaz[[#This Row],[Data]])&amp;"-"&amp;RIGHT("0"&amp;MONTH(tblSprzedaz[[#This Row],[Data]]),2)</f>
        <v>2025-02</v>
      </c>
    </row>
    <row r="181" spans="1:19" x14ac:dyDescent="0.25">
      <c r="A181" s="7" t="s">
        <v>529</v>
      </c>
      <c r="B181" s="10">
        <v>45709</v>
      </c>
      <c r="C181" s="7" t="s">
        <v>530</v>
      </c>
      <c r="D181" s="8" t="s">
        <v>150</v>
      </c>
      <c r="E181" s="8" t="s">
        <v>58</v>
      </c>
      <c r="F181" s="8" t="s">
        <v>31</v>
      </c>
      <c r="G181" s="8" t="s">
        <v>28</v>
      </c>
      <c r="H181" s="8" t="s">
        <v>38</v>
      </c>
      <c r="I181" s="11">
        <v>6</v>
      </c>
      <c r="J181" s="12">
        <v>350.7</v>
      </c>
      <c r="K181" s="13">
        <v>0.05</v>
      </c>
      <c r="L181" s="12">
        <v>219.38</v>
      </c>
      <c r="M181" s="14">
        <f>ROUND(tblSprzedaz[[#This Row],[Ilość]]*tblSprzedaz[[#This Row],[Cena netto jednostkowa]]*(1-tblSprzedaz[[#This Row],[Rabat %]]),2)</f>
        <v>1998.99</v>
      </c>
      <c r="N181" s="14">
        <f>ROUND(tblSprzedaz[[#This Row],[Ilość]]*tblSprzedaz[[#This Row],[Koszt jednostkowy netto]],2)</f>
        <v>1316.28</v>
      </c>
      <c r="O181" s="14">
        <f>tblSprzedaz[[#This Row],[Przychód netto]]-tblSprzedaz[[#This Row],[Koszt całkowity netto]]</f>
        <v>682.71</v>
      </c>
      <c r="P181" s="15">
        <f>IFERROR(tblSprzedaz[[#This Row],[Marża kwotowa]]/tblSprzedaz[[#This Row],[Przychód netto]],0)</f>
        <v>0.3415274713730434</v>
      </c>
      <c r="Q181" s="16">
        <f>YEAR(tblSprzedaz[[#This Row],[Data]])</f>
        <v>2025</v>
      </c>
      <c r="R181" s="16">
        <f>MONTH(tblSprzedaz[[#This Row],[Data]])</f>
        <v>2</v>
      </c>
      <c r="S181" s="9" t="str">
        <f>YEAR(tblSprzedaz[[#This Row],[Data]])&amp;"-"&amp;RIGHT("0"&amp;MONTH(tblSprzedaz[[#This Row],[Data]]),2)</f>
        <v>2025-02</v>
      </c>
    </row>
    <row r="182" spans="1:19" x14ac:dyDescent="0.25">
      <c r="A182" s="7" t="s">
        <v>531</v>
      </c>
      <c r="B182" s="10">
        <v>45709</v>
      </c>
      <c r="C182" s="7" t="s">
        <v>532</v>
      </c>
      <c r="D182" s="8" t="s">
        <v>92</v>
      </c>
      <c r="E182" s="8" t="s">
        <v>72</v>
      </c>
      <c r="F182" s="8" t="s">
        <v>37</v>
      </c>
      <c r="G182" s="8" t="s">
        <v>28</v>
      </c>
      <c r="H182" s="8" t="s">
        <v>39</v>
      </c>
      <c r="I182" s="11">
        <v>9</v>
      </c>
      <c r="J182" s="12">
        <v>94.05</v>
      </c>
      <c r="K182" s="13">
        <v>0</v>
      </c>
      <c r="L182" s="12">
        <v>73.209999999999994</v>
      </c>
      <c r="M182" s="14">
        <f>ROUND(tblSprzedaz[[#This Row],[Ilość]]*tblSprzedaz[[#This Row],[Cena netto jednostkowa]]*(1-tblSprzedaz[[#This Row],[Rabat %]]),2)</f>
        <v>846.45</v>
      </c>
      <c r="N182" s="14">
        <f>ROUND(tblSprzedaz[[#This Row],[Ilość]]*tblSprzedaz[[#This Row],[Koszt jednostkowy netto]],2)</f>
        <v>658.89</v>
      </c>
      <c r="O182" s="14">
        <f>tblSprzedaz[[#This Row],[Przychód netto]]-tblSprzedaz[[#This Row],[Koszt całkowity netto]]</f>
        <v>187.56000000000006</v>
      </c>
      <c r="P182" s="15">
        <f>IFERROR(tblSprzedaz[[#This Row],[Marża kwotowa]]/tblSprzedaz[[#This Row],[Przychód netto]],0)</f>
        <v>0.22158426368952691</v>
      </c>
      <c r="Q182" s="16">
        <f>YEAR(tblSprzedaz[[#This Row],[Data]])</f>
        <v>2025</v>
      </c>
      <c r="R182" s="16">
        <f>MONTH(tblSprzedaz[[#This Row],[Data]])</f>
        <v>2</v>
      </c>
      <c r="S182" s="9" t="str">
        <f>YEAR(tblSprzedaz[[#This Row],[Data]])&amp;"-"&amp;RIGHT("0"&amp;MONTH(tblSprzedaz[[#This Row],[Data]]),2)</f>
        <v>2025-02</v>
      </c>
    </row>
    <row r="183" spans="1:19" x14ac:dyDescent="0.25">
      <c r="A183" s="7" t="s">
        <v>533</v>
      </c>
      <c r="B183" s="10">
        <v>45709</v>
      </c>
      <c r="C183" s="7" t="s">
        <v>534</v>
      </c>
      <c r="D183" s="8" t="s">
        <v>151</v>
      </c>
      <c r="E183" s="8" t="s">
        <v>55</v>
      </c>
      <c r="F183" s="8" t="s">
        <v>31</v>
      </c>
      <c r="G183" s="8" t="s">
        <v>34</v>
      </c>
      <c r="H183" s="8" t="s">
        <v>45</v>
      </c>
      <c r="I183" s="11">
        <v>11</v>
      </c>
      <c r="J183" s="12">
        <v>243.6</v>
      </c>
      <c r="K183" s="13">
        <v>0</v>
      </c>
      <c r="L183" s="12">
        <v>160.30000000000001</v>
      </c>
      <c r="M183" s="14">
        <f>ROUND(tblSprzedaz[[#This Row],[Ilość]]*tblSprzedaz[[#This Row],[Cena netto jednostkowa]]*(1-tblSprzedaz[[#This Row],[Rabat %]]),2)</f>
        <v>2679.6</v>
      </c>
      <c r="N183" s="14">
        <f>ROUND(tblSprzedaz[[#This Row],[Ilość]]*tblSprzedaz[[#This Row],[Koszt jednostkowy netto]],2)</f>
        <v>1763.3</v>
      </c>
      <c r="O183" s="14">
        <f>tblSprzedaz[[#This Row],[Przychód netto]]-tblSprzedaz[[#This Row],[Koszt całkowity netto]]</f>
        <v>916.3</v>
      </c>
      <c r="P183" s="15">
        <f>IFERROR(tblSprzedaz[[#This Row],[Marża kwotowa]]/tblSprzedaz[[#This Row],[Przychód netto]],0)</f>
        <v>0.34195402298850575</v>
      </c>
      <c r="Q183" s="16">
        <f>YEAR(tblSprzedaz[[#This Row],[Data]])</f>
        <v>2025</v>
      </c>
      <c r="R183" s="16">
        <f>MONTH(tblSprzedaz[[#This Row],[Data]])</f>
        <v>2</v>
      </c>
      <c r="S183" s="9" t="str">
        <f>YEAR(tblSprzedaz[[#This Row],[Data]])&amp;"-"&amp;RIGHT("0"&amp;MONTH(tblSprzedaz[[#This Row],[Data]]),2)</f>
        <v>2025-02</v>
      </c>
    </row>
    <row r="184" spans="1:19" x14ac:dyDescent="0.25">
      <c r="A184" s="7" t="s">
        <v>535</v>
      </c>
      <c r="B184" s="10">
        <v>45709</v>
      </c>
      <c r="C184" s="7" t="s">
        <v>536</v>
      </c>
      <c r="D184" s="8" t="s">
        <v>93</v>
      </c>
      <c r="E184" s="8" t="s">
        <v>63</v>
      </c>
      <c r="F184" s="8" t="s">
        <v>33</v>
      </c>
      <c r="G184" s="8" t="s">
        <v>30</v>
      </c>
      <c r="H184" s="8" t="s">
        <v>40</v>
      </c>
      <c r="I184" s="11">
        <v>14</v>
      </c>
      <c r="J184" s="12">
        <v>690</v>
      </c>
      <c r="K184" s="13">
        <v>0</v>
      </c>
      <c r="L184" s="12">
        <v>473.17</v>
      </c>
      <c r="M184" s="14">
        <f>ROUND(tblSprzedaz[[#This Row],[Ilość]]*tblSprzedaz[[#This Row],[Cena netto jednostkowa]]*(1-tblSprzedaz[[#This Row],[Rabat %]]),2)</f>
        <v>9660</v>
      </c>
      <c r="N184" s="14">
        <f>ROUND(tblSprzedaz[[#This Row],[Ilość]]*tblSprzedaz[[#This Row],[Koszt jednostkowy netto]],2)</f>
        <v>6624.38</v>
      </c>
      <c r="O184" s="14">
        <f>tblSprzedaz[[#This Row],[Przychód netto]]-tblSprzedaz[[#This Row],[Koszt całkowity netto]]</f>
        <v>3035.62</v>
      </c>
      <c r="P184" s="15">
        <f>IFERROR(tblSprzedaz[[#This Row],[Marża kwotowa]]/tblSprzedaz[[#This Row],[Przychód netto]],0)</f>
        <v>0.31424637681159417</v>
      </c>
      <c r="Q184" s="16">
        <f>YEAR(tblSprzedaz[[#This Row],[Data]])</f>
        <v>2025</v>
      </c>
      <c r="R184" s="16">
        <f>MONTH(tblSprzedaz[[#This Row],[Data]])</f>
        <v>2</v>
      </c>
      <c r="S184" s="9" t="str">
        <f>YEAR(tblSprzedaz[[#This Row],[Data]])&amp;"-"&amp;RIGHT("0"&amp;MONTH(tblSprzedaz[[#This Row],[Data]]),2)</f>
        <v>2025-02</v>
      </c>
    </row>
    <row r="185" spans="1:19" x14ac:dyDescent="0.25">
      <c r="A185" s="7" t="s">
        <v>537</v>
      </c>
      <c r="B185" s="10">
        <v>45710</v>
      </c>
      <c r="C185" s="7" t="s">
        <v>538</v>
      </c>
      <c r="D185" s="8" t="s">
        <v>105</v>
      </c>
      <c r="E185" s="8" t="s">
        <v>48</v>
      </c>
      <c r="F185" s="8" t="s">
        <v>29</v>
      </c>
      <c r="G185" s="8" t="s">
        <v>36</v>
      </c>
      <c r="H185" s="8" t="s">
        <v>47</v>
      </c>
      <c r="I185" s="11">
        <v>14</v>
      </c>
      <c r="J185" s="12">
        <v>33.659999999999997</v>
      </c>
      <c r="K185" s="13">
        <v>0</v>
      </c>
      <c r="L185" s="12">
        <v>18.93</v>
      </c>
      <c r="M185" s="14">
        <f>ROUND(tblSprzedaz[[#This Row],[Ilość]]*tblSprzedaz[[#This Row],[Cena netto jednostkowa]]*(1-tblSprzedaz[[#This Row],[Rabat %]]),2)</f>
        <v>471.24</v>
      </c>
      <c r="N185" s="14">
        <f>ROUND(tblSprzedaz[[#This Row],[Ilość]]*tblSprzedaz[[#This Row],[Koszt jednostkowy netto]],2)</f>
        <v>265.02</v>
      </c>
      <c r="O185" s="14">
        <f>tblSprzedaz[[#This Row],[Przychód netto]]-tblSprzedaz[[#This Row],[Koszt całkowity netto]]</f>
        <v>206.22000000000003</v>
      </c>
      <c r="P185" s="15">
        <f>IFERROR(tblSprzedaz[[#This Row],[Marża kwotowa]]/tblSprzedaz[[#This Row],[Przychód netto]],0)</f>
        <v>0.43761140819964356</v>
      </c>
      <c r="Q185" s="16">
        <f>YEAR(tblSprzedaz[[#This Row],[Data]])</f>
        <v>2025</v>
      </c>
      <c r="R185" s="16">
        <f>MONTH(tblSprzedaz[[#This Row],[Data]])</f>
        <v>2</v>
      </c>
      <c r="S185" s="9" t="str">
        <f>YEAR(tblSprzedaz[[#This Row],[Data]])&amp;"-"&amp;RIGHT("0"&amp;MONTH(tblSprzedaz[[#This Row],[Data]]),2)</f>
        <v>2025-02</v>
      </c>
    </row>
    <row r="186" spans="1:19" x14ac:dyDescent="0.25">
      <c r="A186" s="7" t="s">
        <v>539</v>
      </c>
      <c r="B186" s="10">
        <v>45711</v>
      </c>
      <c r="C186" s="7" t="s">
        <v>540</v>
      </c>
      <c r="D186" s="8" t="s">
        <v>113</v>
      </c>
      <c r="E186" s="8" t="s">
        <v>63</v>
      </c>
      <c r="F186" s="8" t="s">
        <v>33</v>
      </c>
      <c r="G186" s="8" t="s">
        <v>34</v>
      </c>
      <c r="H186" s="8" t="s">
        <v>45</v>
      </c>
      <c r="I186" s="11">
        <v>8</v>
      </c>
      <c r="J186" s="12">
        <v>690</v>
      </c>
      <c r="K186" s="13">
        <v>0</v>
      </c>
      <c r="L186" s="12">
        <v>470.9</v>
      </c>
      <c r="M186" s="14">
        <f>ROUND(tblSprzedaz[[#This Row],[Ilość]]*tblSprzedaz[[#This Row],[Cena netto jednostkowa]]*(1-tblSprzedaz[[#This Row],[Rabat %]]),2)</f>
        <v>5520</v>
      </c>
      <c r="N186" s="14">
        <f>ROUND(tblSprzedaz[[#This Row],[Ilość]]*tblSprzedaz[[#This Row],[Koszt jednostkowy netto]],2)</f>
        <v>3767.2</v>
      </c>
      <c r="O186" s="14">
        <f>tblSprzedaz[[#This Row],[Przychód netto]]-tblSprzedaz[[#This Row],[Koszt całkowity netto]]</f>
        <v>1752.8000000000002</v>
      </c>
      <c r="P186" s="15">
        <f>IFERROR(tblSprzedaz[[#This Row],[Marża kwotowa]]/tblSprzedaz[[#This Row],[Przychód netto]],0)</f>
        <v>0.317536231884058</v>
      </c>
      <c r="Q186" s="16">
        <f>YEAR(tblSprzedaz[[#This Row],[Data]])</f>
        <v>2025</v>
      </c>
      <c r="R186" s="16">
        <f>MONTH(tblSprzedaz[[#This Row],[Data]])</f>
        <v>2</v>
      </c>
      <c r="S186" s="9" t="str">
        <f>YEAR(tblSprzedaz[[#This Row],[Data]])&amp;"-"&amp;RIGHT("0"&amp;MONTH(tblSprzedaz[[#This Row],[Data]]),2)</f>
        <v>2025-02</v>
      </c>
    </row>
    <row r="187" spans="1:19" x14ac:dyDescent="0.25">
      <c r="A187" s="7" t="s">
        <v>541</v>
      </c>
      <c r="B187" s="10">
        <v>45711</v>
      </c>
      <c r="C187" s="7" t="s">
        <v>542</v>
      </c>
      <c r="D187" s="8" t="s">
        <v>124</v>
      </c>
      <c r="E187" s="8" t="s">
        <v>66</v>
      </c>
      <c r="F187" s="8" t="s">
        <v>35</v>
      </c>
      <c r="G187" s="8" t="s">
        <v>36</v>
      </c>
      <c r="H187" s="8" t="s">
        <v>47</v>
      </c>
      <c r="I187" s="11">
        <v>1</v>
      </c>
      <c r="J187" s="12">
        <v>67.319999999999993</v>
      </c>
      <c r="K187" s="13">
        <v>0</v>
      </c>
      <c r="L187" s="12">
        <v>48.68</v>
      </c>
      <c r="M187" s="14">
        <f>ROUND(tblSprzedaz[[#This Row],[Ilość]]*tblSprzedaz[[#This Row],[Cena netto jednostkowa]]*(1-tblSprzedaz[[#This Row],[Rabat %]]),2)</f>
        <v>67.319999999999993</v>
      </c>
      <c r="N187" s="14">
        <f>ROUND(tblSprzedaz[[#This Row],[Ilość]]*tblSprzedaz[[#This Row],[Koszt jednostkowy netto]],2)</f>
        <v>48.68</v>
      </c>
      <c r="O187" s="14">
        <f>tblSprzedaz[[#This Row],[Przychód netto]]-tblSprzedaz[[#This Row],[Koszt całkowity netto]]</f>
        <v>18.639999999999993</v>
      </c>
      <c r="P187" s="15">
        <f>IFERROR(tblSprzedaz[[#This Row],[Marża kwotowa]]/tblSprzedaz[[#This Row],[Przychód netto]],0)</f>
        <v>0.27688651218062976</v>
      </c>
      <c r="Q187" s="16">
        <f>YEAR(tblSprzedaz[[#This Row],[Data]])</f>
        <v>2025</v>
      </c>
      <c r="R187" s="16">
        <f>MONTH(tblSprzedaz[[#This Row],[Data]])</f>
        <v>2</v>
      </c>
      <c r="S187" s="9" t="str">
        <f>YEAR(tblSprzedaz[[#This Row],[Data]])&amp;"-"&amp;RIGHT("0"&amp;MONTH(tblSprzedaz[[#This Row],[Data]]),2)</f>
        <v>2025-02</v>
      </c>
    </row>
    <row r="188" spans="1:19" x14ac:dyDescent="0.25">
      <c r="A188" s="7" t="s">
        <v>543</v>
      </c>
      <c r="B188" s="10">
        <v>45712</v>
      </c>
      <c r="C188" s="7" t="s">
        <v>544</v>
      </c>
      <c r="D188" s="8" t="s">
        <v>149</v>
      </c>
      <c r="E188" s="8" t="s">
        <v>52</v>
      </c>
      <c r="F188" s="8" t="s">
        <v>29</v>
      </c>
      <c r="G188" s="8" t="s">
        <v>32</v>
      </c>
      <c r="H188" s="8" t="s">
        <v>42</v>
      </c>
      <c r="I188" s="11">
        <v>5</v>
      </c>
      <c r="J188" s="12">
        <v>56.78</v>
      </c>
      <c r="K188" s="13">
        <v>0.05</v>
      </c>
      <c r="L188" s="12">
        <v>32.340000000000003</v>
      </c>
      <c r="M188" s="14">
        <f>ROUND(tblSprzedaz[[#This Row],[Ilość]]*tblSprzedaz[[#This Row],[Cena netto jednostkowa]]*(1-tblSprzedaz[[#This Row],[Rabat %]]),2)</f>
        <v>269.70999999999998</v>
      </c>
      <c r="N188" s="14">
        <f>ROUND(tblSprzedaz[[#This Row],[Ilość]]*tblSprzedaz[[#This Row],[Koszt jednostkowy netto]],2)</f>
        <v>161.69999999999999</v>
      </c>
      <c r="O188" s="14">
        <f>tblSprzedaz[[#This Row],[Przychód netto]]-tblSprzedaz[[#This Row],[Koszt całkowity netto]]</f>
        <v>108.00999999999999</v>
      </c>
      <c r="P188" s="15">
        <f>IFERROR(tblSprzedaz[[#This Row],[Marża kwotowa]]/tblSprzedaz[[#This Row],[Przychód netto]],0)</f>
        <v>0.40046716844017649</v>
      </c>
      <c r="Q188" s="16">
        <f>YEAR(tblSprzedaz[[#This Row],[Data]])</f>
        <v>2025</v>
      </c>
      <c r="R188" s="16">
        <f>MONTH(tblSprzedaz[[#This Row],[Data]])</f>
        <v>2</v>
      </c>
      <c r="S188" s="9" t="str">
        <f>YEAR(tblSprzedaz[[#This Row],[Data]])&amp;"-"&amp;RIGHT("0"&amp;MONTH(tblSprzedaz[[#This Row],[Data]]),2)</f>
        <v>2025-02</v>
      </c>
    </row>
    <row r="189" spans="1:19" x14ac:dyDescent="0.25">
      <c r="A189" s="7" t="s">
        <v>545</v>
      </c>
      <c r="B189" s="10">
        <v>45712</v>
      </c>
      <c r="C189" s="7" t="s">
        <v>546</v>
      </c>
      <c r="D189" s="8" t="s">
        <v>89</v>
      </c>
      <c r="E189" s="8" t="s">
        <v>54</v>
      </c>
      <c r="F189" s="8" t="s">
        <v>31</v>
      </c>
      <c r="G189" s="8" t="s">
        <v>36</v>
      </c>
      <c r="H189" s="8" t="s">
        <v>46</v>
      </c>
      <c r="I189" s="11">
        <v>15</v>
      </c>
      <c r="J189" s="12">
        <v>207.9</v>
      </c>
      <c r="K189" s="13">
        <v>0.1</v>
      </c>
      <c r="L189" s="12">
        <v>123.87</v>
      </c>
      <c r="M189" s="14">
        <f>ROUND(tblSprzedaz[[#This Row],[Ilość]]*tblSprzedaz[[#This Row],[Cena netto jednostkowa]]*(1-tblSprzedaz[[#This Row],[Rabat %]]),2)</f>
        <v>2806.65</v>
      </c>
      <c r="N189" s="14">
        <f>ROUND(tblSprzedaz[[#This Row],[Ilość]]*tblSprzedaz[[#This Row],[Koszt jednostkowy netto]],2)</f>
        <v>1858.05</v>
      </c>
      <c r="O189" s="14">
        <f>tblSprzedaz[[#This Row],[Przychód netto]]-tblSprzedaz[[#This Row],[Koszt całkowity netto]]</f>
        <v>948.60000000000014</v>
      </c>
      <c r="P189" s="15">
        <f>IFERROR(tblSprzedaz[[#This Row],[Marża kwotowa]]/tblSprzedaz[[#This Row],[Przychód netto]],0)</f>
        <v>0.33798300464967135</v>
      </c>
      <c r="Q189" s="16">
        <f>YEAR(tblSprzedaz[[#This Row],[Data]])</f>
        <v>2025</v>
      </c>
      <c r="R189" s="16">
        <f>MONTH(tblSprzedaz[[#This Row],[Data]])</f>
        <v>2</v>
      </c>
      <c r="S189" s="9" t="str">
        <f>YEAR(tblSprzedaz[[#This Row],[Data]])&amp;"-"&amp;RIGHT("0"&amp;MONTH(tblSprzedaz[[#This Row],[Data]]),2)</f>
        <v>2025-02</v>
      </c>
    </row>
    <row r="190" spans="1:19" x14ac:dyDescent="0.25">
      <c r="A190" s="7" t="s">
        <v>547</v>
      </c>
      <c r="B190" s="10">
        <v>45712</v>
      </c>
      <c r="C190" s="7" t="s">
        <v>548</v>
      </c>
      <c r="D190" s="8" t="s">
        <v>143</v>
      </c>
      <c r="E190" s="8" t="s">
        <v>57</v>
      </c>
      <c r="F190" s="8" t="s">
        <v>31</v>
      </c>
      <c r="G190" s="8" t="s">
        <v>34</v>
      </c>
      <c r="H190" s="8" t="s">
        <v>45</v>
      </c>
      <c r="I190" s="11">
        <v>11</v>
      </c>
      <c r="J190" s="12">
        <v>315</v>
      </c>
      <c r="K190" s="13">
        <v>0.05</v>
      </c>
      <c r="L190" s="12">
        <v>190.21</v>
      </c>
      <c r="M190" s="14">
        <f>ROUND(tblSprzedaz[[#This Row],[Ilość]]*tblSprzedaz[[#This Row],[Cena netto jednostkowa]]*(1-tblSprzedaz[[#This Row],[Rabat %]]),2)</f>
        <v>3291.75</v>
      </c>
      <c r="N190" s="14">
        <f>ROUND(tblSprzedaz[[#This Row],[Ilość]]*tblSprzedaz[[#This Row],[Koszt jednostkowy netto]],2)</f>
        <v>2092.31</v>
      </c>
      <c r="O190" s="14">
        <f>tblSprzedaz[[#This Row],[Przychód netto]]-tblSprzedaz[[#This Row],[Koszt całkowity netto]]</f>
        <v>1199.44</v>
      </c>
      <c r="P190" s="15">
        <f>IFERROR(tblSprzedaz[[#This Row],[Marża kwotowa]]/tblSprzedaz[[#This Row],[Przychód netto]],0)</f>
        <v>0.36437761069340019</v>
      </c>
      <c r="Q190" s="16">
        <f>YEAR(tblSprzedaz[[#This Row],[Data]])</f>
        <v>2025</v>
      </c>
      <c r="R190" s="16">
        <f>MONTH(tblSprzedaz[[#This Row],[Data]])</f>
        <v>2</v>
      </c>
      <c r="S190" s="9" t="str">
        <f>YEAR(tblSprzedaz[[#This Row],[Data]])&amp;"-"&amp;RIGHT("0"&amp;MONTH(tblSprzedaz[[#This Row],[Data]]),2)</f>
        <v>2025-02</v>
      </c>
    </row>
    <row r="191" spans="1:19" x14ac:dyDescent="0.25">
      <c r="A191" s="7" t="s">
        <v>549</v>
      </c>
      <c r="B191" s="10">
        <v>45713</v>
      </c>
      <c r="C191" s="7" t="s">
        <v>550</v>
      </c>
      <c r="D191" s="8" t="s">
        <v>127</v>
      </c>
      <c r="E191" s="8" t="s">
        <v>63</v>
      </c>
      <c r="F191" s="8" t="s">
        <v>33</v>
      </c>
      <c r="G191" s="8" t="s">
        <v>28</v>
      </c>
      <c r="H191" s="8" t="s">
        <v>39</v>
      </c>
      <c r="I191" s="11">
        <v>14</v>
      </c>
      <c r="J191" s="12">
        <v>690</v>
      </c>
      <c r="K191" s="13">
        <v>0</v>
      </c>
      <c r="L191" s="12">
        <v>443.11</v>
      </c>
      <c r="M191" s="14">
        <f>ROUND(tblSprzedaz[[#This Row],[Ilość]]*tblSprzedaz[[#This Row],[Cena netto jednostkowa]]*(1-tblSprzedaz[[#This Row],[Rabat %]]),2)</f>
        <v>9660</v>
      </c>
      <c r="N191" s="14">
        <f>ROUND(tblSprzedaz[[#This Row],[Ilość]]*tblSprzedaz[[#This Row],[Koszt jednostkowy netto]],2)</f>
        <v>6203.54</v>
      </c>
      <c r="O191" s="14">
        <f>tblSprzedaz[[#This Row],[Przychód netto]]-tblSprzedaz[[#This Row],[Koszt całkowity netto]]</f>
        <v>3456.46</v>
      </c>
      <c r="P191" s="15">
        <f>IFERROR(tblSprzedaz[[#This Row],[Marża kwotowa]]/tblSprzedaz[[#This Row],[Przychód netto]],0)</f>
        <v>0.35781159420289854</v>
      </c>
      <c r="Q191" s="16">
        <f>YEAR(tblSprzedaz[[#This Row],[Data]])</f>
        <v>2025</v>
      </c>
      <c r="R191" s="16">
        <f>MONTH(tblSprzedaz[[#This Row],[Data]])</f>
        <v>2</v>
      </c>
      <c r="S191" s="9" t="str">
        <f>YEAR(tblSprzedaz[[#This Row],[Data]])&amp;"-"&amp;RIGHT("0"&amp;MONTH(tblSprzedaz[[#This Row],[Data]]),2)</f>
        <v>2025-02</v>
      </c>
    </row>
    <row r="192" spans="1:19" x14ac:dyDescent="0.25">
      <c r="A192" s="7" t="s">
        <v>551</v>
      </c>
      <c r="B192" s="10">
        <v>45713</v>
      </c>
      <c r="C192" s="7" t="s">
        <v>552</v>
      </c>
      <c r="D192" s="8" t="s">
        <v>107</v>
      </c>
      <c r="E192" s="8" t="s">
        <v>75</v>
      </c>
      <c r="F192" s="8" t="s">
        <v>37</v>
      </c>
      <c r="G192" s="8" t="s">
        <v>28</v>
      </c>
      <c r="H192" s="8" t="s">
        <v>38</v>
      </c>
      <c r="I192" s="11">
        <v>11</v>
      </c>
      <c r="J192" s="12">
        <v>142.5</v>
      </c>
      <c r="K192" s="13">
        <v>0.05</v>
      </c>
      <c r="L192" s="12">
        <v>109.23</v>
      </c>
      <c r="M192" s="14">
        <f>ROUND(tblSprzedaz[[#This Row],[Ilość]]*tblSprzedaz[[#This Row],[Cena netto jednostkowa]]*(1-tblSprzedaz[[#This Row],[Rabat %]]),2)</f>
        <v>1489.13</v>
      </c>
      <c r="N192" s="14">
        <f>ROUND(tblSprzedaz[[#This Row],[Ilość]]*tblSprzedaz[[#This Row],[Koszt jednostkowy netto]],2)</f>
        <v>1201.53</v>
      </c>
      <c r="O192" s="14">
        <f>tblSprzedaz[[#This Row],[Przychód netto]]-tblSprzedaz[[#This Row],[Koszt całkowity netto]]</f>
        <v>287.60000000000014</v>
      </c>
      <c r="P192" s="15">
        <f>IFERROR(tblSprzedaz[[#This Row],[Marża kwotowa]]/tblSprzedaz[[#This Row],[Przychód netto]],0)</f>
        <v>0.19313290310449732</v>
      </c>
      <c r="Q192" s="16">
        <f>YEAR(tblSprzedaz[[#This Row],[Data]])</f>
        <v>2025</v>
      </c>
      <c r="R192" s="16">
        <f>MONTH(tblSprzedaz[[#This Row],[Data]])</f>
        <v>2</v>
      </c>
      <c r="S192" s="9" t="str">
        <f>YEAR(tblSprzedaz[[#This Row],[Data]])&amp;"-"&amp;RIGHT("0"&amp;MONTH(tblSprzedaz[[#This Row],[Data]]),2)</f>
        <v>2025-02</v>
      </c>
    </row>
    <row r="193" spans="1:19" x14ac:dyDescent="0.25">
      <c r="A193" s="7" t="s">
        <v>553</v>
      </c>
      <c r="B193" s="10">
        <v>45713</v>
      </c>
      <c r="C193" s="7" t="s">
        <v>554</v>
      </c>
      <c r="D193" s="8" t="s">
        <v>80</v>
      </c>
      <c r="E193" s="8" t="s">
        <v>70</v>
      </c>
      <c r="F193" s="8" t="s">
        <v>35</v>
      </c>
      <c r="G193" s="8" t="s">
        <v>30</v>
      </c>
      <c r="H193" s="8" t="s">
        <v>40</v>
      </c>
      <c r="I193" s="11">
        <v>1</v>
      </c>
      <c r="J193" s="12">
        <v>113.56</v>
      </c>
      <c r="K193" s="13">
        <v>0</v>
      </c>
      <c r="L193" s="12">
        <v>84.4</v>
      </c>
      <c r="M193" s="14">
        <f>ROUND(tblSprzedaz[[#This Row],[Ilość]]*tblSprzedaz[[#This Row],[Cena netto jednostkowa]]*(1-tblSprzedaz[[#This Row],[Rabat %]]),2)</f>
        <v>113.56</v>
      </c>
      <c r="N193" s="14">
        <f>ROUND(tblSprzedaz[[#This Row],[Ilość]]*tblSprzedaz[[#This Row],[Koszt jednostkowy netto]],2)</f>
        <v>84.4</v>
      </c>
      <c r="O193" s="14">
        <f>tblSprzedaz[[#This Row],[Przychód netto]]-tblSprzedaz[[#This Row],[Koszt całkowity netto]]</f>
        <v>29.159999999999997</v>
      </c>
      <c r="P193" s="15">
        <f>IFERROR(tblSprzedaz[[#This Row],[Marża kwotowa]]/tblSprzedaz[[#This Row],[Przychód netto]],0)</f>
        <v>0.25678055653399079</v>
      </c>
      <c r="Q193" s="16">
        <f>YEAR(tblSprzedaz[[#This Row],[Data]])</f>
        <v>2025</v>
      </c>
      <c r="R193" s="16">
        <f>MONTH(tblSprzedaz[[#This Row],[Data]])</f>
        <v>2</v>
      </c>
      <c r="S193" s="9" t="str">
        <f>YEAR(tblSprzedaz[[#This Row],[Data]])&amp;"-"&amp;RIGHT("0"&amp;MONTH(tblSprzedaz[[#This Row],[Data]]),2)</f>
        <v>2025-02</v>
      </c>
    </row>
    <row r="194" spans="1:19" x14ac:dyDescent="0.25">
      <c r="A194" s="7" t="s">
        <v>555</v>
      </c>
      <c r="B194" s="10">
        <v>45713</v>
      </c>
      <c r="C194" s="7" t="s">
        <v>556</v>
      </c>
      <c r="D194" s="8" t="s">
        <v>91</v>
      </c>
      <c r="E194" s="8" t="s">
        <v>54</v>
      </c>
      <c r="F194" s="8" t="s">
        <v>31</v>
      </c>
      <c r="G194" s="8" t="s">
        <v>28</v>
      </c>
      <c r="H194" s="8" t="s">
        <v>39</v>
      </c>
      <c r="I194" s="11">
        <v>7</v>
      </c>
      <c r="J194" s="12">
        <v>207.9</v>
      </c>
      <c r="K194" s="13">
        <v>0</v>
      </c>
      <c r="L194" s="12">
        <v>127.69</v>
      </c>
      <c r="M194" s="14">
        <f>ROUND(tblSprzedaz[[#This Row],[Ilość]]*tblSprzedaz[[#This Row],[Cena netto jednostkowa]]*(1-tblSprzedaz[[#This Row],[Rabat %]]),2)</f>
        <v>1455.3</v>
      </c>
      <c r="N194" s="14">
        <f>ROUND(tblSprzedaz[[#This Row],[Ilość]]*tblSprzedaz[[#This Row],[Koszt jednostkowy netto]],2)</f>
        <v>893.83</v>
      </c>
      <c r="O194" s="14">
        <f>tblSprzedaz[[#This Row],[Przychód netto]]-tblSprzedaz[[#This Row],[Koszt całkowity netto]]</f>
        <v>561.46999999999991</v>
      </c>
      <c r="P194" s="15">
        <f>IFERROR(tblSprzedaz[[#This Row],[Marża kwotowa]]/tblSprzedaz[[#This Row],[Przychód netto]],0)</f>
        <v>0.38581048581048577</v>
      </c>
      <c r="Q194" s="16">
        <f>YEAR(tblSprzedaz[[#This Row],[Data]])</f>
        <v>2025</v>
      </c>
      <c r="R194" s="16">
        <f>MONTH(tblSprzedaz[[#This Row],[Data]])</f>
        <v>2</v>
      </c>
      <c r="S194" s="9" t="str">
        <f>YEAR(tblSprzedaz[[#This Row],[Data]])&amp;"-"&amp;RIGHT("0"&amp;MONTH(tblSprzedaz[[#This Row],[Data]]),2)</f>
        <v>2025-02</v>
      </c>
    </row>
    <row r="195" spans="1:19" x14ac:dyDescent="0.25">
      <c r="A195" s="7" t="s">
        <v>557</v>
      </c>
      <c r="B195" s="10">
        <v>45713</v>
      </c>
      <c r="C195" s="7" t="s">
        <v>558</v>
      </c>
      <c r="D195" s="8" t="s">
        <v>142</v>
      </c>
      <c r="E195" s="8" t="s">
        <v>63</v>
      </c>
      <c r="F195" s="8" t="s">
        <v>33</v>
      </c>
      <c r="G195" s="8" t="s">
        <v>30</v>
      </c>
      <c r="H195" s="8" t="s">
        <v>40</v>
      </c>
      <c r="I195" s="11">
        <v>16</v>
      </c>
      <c r="J195" s="12">
        <v>690</v>
      </c>
      <c r="K195" s="13">
        <v>0</v>
      </c>
      <c r="L195" s="12">
        <v>480.33</v>
      </c>
      <c r="M195" s="14">
        <f>ROUND(tblSprzedaz[[#This Row],[Ilość]]*tblSprzedaz[[#This Row],[Cena netto jednostkowa]]*(1-tblSprzedaz[[#This Row],[Rabat %]]),2)</f>
        <v>11040</v>
      </c>
      <c r="N195" s="14">
        <f>ROUND(tblSprzedaz[[#This Row],[Ilość]]*tblSprzedaz[[#This Row],[Koszt jednostkowy netto]],2)</f>
        <v>7685.28</v>
      </c>
      <c r="O195" s="14">
        <f>tblSprzedaz[[#This Row],[Przychód netto]]-tblSprzedaz[[#This Row],[Koszt całkowity netto]]</f>
        <v>3354.7200000000003</v>
      </c>
      <c r="P195" s="15">
        <f>IFERROR(tblSprzedaz[[#This Row],[Marża kwotowa]]/tblSprzedaz[[#This Row],[Przychód netto]],0)</f>
        <v>0.30386956521739134</v>
      </c>
      <c r="Q195" s="16">
        <f>YEAR(tblSprzedaz[[#This Row],[Data]])</f>
        <v>2025</v>
      </c>
      <c r="R195" s="16">
        <f>MONTH(tblSprzedaz[[#This Row],[Data]])</f>
        <v>2</v>
      </c>
      <c r="S195" s="9" t="str">
        <f>YEAR(tblSprzedaz[[#This Row],[Data]])&amp;"-"&amp;RIGHT("0"&amp;MONTH(tblSprzedaz[[#This Row],[Data]]),2)</f>
        <v>2025-02</v>
      </c>
    </row>
    <row r="196" spans="1:19" x14ac:dyDescent="0.25">
      <c r="A196" s="7" t="s">
        <v>559</v>
      </c>
      <c r="B196" s="10">
        <v>45714</v>
      </c>
      <c r="C196" s="7" t="s">
        <v>560</v>
      </c>
      <c r="D196" s="8" t="s">
        <v>126</v>
      </c>
      <c r="E196" s="8" t="s">
        <v>62</v>
      </c>
      <c r="F196" s="8" t="s">
        <v>33</v>
      </c>
      <c r="G196" s="8" t="s">
        <v>36</v>
      </c>
      <c r="H196" s="8" t="s">
        <v>46</v>
      </c>
      <c r="I196" s="11">
        <v>7</v>
      </c>
      <c r="J196" s="12">
        <v>611.79999999999995</v>
      </c>
      <c r="K196" s="13">
        <v>0.05</v>
      </c>
      <c r="L196" s="12">
        <v>410.54</v>
      </c>
      <c r="M196" s="14">
        <f>ROUND(tblSprzedaz[[#This Row],[Ilość]]*tblSprzedaz[[#This Row],[Cena netto jednostkowa]]*(1-tblSprzedaz[[#This Row],[Rabat %]]),2)</f>
        <v>4068.47</v>
      </c>
      <c r="N196" s="14">
        <f>ROUND(tblSprzedaz[[#This Row],[Ilość]]*tblSprzedaz[[#This Row],[Koszt jednostkowy netto]],2)</f>
        <v>2873.78</v>
      </c>
      <c r="O196" s="14">
        <f>tblSprzedaz[[#This Row],[Przychód netto]]-tblSprzedaz[[#This Row],[Koszt całkowity netto]]</f>
        <v>1194.6899999999996</v>
      </c>
      <c r="P196" s="15">
        <f>IFERROR(tblSprzedaz[[#This Row],[Marża kwotowa]]/tblSprzedaz[[#This Row],[Przychód netto]],0)</f>
        <v>0.29364601434937448</v>
      </c>
      <c r="Q196" s="16">
        <f>YEAR(tblSprzedaz[[#This Row],[Data]])</f>
        <v>2025</v>
      </c>
      <c r="R196" s="16">
        <f>MONTH(tblSprzedaz[[#This Row],[Data]])</f>
        <v>2</v>
      </c>
      <c r="S196" s="9" t="str">
        <f>YEAR(tblSprzedaz[[#This Row],[Data]])&amp;"-"&amp;RIGHT("0"&amp;MONTH(tblSprzedaz[[#This Row],[Data]]),2)</f>
        <v>2025-02</v>
      </c>
    </row>
    <row r="197" spans="1:19" x14ac:dyDescent="0.25">
      <c r="A197" s="7" t="s">
        <v>561</v>
      </c>
      <c r="B197" s="10">
        <v>45714</v>
      </c>
      <c r="C197" s="7" t="s">
        <v>562</v>
      </c>
      <c r="D197" s="8" t="s">
        <v>103</v>
      </c>
      <c r="E197" s="8" t="s">
        <v>77</v>
      </c>
      <c r="F197" s="8" t="s">
        <v>37</v>
      </c>
      <c r="G197" s="8" t="s">
        <v>36</v>
      </c>
      <c r="H197" s="8" t="s">
        <v>46</v>
      </c>
      <c r="I197" s="11">
        <v>5</v>
      </c>
      <c r="J197" s="12">
        <v>77.900000000000006</v>
      </c>
      <c r="K197" s="13">
        <v>0.1</v>
      </c>
      <c r="L197" s="12">
        <v>60.41</v>
      </c>
      <c r="M197" s="14">
        <f>ROUND(tblSprzedaz[[#This Row],[Ilość]]*tblSprzedaz[[#This Row],[Cena netto jednostkowa]]*(1-tblSprzedaz[[#This Row],[Rabat %]]),2)</f>
        <v>350.55</v>
      </c>
      <c r="N197" s="14">
        <f>ROUND(tblSprzedaz[[#This Row],[Ilość]]*tblSprzedaz[[#This Row],[Koszt jednostkowy netto]],2)</f>
        <v>302.05</v>
      </c>
      <c r="O197" s="14">
        <f>tblSprzedaz[[#This Row],[Przychód netto]]-tblSprzedaz[[#This Row],[Koszt całkowity netto]]</f>
        <v>48.5</v>
      </c>
      <c r="P197" s="15">
        <f>IFERROR(tblSprzedaz[[#This Row],[Marża kwotowa]]/tblSprzedaz[[#This Row],[Przychód netto]],0)</f>
        <v>0.13835401511909856</v>
      </c>
      <c r="Q197" s="16">
        <f>YEAR(tblSprzedaz[[#This Row],[Data]])</f>
        <v>2025</v>
      </c>
      <c r="R197" s="16">
        <f>MONTH(tblSprzedaz[[#This Row],[Data]])</f>
        <v>2</v>
      </c>
      <c r="S197" s="9" t="str">
        <f>YEAR(tblSprzedaz[[#This Row],[Data]])&amp;"-"&amp;RIGHT("0"&amp;MONTH(tblSprzedaz[[#This Row],[Data]]),2)</f>
        <v>2025-02</v>
      </c>
    </row>
    <row r="198" spans="1:19" x14ac:dyDescent="0.25">
      <c r="A198" s="7" t="s">
        <v>563</v>
      </c>
      <c r="B198" s="10">
        <v>45714</v>
      </c>
      <c r="C198" s="7" t="s">
        <v>564</v>
      </c>
      <c r="D198" s="8" t="s">
        <v>151</v>
      </c>
      <c r="E198" s="8" t="s">
        <v>54</v>
      </c>
      <c r="F198" s="8" t="s">
        <v>31</v>
      </c>
      <c r="G198" s="8" t="s">
        <v>32</v>
      </c>
      <c r="H198" s="8" t="s">
        <v>42</v>
      </c>
      <c r="I198" s="11">
        <v>4</v>
      </c>
      <c r="J198" s="12">
        <v>207.9</v>
      </c>
      <c r="K198" s="13">
        <v>0</v>
      </c>
      <c r="L198" s="12">
        <v>126.48</v>
      </c>
      <c r="M198" s="14">
        <f>ROUND(tblSprzedaz[[#This Row],[Ilość]]*tblSprzedaz[[#This Row],[Cena netto jednostkowa]]*(1-tblSprzedaz[[#This Row],[Rabat %]]),2)</f>
        <v>831.6</v>
      </c>
      <c r="N198" s="14">
        <f>ROUND(tblSprzedaz[[#This Row],[Ilość]]*tblSprzedaz[[#This Row],[Koszt jednostkowy netto]],2)</f>
        <v>505.92</v>
      </c>
      <c r="O198" s="14">
        <f>tblSprzedaz[[#This Row],[Przychód netto]]-tblSprzedaz[[#This Row],[Koszt całkowity netto]]</f>
        <v>325.68</v>
      </c>
      <c r="P198" s="15">
        <f>IFERROR(tblSprzedaz[[#This Row],[Marża kwotowa]]/tblSprzedaz[[#This Row],[Przychód netto]],0)</f>
        <v>0.39163059163059161</v>
      </c>
      <c r="Q198" s="16">
        <f>YEAR(tblSprzedaz[[#This Row],[Data]])</f>
        <v>2025</v>
      </c>
      <c r="R198" s="16">
        <f>MONTH(tblSprzedaz[[#This Row],[Data]])</f>
        <v>2</v>
      </c>
      <c r="S198" s="9" t="str">
        <f>YEAR(tblSprzedaz[[#This Row],[Data]])&amp;"-"&amp;RIGHT("0"&amp;MONTH(tblSprzedaz[[#This Row],[Data]]),2)</f>
        <v>2025-02</v>
      </c>
    </row>
    <row r="199" spans="1:19" x14ac:dyDescent="0.25">
      <c r="A199" s="7" t="s">
        <v>565</v>
      </c>
      <c r="B199" s="10">
        <v>45714</v>
      </c>
      <c r="C199" s="7" t="s">
        <v>566</v>
      </c>
      <c r="D199" s="8" t="s">
        <v>79</v>
      </c>
      <c r="E199" s="8" t="s">
        <v>54</v>
      </c>
      <c r="F199" s="8" t="s">
        <v>31</v>
      </c>
      <c r="G199" s="8" t="s">
        <v>34</v>
      </c>
      <c r="H199" s="8" t="s">
        <v>44</v>
      </c>
      <c r="I199" s="11">
        <v>1</v>
      </c>
      <c r="J199" s="12">
        <v>207.9</v>
      </c>
      <c r="K199" s="13">
        <v>0.15</v>
      </c>
      <c r="L199" s="12">
        <v>137.22</v>
      </c>
      <c r="M199" s="14">
        <f>ROUND(tblSprzedaz[[#This Row],[Ilość]]*tblSprzedaz[[#This Row],[Cena netto jednostkowa]]*(1-tblSprzedaz[[#This Row],[Rabat %]]),2)</f>
        <v>176.72</v>
      </c>
      <c r="N199" s="14">
        <f>ROUND(tblSprzedaz[[#This Row],[Ilość]]*tblSprzedaz[[#This Row],[Koszt jednostkowy netto]],2)</f>
        <v>137.22</v>
      </c>
      <c r="O199" s="14">
        <f>tblSprzedaz[[#This Row],[Przychód netto]]-tblSprzedaz[[#This Row],[Koszt całkowity netto]]</f>
        <v>39.5</v>
      </c>
      <c r="P199" s="15">
        <f>IFERROR(tblSprzedaz[[#This Row],[Marża kwotowa]]/tblSprzedaz[[#This Row],[Przychód netto]],0)</f>
        <v>0.22351742870076957</v>
      </c>
      <c r="Q199" s="16">
        <f>YEAR(tblSprzedaz[[#This Row],[Data]])</f>
        <v>2025</v>
      </c>
      <c r="R199" s="16">
        <f>MONTH(tblSprzedaz[[#This Row],[Data]])</f>
        <v>2</v>
      </c>
      <c r="S199" s="9" t="str">
        <f>YEAR(tblSprzedaz[[#This Row],[Data]])&amp;"-"&amp;RIGHT("0"&amp;MONTH(tblSprzedaz[[#This Row],[Data]]),2)</f>
        <v>2025-02</v>
      </c>
    </row>
    <row r="200" spans="1:19" x14ac:dyDescent="0.25">
      <c r="A200" s="7" t="s">
        <v>567</v>
      </c>
      <c r="B200" s="10">
        <v>45714</v>
      </c>
      <c r="C200" s="7" t="s">
        <v>568</v>
      </c>
      <c r="D200" s="8" t="s">
        <v>95</v>
      </c>
      <c r="E200" s="8" t="s">
        <v>70</v>
      </c>
      <c r="F200" s="8" t="s">
        <v>35</v>
      </c>
      <c r="G200" s="8" t="s">
        <v>36</v>
      </c>
      <c r="H200" s="8" t="s">
        <v>46</v>
      </c>
      <c r="I200" s="11">
        <v>17</v>
      </c>
      <c r="J200" s="12">
        <v>113.56</v>
      </c>
      <c r="K200" s="13">
        <v>0</v>
      </c>
      <c r="L200" s="12">
        <v>79.510000000000005</v>
      </c>
      <c r="M200" s="14">
        <f>ROUND(tblSprzedaz[[#This Row],[Ilość]]*tblSprzedaz[[#This Row],[Cena netto jednostkowa]]*(1-tblSprzedaz[[#This Row],[Rabat %]]),2)</f>
        <v>1930.52</v>
      </c>
      <c r="N200" s="14">
        <f>ROUND(tblSprzedaz[[#This Row],[Ilość]]*tblSprzedaz[[#This Row],[Koszt jednostkowy netto]],2)</f>
        <v>1351.67</v>
      </c>
      <c r="O200" s="14">
        <f>tblSprzedaz[[#This Row],[Przychód netto]]-tblSprzedaz[[#This Row],[Koszt całkowity netto]]</f>
        <v>578.84999999999991</v>
      </c>
      <c r="P200" s="15">
        <f>IFERROR(tblSprzedaz[[#This Row],[Marża kwotowa]]/tblSprzedaz[[#This Row],[Przychód netto]],0)</f>
        <v>0.29984149348362094</v>
      </c>
      <c r="Q200" s="16">
        <f>YEAR(tblSprzedaz[[#This Row],[Data]])</f>
        <v>2025</v>
      </c>
      <c r="R200" s="16">
        <f>MONTH(tblSprzedaz[[#This Row],[Data]])</f>
        <v>2</v>
      </c>
      <c r="S200" s="9" t="str">
        <f>YEAR(tblSprzedaz[[#This Row],[Data]])&amp;"-"&amp;RIGHT("0"&amp;MONTH(tblSprzedaz[[#This Row],[Data]]),2)</f>
        <v>2025-02</v>
      </c>
    </row>
    <row r="201" spans="1:19" x14ac:dyDescent="0.25">
      <c r="A201" s="7" t="s">
        <v>569</v>
      </c>
      <c r="B201" s="10">
        <v>45715</v>
      </c>
      <c r="C201" s="7" t="s">
        <v>570</v>
      </c>
      <c r="D201" s="8" t="s">
        <v>135</v>
      </c>
      <c r="E201" s="8" t="s">
        <v>77</v>
      </c>
      <c r="F201" s="8" t="s">
        <v>37</v>
      </c>
      <c r="G201" s="8" t="s">
        <v>30</v>
      </c>
      <c r="H201" s="8" t="s">
        <v>40</v>
      </c>
      <c r="I201" s="11">
        <v>16</v>
      </c>
      <c r="J201" s="12">
        <v>77.900000000000006</v>
      </c>
      <c r="K201" s="13">
        <v>0</v>
      </c>
      <c r="L201" s="12">
        <v>58.52</v>
      </c>
      <c r="M201" s="14">
        <f>ROUND(tblSprzedaz[[#This Row],[Ilość]]*tblSprzedaz[[#This Row],[Cena netto jednostkowa]]*(1-tblSprzedaz[[#This Row],[Rabat %]]),2)</f>
        <v>1246.4000000000001</v>
      </c>
      <c r="N201" s="14">
        <f>ROUND(tblSprzedaz[[#This Row],[Ilość]]*tblSprzedaz[[#This Row],[Koszt jednostkowy netto]],2)</f>
        <v>936.32</v>
      </c>
      <c r="O201" s="14">
        <f>tblSprzedaz[[#This Row],[Przychód netto]]-tblSprzedaz[[#This Row],[Koszt całkowity netto]]</f>
        <v>310.08000000000004</v>
      </c>
      <c r="P201" s="15">
        <f>IFERROR(tblSprzedaz[[#This Row],[Marża kwotowa]]/tblSprzedaz[[#This Row],[Przychód netto]],0)</f>
        <v>0.24878048780487808</v>
      </c>
      <c r="Q201" s="16">
        <f>YEAR(tblSprzedaz[[#This Row],[Data]])</f>
        <v>2025</v>
      </c>
      <c r="R201" s="16">
        <f>MONTH(tblSprzedaz[[#This Row],[Data]])</f>
        <v>2</v>
      </c>
      <c r="S201" s="9" t="str">
        <f>YEAR(tblSprzedaz[[#This Row],[Data]])&amp;"-"&amp;RIGHT("0"&amp;MONTH(tblSprzedaz[[#This Row],[Data]]),2)</f>
        <v>2025-02</v>
      </c>
    </row>
    <row r="202" spans="1:19" x14ac:dyDescent="0.25">
      <c r="A202" s="7" t="s">
        <v>571</v>
      </c>
      <c r="B202" s="10">
        <v>45715</v>
      </c>
      <c r="C202" s="7" t="s">
        <v>572</v>
      </c>
      <c r="D202" s="8" t="s">
        <v>79</v>
      </c>
      <c r="E202" s="8" t="s">
        <v>51</v>
      </c>
      <c r="F202" s="8" t="s">
        <v>29</v>
      </c>
      <c r="G202" s="8" t="s">
        <v>32</v>
      </c>
      <c r="H202" s="8" t="s">
        <v>43</v>
      </c>
      <c r="I202" s="11">
        <v>8</v>
      </c>
      <c r="J202" s="12">
        <v>51</v>
      </c>
      <c r="K202" s="13">
        <v>0</v>
      </c>
      <c r="L202" s="12">
        <v>29.46</v>
      </c>
      <c r="M202" s="14">
        <f>ROUND(tblSprzedaz[[#This Row],[Ilość]]*tblSprzedaz[[#This Row],[Cena netto jednostkowa]]*(1-tblSprzedaz[[#This Row],[Rabat %]]),2)</f>
        <v>408</v>
      </c>
      <c r="N202" s="14">
        <f>ROUND(tblSprzedaz[[#This Row],[Ilość]]*tblSprzedaz[[#This Row],[Koszt jednostkowy netto]],2)</f>
        <v>235.68</v>
      </c>
      <c r="O202" s="14">
        <f>tblSprzedaz[[#This Row],[Przychód netto]]-tblSprzedaz[[#This Row],[Koszt całkowity netto]]</f>
        <v>172.32</v>
      </c>
      <c r="P202" s="15">
        <f>IFERROR(tblSprzedaz[[#This Row],[Marża kwotowa]]/tblSprzedaz[[#This Row],[Przychód netto]],0)</f>
        <v>0.4223529411764706</v>
      </c>
      <c r="Q202" s="16">
        <f>YEAR(tblSprzedaz[[#This Row],[Data]])</f>
        <v>2025</v>
      </c>
      <c r="R202" s="16">
        <f>MONTH(tblSprzedaz[[#This Row],[Data]])</f>
        <v>2</v>
      </c>
      <c r="S202" s="9" t="str">
        <f>YEAR(tblSprzedaz[[#This Row],[Data]])&amp;"-"&amp;RIGHT("0"&amp;MONTH(tblSprzedaz[[#This Row],[Data]]),2)</f>
        <v>2025-02</v>
      </c>
    </row>
    <row r="203" spans="1:19" x14ac:dyDescent="0.25">
      <c r="A203" s="7" t="s">
        <v>573</v>
      </c>
      <c r="B203" s="10">
        <v>45715</v>
      </c>
      <c r="C203" s="7" t="s">
        <v>574</v>
      </c>
      <c r="D203" s="8" t="s">
        <v>112</v>
      </c>
      <c r="E203" s="8" t="s">
        <v>62</v>
      </c>
      <c r="F203" s="8" t="s">
        <v>33</v>
      </c>
      <c r="G203" s="8" t="s">
        <v>36</v>
      </c>
      <c r="H203" s="8" t="s">
        <v>46</v>
      </c>
      <c r="I203" s="11">
        <v>12</v>
      </c>
      <c r="J203" s="12">
        <v>611.79999999999995</v>
      </c>
      <c r="K203" s="13">
        <v>0.15</v>
      </c>
      <c r="L203" s="12">
        <v>418.43</v>
      </c>
      <c r="M203" s="14">
        <f>ROUND(tblSprzedaz[[#This Row],[Ilość]]*tblSprzedaz[[#This Row],[Cena netto jednostkowa]]*(1-tblSprzedaz[[#This Row],[Rabat %]]),2)</f>
        <v>6240.36</v>
      </c>
      <c r="N203" s="14">
        <f>ROUND(tblSprzedaz[[#This Row],[Ilość]]*tblSprzedaz[[#This Row],[Koszt jednostkowy netto]],2)</f>
        <v>5021.16</v>
      </c>
      <c r="O203" s="14">
        <f>tblSprzedaz[[#This Row],[Przychód netto]]-tblSprzedaz[[#This Row],[Koszt całkowity netto]]</f>
        <v>1219.1999999999998</v>
      </c>
      <c r="P203" s="15">
        <f>IFERROR(tblSprzedaz[[#This Row],[Marża kwotowa]]/tblSprzedaz[[#This Row],[Przychód netto]],0)</f>
        <v>0.19537334384554736</v>
      </c>
      <c r="Q203" s="16">
        <f>YEAR(tblSprzedaz[[#This Row],[Data]])</f>
        <v>2025</v>
      </c>
      <c r="R203" s="16">
        <f>MONTH(tblSprzedaz[[#This Row],[Data]])</f>
        <v>2</v>
      </c>
      <c r="S203" s="9" t="str">
        <f>YEAR(tblSprzedaz[[#This Row],[Data]])&amp;"-"&amp;RIGHT("0"&amp;MONTH(tblSprzedaz[[#This Row],[Data]]),2)</f>
        <v>2025-02</v>
      </c>
    </row>
    <row r="204" spans="1:19" x14ac:dyDescent="0.25">
      <c r="A204" s="7" t="s">
        <v>575</v>
      </c>
      <c r="B204" s="10">
        <v>45715</v>
      </c>
      <c r="C204" s="7" t="s">
        <v>576</v>
      </c>
      <c r="D204" s="8" t="s">
        <v>125</v>
      </c>
      <c r="E204" s="8" t="s">
        <v>74</v>
      </c>
      <c r="F204" s="8" t="s">
        <v>37</v>
      </c>
      <c r="G204" s="8" t="s">
        <v>32</v>
      </c>
      <c r="H204" s="8" t="s">
        <v>42</v>
      </c>
      <c r="I204" s="11">
        <v>9</v>
      </c>
      <c r="J204" s="12">
        <v>126.35</v>
      </c>
      <c r="K204" s="13">
        <v>0.05</v>
      </c>
      <c r="L204" s="12">
        <v>92.29</v>
      </c>
      <c r="M204" s="14">
        <f>ROUND(tblSprzedaz[[#This Row],[Ilość]]*tblSprzedaz[[#This Row],[Cena netto jednostkowa]]*(1-tblSprzedaz[[#This Row],[Rabat %]]),2)</f>
        <v>1080.29</v>
      </c>
      <c r="N204" s="14">
        <f>ROUND(tblSprzedaz[[#This Row],[Ilość]]*tblSprzedaz[[#This Row],[Koszt jednostkowy netto]],2)</f>
        <v>830.61</v>
      </c>
      <c r="O204" s="14">
        <f>tblSprzedaz[[#This Row],[Przychód netto]]-tblSprzedaz[[#This Row],[Koszt całkowity netto]]</f>
        <v>249.67999999999995</v>
      </c>
      <c r="P204" s="15">
        <f>IFERROR(tblSprzedaz[[#This Row],[Marża kwotowa]]/tblSprzedaz[[#This Row],[Przychód netto]],0)</f>
        <v>0.23112312434624033</v>
      </c>
      <c r="Q204" s="16">
        <f>YEAR(tblSprzedaz[[#This Row],[Data]])</f>
        <v>2025</v>
      </c>
      <c r="R204" s="16">
        <f>MONTH(tblSprzedaz[[#This Row],[Data]])</f>
        <v>2</v>
      </c>
      <c r="S204" s="9" t="str">
        <f>YEAR(tblSprzedaz[[#This Row],[Data]])&amp;"-"&amp;RIGHT("0"&amp;MONTH(tblSprzedaz[[#This Row],[Data]]),2)</f>
        <v>2025-02</v>
      </c>
    </row>
    <row r="205" spans="1:19" x14ac:dyDescent="0.25">
      <c r="A205" s="7" t="s">
        <v>577</v>
      </c>
      <c r="B205" s="10">
        <v>45715</v>
      </c>
      <c r="C205" s="7" t="s">
        <v>578</v>
      </c>
      <c r="D205" s="8" t="s">
        <v>130</v>
      </c>
      <c r="E205" s="8" t="s">
        <v>55</v>
      </c>
      <c r="F205" s="8" t="s">
        <v>31</v>
      </c>
      <c r="G205" s="8" t="s">
        <v>36</v>
      </c>
      <c r="H205" s="8" t="s">
        <v>47</v>
      </c>
      <c r="I205" s="11">
        <v>6</v>
      </c>
      <c r="J205" s="12">
        <v>243.6</v>
      </c>
      <c r="K205" s="13">
        <v>0.1</v>
      </c>
      <c r="L205" s="12">
        <v>148.29</v>
      </c>
      <c r="M205" s="14">
        <f>ROUND(tblSprzedaz[[#This Row],[Ilość]]*tblSprzedaz[[#This Row],[Cena netto jednostkowa]]*(1-tblSprzedaz[[#This Row],[Rabat %]]),2)</f>
        <v>1315.44</v>
      </c>
      <c r="N205" s="14">
        <f>ROUND(tblSprzedaz[[#This Row],[Ilość]]*tblSprzedaz[[#This Row],[Koszt jednostkowy netto]],2)</f>
        <v>889.74</v>
      </c>
      <c r="O205" s="14">
        <f>tblSprzedaz[[#This Row],[Przychód netto]]-tblSprzedaz[[#This Row],[Koszt całkowity netto]]</f>
        <v>425.70000000000005</v>
      </c>
      <c r="P205" s="15">
        <f>IFERROR(tblSprzedaz[[#This Row],[Marża kwotowa]]/tblSprzedaz[[#This Row],[Przychód netto]],0)</f>
        <v>0.32361795292829776</v>
      </c>
      <c r="Q205" s="16">
        <f>YEAR(tblSprzedaz[[#This Row],[Data]])</f>
        <v>2025</v>
      </c>
      <c r="R205" s="16">
        <f>MONTH(tblSprzedaz[[#This Row],[Data]])</f>
        <v>2</v>
      </c>
      <c r="S205" s="9" t="str">
        <f>YEAR(tblSprzedaz[[#This Row],[Data]])&amp;"-"&amp;RIGHT("0"&amp;MONTH(tblSprzedaz[[#This Row],[Data]]),2)</f>
        <v>2025-02</v>
      </c>
    </row>
    <row r="206" spans="1:19" x14ac:dyDescent="0.25">
      <c r="A206" s="7" t="s">
        <v>579</v>
      </c>
      <c r="B206" s="10">
        <v>45716</v>
      </c>
      <c r="C206" s="7" t="s">
        <v>580</v>
      </c>
      <c r="D206" s="8" t="s">
        <v>91</v>
      </c>
      <c r="E206" s="8" t="s">
        <v>49</v>
      </c>
      <c r="F206" s="8" t="s">
        <v>29</v>
      </c>
      <c r="G206" s="8" t="s">
        <v>28</v>
      </c>
      <c r="H206" s="8" t="s">
        <v>39</v>
      </c>
      <c r="I206" s="11">
        <v>8</v>
      </c>
      <c r="J206" s="12">
        <v>39.44</v>
      </c>
      <c r="K206" s="13">
        <v>0</v>
      </c>
      <c r="L206" s="12">
        <v>22.6</v>
      </c>
      <c r="M206" s="14">
        <f>ROUND(tblSprzedaz[[#This Row],[Ilość]]*tblSprzedaz[[#This Row],[Cena netto jednostkowa]]*(1-tblSprzedaz[[#This Row],[Rabat %]]),2)</f>
        <v>315.52</v>
      </c>
      <c r="N206" s="14">
        <f>ROUND(tblSprzedaz[[#This Row],[Ilość]]*tblSprzedaz[[#This Row],[Koszt jednostkowy netto]],2)</f>
        <v>180.8</v>
      </c>
      <c r="O206" s="14">
        <f>tblSprzedaz[[#This Row],[Przychód netto]]-tblSprzedaz[[#This Row],[Koszt całkowity netto]]</f>
        <v>134.71999999999997</v>
      </c>
      <c r="P206" s="15">
        <f>IFERROR(tblSprzedaz[[#This Row],[Marża kwotowa]]/tblSprzedaz[[#This Row],[Przychód netto]],0)</f>
        <v>0.42697768762677479</v>
      </c>
      <c r="Q206" s="16">
        <f>YEAR(tblSprzedaz[[#This Row],[Data]])</f>
        <v>2025</v>
      </c>
      <c r="R206" s="16">
        <f>MONTH(tblSprzedaz[[#This Row],[Data]])</f>
        <v>2</v>
      </c>
      <c r="S206" s="9" t="str">
        <f>YEAR(tblSprzedaz[[#This Row],[Data]])&amp;"-"&amp;RIGHT("0"&amp;MONTH(tblSprzedaz[[#This Row],[Data]]),2)</f>
        <v>2025-02</v>
      </c>
    </row>
    <row r="207" spans="1:19" x14ac:dyDescent="0.25">
      <c r="A207" s="7" t="s">
        <v>581</v>
      </c>
      <c r="B207" s="10">
        <v>45716</v>
      </c>
      <c r="C207" s="7" t="s">
        <v>582</v>
      </c>
      <c r="D207" s="8" t="s">
        <v>92</v>
      </c>
      <c r="E207" s="8" t="s">
        <v>72</v>
      </c>
      <c r="F207" s="8" t="s">
        <v>37</v>
      </c>
      <c r="G207" s="8" t="s">
        <v>34</v>
      </c>
      <c r="H207" s="8" t="s">
        <v>44</v>
      </c>
      <c r="I207" s="11">
        <v>1</v>
      </c>
      <c r="J207" s="12">
        <v>94.05</v>
      </c>
      <c r="K207" s="13">
        <v>0.15</v>
      </c>
      <c r="L207" s="12">
        <v>71.75</v>
      </c>
      <c r="M207" s="14">
        <f>ROUND(tblSprzedaz[[#This Row],[Ilość]]*tblSprzedaz[[#This Row],[Cena netto jednostkowa]]*(1-tblSprzedaz[[#This Row],[Rabat %]]),2)</f>
        <v>79.94</v>
      </c>
      <c r="N207" s="14">
        <f>ROUND(tblSprzedaz[[#This Row],[Ilość]]*tblSprzedaz[[#This Row],[Koszt jednostkowy netto]],2)</f>
        <v>71.75</v>
      </c>
      <c r="O207" s="14">
        <f>tblSprzedaz[[#This Row],[Przychód netto]]-tblSprzedaz[[#This Row],[Koszt całkowity netto]]</f>
        <v>8.1899999999999977</v>
      </c>
      <c r="P207" s="15">
        <f>IFERROR(tblSprzedaz[[#This Row],[Marża kwotowa]]/tblSprzedaz[[#This Row],[Przychód netto]],0)</f>
        <v>0.10245183887915935</v>
      </c>
      <c r="Q207" s="16">
        <f>YEAR(tblSprzedaz[[#This Row],[Data]])</f>
        <v>2025</v>
      </c>
      <c r="R207" s="16">
        <f>MONTH(tblSprzedaz[[#This Row],[Data]])</f>
        <v>2</v>
      </c>
      <c r="S207" s="9" t="str">
        <f>YEAR(tblSprzedaz[[#This Row],[Data]])&amp;"-"&amp;RIGHT("0"&amp;MONTH(tblSprzedaz[[#This Row],[Data]]),2)</f>
        <v>2025-02</v>
      </c>
    </row>
    <row r="208" spans="1:19" x14ac:dyDescent="0.25">
      <c r="A208" s="7" t="s">
        <v>583</v>
      </c>
      <c r="B208" s="10">
        <v>45716</v>
      </c>
      <c r="C208" s="7" t="s">
        <v>584</v>
      </c>
      <c r="D208" s="8" t="s">
        <v>141</v>
      </c>
      <c r="E208" s="8" t="s">
        <v>63</v>
      </c>
      <c r="F208" s="8" t="s">
        <v>33</v>
      </c>
      <c r="G208" s="8" t="s">
        <v>34</v>
      </c>
      <c r="H208" s="8" t="s">
        <v>45</v>
      </c>
      <c r="I208" s="11">
        <v>5</v>
      </c>
      <c r="J208" s="12">
        <v>690</v>
      </c>
      <c r="K208" s="13">
        <v>0</v>
      </c>
      <c r="L208" s="12">
        <v>448.69</v>
      </c>
      <c r="M208" s="14">
        <f>ROUND(tblSprzedaz[[#This Row],[Ilość]]*tblSprzedaz[[#This Row],[Cena netto jednostkowa]]*(1-tblSprzedaz[[#This Row],[Rabat %]]),2)</f>
        <v>3450</v>
      </c>
      <c r="N208" s="14">
        <f>ROUND(tblSprzedaz[[#This Row],[Ilość]]*tblSprzedaz[[#This Row],[Koszt jednostkowy netto]],2)</f>
        <v>2243.4499999999998</v>
      </c>
      <c r="O208" s="14">
        <f>tblSprzedaz[[#This Row],[Przychód netto]]-tblSprzedaz[[#This Row],[Koszt całkowity netto]]</f>
        <v>1206.5500000000002</v>
      </c>
      <c r="P208" s="15">
        <f>IFERROR(tblSprzedaz[[#This Row],[Marża kwotowa]]/tblSprzedaz[[#This Row],[Przychód netto]],0)</f>
        <v>0.34972463768115947</v>
      </c>
      <c r="Q208" s="16">
        <f>YEAR(tblSprzedaz[[#This Row],[Data]])</f>
        <v>2025</v>
      </c>
      <c r="R208" s="16">
        <f>MONTH(tblSprzedaz[[#This Row],[Data]])</f>
        <v>2</v>
      </c>
      <c r="S208" s="9" t="str">
        <f>YEAR(tblSprzedaz[[#This Row],[Data]])&amp;"-"&amp;RIGHT("0"&amp;MONTH(tblSprzedaz[[#This Row],[Data]]),2)</f>
        <v>2025-02</v>
      </c>
    </row>
    <row r="209" spans="1:19" x14ac:dyDescent="0.25">
      <c r="A209" s="7" t="s">
        <v>585</v>
      </c>
      <c r="B209" s="10">
        <v>45717</v>
      </c>
      <c r="C209" s="7" t="s">
        <v>586</v>
      </c>
      <c r="D209" s="8" t="s">
        <v>138</v>
      </c>
      <c r="E209" s="8" t="s">
        <v>50</v>
      </c>
      <c r="F209" s="8" t="s">
        <v>29</v>
      </c>
      <c r="G209" s="8" t="s">
        <v>28</v>
      </c>
      <c r="H209" s="8" t="s">
        <v>39</v>
      </c>
      <c r="I209" s="11">
        <v>19</v>
      </c>
      <c r="J209" s="12">
        <v>45.22</v>
      </c>
      <c r="K209" s="13">
        <v>0</v>
      </c>
      <c r="L209" s="12">
        <v>26.47</v>
      </c>
      <c r="M209" s="14">
        <f>ROUND(tblSprzedaz[[#This Row],[Ilość]]*tblSprzedaz[[#This Row],[Cena netto jednostkowa]]*(1-tblSprzedaz[[#This Row],[Rabat %]]),2)</f>
        <v>859.18</v>
      </c>
      <c r="N209" s="14">
        <f>ROUND(tblSprzedaz[[#This Row],[Ilość]]*tblSprzedaz[[#This Row],[Koszt jednostkowy netto]],2)</f>
        <v>502.93</v>
      </c>
      <c r="O209" s="14">
        <f>tblSprzedaz[[#This Row],[Przychód netto]]-tblSprzedaz[[#This Row],[Koszt całkowity netto]]</f>
        <v>356.24999999999994</v>
      </c>
      <c r="P209" s="15">
        <f>IFERROR(tblSprzedaz[[#This Row],[Marża kwotowa]]/tblSprzedaz[[#This Row],[Przychód netto]],0)</f>
        <v>0.41463954002653691</v>
      </c>
      <c r="Q209" s="16">
        <f>YEAR(tblSprzedaz[[#This Row],[Data]])</f>
        <v>2025</v>
      </c>
      <c r="R209" s="16">
        <f>MONTH(tblSprzedaz[[#This Row],[Data]])</f>
        <v>3</v>
      </c>
      <c r="S209" s="9" t="str">
        <f>YEAR(tblSprzedaz[[#This Row],[Data]])&amp;"-"&amp;RIGHT("0"&amp;MONTH(tblSprzedaz[[#This Row],[Data]]),2)</f>
        <v>2025-03</v>
      </c>
    </row>
    <row r="210" spans="1:19" x14ac:dyDescent="0.25">
      <c r="A210" s="7" t="s">
        <v>587</v>
      </c>
      <c r="B210" s="10">
        <v>45718</v>
      </c>
      <c r="C210" s="7" t="s">
        <v>588</v>
      </c>
      <c r="D210" s="8" t="s">
        <v>117</v>
      </c>
      <c r="E210" s="8" t="s">
        <v>76</v>
      </c>
      <c r="F210" s="8" t="s">
        <v>37</v>
      </c>
      <c r="G210" s="8" t="s">
        <v>30</v>
      </c>
      <c r="H210" s="8" t="s">
        <v>40</v>
      </c>
      <c r="I210" s="11">
        <v>15</v>
      </c>
      <c r="J210" s="12">
        <v>158.65</v>
      </c>
      <c r="K210" s="13">
        <v>0.1</v>
      </c>
      <c r="L210" s="12">
        <v>120.94</v>
      </c>
      <c r="M210" s="14">
        <f>ROUND(tblSprzedaz[[#This Row],[Ilość]]*tblSprzedaz[[#This Row],[Cena netto jednostkowa]]*(1-tblSprzedaz[[#This Row],[Rabat %]]),2)</f>
        <v>2141.7800000000002</v>
      </c>
      <c r="N210" s="14">
        <f>ROUND(tblSprzedaz[[#This Row],[Ilość]]*tblSprzedaz[[#This Row],[Koszt jednostkowy netto]],2)</f>
        <v>1814.1</v>
      </c>
      <c r="O210" s="14">
        <f>tblSprzedaz[[#This Row],[Przychód netto]]-tblSprzedaz[[#This Row],[Koszt całkowity netto]]</f>
        <v>327.68000000000029</v>
      </c>
      <c r="P210" s="15">
        <f>IFERROR(tblSprzedaz[[#This Row],[Marża kwotowa]]/tblSprzedaz[[#This Row],[Przychód netto]],0)</f>
        <v>0.15299423843718787</v>
      </c>
      <c r="Q210" s="16">
        <f>YEAR(tblSprzedaz[[#This Row],[Data]])</f>
        <v>2025</v>
      </c>
      <c r="R210" s="16">
        <f>MONTH(tblSprzedaz[[#This Row],[Data]])</f>
        <v>3</v>
      </c>
      <c r="S210" s="9" t="str">
        <f>YEAR(tblSprzedaz[[#This Row],[Data]])&amp;"-"&amp;RIGHT("0"&amp;MONTH(tblSprzedaz[[#This Row],[Data]]),2)</f>
        <v>2025-03</v>
      </c>
    </row>
    <row r="211" spans="1:19" x14ac:dyDescent="0.25">
      <c r="A211" s="7" t="s">
        <v>589</v>
      </c>
      <c r="B211" s="10">
        <v>45719</v>
      </c>
      <c r="C211" s="7" t="s">
        <v>590</v>
      </c>
      <c r="D211" s="8" t="s">
        <v>92</v>
      </c>
      <c r="E211" s="8" t="s">
        <v>71</v>
      </c>
      <c r="F211" s="8" t="s">
        <v>35</v>
      </c>
      <c r="G211" s="8" t="s">
        <v>32</v>
      </c>
      <c r="H211" s="8" t="s">
        <v>42</v>
      </c>
      <c r="I211" s="11">
        <v>13</v>
      </c>
      <c r="J211" s="12">
        <v>55.76</v>
      </c>
      <c r="K211" s="13">
        <v>0.15</v>
      </c>
      <c r="L211" s="12">
        <v>38.86</v>
      </c>
      <c r="M211" s="14">
        <f>ROUND(tblSprzedaz[[#This Row],[Ilość]]*tblSprzedaz[[#This Row],[Cena netto jednostkowa]]*(1-tblSprzedaz[[#This Row],[Rabat %]]),2)</f>
        <v>616.15</v>
      </c>
      <c r="N211" s="14">
        <f>ROUND(tblSprzedaz[[#This Row],[Ilość]]*tblSprzedaz[[#This Row],[Koszt jednostkowy netto]],2)</f>
        <v>505.18</v>
      </c>
      <c r="O211" s="14">
        <f>tblSprzedaz[[#This Row],[Przychód netto]]-tblSprzedaz[[#This Row],[Koszt całkowity netto]]</f>
        <v>110.96999999999997</v>
      </c>
      <c r="P211" s="15">
        <f>IFERROR(tblSprzedaz[[#This Row],[Marża kwotowa]]/tblSprzedaz[[#This Row],[Przychód netto]],0)</f>
        <v>0.18010224782926232</v>
      </c>
      <c r="Q211" s="16">
        <f>YEAR(tblSprzedaz[[#This Row],[Data]])</f>
        <v>2025</v>
      </c>
      <c r="R211" s="16">
        <f>MONTH(tblSprzedaz[[#This Row],[Data]])</f>
        <v>3</v>
      </c>
      <c r="S211" s="9" t="str">
        <f>YEAR(tblSprzedaz[[#This Row],[Data]])&amp;"-"&amp;RIGHT("0"&amp;MONTH(tblSprzedaz[[#This Row],[Data]]),2)</f>
        <v>2025-03</v>
      </c>
    </row>
    <row r="212" spans="1:19" x14ac:dyDescent="0.25">
      <c r="A212" s="7" t="s">
        <v>591</v>
      </c>
      <c r="B212" s="10">
        <v>45719</v>
      </c>
      <c r="C212" s="7" t="s">
        <v>592</v>
      </c>
      <c r="D212" s="8" t="s">
        <v>102</v>
      </c>
      <c r="E212" s="8" t="s">
        <v>74</v>
      </c>
      <c r="F212" s="8" t="s">
        <v>37</v>
      </c>
      <c r="G212" s="8" t="s">
        <v>34</v>
      </c>
      <c r="H212" s="8" t="s">
        <v>44</v>
      </c>
      <c r="I212" s="11">
        <v>13</v>
      </c>
      <c r="J212" s="12">
        <v>126.35</v>
      </c>
      <c r="K212" s="13">
        <v>0</v>
      </c>
      <c r="L212" s="12">
        <v>97.75</v>
      </c>
      <c r="M212" s="14">
        <f>ROUND(tblSprzedaz[[#This Row],[Ilość]]*tblSprzedaz[[#This Row],[Cena netto jednostkowa]]*(1-tblSprzedaz[[#This Row],[Rabat %]]),2)</f>
        <v>1642.55</v>
      </c>
      <c r="N212" s="14">
        <f>ROUND(tblSprzedaz[[#This Row],[Ilość]]*tblSprzedaz[[#This Row],[Koszt jednostkowy netto]],2)</f>
        <v>1270.75</v>
      </c>
      <c r="O212" s="14">
        <f>tblSprzedaz[[#This Row],[Przychód netto]]-tblSprzedaz[[#This Row],[Koszt całkowity netto]]</f>
        <v>371.79999999999995</v>
      </c>
      <c r="P212" s="15">
        <f>IFERROR(tblSprzedaz[[#This Row],[Marża kwotowa]]/tblSprzedaz[[#This Row],[Przychód netto]],0)</f>
        <v>0.2263553620894341</v>
      </c>
      <c r="Q212" s="16">
        <f>YEAR(tblSprzedaz[[#This Row],[Data]])</f>
        <v>2025</v>
      </c>
      <c r="R212" s="16">
        <f>MONTH(tblSprzedaz[[#This Row],[Data]])</f>
        <v>3</v>
      </c>
      <c r="S212" s="9" t="str">
        <f>YEAR(tblSprzedaz[[#This Row],[Data]])&amp;"-"&amp;RIGHT("0"&amp;MONTH(tblSprzedaz[[#This Row],[Data]]),2)</f>
        <v>2025-03</v>
      </c>
    </row>
    <row r="213" spans="1:19" x14ac:dyDescent="0.25">
      <c r="A213" s="7" t="s">
        <v>593</v>
      </c>
      <c r="B213" s="10">
        <v>45719</v>
      </c>
      <c r="C213" s="7" t="s">
        <v>594</v>
      </c>
      <c r="D213" s="8" t="s">
        <v>148</v>
      </c>
      <c r="E213" s="8" t="s">
        <v>76</v>
      </c>
      <c r="F213" s="8" t="s">
        <v>37</v>
      </c>
      <c r="G213" s="8" t="s">
        <v>28</v>
      </c>
      <c r="H213" s="8" t="s">
        <v>39</v>
      </c>
      <c r="I213" s="11">
        <v>17</v>
      </c>
      <c r="J213" s="12">
        <v>158.65</v>
      </c>
      <c r="K213" s="13">
        <v>0</v>
      </c>
      <c r="L213" s="12">
        <v>116.21</v>
      </c>
      <c r="M213" s="14">
        <f>ROUND(tblSprzedaz[[#This Row],[Ilość]]*tblSprzedaz[[#This Row],[Cena netto jednostkowa]]*(1-tblSprzedaz[[#This Row],[Rabat %]]),2)</f>
        <v>2697.05</v>
      </c>
      <c r="N213" s="14">
        <f>ROUND(tblSprzedaz[[#This Row],[Ilość]]*tblSprzedaz[[#This Row],[Koszt jednostkowy netto]],2)</f>
        <v>1975.57</v>
      </c>
      <c r="O213" s="14">
        <f>tblSprzedaz[[#This Row],[Przychód netto]]-tblSprzedaz[[#This Row],[Koszt całkowity netto]]</f>
        <v>721.48000000000025</v>
      </c>
      <c r="P213" s="15">
        <f>IFERROR(tblSprzedaz[[#This Row],[Marża kwotowa]]/tblSprzedaz[[#This Row],[Przychód netto]],0)</f>
        <v>0.26750709108099596</v>
      </c>
      <c r="Q213" s="16">
        <f>YEAR(tblSprzedaz[[#This Row],[Data]])</f>
        <v>2025</v>
      </c>
      <c r="R213" s="16">
        <f>MONTH(tblSprzedaz[[#This Row],[Data]])</f>
        <v>3</v>
      </c>
      <c r="S213" s="9" t="str">
        <f>YEAR(tblSprzedaz[[#This Row],[Data]])&amp;"-"&amp;RIGHT("0"&amp;MONTH(tblSprzedaz[[#This Row],[Data]]),2)</f>
        <v>2025-03</v>
      </c>
    </row>
    <row r="214" spans="1:19" x14ac:dyDescent="0.25">
      <c r="A214" s="7" t="s">
        <v>595</v>
      </c>
      <c r="B214" s="10">
        <v>45719</v>
      </c>
      <c r="C214" s="7" t="s">
        <v>596</v>
      </c>
      <c r="D214" s="8" t="s">
        <v>102</v>
      </c>
      <c r="E214" s="8" t="s">
        <v>56</v>
      </c>
      <c r="F214" s="8" t="s">
        <v>31</v>
      </c>
      <c r="G214" s="8" t="s">
        <v>28</v>
      </c>
      <c r="H214" s="8" t="s">
        <v>38</v>
      </c>
      <c r="I214" s="11">
        <v>6</v>
      </c>
      <c r="J214" s="12">
        <v>279.3</v>
      </c>
      <c r="K214" s="13">
        <v>0.05</v>
      </c>
      <c r="L214" s="12">
        <v>168.62</v>
      </c>
      <c r="M214" s="14">
        <f>ROUND(tblSprzedaz[[#This Row],[Ilość]]*tblSprzedaz[[#This Row],[Cena netto jednostkowa]]*(1-tblSprzedaz[[#This Row],[Rabat %]]),2)</f>
        <v>1592.01</v>
      </c>
      <c r="N214" s="14">
        <f>ROUND(tblSprzedaz[[#This Row],[Ilość]]*tblSprzedaz[[#This Row],[Koszt jednostkowy netto]],2)</f>
        <v>1011.72</v>
      </c>
      <c r="O214" s="14">
        <f>tblSprzedaz[[#This Row],[Przychód netto]]-tblSprzedaz[[#This Row],[Koszt całkowity netto]]</f>
        <v>580.29</v>
      </c>
      <c r="P214" s="15">
        <f>IFERROR(tblSprzedaz[[#This Row],[Marża kwotowa]]/tblSprzedaz[[#This Row],[Przychód netto]],0)</f>
        <v>0.36450147926206494</v>
      </c>
      <c r="Q214" s="16">
        <f>YEAR(tblSprzedaz[[#This Row],[Data]])</f>
        <v>2025</v>
      </c>
      <c r="R214" s="16">
        <f>MONTH(tblSprzedaz[[#This Row],[Data]])</f>
        <v>3</v>
      </c>
      <c r="S214" s="9" t="str">
        <f>YEAR(tblSprzedaz[[#This Row],[Data]])&amp;"-"&amp;RIGHT("0"&amp;MONTH(tblSprzedaz[[#This Row],[Data]]),2)</f>
        <v>2025-03</v>
      </c>
    </row>
    <row r="215" spans="1:19" x14ac:dyDescent="0.25">
      <c r="A215" s="7" t="s">
        <v>597</v>
      </c>
      <c r="B215" s="10">
        <v>45720</v>
      </c>
      <c r="C215" s="7" t="s">
        <v>598</v>
      </c>
      <c r="D215" s="8" t="s">
        <v>95</v>
      </c>
      <c r="E215" s="8" t="s">
        <v>49</v>
      </c>
      <c r="F215" s="8" t="s">
        <v>29</v>
      </c>
      <c r="G215" s="8" t="s">
        <v>34</v>
      </c>
      <c r="H215" s="8" t="s">
        <v>44</v>
      </c>
      <c r="I215" s="11">
        <v>12</v>
      </c>
      <c r="J215" s="12">
        <v>39.44</v>
      </c>
      <c r="K215" s="13">
        <v>0</v>
      </c>
      <c r="L215" s="12">
        <v>23.39</v>
      </c>
      <c r="M215" s="14">
        <f>ROUND(tblSprzedaz[[#This Row],[Ilość]]*tblSprzedaz[[#This Row],[Cena netto jednostkowa]]*(1-tblSprzedaz[[#This Row],[Rabat %]]),2)</f>
        <v>473.28</v>
      </c>
      <c r="N215" s="14">
        <f>ROUND(tblSprzedaz[[#This Row],[Ilość]]*tblSprzedaz[[#This Row],[Koszt jednostkowy netto]],2)</f>
        <v>280.68</v>
      </c>
      <c r="O215" s="14">
        <f>tblSprzedaz[[#This Row],[Przychód netto]]-tblSprzedaz[[#This Row],[Koszt całkowity netto]]</f>
        <v>192.59999999999997</v>
      </c>
      <c r="P215" s="15">
        <f>IFERROR(tblSprzedaz[[#This Row],[Marża kwotowa]]/tblSprzedaz[[#This Row],[Przychód netto]],0)</f>
        <v>0.40694726166328593</v>
      </c>
      <c r="Q215" s="16">
        <f>YEAR(tblSprzedaz[[#This Row],[Data]])</f>
        <v>2025</v>
      </c>
      <c r="R215" s="16">
        <f>MONTH(tblSprzedaz[[#This Row],[Data]])</f>
        <v>3</v>
      </c>
      <c r="S215" s="9" t="str">
        <f>YEAR(tblSprzedaz[[#This Row],[Data]])&amp;"-"&amp;RIGHT("0"&amp;MONTH(tblSprzedaz[[#This Row],[Data]]),2)</f>
        <v>2025-03</v>
      </c>
    </row>
    <row r="216" spans="1:19" x14ac:dyDescent="0.25">
      <c r="A216" s="7" t="s">
        <v>599</v>
      </c>
      <c r="B216" s="10">
        <v>45720</v>
      </c>
      <c r="C216" s="7" t="s">
        <v>600</v>
      </c>
      <c r="D216" s="8" t="s">
        <v>96</v>
      </c>
      <c r="E216" s="8" t="s">
        <v>63</v>
      </c>
      <c r="F216" s="8" t="s">
        <v>33</v>
      </c>
      <c r="G216" s="8" t="s">
        <v>36</v>
      </c>
      <c r="H216" s="8" t="s">
        <v>46</v>
      </c>
      <c r="I216" s="11">
        <v>12</v>
      </c>
      <c r="J216" s="12">
        <v>690</v>
      </c>
      <c r="K216" s="13">
        <v>0.15</v>
      </c>
      <c r="L216" s="12">
        <v>457.37</v>
      </c>
      <c r="M216" s="14">
        <f>ROUND(tblSprzedaz[[#This Row],[Ilość]]*tblSprzedaz[[#This Row],[Cena netto jednostkowa]]*(1-tblSprzedaz[[#This Row],[Rabat %]]),2)</f>
        <v>7038</v>
      </c>
      <c r="N216" s="14">
        <f>ROUND(tblSprzedaz[[#This Row],[Ilość]]*tblSprzedaz[[#This Row],[Koszt jednostkowy netto]],2)</f>
        <v>5488.44</v>
      </c>
      <c r="O216" s="14">
        <f>tblSprzedaz[[#This Row],[Przychód netto]]-tblSprzedaz[[#This Row],[Koszt całkowity netto]]</f>
        <v>1549.5600000000004</v>
      </c>
      <c r="P216" s="15">
        <f>IFERROR(tblSprzedaz[[#This Row],[Marża kwotowa]]/tblSprzedaz[[#This Row],[Przychód netto]],0)</f>
        <v>0.22017050298380228</v>
      </c>
      <c r="Q216" s="16">
        <f>YEAR(tblSprzedaz[[#This Row],[Data]])</f>
        <v>2025</v>
      </c>
      <c r="R216" s="16">
        <f>MONTH(tblSprzedaz[[#This Row],[Data]])</f>
        <v>3</v>
      </c>
      <c r="S216" s="9" t="str">
        <f>YEAR(tblSprzedaz[[#This Row],[Data]])&amp;"-"&amp;RIGHT("0"&amp;MONTH(tblSprzedaz[[#This Row],[Data]]),2)</f>
        <v>2025-03</v>
      </c>
    </row>
    <row r="217" spans="1:19" x14ac:dyDescent="0.25">
      <c r="A217" s="7" t="s">
        <v>601</v>
      </c>
      <c r="B217" s="10">
        <v>45720</v>
      </c>
      <c r="C217" s="7" t="s">
        <v>602</v>
      </c>
      <c r="D217" s="8" t="s">
        <v>112</v>
      </c>
      <c r="E217" s="8" t="s">
        <v>58</v>
      </c>
      <c r="F217" s="8" t="s">
        <v>31</v>
      </c>
      <c r="G217" s="8" t="s">
        <v>32</v>
      </c>
      <c r="H217" s="8" t="s">
        <v>42</v>
      </c>
      <c r="I217" s="11">
        <v>6</v>
      </c>
      <c r="J217" s="12">
        <v>350.7</v>
      </c>
      <c r="K217" s="13">
        <v>0</v>
      </c>
      <c r="L217" s="12">
        <v>218.66</v>
      </c>
      <c r="M217" s="14">
        <f>ROUND(tblSprzedaz[[#This Row],[Ilość]]*tblSprzedaz[[#This Row],[Cena netto jednostkowa]]*(1-tblSprzedaz[[#This Row],[Rabat %]]),2)</f>
        <v>2104.1999999999998</v>
      </c>
      <c r="N217" s="14">
        <f>ROUND(tblSprzedaz[[#This Row],[Ilość]]*tblSprzedaz[[#This Row],[Koszt jednostkowy netto]],2)</f>
        <v>1311.96</v>
      </c>
      <c r="O217" s="14">
        <f>tblSprzedaz[[#This Row],[Przychód netto]]-tblSprzedaz[[#This Row],[Koszt całkowity netto]]</f>
        <v>792.23999999999978</v>
      </c>
      <c r="P217" s="15">
        <f>IFERROR(tblSprzedaz[[#This Row],[Marża kwotowa]]/tblSprzedaz[[#This Row],[Przychód netto]],0)</f>
        <v>0.37650413458796683</v>
      </c>
      <c r="Q217" s="16">
        <f>YEAR(tblSprzedaz[[#This Row],[Data]])</f>
        <v>2025</v>
      </c>
      <c r="R217" s="16">
        <f>MONTH(tblSprzedaz[[#This Row],[Data]])</f>
        <v>3</v>
      </c>
      <c r="S217" s="9" t="str">
        <f>YEAR(tblSprzedaz[[#This Row],[Data]])&amp;"-"&amp;RIGHT("0"&amp;MONTH(tblSprzedaz[[#This Row],[Data]]),2)</f>
        <v>2025-03</v>
      </c>
    </row>
    <row r="218" spans="1:19" x14ac:dyDescent="0.25">
      <c r="A218" s="7" t="s">
        <v>603</v>
      </c>
      <c r="B218" s="10">
        <v>45720</v>
      </c>
      <c r="C218" s="7" t="s">
        <v>604</v>
      </c>
      <c r="D218" s="8" t="s">
        <v>105</v>
      </c>
      <c r="E218" s="8" t="s">
        <v>66</v>
      </c>
      <c r="F218" s="8" t="s">
        <v>35</v>
      </c>
      <c r="G218" s="8" t="s">
        <v>36</v>
      </c>
      <c r="H218" s="8" t="s">
        <v>46</v>
      </c>
      <c r="I218" s="11">
        <v>1</v>
      </c>
      <c r="J218" s="12">
        <v>67.319999999999993</v>
      </c>
      <c r="K218" s="13">
        <v>0.05</v>
      </c>
      <c r="L218" s="12">
        <v>47.92</v>
      </c>
      <c r="M218" s="14">
        <f>ROUND(tblSprzedaz[[#This Row],[Ilość]]*tblSprzedaz[[#This Row],[Cena netto jednostkowa]]*(1-tblSprzedaz[[#This Row],[Rabat %]]),2)</f>
        <v>63.95</v>
      </c>
      <c r="N218" s="14">
        <f>ROUND(tblSprzedaz[[#This Row],[Ilość]]*tblSprzedaz[[#This Row],[Koszt jednostkowy netto]],2)</f>
        <v>47.92</v>
      </c>
      <c r="O218" s="14">
        <f>tblSprzedaz[[#This Row],[Przychód netto]]-tblSprzedaz[[#This Row],[Koszt całkowity netto]]</f>
        <v>16.03</v>
      </c>
      <c r="P218" s="15">
        <f>IFERROR(tblSprzedaz[[#This Row],[Marża kwotowa]]/tblSprzedaz[[#This Row],[Przychód netto]],0)</f>
        <v>0.2506645817044566</v>
      </c>
      <c r="Q218" s="16">
        <f>YEAR(tblSprzedaz[[#This Row],[Data]])</f>
        <v>2025</v>
      </c>
      <c r="R218" s="16">
        <f>MONTH(tblSprzedaz[[#This Row],[Data]])</f>
        <v>3</v>
      </c>
      <c r="S218" s="9" t="str">
        <f>YEAR(tblSprzedaz[[#This Row],[Data]])&amp;"-"&amp;RIGHT("0"&amp;MONTH(tblSprzedaz[[#This Row],[Data]]),2)</f>
        <v>2025-03</v>
      </c>
    </row>
    <row r="219" spans="1:19" x14ac:dyDescent="0.25">
      <c r="A219" s="7" t="s">
        <v>605</v>
      </c>
      <c r="B219" s="10">
        <v>45721</v>
      </c>
      <c r="C219" s="7" t="s">
        <v>606</v>
      </c>
      <c r="D219" s="8" t="s">
        <v>131</v>
      </c>
      <c r="E219" s="8" t="s">
        <v>63</v>
      </c>
      <c r="F219" s="8" t="s">
        <v>33</v>
      </c>
      <c r="G219" s="8" t="s">
        <v>34</v>
      </c>
      <c r="H219" s="8" t="s">
        <v>45</v>
      </c>
      <c r="I219" s="11">
        <v>9</v>
      </c>
      <c r="J219" s="12">
        <v>690</v>
      </c>
      <c r="K219" s="13">
        <v>0.15</v>
      </c>
      <c r="L219" s="12">
        <v>465.18</v>
      </c>
      <c r="M219" s="14">
        <f>ROUND(tblSprzedaz[[#This Row],[Ilość]]*tblSprzedaz[[#This Row],[Cena netto jednostkowa]]*(1-tblSprzedaz[[#This Row],[Rabat %]]),2)</f>
        <v>5278.5</v>
      </c>
      <c r="N219" s="14">
        <f>ROUND(tblSprzedaz[[#This Row],[Ilość]]*tblSprzedaz[[#This Row],[Koszt jednostkowy netto]],2)</f>
        <v>4186.62</v>
      </c>
      <c r="O219" s="14">
        <f>tblSprzedaz[[#This Row],[Przychód netto]]-tblSprzedaz[[#This Row],[Koszt całkowity netto]]</f>
        <v>1091.8800000000001</v>
      </c>
      <c r="P219" s="15">
        <f>IFERROR(tblSprzedaz[[#This Row],[Marża kwotowa]]/tblSprzedaz[[#This Row],[Przychód netto]],0)</f>
        <v>0.20685421994884912</v>
      </c>
      <c r="Q219" s="16">
        <f>YEAR(tblSprzedaz[[#This Row],[Data]])</f>
        <v>2025</v>
      </c>
      <c r="R219" s="16">
        <f>MONTH(tblSprzedaz[[#This Row],[Data]])</f>
        <v>3</v>
      </c>
      <c r="S219" s="9" t="str">
        <f>YEAR(tblSprzedaz[[#This Row],[Data]])&amp;"-"&amp;RIGHT("0"&amp;MONTH(tblSprzedaz[[#This Row],[Data]]),2)</f>
        <v>2025-03</v>
      </c>
    </row>
    <row r="220" spans="1:19" x14ac:dyDescent="0.25">
      <c r="A220" s="7" t="s">
        <v>607</v>
      </c>
      <c r="B220" s="10">
        <v>45721</v>
      </c>
      <c r="C220" s="7" t="s">
        <v>608</v>
      </c>
      <c r="D220" s="8" t="s">
        <v>133</v>
      </c>
      <c r="E220" s="8" t="s">
        <v>75</v>
      </c>
      <c r="F220" s="8" t="s">
        <v>37</v>
      </c>
      <c r="G220" s="8" t="s">
        <v>34</v>
      </c>
      <c r="H220" s="8" t="s">
        <v>44</v>
      </c>
      <c r="I220" s="11">
        <v>8</v>
      </c>
      <c r="J220" s="12">
        <v>142.5</v>
      </c>
      <c r="K220" s="13">
        <v>0.15</v>
      </c>
      <c r="L220" s="12">
        <v>104.85</v>
      </c>
      <c r="M220" s="14">
        <f>ROUND(tblSprzedaz[[#This Row],[Ilość]]*tblSprzedaz[[#This Row],[Cena netto jednostkowa]]*(1-tblSprzedaz[[#This Row],[Rabat %]]),2)</f>
        <v>969</v>
      </c>
      <c r="N220" s="14">
        <f>ROUND(tblSprzedaz[[#This Row],[Ilość]]*tblSprzedaz[[#This Row],[Koszt jednostkowy netto]],2)</f>
        <v>838.8</v>
      </c>
      <c r="O220" s="14">
        <f>tblSprzedaz[[#This Row],[Przychód netto]]-tblSprzedaz[[#This Row],[Koszt całkowity netto]]</f>
        <v>130.20000000000005</v>
      </c>
      <c r="P220" s="15">
        <f>IFERROR(tblSprzedaz[[#This Row],[Marża kwotowa]]/tblSprzedaz[[#This Row],[Przychód netto]],0)</f>
        <v>0.13436532507739943</v>
      </c>
      <c r="Q220" s="16">
        <f>YEAR(tblSprzedaz[[#This Row],[Data]])</f>
        <v>2025</v>
      </c>
      <c r="R220" s="16">
        <f>MONTH(tblSprzedaz[[#This Row],[Data]])</f>
        <v>3</v>
      </c>
      <c r="S220" s="9" t="str">
        <f>YEAR(tblSprzedaz[[#This Row],[Data]])&amp;"-"&amp;RIGHT("0"&amp;MONTH(tblSprzedaz[[#This Row],[Data]]),2)</f>
        <v>2025-03</v>
      </c>
    </row>
    <row r="221" spans="1:19" x14ac:dyDescent="0.25">
      <c r="A221" s="7" t="s">
        <v>609</v>
      </c>
      <c r="B221" s="10">
        <v>45721</v>
      </c>
      <c r="C221" s="7" t="s">
        <v>610</v>
      </c>
      <c r="D221" s="8" t="s">
        <v>80</v>
      </c>
      <c r="E221" s="8" t="s">
        <v>71</v>
      </c>
      <c r="F221" s="8" t="s">
        <v>35</v>
      </c>
      <c r="G221" s="8" t="s">
        <v>30</v>
      </c>
      <c r="H221" s="8" t="s">
        <v>41</v>
      </c>
      <c r="I221" s="11">
        <v>21</v>
      </c>
      <c r="J221" s="12">
        <v>55.76</v>
      </c>
      <c r="K221" s="13">
        <v>0</v>
      </c>
      <c r="L221" s="12">
        <v>40.630000000000003</v>
      </c>
      <c r="M221" s="14">
        <f>ROUND(tblSprzedaz[[#This Row],[Ilość]]*tblSprzedaz[[#This Row],[Cena netto jednostkowa]]*(1-tblSprzedaz[[#This Row],[Rabat %]]),2)</f>
        <v>1170.96</v>
      </c>
      <c r="N221" s="14">
        <f>ROUND(tblSprzedaz[[#This Row],[Ilość]]*tblSprzedaz[[#This Row],[Koszt jednostkowy netto]],2)</f>
        <v>853.23</v>
      </c>
      <c r="O221" s="14">
        <f>tblSprzedaz[[#This Row],[Przychód netto]]-tblSprzedaz[[#This Row],[Koszt całkowity netto]]</f>
        <v>317.73</v>
      </c>
      <c r="P221" s="15">
        <f>IFERROR(tblSprzedaz[[#This Row],[Marża kwotowa]]/tblSprzedaz[[#This Row],[Przychód netto]],0)</f>
        <v>0.27134146341463417</v>
      </c>
      <c r="Q221" s="16">
        <f>YEAR(tblSprzedaz[[#This Row],[Data]])</f>
        <v>2025</v>
      </c>
      <c r="R221" s="16">
        <f>MONTH(tblSprzedaz[[#This Row],[Data]])</f>
        <v>3</v>
      </c>
      <c r="S221" s="9" t="str">
        <f>YEAR(tblSprzedaz[[#This Row],[Data]])&amp;"-"&amp;RIGHT("0"&amp;MONTH(tblSprzedaz[[#This Row],[Data]]),2)</f>
        <v>2025-03</v>
      </c>
    </row>
    <row r="222" spans="1:19" x14ac:dyDescent="0.25">
      <c r="A222" s="7" t="s">
        <v>611</v>
      </c>
      <c r="B222" s="10">
        <v>45721</v>
      </c>
      <c r="C222" s="7" t="s">
        <v>612</v>
      </c>
      <c r="D222" s="8" t="s">
        <v>138</v>
      </c>
      <c r="E222" s="8" t="s">
        <v>62</v>
      </c>
      <c r="F222" s="8" t="s">
        <v>33</v>
      </c>
      <c r="G222" s="8" t="s">
        <v>34</v>
      </c>
      <c r="H222" s="8" t="s">
        <v>45</v>
      </c>
      <c r="I222" s="11">
        <v>8</v>
      </c>
      <c r="J222" s="12">
        <v>611.79999999999995</v>
      </c>
      <c r="K222" s="13">
        <v>0.15</v>
      </c>
      <c r="L222" s="12">
        <v>395.14</v>
      </c>
      <c r="M222" s="14">
        <f>ROUND(tblSprzedaz[[#This Row],[Ilość]]*tblSprzedaz[[#This Row],[Cena netto jednostkowa]]*(1-tblSprzedaz[[#This Row],[Rabat %]]),2)</f>
        <v>4160.24</v>
      </c>
      <c r="N222" s="14">
        <f>ROUND(tblSprzedaz[[#This Row],[Ilość]]*tblSprzedaz[[#This Row],[Koszt jednostkowy netto]],2)</f>
        <v>3161.12</v>
      </c>
      <c r="O222" s="14">
        <f>tblSprzedaz[[#This Row],[Przychód netto]]-tblSprzedaz[[#This Row],[Koszt całkowity netto]]</f>
        <v>999.11999999999989</v>
      </c>
      <c r="P222" s="15">
        <f>IFERROR(tblSprzedaz[[#This Row],[Marża kwotowa]]/tblSprzedaz[[#This Row],[Przychód netto]],0)</f>
        <v>0.24015922158337016</v>
      </c>
      <c r="Q222" s="16">
        <f>YEAR(tblSprzedaz[[#This Row],[Data]])</f>
        <v>2025</v>
      </c>
      <c r="R222" s="16">
        <f>MONTH(tblSprzedaz[[#This Row],[Data]])</f>
        <v>3</v>
      </c>
      <c r="S222" s="9" t="str">
        <f>YEAR(tblSprzedaz[[#This Row],[Data]])&amp;"-"&amp;RIGHT("0"&amp;MONTH(tblSprzedaz[[#This Row],[Data]]),2)</f>
        <v>2025-03</v>
      </c>
    </row>
    <row r="223" spans="1:19" x14ac:dyDescent="0.25">
      <c r="A223" s="7" t="s">
        <v>613</v>
      </c>
      <c r="B223" s="10">
        <v>45721</v>
      </c>
      <c r="C223" s="7" t="s">
        <v>614</v>
      </c>
      <c r="D223" s="8" t="s">
        <v>119</v>
      </c>
      <c r="E223" s="8" t="s">
        <v>66</v>
      </c>
      <c r="F223" s="8" t="s">
        <v>35</v>
      </c>
      <c r="G223" s="8" t="s">
        <v>30</v>
      </c>
      <c r="H223" s="8" t="s">
        <v>40</v>
      </c>
      <c r="I223" s="11">
        <v>15</v>
      </c>
      <c r="J223" s="12">
        <v>67.319999999999993</v>
      </c>
      <c r="K223" s="13">
        <v>0.05</v>
      </c>
      <c r="L223" s="12">
        <v>50.65</v>
      </c>
      <c r="M223" s="14">
        <f>ROUND(tblSprzedaz[[#This Row],[Ilość]]*tblSprzedaz[[#This Row],[Cena netto jednostkowa]]*(1-tblSprzedaz[[#This Row],[Rabat %]]),2)</f>
        <v>959.31</v>
      </c>
      <c r="N223" s="14">
        <f>ROUND(tblSprzedaz[[#This Row],[Ilość]]*tblSprzedaz[[#This Row],[Koszt jednostkowy netto]],2)</f>
        <v>759.75</v>
      </c>
      <c r="O223" s="14">
        <f>tblSprzedaz[[#This Row],[Przychód netto]]-tblSprzedaz[[#This Row],[Koszt całkowity netto]]</f>
        <v>199.55999999999995</v>
      </c>
      <c r="P223" s="15">
        <f>IFERROR(tblSprzedaz[[#This Row],[Marża kwotowa]]/tblSprzedaz[[#This Row],[Przychód netto]],0)</f>
        <v>0.2080245176220408</v>
      </c>
      <c r="Q223" s="16">
        <f>YEAR(tblSprzedaz[[#This Row],[Data]])</f>
        <v>2025</v>
      </c>
      <c r="R223" s="16">
        <f>MONTH(tblSprzedaz[[#This Row],[Data]])</f>
        <v>3</v>
      </c>
      <c r="S223" s="9" t="str">
        <f>YEAR(tblSprzedaz[[#This Row],[Data]])&amp;"-"&amp;RIGHT("0"&amp;MONTH(tblSprzedaz[[#This Row],[Data]]),2)</f>
        <v>2025-03</v>
      </c>
    </row>
    <row r="224" spans="1:19" x14ac:dyDescent="0.25">
      <c r="A224" s="7" t="s">
        <v>615</v>
      </c>
      <c r="B224" s="10">
        <v>45721</v>
      </c>
      <c r="C224" s="7" t="s">
        <v>616</v>
      </c>
      <c r="D224" s="8" t="s">
        <v>115</v>
      </c>
      <c r="E224" s="8" t="s">
        <v>55</v>
      </c>
      <c r="F224" s="8" t="s">
        <v>31</v>
      </c>
      <c r="G224" s="8" t="s">
        <v>34</v>
      </c>
      <c r="H224" s="8" t="s">
        <v>44</v>
      </c>
      <c r="I224" s="11">
        <v>5</v>
      </c>
      <c r="J224" s="12">
        <v>243.6</v>
      </c>
      <c r="K224" s="13">
        <v>0</v>
      </c>
      <c r="L224" s="12">
        <v>146.88999999999999</v>
      </c>
      <c r="M224" s="14">
        <f>ROUND(tblSprzedaz[[#This Row],[Ilość]]*tblSprzedaz[[#This Row],[Cena netto jednostkowa]]*(1-tblSprzedaz[[#This Row],[Rabat %]]),2)</f>
        <v>1218</v>
      </c>
      <c r="N224" s="14">
        <f>ROUND(tblSprzedaz[[#This Row],[Ilość]]*tblSprzedaz[[#This Row],[Koszt jednostkowy netto]],2)</f>
        <v>734.45</v>
      </c>
      <c r="O224" s="14">
        <f>tblSprzedaz[[#This Row],[Przychód netto]]-tblSprzedaz[[#This Row],[Koszt całkowity netto]]</f>
        <v>483.54999999999995</v>
      </c>
      <c r="P224" s="15">
        <f>IFERROR(tblSprzedaz[[#This Row],[Marża kwotowa]]/tblSprzedaz[[#This Row],[Przychód netto]],0)</f>
        <v>0.39700328407224955</v>
      </c>
      <c r="Q224" s="16">
        <f>YEAR(tblSprzedaz[[#This Row],[Data]])</f>
        <v>2025</v>
      </c>
      <c r="R224" s="16">
        <f>MONTH(tblSprzedaz[[#This Row],[Data]])</f>
        <v>3</v>
      </c>
      <c r="S224" s="9" t="str">
        <f>YEAR(tblSprzedaz[[#This Row],[Data]])&amp;"-"&amp;RIGHT("0"&amp;MONTH(tblSprzedaz[[#This Row],[Data]]),2)</f>
        <v>2025-03</v>
      </c>
    </row>
    <row r="225" spans="1:19" x14ac:dyDescent="0.25">
      <c r="A225" s="7" t="s">
        <v>617</v>
      </c>
      <c r="B225" s="10">
        <v>45722</v>
      </c>
      <c r="C225" s="7" t="s">
        <v>618</v>
      </c>
      <c r="D225" s="8" t="s">
        <v>90</v>
      </c>
      <c r="E225" s="8" t="s">
        <v>69</v>
      </c>
      <c r="F225" s="8" t="s">
        <v>35</v>
      </c>
      <c r="G225" s="8" t="s">
        <v>36</v>
      </c>
      <c r="H225" s="8" t="s">
        <v>47</v>
      </c>
      <c r="I225" s="11">
        <v>13</v>
      </c>
      <c r="J225" s="12">
        <v>102</v>
      </c>
      <c r="K225" s="13">
        <v>0</v>
      </c>
      <c r="L225" s="12">
        <v>77.64</v>
      </c>
      <c r="M225" s="14">
        <f>ROUND(tblSprzedaz[[#This Row],[Ilość]]*tblSprzedaz[[#This Row],[Cena netto jednostkowa]]*(1-tblSprzedaz[[#This Row],[Rabat %]]),2)</f>
        <v>1326</v>
      </c>
      <c r="N225" s="14">
        <f>ROUND(tblSprzedaz[[#This Row],[Ilość]]*tblSprzedaz[[#This Row],[Koszt jednostkowy netto]],2)</f>
        <v>1009.32</v>
      </c>
      <c r="O225" s="14">
        <f>tblSprzedaz[[#This Row],[Przychód netto]]-tblSprzedaz[[#This Row],[Koszt całkowity netto]]</f>
        <v>316.67999999999995</v>
      </c>
      <c r="P225" s="15">
        <f>IFERROR(tblSprzedaz[[#This Row],[Marża kwotowa]]/tblSprzedaz[[#This Row],[Przychód netto]],0)</f>
        <v>0.23882352941176466</v>
      </c>
      <c r="Q225" s="16">
        <f>YEAR(tblSprzedaz[[#This Row],[Data]])</f>
        <v>2025</v>
      </c>
      <c r="R225" s="16">
        <f>MONTH(tblSprzedaz[[#This Row],[Data]])</f>
        <v>3</v>
      </c>
      <c r="S225" s="9" t="str">
        <f>YEAR(tblSprzedaz[[#This Row],[Data]])&amp;"-"&amp;RIGHT("0"&amp;MONTH(tblSprzedaz[[#This Row],[Data]]),2)</f>
        <v>2025-03</v>
      </c>
    </row>
    <row r="226" spans="1:19" x14ac:dyDescent="0.25">
      <c r="A226" s="7" t="s">
        <v>619</v>
      </c>
      <c r="B226" s="10">
        <v>45722</v>
      </c>
      <c r="C226" s="7" t="s">
        <v>620</v>
      </c>
      <c r="D226" s="8" t="s">
        <v>131</v>
      </c>
      <c r="E226" s="8" t="s">
        <v>71</v>
      </c>
      <c r="F226" s="8" t="s">
        <v>35</v>
      </c>
      <c r="G226" s="8" t="s">
        <v>36</v>
      </c>
      <c r="H226" s="8" t="s">
        <v>46</v>
      </c>
      <c r="I226" s="11">
        <v>16</v>
      </c>
      <c r="J226" s="12">
        <v>55.76</v>
      </c>
      <c r="K226" s="13">
        <v>0</v>
      </c>
      <c r="L226" s="12">
        <v>40.28</v>
      </c>
      <c r="M226" s="14">
        <f>ROUND(tblSprzedaz[[#This Row],[Ilość]]*tblSprzedaz[[#This Row],[Cena netto jednostkowa]]*(1-tblSprzedaz[[#This Row],[Rabat %]]),2)</f>
        <v>892.16</v>
      </c>
      <c r="N226" s="14">
        <f>ROUND(tblSprzedaz[[#This Row],[Ilość]]*tblSprzedaz[[#This Row],[Koszt jednostkowy netto]],2)</f>
        <v>644.48</v>
      </c>
      <c r="O226" s="14">
        <f>tblSprzedaz[[#This Row],[Przychód netto]]-tblSprzedaz[[#This Row],[Koszt całkowity netto]]</f>
        <v>247.67999999999995</v>
      </c>
      <c r="P226" s="15">
        <f>IFERROR(tblSprzedaz[[#This Row],[Marża kwotowa]]/tblSprzedaz[[#This Row],[Przychód netto]],0)</f>
        <v>0.27761836441893828</v>
      </c>
      <c r="Q226" s="16">
        <f>YEAR(tblSprzedaz[[#This Row],[Data]])</f>
        <v>2025</v>
      </c>
      <c r="R226" s="16">
        <f>MONTH(tblSprzedaz[[#This Row],[Data]])</f>
        <v>3</v>
      </c>
      <c r="S226" s="9" t="str">
        <f>YEAR(tblSprzedaz[[#This Row],[Data]])&amp;"-"&amp;RIGHT("0"&amp;MONTH(tblSprzedaz[[#This Row],[Data]]),2)</f>
        <v>2025-03</v>
      </c>
    </row>
    <row r="227" spans="1:19" x14ac:dyDescent="0.25">
      <c r="A227" s="7" t="s">
        <v>621</v>
      </c>
      <c r="B227" s="10">
        <v>45722</v>
      </c>
      <c r="C227" s="7" t="s">
        <v>622</v>
      </c>
      <c r="D227" s="8" t="s">
        <v>101</v>
      </c>
      <c r="E227" s="8" t="s">
        <v>55</v>
      </c>
      <c r="F227" s="8" t="s">
        <v>31</v>
      </c>
      <c r="G227" s="8" t="s">
        <v>36</v>
      </c>
      <c r="H227" s="8" t="s">
        <v>46</v>
      </c>
      <c r="I227" s="11">
        <v>10</v>
      </c>
      <c r="J227" s="12">
        <v>243.6</v>
      </c>
      <c r="K227" s="13">
        <v>0</v>
      </c>
      <c r="L227" s="12">
        <v>151.66999999999999</v>
      </c>
      <c r="M227" s="14">
        <f>ROUND(tblSprzedaz[[#This Row],[Ilość]]*tblSprzedaz[[#This Row],[Cena netto jednostkowa]]*(1-tblSprzedaz[[#This Row],[Rabat %]]),2)</f>
        <v>2436</v>
      </c>
      <c r="N227" s="14">
        <f>ROUND(tblSprzedaz[[#This Row],[Ilość]]*tblSprzedaz[[#This Row],[Koszt jednostkowy netto]],2)</f>
        <v>1516.7</v>
      </c>
      <c r="O227" s="14">
        <f>tblSprzedaz[[#This Row],[Przychód netto]]-tblSprzedaz[[#This Row],[Koszt całkowity netto]]</f>
        <v>919.3</v>
      </c>
      <c r="P227" s="15">
        <f>IFERROR(tblSprzedaz[[#This Row],[Marża kwotowa]]/tblSprzedaz[[#This Row],[Przychód netto]],0)</f>
        <v>0.37738095238095237</v>
      </c>
      <c r="Q227" s="16">
        <f>YEAR(tblSprzedaz[[#This Row],[Data]])</f>
        <v>2025</v>
      </c>
      <c r="R227" s="16">
        <f>MONTH(tblSprzedaz[[#This Row],[Data]])</f>
        <v>3</v>
      </c>
      <c r="S227" s="9" t="str">
        <f>YEAR(tblSprzedaz[[#This Row],[Data]])&amp;"-"&amp;RIGHT("0"&amp;MONTH(tblSprzedaz[[#This Row],[Data]]),2)</f>
        <v>2025-03</v>
      </c>
    </row>
    <row r="228" spans="1:19" x14ac:dyDescent="0.25">
      <c r="A228" s="7" t="s">
        <v>623</v>
      </c>
      <c r="B228" s="10">
        <v>45722</v>
      </c>
      <c r="C228" s="7" t="s">
        <v>624</v>
      </c>
      <c r="D228" s="8" t="s">
        <v>128</v>
      </c>
      <c r="E228" s="8" t="s">
        <v>56</v>
      </c>
      <c r="F228" s="8" t="s">
        <v>31</v>
      </c>
      <c r="G228" s="8" t="s">
        <v>36</v>
      </c>
      <c r="H228" s="8" t="s">
        <v>47</v>
      </c>
      <c r="I228" s="11">
        <v>10</v>
      </c>
      <c r="J228" s="12">
        <v>279.3</v>
      </c>
      <c r="K228" s="13">
        <v>0</v>
      </c>
      <c r="L228" s="12">
        <v>188.19</v>
      </c>
      <c r="M228" s="14">
        <f>ROUND(tblSprzedaz[[#This Row],[Ilość]]*tblSprzedaz[[#This Row],[Cena netto jednostkowa]]*(1-tblSprzedaz[[#This Row],[Rabat %]]),2)</f>
        <v>2793</v>
      </c>
      <c r="N228" s="14">
        <f>ROUND(tblSprzedaz[[#This Row],[Ilość]]*tblSprzedaz[[#This Row],[Koszt jednostkowy netto]],2)</f>
        <v>1881.9</v>
      </c>
      <c r="O228" s="14">
        <f>tblSprzedaz[[#This Row],[Przychód netto]]-tblSprzedaz[[#This Row],[Koszt całkowity netto]]</f>
        <v>911.09999999999991</v>
      </c>
      <c r="P228" s="15">
        <f>IFERROR(tblSprzedaz[[#This Row],[Marża kwotowa]]/tblSprzedaz[[#This Row],[Przychód netto]],0)</f>
        <v>0.32620837808807729</v>
      </c>
      <c r="Q228" s="16">
        <f>YEAR(tblSprzedaz[[#This Row],[Data]])</f>
        <v>2025</v>
      </c>
      <c r="R228" s="16">
        <f>MONTH(tblSprzedaz[[#This Row],[Data]])</f>
        <v>3</v>
      </c>
      <c r="S228" s="9" t="str">
        <f>YEAR(tblSprzedaz[[#This Row],[Data]])&amp;"-"&amp;RIGHT("0"&amp;MONTH(tblSprzedaz[[#This Row],[Data]]),2)</f>
        <v>2025-03</v>
      </c>
    </row>
    <row r="229" spans="1:19" x14ac:dyDescent="0.25">
      <c r="A229" s="7" t="s">
        <v>625</v>
      </c>
      <c r="B229" s="10">
        <v>45723</v>
      </c>
      <c r="C229" s="7" t="s">
        <v>626</v>
      </c>
      <c r="D229" s="8" t="s">
        <v>113</v>
      </c>
      <c r="E229" s="8" t="s">
        <v>63</v>
      </c>
      <c r="F229" s="8" t="s">
        <v>33</v>
      </c>
      <c r="G229" s="8" t="s">
        <v>32</v>
      </c>
      <c r="H229" s="8" t="s">
        <v>43</v>
      </c>
      <c r="I229" s="11">
        <v>11</v>
      </c>
      <c r="J229" s="12">
        <v>690</v>
      </c>
      <c r="K229" s="13">
        <v>0.05</v>
      </c>
      <c r="L229" s="12">
        <v>478.76</v>
      </c>
      <c r="M229" s="14">
        <f>ROUND(tblSprzedaz[[#This Row],[Ilość]]*tblSprzedaz[[#This Row],[Cena netto jednostkowa]]*(1-tblSprzedaz[[#This Row],[Rabat %]]),2)</f>
        <v>7210.5</v>
      </c>
      <c r="N229" s="14">
        <f>ROUND(tblSprzedaz[[#This Row],[Ilość]]*tblSprzedaz[[#This Row],[Koszt jednostkowy netto]],2)</f>
        <v>5266.36</v>
      </c>
      <c r="O229" s="14">
        <f>tblSprzedaz[[#This Row],[Przychód netto]]-tblSprzedaz[[#This Row],[Koszt całkowity netto]]</f>
        <v>1944.1400000000003</v>
      </c>
      <c r="P229" s="15">
        <f>IFERROR(tblSprzedaz[[#This Row],[Marża kwotowa]]/tblSprzedaz[[#This Row],[Przychód netto]],0)</f>
        <v>0.26962623951182307</v>
      </c>
      <c r="Q229" s="16">
        <f>YEAR(tblSprzedaz[[#This Row],[Data]])</f>
        <v>2025</v>
      </c>
      <c r="R229" s="16">
        <f>MONTH(tblSprzedaz[[#This Row],[Data]])</f>
        <v>3</v>
      </c>
      <c r="S229" s="9" t="str">
        <f>YEAR(tblSprzedaz[[#This Row],[Data]])&amp;"-"&amp;RIGHT("0"&amp;MONTH(tblSprzedaz[[#This Row],[Data]]),2)</f>
        <v>2025-03</v>
      </c>
    </row>
    <row r="230" spans="1:19" x14ac:dyDescent="0.25">
      <c r="A230" s="7" t="s">
        <v>627</v>
      </c>
      <c r="B230" s="10">
        <v>45723</v>
      </c>
      <c r="C230" s="7" t="s">
        <v>628</v>
      </c>
      <c r="D230" s="8" t="s">
        <v>81</v>
      </c>
      <c r="E230" s="8" t="s">
        <v>73</v>
      </c>
      <c r="F230" s="8" t="s">
        <v>37</v>
      </c>
      <c r="G230" s="8" t="s">
        <v>32</v>
      </c>
      <c r="H230" s="8" t="s">
        <v>42</v>
      </c>
      <c r="I230" s="11">
        <v>3</v>
      </c>
      <c r="J230" s="12">
        <v>110.2</v>
      </c>
      <c r="K230" s="13">
        <v>0</v>
      </c>
      <c r="L230" s="12">
        <v>81.709999999999994</v>
      </c>
      <c r="M230" s="14">
        <f>ROUND(tblSprzedaz[[#This Row],[Ilość]]*tblSprzedaz[[#This Row],[Cena netto jednostkowa]]*(1-tblSprzedaz[[#This Row],[Rabat %]]),2)</f>
        <v>330.6</v>
      </c>
      <c r="N230" s="14">
        <f>ROUND(tblSprzedaz[[#This Row],[Ilość]]*tblSprzedaz[[#This Row],[Koszt jednostkowy netto]],2)</f>
        <v>245.13</v>
      </c>
      <c r="O230" s="14">
        <f>tblSprzedaz[[#This Row],[Przychód netto]]-tblSprzedaz[[#This Row],[Koszt całkowity netto]]</f>
        <v>85.470000000000027</v>
      </c>
      <c r="P230" s="15">
        <f>IFERROR(tblSprzedaz[[#This Row],[Marża kwotowa]]/tblSprzedaz[[#This Row],[Przychód netto]],0)</f>
        <v>0.25852994555353909</v>
      </c>
      <c r="Q230" s="16">
        <f>YEAR(tblSprzedaz[[#This Row],[Data]])</f>
        <v>2025</v>
      </c>
      <c r="R230" s="16">
        <f>MONTH(tblSprzedaz[[#This Row],[Data]])</f>
        <v>3</v>
      </c>
      <c r="S230" s="9" t="str">
        <f>YEAR(tblSprzedaz[[#This Row],[Data]])&amp;"-"&amp;RIGHT("0"&amp;MONTH(tblSprzedaz[[#This Row],[Data]]),2)</f>
        <v>2025-03</v>
      </c>
    </row>
    <row r="231" spans="1:19" x14ac:dyDescent="0.25">
      <c r="A231" s="7" t="s">
        <v>629</v>
      </c>
      <c r="B231" s="10">
        <v>45723</v>
      </c>
      <c r="C231" s="7" t="s">
        <v>630</v>
      </c>
      <c r="D231" s="8" t="s">
        <v>78</v>
      </c>
      <c r="E231" s="8" t="s">
        <v>60</v>
      </c>
      <c r="F231" s="8" t="s">
        <v>33</v>
      </c>
      <c r="G231" s="8" t="s">
        <v>32</v>
      </c>
      <c r="H231" s="8" t="s">
        <v>43</v>
      </c>
      <c r="I231" s="11">
        <v>10</v>
      </c>
      <c r="J231" s="12">
        <v>455.4</v>
      </c>
      <c r="K231" s="13">
        <v>0.15</v>
      </c>
      <c r="L231" s="12">
        <v>315.17</v>
      </c>
      <c r="M231" s="14">
        <f>ROUND(tblSprzedaz[[#This Row],[Ilość]]*tblSprzedaz[[#This Row],[Cena netto jednostkowa]]*(1-tblSprzedaz[[#This Row],[Rabat %]]),2)</f>
        <v>3870.9</v>
      </c>
      <c r="N231" s="14">
        <f>ROUND(tblSprzedaz[[#This Row],[Ilość]]*tblSprzedaz[[#This Row],[Koszt jednostkowy netto]],2)</f>
        <v>3151.7</v>
      </c>
      <c r="O231" s="14">
        <f>tblSprzedaz[[#This Row],[Przychód netto]]-tblSprzedaz[[#This Row],[Koszt całkowity netto]]</f>
        <v>719.20000000000027</v>
      </c>
      <c r="P231" s="15">
        <f>IFERROR(tblSprzedaz[[#This Row],[Marża kwotowa]]/tblSprzedaz[[#This Row],[Przychód netto]],0)</f>
        <v>0.18579658477356695</v>
      </c>
      <c r="Q231" s="16">
        <f>YEAR(tblSprzedaz[[#This Row],[Data]])</f>
        <v>2025</v>
      </c>
      <c r="R231" s="16">
        <f>MONTH(tblSprzedaz[[#This Row],[Data]])</f>
        <v>3</v>
      </c>
      <c r="S231" s="9" t="str">
        <f>YEAR(tblSprzedaz[[#This Row],[Data]])&amp;"-"&amp;RIGHT("0"&amp;MONTH(tblSprzedaz[[#This Row],[Data]]),2)</f>
        <v>2025-03</v>
      </c>
    </row>
    <row r="232" spans="1:19" x14ac:dyDescent="0.25">
      <c r="A232" s="7" t="s">
        <v>631</v>
      </c>
      <c r="B232" s="10">
        <v>45723</v>
      </c>
      <c r="C232" s="7" t="s">
        <v>632</v>
      </c>
      <c r="D232" s="8" t="s">
        <v>141</v>
      </c>
      <c r="E232" s="8" t="s">
        <v>51</v>
      </c>
      <c r="F232" s="8" t="s">
        <v>29</v>
      </c>
      <c r="G232" s="8" t="s">
        <v>32</v>
      </c>
      <c r="H232" s="8" t="s">
        <v>43</v>
      </c>
      <c r="I232" s="11">
        <v>14</v>
      </c>
      <c r="J232" s="12">
        <v>51</v>
      </c>
      <c r="K232" s="13">
        <v>0</v>
      </c>
      <c r="L232" s="12">
        <v>31.04</v>
      </c>
      <c r="M232" s="14">
        <f>ROUND(tblSprzedaz[[#This Row],[Ilość]]*tblSprzedaz[[#This Row],[Cena netto jednostkowa]]*(1-tblSprzedaz[[#This Row],[Rabat %]]),2)</f>
        <v>714</v>
      </c>
      <c r="N232" s="14">
        <f>ROUND(tblSprzedaz[[#This Row],[Ilość]]*tblSprzedaz[[#This Row],[Koszt jednostkowy netto]],2)</f>
        <v>434.56</v>
      </c>
      <c r="O232" s="14">
        <f>tblSprzedaz[[#This Row],[Przychód netto]]-tblSprzedaz[[#This Row],[Koszt całkowity netto]]</f>
        <v>279.44</v>
      </c>
      <c r="P232" s="15">
        <f>IFERROR(tblSprzedaz[[#This Row],[Marża kwotowa]]/tblSprzedaz[[#This Row],[Przychód netto]],0)</f>
        <v>0.39137254901960783</v>
      </c>
      <c r="Q232" s="16">
        <f>YEAR(tblSprzedaz[[#This Row],[Data]])</f>
        <v>2025</v>
      </c>
      <c r="R232" s="16">
        <f>MONTH(tblSprzedaz[[#This Row],[Data]])</f>
        <v>3</v>
      </c>
      <c r="S232" s="9" t="str">
        <f>YEAR(tblSprzedaz[[#This Row],[Data]])&amp;"-"&amp;RIGHT("0"&amp;MONTH(tblSprzedaz[[#This Row],[Data]]),2)</f>
        <v>2025-03</v>
      </c>
    </row>
    <row r="233" spans="1:19" x14ac:dyDescent="0.25">
      <c r="A233" s="7" t="s">
        <v>633</v>
      </c>
      <c r="B233" s="10">
        <v>45723</v>
      </c>
      <c r="C233" s="7" t="s">
        <v>634</v>
      </c>
      <c r="D233" s="8" t="s">
        <v>130</v>
      </c>
      <c r="E233" s="8" t="s">
        <v>53</v>
      </c>
      <c r="F233" s="8" t="s">
        <v>29</v>
      </c>
      <c r="G233" s="8" t="s">
        <v>36</v>
      </c>
      <c r="H233" s="8" t="s">
        <v>46</v>
      </c>
      <c r="I233" s="11">
        <v>19</v>
      </c>
      <c r="J233" s="12">
        <v>27.88</v>
      </c>
      <c r="K233" s="13">
        <v>0.15</v>
      </c>
      <c r="L233" s="12">
        <v>15.7</v>
      </c>
      <c r="M233" s="14">
        <f>ROUND(tblSprzedaz[[#This Row],[Ilość]]*tblSprzedaz[[#This Row],[Cena netto jednostkowa]]*(1-tblSprzedaz[[#This Row],[Rabat %]]),2)</f>
        <v>450.26</v>
      </c>
      <c r="N233" s="14">
        <f>ROUND(tblSprzedaz[[#This Row],[Ilość]]*tblSprzedaz[[#This Row],[Koszt jednostkowy netto]],2)</f>
        <v>298.3</v>
      </c>
      <c r="O233" s="14">
        <f>tblSprzedaz[[#This Row],[Przychód netto]]-tblSprzedaz[[#This Row],[Koszt całkowity netto]]</f>
        <v>151.95999999999998</v>
      </c>
      <c r="P233" s="15">
        <f>IFERROR(tblSprzedaz[[#This Row],[Marża kwotowa]]/tblSprzedaz[[#This Row],[Przychód netto]],0)</f>
        <v>0.33749389241771416</v>
      </c>
      <c r="Q233" s="16">
        <f>YEAR(tblSprzedaz[[#This Row],[Data]])</f>
        <v>2025</v>
      </c>
      <c r="R233" s="16">
        <f>MONTH(tblSprzedaz[[#This Row],[Data]])</f>
        <v>3</v>
      </c>
      <c r="S233" s="9" t="str">
        <f>YEAR(tblSprzedaz[[#This Row],[Data]])&amp;"-"&amp;RIGHT("0"&amp;MONTH(tblSprzedaz[[#This Row],[Data]]),2)</f>
        <v>2025-03</v>
      </c>
    </row>
    <row r="234" spans="1:19" x14ac:dyDescent="0.25">
      <c r="A234" s="7" t="s">
        <v>635</v>
      </c>
      <c r="B234" s="10">
        <v>45723</v>
      </c>
      <c r="C234" s="7" t="s">
        <v>636</v>
      </c>
      <c r="D234" s="8" t="s">
        <v>138</v>
      </c>
      <c r="E234" s="8" t="s">
        <v>74</v>
      </c>
      <c r="F234" s="8" t="s">
        <v>37</v>
      </c>
      <c r="G234" s="8" t="s">
        <v>32</v>
      </c>
      <c r="H234" s="8" t="s">
        <v>43</v>
      </c>
      <c r="I234" s="11">
        <v>13</v>
      </c>
      <c r="J234" s="12">
        <v>126.35</v>
      </c>
      <c r="K234" s="13">
        <v>0.15</v>
      </c>
      <c r="L234" s="12">
        <v>92.24</v>
      </c>
      <c r="M234" s="14">
        <f>ROUND(tblSprzedaz[[#This Row],[Ilość]]*tblSprzedaz[[#This Row],[Cena netto jednostkowa]]*(1-tblSprzedaz[[#This Row],[Rabat %]]),2)</f>
        <v>1396.17</v>
      </c>
      <c r="N234" s="14">
        <f>ROUND(tblSprzedaz[[#This Row],[Ilość]]*tblSprzedaz[[#This Row],[Koszt jednostkowy netto]],2)</f>
        <v>1199.1199999999999</v>
      </c>
      <c r="O234" s="14">
        <f>tblSprzedaz[[#This Row],[Przychód netto]]-tblSprzedaz[[#This Row],[Koszt całkowity netto]]</f>
        <v>197.05000000000018</v>
      </c>
      <c r="P234" s="15">
        <f>IFERROR(tblSprzedaz[[#This Row],[Marża kwotowa]]/tblSprzedaz[[#This Row],[Przychód netto]],0)</f>
        <v>0.14113610806706933</v>
      </c>
      <c r="Q234" s="16">
        <f>YEAR(tblSprzedaz[[#This Row],[Data]])</f>
        <v>2025</v>
      </c>
      <c r="R234" s="16">
        <f>MONTH(tblSprzedaz[[#This Row],[Data]])</f>
        <v>3</v>
      </c>
      <c r="S234" s="9" t="str">
        <f>YEAR(tblSprzedaz[[#This Row],[Data]])&amp;"-"&amp;RIGHT("0"&amp;MONTH(tblSprzedaz[[#This Row],[Data]]),2)</f>
        <v>2025-03</v>
      </c>
    </row>
    <row r="235" spans="1:19" x14ac:dyDescent="0.25">
      <c r="A235" s="7" t="s">
        <v>637</v>
      </c>
      <c r="B235" s="10">
        <v>45724</v>
      </c>
      <c r="C235" s="7" t="s">
        <v>638</v>
      </c>
      <c r="D235" s="8" t="s">
        <v>84</v>
      </c>
      <c r="E235" s="8" t="s">
        <v>49</v>
      </c>
      <c r="F235" s="8" t="s">
        <v>29</v>
      </c>
      <c r="G235" s="8" t="s">
        <v>28</v>
      </c>
      <c r="H235" s="8" t="s">
        <v>39</v>
      </c>
      <c r="I235" s="11">
        <v>9</v>
      </c>
      <c r="J235" s="12">
        <v>39.44</v>
      </c>
      <c r="K235" s="13">
        <v>0.15</v>
      </c>
      <c r="L235" s="12">
        <v>23.2</v>
      </c>
      <c r="M235" s="14">
        <f>ROUND(tblSprzedaz[[#This Row],[Ilość]]*tblSprzedaz[[#This Row],[Cena netto jednostkowa]]*(1-tblSprzedaz[[#This Row],[Rabat %]]),2)</f>
        <v>301.72000000000003</v>
      </c>
      <c r="N235" s="14">
        <f>ROUND(tblSprzedaz[[#This Row],[Ilość]]*tblSprzedaz[[#This Row],[Koszt jednostkowy netto]],2)</f>
        <v>208.8</v>
      </c>
      <c r="O235" s="14">
        <f>tblSprzedaz[[#This Row],[Przychód netto]]-tblSprzedaz[[#This Row],[Koszt całkowity netto]]</f>
        <v>92.920000000000016</v>
      </c>
      <c r="P235" s="15">
        <f>IFERROR(tblSprzedaz[[#This Row],[Marża kwotowa]]/tblSprzedaz[[#This Row],[Przychód netto]],0)</f>
        <v>0.30796765212780064</v>
      </c>
      <c r="Q235" s="16">
        <f>YEAR(tblSprzedaz[[#This Row],[Data]])</f>
        <v>2025</v>
      </c>
      <c r="R235" s="16">
        <f>MONTH(tblSprzedaz[[#This Row],[Data]])</f>
        <v>3</v>
      </c>
      <c r="S235" s="9" t="str">
        <f>YEAR(tblSprzedaz[[#This Row],[Data]])&amp;"-"&amp;RIGHT("0"&amp;MONTH(tblSprzedaz[[#This Row],[Data]]),2)</f>
        <v>2025-03</v>
      </c>
    </row>
    <row r="236" spans="1:19" x14ac:dyDescent="0.25">
      <c r="A236" s="7" t="s">
        <v>639</v>
      </c>
      <c r="B236" s="10">
        <v>45724</v>
      </c>
      <c r="C236" s="7" t="s">
        <v>640</v>
      </c>
      <c r="D236" s="8" t="s">
        <v>122</v>
      </c>
      <c r="E236" s="8" t="s">
        <v>67</v>
      </c>
      <c r="F236" s="8" t="s">
        <v>35</v>
      </c>
      <c r="G236" s="8" t="s">
        <v>34</v>
      </c>
      <c r="H236" s="8" t="s">
        <v>44</v>
      </c>
      <c r="I236" s="11">
        <v>11</v>
      </c>
      <c r="J236" s="12">
        <v>78.88</v>
      </c>
      <c r="K236" s="13">
        <v>0</v>
      </c>
      <c r="L236" s="12">
        <v>60.31</v>
      </c>
      <c r="M236" s="14">
        <f>ROUND(tblSprzedaz[[#This Row],[Ilość]]*tblSprzedaz[[#This Row],[Cena netto jednostkowa]]*(1-tblSprzedaz[[#This Row],[Rabat %]]),2)</f>
        <v>867.68</v>
      </c>
      <c r="N236" s="14">
        <f>ROUND(tblSprzedaz[[#This Row],[Ilość]]*tblSprzedaz[[#This Row],[Koszt jednostkowy netto]],2)</f>
        <v>663.41</v>
      </c>
      <c r="O236" s="14">
        <f>tblSprzedaz[[#This Row],[Przychód netto]]-tblSprzedaz[[#This Row],[Koszt całkowity netto]]</f>
        <v>204.26999999999998</v>
      </c>
      <c r="P236" s="15">
        <f>IFERROR(tblSprzedaz[[#This Row],[Marża kwotowa]]/tblSprzedaz[[#This Row],[Przychód netto]],0)</f>
        <v>0.23542089249492901</v>
      </c>
      <c r="Q236" s="16">
        <f>YEAR(tblSprzedaz[[#This Row],[Data]])</f>
        <v>2025</v>
      </c>
      <c r="R236" s="16">
        <f>MONTH(tblSprzedaz[[#This Row],[Data]])</f>
        <v>3</v>
      </c>
      <c r="S236" s="9" t="str">
        <f>YEAR(tblSprzedaz[[#This Row],[Data]])&amp;"-"&amp;RIGHT("0"&amp;MONTH(tblSprzedaz[[#This Row],[Data]]),2)</f>
        <v>2025-03</v>
      </c>
    </row>
    <row r="237" spans="1:19" x14ac:dyDescent="0.25">
      <c r="A237" s="7" t="s">
        <v>641</v>
      </c>
      <c r="B237" s="10">
        <v>45725</v>
      </c>
      <c r="C237" s="7" t="s">
        <v>642</v>
      </c>
      <c r="D237" s="8" t="s">
        <v>78</v>
      </c>
      <c r="E237" s="8" t="s">
        <v>53</v>
      </c>
      <c r="F237" s="8" t="s">
        <v>29</v>
      </c>
      <c r="G237" s="8" t="s">
        <v>28</v>
      </c>
      <c r="H237" s="8" t="s">
        <v>38</v>
      </c>
      <c r="I237" s="11">
        <v>15</v>
      </c>
      <c r="J237" s="12">
        <v>27.88</v>
      </c>
      <c r="K237" s="13">
        <v>0.15</v>
      </c>
      <c r="L237" s="12">
        <v>15.42</v>
      </c>
      <c r="M237" s="14">
        <f>ROUND(tblSprzedaz[[#This Row],[Ilość]]*tblSprzedaz[[#This Row],[Cena netto jednostkowa]]*(1-tblSprzedaz[[#This Row],[Rabat %]]),2)</f>
        <v>355.47</v>
      </c>
      <c r="N237" s="14">
        <f>ROUND(tblSprzedaz[[#This Row],[Ilość]]*tblSprzedaz[[#This Row],[Koszt jednostkowy netto]],2)</f>
        <v>231.3</v>
      </c>
      <c r="O237" s="14">
        <f>tblSprzedaz[[#This Row],[Przychód netto]]-tblSprzedaz[[#This Row],[Koszt całkowity netto]]</f>
        <v>124.17000000000002</v>
      </c>
      <c r="P237" s="15">
        <f>IFERROR(tblSprzedaz[[#This Row],[Marża kwotowa]]/tblSprzedaz[[#This Row],[Przychód netto]],0)</f>
        <v>0.34931217824288974</v>
      </c>
      <c r="Q237" s="16">
        <f>YEAR(tblSprzedaz[[#This Row],[Data]])</f>
        <v>2025</v>
      </c>
      <c r="R237" s="16">
        <f>MONTH(tblSprzedaz[[#This Row],[Data]])</f>
        <v>3</v>
      </c>
      <c r="S237" s="9" t="str">
        <f>YEAR(tblSprzedaz[[#This Row],[Data]])&amp;"-"&amp;RIGHT("0"&amp;MONTH(tblSprzedaz[[#This Row],[Data]]),2)</f>
        <v>2025-03</v>
      </c>
    </row>
    <row r="238" spans="1:19" x14ac:dyDescent="0.25">
      <c r="A238" s="7" t="s">
        <v>643</v>
      </c>
      <c r="B238" s="10">
        <v>45726</v>
      </c>
      <c r="C238" s="7" t="s">
        <v>644</v>
      </c>
      <c r="D238" s="8" t="s">
        <v>83</v>
      </c>
      <c r="E238" s="8" t="s">
        <v>75</v>
      </c>
      <c r="F238" s="8" t="s">
        <v>37</v>
      </c>
      <c r="G238" s="8" t="s">
        <v>30</v>
      </c>
      <c r="H238" s="8" t="s">
        <v>40</v>
      </c>
      <c r="I238" s="11">
        <v>14</v>
      </c>
      <c r="J238" s="12">
        <v>142.5</v>
      </c>
      <c r="K238" s="13">
        <v>0.1</v>
      </c>
      <c r="L238" s="12">
        <v>110.99</v>
      </c>
      <c r="M238" s="14">
        <f>ROUND(tblSprzedaz[[#This Row],[Ilość]]*tblSprzedaz[[#This Row],[Cena netto jednostkowa]]*(1-tblSprzedaz[[#This Row],[Rabat %]]),2)</f>
        <v>1795.5</v>
      </c>
      <c r="N238" s="14">
        <f>ROUND(tblSprzedaz[[#This Row],[Ilość]]*tblSprzedaz[[#This Row],[Koszt jednostkowy netto]],2)</f>
        <v>1553.86</v>
      </c>
      <c r="O238" s="14">
        <f>tblSprzedaz[[#This Row],[Przychód netto]]-tblSprzedaz[[#This Row],[Koszt całkowity netto]]</f>
        <v>241.6400000000001</v>
      </c>
      <c r="P238" s="15">
        <f>IFERROR(tblSprzedaz[[#This Row],[Marża kwotowa]]/tblSprzedaz[[#This Row],[Przychód netto]],0)</f>
        <v>0.13458089668615991</v>
      </c>
      <c r="Q238" s="16">
        <f>YEAR(tblSprzedaz[[#This Row],[Data]])</f>
        <v>2025</v>
      </c>
      <c r="R238" s="16">
        <f>MONTH(tblSprzedaz[[#This Row],[Data]])</f>
        <v>3</v>
      </c>
      <c r="S238" s="9" t="str">
        <f>YEAR(tblSprzedaz[[#This Row],[Data]])&amp;"-"&amp;RIGHT("0"&amp;MONTH(tblSprzedaz[[#This Row],[Data]]),2)</f>
        <v>2025-03</v>
      </c>
    </row>
    <row r="239" spans="1:19" x14ac:dyDescent="0.25">
      <c r="A239" s="7" t="s">
        <v>645</v>
      </c>
      <c r="B239" s="10">
        <v>45726</v>
      </c>
      <c r="C239" s="7" t="s">
        <v>646</v>
      </c>
      <c r="D239" s="8" t="s">
        <v>142</v>
      </c>
      <c r="E239" s="8" t="s">
        <v>72</v>
      </c>
      <c r="F239" s="8" t="s">
        <v>37</v>
      </c>
      <c r="G239" s="8" t="s">
        <v>32</v>
      </c>
      <c r="H239" s="8" t="s">
        <v>42</v>
      </c>
      <c r="I239" s="11">
        <v>23</v>
      </c>
      <c r="J239" s="12">
        <v>94.05</v>
      </c>
      <c r="K239" s="13">
        <v>0.05</v>
      </c>
      <c r="L239" s="12">
        <v>74.42</v>
      </c>
      <c r="M239" s="14">
        <f>ROUND(tblSprzedaz[[#This Row],[Ilość]]*tblSprzedaz[[#This Row],[Cena netto jednostkowa]]*(1-tblSprzedaz[[#This Row],[Rabat %]]),2)</f>
        <v>2054.9899999999998</v>
      </c>
      <c r="N239" s="14">
        <f>ROUND(tblSprzedaz[[#This Row],[Ilość]]*tblSprzedaz[[#This Row],[Koszt jednostkowy netto]],2)</f>
        <v>1711.66</v>
      </c>
      <c r="O239" s="14">
        <f>tblSprzedaz[[#This Row],[Przychód netto]]-tblSprzedaz[[#This Row],[Koszt całkowity netto]]</f>
        <v>343.3299999999997</v>
      </c>
      <c r="P239" s="15">
        <f>IFERROR(tblSprzedaz[[#This Row],[Marża kwotowa]]/tblSprzedaz[[#This Row],[Przychód netto]],0)</f>
        <v>0.16707137261008556</v>
      </c>
      <c r="Q239" s="16">
        <f>YEAR(tblSprzedaz[[#This Row],[Data]])</f>
        <v>2025</v>
      </c>
      <c r="R239" s="16">
        <f>MONTH(tblSprzedaz[[#This Row],[Data]])</f>
        <v>3</v>
      </c>
      <c r="S239" s="9" t="str">
        <f>YEAR(tblSprzedaz[[#This Row],[Data]])&amp;"-"&amp;RIGHT("0"&amp;MONTH(tblSprzedaz[[#This Row],[Data]]),2)</f>
        <v>2025-03</v>
      </c>
    </row>
    <row r="240" spans="1:19" x14ac:dyDescent="0.25">
      <c r="A240" s="7" t="s">
        <v>647</v>
      </c>
      <c r="B240" s="10">
        <v>45726</v>
      </c>
      <c r="C240" s="7" t="s">
        <v>648</v>
      </c>
      <c r="D240" s="8" t="s">
        <v>147</v>
      </c>
      <c r="E240" s="8" t="s">
        <v>68</v>
      </c>
      <c r="F240" s="8" t="s">
        <v>35</v>
      </c>
      <c r="G240" s="8" t="s">
        <v>34</v>
      </c>
      <c r="H240" s="8" t="s">
        <v>45</v>
      </c>
      <c r="I240" s="11">
        <v>6</v>
      </c>
      <c r="J240" s="12">
        <v>90.44</v>
      </c>
      <c r="K240" s="13">
        <v>0.1</v>
      </c>
      <c r="L240" s="12">
        <v>63.4</v>
      </c>
      <c r="M240" s="14">
        <f>ROUND(tblSprzedaz[[#This Row],[Ilość]]*tblSprzedaz[[#This Row],[Cena netto jednostkowa]]*(1-tblSprzedaz[[#This Row],[Rabat %]]),2)</f>
        <v>488.38</v>
      </c>
      <c r="N240" s="14">
        <f>ROUND(tblSprzedaz[[#This Row],[Ilość]]*tblSprzedaz[[#This Row],[Koszt jednostkowy netto]],2)</f>
        <v>380.4</v>
      </c>
      <c r="O240" s="14">
        <f>tblSprzedaz[[#This Row],[Przychód netto]]-tblSprzedaz[[#This Row],[Koszt całkowity netto]]</f>
        <v>107.98000000000002</v>
      </c>
      <c r="P240" s="15">
        <f>IFERROR(tblSprzedaz[[#This Row],[Marża kwotowa]]/tblSprzedaz[[#This Row],[Przychód netto]],0)</f>
        <v>0.22109832507473692</v>
      </c>
      <c r="Q240" s="16">
        <f>YEAR(tblSprzedaz[[#This Row],[Data]])</f>
        <v>2025</v>
      </c>
      <c r="R240" s="16">
        <f>MONTH(tblSprzedaz[[#This Row],[Data]])</f>
        <v>3</v>
      </c>
      <c r="S240" s="9" t="str">
        <f>YEAR(tblSprzedaz[[#This Row],[Data]])&amp;"-"&amp;RIGHT("0"&amp;MONTH(tblSprzedaz[[#This Row],[Data]]),2)</f>
        <v>2025-03</v>
      </c>
    </row>
    <row r="241" spans="1:19" x14ac:dyDescent="0.25">
      <c r="A241" s="7" t="s">
        <v>649</v>
      </c>
      <c r="B241" s="10">
        <v>45726</v>
      </c>
      <c r="C241" s="7" t="s">
        <v>650</v>
      </c>
      <c r="D241" s="8" t="s">
        <v>79</v>
      </c>
      <c r="E241" s="8" t="s">
        <v>69</v>
      </c>
      <c r="F241" s="8" t="s">
        <v>35</v>
      </c>
      <c r="G241" s="8" t="s">
        <v>34</v>
      </c>
      <c r="H241" s="8" t="s">
        <v>44</v>
      </c>
      <c r="I241" s="11">
        <v>9</v>
      </c>
      <c r="J241" s="12">
        <v>102</v>
      </c>
      <c r="K241" s="13">
        <v>0.05</v>
      </c>
      <c r="L241" s="12">
        <v>74.94</v>
      </c>
      <c r="M241" s="14">
        <f>ROUND(tblSprzedaz[[#This Row],[Ilość]]*tblSprzedaz[[#This Row],[Cena netto jednostkowa]]*(1-tblSprzedaz[[#This Row],[Rabat %]]),2)</f>
        <v>872.1</v>
      </c>
      <c r="N241" s="14">
        <f>ROUND(tblSprzedaz[[#This Row],[Ilość]]*tblSprzedaz[[#This Row],[Koszt jednostkowy netto]],2)</f>
        <v>674.46</v>
      </c>
      <c r="O241" s="14">
        <f>tblSprzedaz[[#This Row],[Przychód netto]]-tblSprzedaz[[#This Row],[Koszt całkowity netto]]</f>
        <v>197.64</v>
      </c>
      <c r="P241" s="15">
        <f>IFERROR(tblSprzedaz[[#This Row],[Marża kwotowa]]/tblSprzedaz[[#This Row],[Przychód netto]],0)</f>
        <v>0.22662538699690402</v>
      </c>
      <c r="Q241" s="16">
        <f>YEAR(tblSprzedaz[[#This Row],[Data]])</f>
        <v>2025</v>
      </c>
      <c r="R241" s="16">
        <f>MONTH(tblSprzedaz[[#This Row],[Data]])</f>
        <v>3</v>
      </c>
      <c r="S241" s="9" t="str">
        <f>YEAR(tblSprzedaz[[#This Row],[Data]])&amp;"-"&amp;RIGHT("0"&amp;MONTH(tblSprzedaz[[#This Row],[Data]]),2)</f>
        <v>2025-03</v>
      </c>
    </row>
    <row r="242" spans="1:19" x14ac:dyDescent="0.25">
      <c r="A242" s="7" t="s">
        <v>651</v>
      </c>
      <c r="B242" s="10">
        <v>45726</v>
      </c>
      <c r="C242" s="7" t="s">
        <v>652</v>
      </c>
      <c r="D242" s="8" t="s">
        <v>130</v>
      </c>
      <c r="E242" s="8" t="s">
        <v>51</v>
      </c>
      <c r="F242" s="8" t="s">
        <v>29</v>
      </c>
      <c r="G242" s="8" t="s">
        <v>30</v>
      </c>
      <c r="H242" s="8" t="s">
        <v>41</v>
      </c>
      <c r="I242" s="11">
        <v>21</v>
      </c>
      <c r="J242" s="12">
        <v>51</v>
      </c>
      <c r="K242" s="13">
        <v>0</v>
      </c>
      <c r="L242" s="12">
        <v>29.73</v>
      </c>
      <c r="M242" s="14">
        <f>ROUND(tblSprzedaz[[#This Row],[Ilość]]*tblSprzedaz[[#This Row],[Cena netto jednostkowa]]*(1-tblSprzedaz[[#This Row],[Rabat %]]),2)</f>
        <v>1071</v>
      </c>
      <c r="N242" s="14">
        <f>ROUND(tblSprzedaz[[#This Row],[Ilość]]*tblSprzedaz[[#This Row],[Koszt jednostkowy netto]],2)</f>
        <v>624.33000000000004</v>
      </c>
      <c r="O242" s="14">
        <f>tblSprzedaz[[#This Row],[Przychód netto]]-tblSprzedaz[[#This Row],[Koszt całkowity netto]]</f>
        <v>446.66999999999996</v>
      </c>
      <c r="P242" s="15">
        <f>IFERROR(tblSprzedaz[[#This Row],[Marża kwotowa]]/tblSprzedaz[[#This Row],[Przychód netto]],0)</f>
        <v>0.4170588235294117</v>
      </c>
      <c r="Q242" s="16">
        <f>YEAR(tblSprzedaz[[#This Row],[Data]])</f>
        <v>2025</v>
      </c>
      <c r="R242" s="16">
        <f>MONTH(tblSprzedaz[[#This Row],[Data]])</f>
        <v>3</v>
      </c>
      <c r="S242" s="9" t="str">
        <f>YEAR(tblSprzedaz[[#This Row],[Data]])&amp;"-"&amp;RIGHT("0"&amp;MONTH(tblSprzedaz[[#This Row],[Data]]),2)</f>
        <v>2025-03</v>
      </c>
    </row>
    <row r="243" spans="1:19" x14ac:dyDescent="0.25">
      <c r="A243" s="7" t="s">
        <v>653</v>
      </c>
      <c r="B243" s="10">
        <v>45727</v>
      </c>
      <c r="C243" s="7" t="s">
        <v>654</v>
      </c>
      <c r="D243" s="8" t="s">
        <v>100</v>
      </c>
      <c r="E243" s="8" t="s">
        <v>63</v>
      </c>
      <c r="F243" s="8" t="s">
        <v>33</v>
      </c>
      <c r="G243" s="8" t="s">
        <v>30</v>
      </c>
      <c r="H243" s="8" t="s">
        <v>40</v>
      </c>
      <c r="I243" s="11">
        <v>21</v>
      </c>
      <c r="J243" s="12">
        <v>690</v>
      </c>
      <c r="K243" s="13">
        <v>0</v>
      </c>
      <c r="L243" s="12">
        <v>450.66</v>
      </c>
      <c r="M243" s="14">
        <f>ROUND(tblSprzedaz[[#This Row],[Ilość]]*tblSprzedaz[[#This Row],[Cena netto jednostkowa]]*(1-tblSprzedaz[[#This Row],[Rabat %]]),2)</f>
        <v>14490</v>
      </c>
      <c r="N243" s="14">
        <f>ROUND(tblSprzedaz[[#This Row],[Ilość]]*tblSprzedaz[[#This Row],[Koszt jednostkowy netto]],2)</f>
        <v>9463.86</v>
      </c>
      <c r="O243" s="14">
        <f>tblSprzedaz[[#This Row],[Przychód netto]]-tblSprzedaz[[#This Row],[Koszt całkowity netto]]</f>
        <v>5026.1399999999994</v>
      </c>
      <c r="P243" s="15">
        <f>IFERROR(tblSprzedaz[[#This Row],[Marża kwotowa]]/tblSprzedaz[[#This Row],[Przychód netto]],0)</f>
        <v>0.34686956521739126</v>
      </c>
      <c r="Q243" s="16">
        <f>YEAR(tblSprzedaz[[#This Row],[Data]])</f>
        <v>2025</v>
      </c>
      <c r="R243" s="16">
        <f>MONTH(tblSprzedaz[[#This Row],[Data]])</f>
        <v>3</v>
      </c>
      <c r="S243" s="9" t="str">
        <f>YEAR(tblSprzedaz[[#This Row],[Data]])&amp;"-"&amp;RIGHT("0"&amp;MONTH(tblSprzedaz[[#This Row],[Data]]),2)</f>
        <v>2025-03</v>
      </c>
    </row>
    <row r="244" spans="1:19" x14ac:dyDescent="0.25">
      <c r="A244" s="7" t="s">
        <v>655</v>
      </c>
      <c r="B244" s="10">
        <v>45727</v>
      </c>
      <c r="C244" s="7" t="s">
        <v>656</v>
      </c>
      <c r="D244" s="8" t="s">
        <v>87</v>
      </c>
      <c r="E244" s="8" t="s">
        <v>60</v>
      </c>
      <c r="F244" s="8" t="s">
        <v>33</v>
      </c>
      <c r="G244" s="8" t="s">
        <v>32</v>
      </c>
      <c r="H244" s="8" t="s">
        <v>43</v>
      </c>
      <c r="I244" s="11">
        <v>10</v>
      </c>
      <c r="J244" s="12">
        <v>455.4</v>
      </c>
      <c r="K244" s="13">
        <v>0</v>
      </c>
      <c r="L244" s="12">
        <v>304.35000000000002</v>
      </c>
      <c r="M244" s="14">
        <f>ROUND(tblSprzedaz[[#This Row],[Ilość]]*tblSprzedaz[[#This Row],[Cena netto jednostkowa]]*(1-tblSprzedaz[[#This Row],[Rabat %]]),2)</f>
        <v>4554</v>
      </c>
      <c r="N244" s="14">
        <f>ROUND(tblSprzedaz[[#This Row],[Ilość]]*tblSprzedaz[[#This Row],[Koszt jednostkowy netto]],2)</f>
        <v>3043.5</v>
      </c>
      <c r="O244" s="14">
        <f>tblSprzedaz[[#This Row],[Przychód netto]]-tblSprzedaz[[#This Row],[Koszt całkowity netto]]</f>
        <v>1510.5</v>
      </c>
      <c r="P244" s="15">
        <f>IFERROR(tblSprzedaz[[#This Row],[Marża kwotowa]]/tblSprzedaz[[#This Row],[Przychód netto]],0)</f>
        <v>0.33168642951251648</v>
      </c>
      <c r="Q244" s="16">
        <f>YEAR(tblSprzedaz[[#This Row],[Data]])</f>
        <v>2025</v>
      </c>
      <c r="R244" s="16">
        <f>MONTH(tblSprzedaz[[#This Row],[Data]])</f>
        <v>3</v>
      </c>
      <c r="S244" s="9" t="str">
        <f>YEAR(tblSprzedaz[[#This Row],[Data]])&amp;"-"&amp;RIGHT("0"&amp;MONTH(tblSprzedaz[[#This Row],[Data]]),2)</f>
        <v>2025-03</v>
      </c>
    </row>
    <row r="245" spans="1:19" x14ac:dyDescent="0.25">
      <c r="A245" s="7" t="s">
        <v>657</v>
      </c>
      <c r="B245" s="10">
        <v>45727</v>
      </c>
      <c r="C245" s="7" t="s">
        <v>658</v>
      </c>
      <c r="D245" s="8" t="s">
        <v>138</v>
      </c>
      <c r="E245" s="8" t="s">
        <v>57</v>
      </c>
      <c r="F245" s="8" t="s">
        <v>31</v>
      </c>
      <c r="G245" s="8" t="s">
        <v>36</v>
      </c>
      <c r="H245" s="8" t="s">
        <v>46</v>
      </c>
      <c r="I245" s="11">
        <v>20</v>
      </c>
      <c r="J245" s="12">
        <v>315</v>
      </c>
      <c r="K245" s="13">
        <v>0.1</v>
      </c>
      <c r="L245" s="12">
        <v>202.63</v>
      </c>
      <c r="M245" s="14">
        <f>ROUND(tblSprzedaz[[#This Row],[Ilość]]*tblSprzedaz[[#This Row],[Cena netto jednostkowa]]*(1-tblSprzedaz[[#This Row],[Rabat %]]),2)</f>
        <v>5670</v>
      </c>
      <c r="N245" s="14">
        <f>ROUND(tblSprzedaz[[#This Row],[Ilość]]*tblSprzedaz[[#This Row],[Koszt jednostkowy netto]],2)</f>
        <v>4052.6</v>
      </c>
      <c r="O245" s="14">
        <f>tblSprzedaz[[#This Row],[Przychód netto]]-tblSprzedaz[[#This Row],[Koszt całkowity netto]]</f>
        <v>1617.4</v>
      </c>
      <c r="P245" s="15">
        <f>IFERROR(tblSprzedaz[[#This Row],[Marża kwotowa]]/tblSprzedaz[[#This Row],[Przychód netto]],0)</f>
        <v>0.28525573192239861</v>
      </c>
      <c r="Q245" s="16">
        <f>YEAR(tblSprzedaz[[#This Row],[Data]])</f>
        <v>2025</v>
      </c>
      <c r="R245" s="16">
        <f>MONTH(tblSprzedaz[[#This Row],[Data]])</f>
        <v>3</v>
      </c>
      <c r="S245" s="9" t="str">
        <f>YEAR(tblSprzedaz[[#This Row],[Data]])&amp;"-"&amp;RIGHT("0"&amp;MONTH(tblSprzedaz[[#This Row],[Data]]),2)</f>
        <v>2025-03</v>
      </c>
    </row>
    <row r="246" spans="1:19" x14ac:dyDescent="0.25">
      <c r="A246" s="7" t="s">
        <v>659</v>
      </c>
      <c r="B246" s="10">
        <v>45727</v>
      </c>
      <c r="C246" s="7" t="s">
        <v>660</v>
      </c>
      <c r="D246" s="8" t="s">
        <v>139</v>
      </c>
      <c r="E246" s="8" t="s">
        <v>67</v>
      </c>
      <c r="F246" s="8" t="s">
        <v>35</v>
      </c>
      <c r="G246" s="8" t="s">
        <v>32</v>
      </c>
      <c r="H246" s="8" t="s">
        <v>43</v>
      </c>
      <c r="I246" s="11">
        <v>9</v>
      </c>
      <c r="J246" s="12">
        <v>78.88</v>
      </c>
      <c r="K246" s="13">
        <v>0.15</v>
      </c>
      <c r="L246" s="12">
        <v>59.46</v>
      </c>
      <c r="M246" s="14">
        <f>ROUND(tblSprzedaz[[#This Row],[Ilość]]*tblSprzedaz[[#This Row],[Cena netto jednostkowa]]*(1-tblSprzedaz[[#This Row],[Rabat %]]),2)</f>
        <v>603.42999999999995</v>
      </c>
      <c r="N246" s="14">
        <f>ROUND(tblSprzedaz[[#This Row],[Ilość]]*tblSprzedaz[[#This Row],[Koszt jednostkowy netto]],2)</f>
        <v>535.14</v>
      </c>
      <c r="O246" s="14">
        <f>tblSprzedaz[[#This Row],[Przychód netto]]-tblSprzedaz[[#This Row],[Koszt całkowity netto]]</f>
        <v>68.289999999999964</v>
      </c>
      <c r="P246" s="15">
        <f>IFERROR(tblSprzedaz[[#This Row],[Marża kwotowa]]/tblSprzedaz[[#This Row],[Przychód netto]],0)</f>
        <v>0.11316971313988361</v>
      </c>
      <c r="Q246" s="16">
        <f>YEAR(tblSprzedaz[[#This Row],[Data]])</f>
        <v>2025</v>
      </c>
      <c r="R246" s="16">
        <f>MONTH(tblSprzedaz[[#This Row],[Data]])</f>
        <v>3</v>
      </c>
      <c r="S246" s="9" t="str">
        <f>YEAR(tblSprzedaz[[#This Row],[Data]])&amp;"-"&amp;RIGHT("0"&amp;MONTH(tblSprzedaz[[#This Row],[Data]]),2)</f>
        <v>2025-03</v>
      </c>
    </row>
    <row r="247" spans="1:19" x14ac:dyDescent="0.25">
      <c r="A247" s="7" t="s">
        <v>661</v>
      </c>
      <c r="B247" s="10">
        <v>45727</v>
      </c>
      <c r="C247" s="7" t="s">
        <v>662</v>
      </c>
      <c r="D247" s="8" t="s">
        <v>88</v>
      </c>
      <c r="E247" s="8" t="s">
        <v>74</v>
      </c>
      <c r="F247" s="8" t="s">
        <v>37</v>
      </c>
      <c r="G247" s="8" t="s">
        <v>34</v>
      </c>
      <c r="H247" s="8" t="s">
        <v>44</v>
      </c>
      <c r="I247" s="11">
        <v>6</v>
      </c>
      <c r="J247" s="12">
        <v>126.35</v>
      </c>
      <c r="K247" s="13">
        <v>0.1</v>
      </c>
      <c r="L247" s="12">
        <v>101.27</v>
      </c>
      <c r="M247" s="14">
        <f>ROUND(tblSprzedaz[[#This Row],[Ilość]]*tblSprzedaz[[#This Row],[Cena netto jednostkowa]]*(1-tblSprzedaz[[#This Row],[Rabat %]]),2)</f>
        <v>682.29</v>
      </c>
      <c r="N247" s="14">
        <f>ROUND(tblSprzedaz[[#This Row],[Ilość]]*tblSprzedaz[[#This Row],[Koszt jednostkowy netto]],2)</f>
        <v>607.62</v>
      </c>
      <c r="O247" s="14">
        <f>tblSprzedaz[[#This Row],[Przychód netto]]-tblSprzedaz[[#This Row],[Koszt całkowity netto]]</f>
        <v>74.669999999999959</v>
      </c>
      <c r="P247" s="15">
        <f>IFERROR(tblSprzedaz[[#This Row],[Marża kwotowa]]/tblSprzedaz[[#This Row],[Przychód netto]],0)</f>
        <v>0.10944026733500413</v>
      </c>
      <c r="Q247" s="16">
        <f>YEAR(tblSprzedaz[[#This Row],[Data]])</f>
        <v>2025</v>
      </c>
      <c r="R247" s="16">
        <f>MONTH(tblSprzedaz[[#This Row],[Data]])</f>
        <v>3</v>
      </c>
      <c r="S247" s="9" t="str">
        <f>YEAR(tblSprzedaz[[#This Row],[Data]])&amp;"-"&amp;RIGHT("0"&amp;MONTH(tblSprzedaz[[#This Row],[Data]]),2)</f>
        <v>2025-03</v>
      </c>
    </row>
    <row r="248" spans="1:19" x14ac:dyDescent="0.25">
      <c r="A248" s="7" t="s">
        <v>663</v>
      </c>
      <c r="B248" s="10">
        <v>45728</v>
      </c>
      <c r="C248" s="7" t="s">
        <v>664</v>
      </c>
      <c r="D248" s="8" t="s">
        <v>100</v>
      </c>
      <c r="E248" s="8" t="s">
        <v>76</v>
      </c>
      <c r="F248" s="8" t="s">
        <v>37</v>
      </c>
      <c r="G248" s="8" t="s">
        <v>32</v>
      </c>
      <c r="H248" s="8" t="s">
        <v>42</v>
      </c>
      <c r="I248" s="11">
        <v>26</v>
      </c>
      <c r="J248" s="12">
        <v>158.65</v>
      </c>
      <c r="K248" s="13">
        <v>0</v>
      </c>
      <c r="L248" s="12">
        <v>127.47</v>
      </c>
      <c r="M248" s="14">
        <f>ROUND(tblSprzedaz[[#This Row],[Ilość]]*tblSprzedaz[[#This Row],[Cena netto jednostkowa]]*(1-tblSprzedaz[[#This Row],[Rabat %]]),2)</f>
        <v>4124.8999999999996</v>
      </c>
      <c r="N248" s="14">
        <f>ROUND(tblSprzedaz[[#This Row],[Ilość]]*tblSprzedaz[[#This Row],[Koszt jednostkowy netto]],2)</f>
        <v>3314.22</v>
      </c>
      <c r="O248" s="14">
        <f>tblSprzedaz[[#This Row],[Przychód netto]]-tblSprzedaz[[#This Row],[Koszt całkowity netto]]</f>
        <v>810.67999999999984</v>
      </c>
      <c r="P248" s="15">
        <f>IFERROR(tblSprzedaz[[#This Row],[Marża kwotowa]]/tblSprzedaz[[#This Row],[Przychód netto]],0)</f>
        <v>0.19653324929089189</v>
      </c>
      <c r="Q248" s="16">
        <f>YEAR(tblSprzedaz[[#This Row],[Data]])</f>
        <v>2025</v>
      </c>
      <c r="R248" s="16">
        <f>MONTH(tblSprzedaz[[#This Row],[Data]])</f>
        <v>3</v>
      </c>
      <c r="S248" s="9" t="str">
        <f>YEAR(tblSprzedaz[[#This Row],[Data]])&amp;"-"&amp;RIGHT("0"&amp;MONTH(tblSprzedaz[[#This Row],[Data]]),2)</f>
        <v>2025-03</v>
      </c>
    </row>
    <row r="249" spans="1:19" x14ac:dyDescent="0.25">
      <c r="A249" s="7" t="s">
        <v>665</v>
      </c>
      <c r="B249" s="10">
        <v>45728</v>
      </c>
      <c r="C249" s="7" t="s">
        <v>666</v>
      </c>
      <c r="D249" s="8" t="s">
        <v>138</v>
      </c>
      <c r="E249" s="8" t="s">
        <v>63</v>
      </c>
      <c r="F249" s="8" t="s">
        <v>33</v>
      </c>
      <c r="G249" s="8" t="s">
        <v>32</v>
      </c>
      <c r="H249" s="8" t="s">
        <v>42</v>
      </c>
      <c r="I249" s="11">
        <v>23</v>
      </c>
      <c r="J249" s="12">
        <v>690</v>
      </c>
      <c r="K249" s="13">
        <v>0.05</v>
      </c>
      <c r="L249" s="12">
        <v>469.53</v>
      </c>
      <c r="M249" s="14">
        <f>ROUND(tblSprzedaz[[#This Row],[Ilość]]*tblSprzedaz[[#This Row],[Cena netto jednostkowa]]*(1-tblSprzedaz[[#This Row],[Rabat %]]),2)</f>
        <v>15076.5</v>
      </c>
      <c r="N249" s="14">
        <f>ROUND(tblSprzedaz[[#This Row],[Ilość]]*tblSprzedaz[[#This Row],[Koszt jednostkowy netto]],2)</f>
        <v>10799.19</v>
      </c>
      <c r="O249" s="14">
        <f>tblSprzedaz[[#This Row],[Przychód netto]]-tblSprzedaz[[#This Row],[Koszt całkowity netto]]</f>
        <v>4277.3099999999995</v>
      </c>
      <c r="P249" s="15">
        <f>IFERROR(tblSprzedaz[[#This Row],[Marża kwotowa]]/tblSprzedaz[[#This Row],[Przychód netto]],0)</f>
        <v>0.28370709382151027</v>
      </c>
      <c r="Q249" s="16">
        <f>YEAR(tblSprzedaz[[#This Row],[Data]])</f>
        <v>2025</v>
      </c>
      <c r="R249" s="16">
        <f>MONTH(tblSprzedaz[[#This Row],[Data]])</f>
        <v>3</v>
      </c>
      <c r="S249" s="9" t="str">
        <f>YEAR(tblSprzedaz[[#This Row],[Data]])&amp;"-"&amp;RIGHT("0"&amp;MONTH(tblSprzedaz[[#This Row],[Data]]),2)</f>
        <v>2025-03</v>
      </c>
    </row>
    <row r="250" spans="1:19" x14ac:dyDescent="0.25">
      <c r="A250" s="7" t="s">
        <v>667</v>
      </c>
      <c r="B250" s="10">
        <v>45728</v>
      </c>
      <c r="C250" s="7" t="s">
        <v>668</v>
      </c>
      <c r="D250" s="8" t="s">
        <v>150</v>
      </c>
      <c r="E250" s="8" t="s">
        <v>70</v>
      </c>
      <c r="F250" s="8" t="s">
        <v>35</v>
      </c>
      <c r="G250" s="8" t="s">
        <v>28</v>
      </c>
      <c r="H250" s="8" t="s">
        <v>39</v>
      </c>
      <c r="I250" s="11">
        <v>19</v>
      </c>
      <c r="J250" s="12">
        <v>113.56</v>
      </c>
      <c r="K250" s="13">
        <v>0</v>
      </c>
      <c r="L250" s="12">
        <v>79.59</v>
      </c>
      <c r="M250" s="14">
        <f>ROUND(tblSprzedaz[[#This Row],[Ilość]]*tblSprzedaz[[#This Row],[Cena netto jednostkowa]]*(1-tblSprzedaz[[#This Row],[Rabat %]]),2)</f>
        <v>2157.64</v>
      </c>
      <c r="N250" s="14">
        <f>ROUND(tblSprzedaz[[#This Row],[Ilość]]*tblSprzedaz[[#This Row],[Koszt jednostkowy netto]],2)</f>
        <v>1512.21</v>
      </c>
      <c r="O250" s="14">
        <f>tblSprzedaz[[#This Row],[Przychód netto]]-tblSprzedaz[[#This Row],[Koszt całkowity netto]]</f>
        <v>645.42999999999984</v>
      </c>
      <c r="P250" s="15">
        <f>IFERROR(tblSprzedaz[[#This Row],[Marża kwotowa]]/tblSprzedaz[[#This Row],[Przychód netto]],0)</f>
        <v>0.29913702007749204</v>
      </c>
      <c r="Q250" s="16">
        <f>YEAR(tblSprzedaz[[#This Row],[Data]])</f>
        <v>2025</v>
      </c>
      <c r="R250" s="16">
        <f>MONTH(tblSprzedaz[[#This Row],[Data]])</f>
        <v>3</v>
      </c>
      <c r="S250" s="9" t="str">
        <f>YEAR(tblSprzedaz[[#This Row],[Data]])&amp;"-"&amp;RIGHT("0"&amp;MONTH(tblSprzedaz[[#This Row],[Data]]),2)</f>
        <v>2025-03</v>
      </c>
    </row>
    <row r="251" spans="1:19" x14ac:dyDescent="0.25">
      <c r="A251" s="7" t="s">
        <v>669</v>
      </c>
      <c r="B251" s="10">
        <v>45728</v>
      </c>
      <c r="C251" s="7" t="s">
        <v>670</v>
      </c>
      <c r="D251" s="8" t="s">
        <v>78</v>
      </c>
      <c r="E251" s="8" t="s">
        <v>50</v>
      </c>
      <c r="F251" s="8" t="s">
        <v>29</v>
      </c>
      <c r="G251" s="8" t="s">
        <v>28</v>
      </c>
      <c r="H251" s="8" t="s">
        <v>38</v>
      </c>
      <c r="I251" s="11">
        <v>8</v>
      </c>
      <c r="J251" s="12">
        <v>45.22</v>
      </c>
      <c r="K251" s="13">
        <v>0</v>
      </c>
      <c r="L251" s="12">
        <v>26.09</v>
      </c>
      <c r="M251" s="14">
        <f>ROUND(tblSprzedaz[[#This Row],[Ilość]]*tblSprzedaz[[#This Row],[Cena netto jednostkowa]]*(1-tblSprzedaz[[#This Row],[Rabat %]]),2)</f>
        <v>361.76</v>
      </c>
      <c r="N251" s="14">
        <f>ROUND(tblSprzedaz[[#This Row],[Ilość]]*tblSprzedaz[[#This Row],[Koszt jednostkowy netto]],2)</f>
        <v>208.72</v>
      </c>
      <c r="O251" s="14">
        <f>tblSprzedaz[[#This Row],[Przychód netto]]-tblSprzedaz[[#This Row],[Koszt całkowity netto]]</f>
        <v>153.04</v>
      </c>
      <c r="P251" s="15">
        <f>IFERROR(tblSprzedaz[[#This Row],[Marża kwotowa]]/tblSprzedaz[[#This Row],[Przychód netto]],0)</f>
        <v>0.42304290137107475</v>
      </c>
      <c r="Q251" s="16">
        <f>YEAR(tblSprzedaz[[#This Row],[Data]])</f>
        <v>2025</v>
      </c>
      <c r="R251" s="16">
        <f>MONTH(tblSprzedaz[[#This Row],[Data]])</f>
        <v>3</v>
      </c>
      <c r="S251" s="9" t="str">
        <f>YEAR(tblSprzedaz[[#This Row],[Data]])&amp;"-"&amp;RIGHT("0"&amp;MONTH(tblSprzedaz[[#This Row],[Data]]),2)</f>
        <v>2025-03</v>
      </c>
    </row>
    <row r="252" spans="1:19" x14ac:dyDescent="0.25">
      <c r="A252" s="7" t="s">
        <v>671</v>
      </c>
      <c r="B252" s="10">
        <v>45728</v>
      </c>
      <c r="C252" s="7" t="s">
        <v>672</v>
      </c>
      <c r="D252" s="8" t="s">
        <v>79</v>
      </c>
      <c r="E252" s="8" t="s">
        <v>48</v>
      </c>
      <c r="F252" s="8" t="s">
        <v>29</v>
      </c>
      <c r="G252" s="8" t="s">
        <v>34</v>
      </c>
      <c r="H252" s="8" t="s">
        <v>44</v>
      </c>
      <c r="I252" s="11">
        <v>1</v>
      </c>
      <c r="J252" s="12">
        <v>33.659999999999997</v>
      </c>
      <c r="K252" s="13">
        <v>0</v>
      </c>
      <c r="L252" s="12">
        <v>20.92</v>
      </c>
      <c r="M252" s="14">
        <f>ROUND(tblSprzedaz[[#This Row],[Ilość]]*tblSprzedaz[[#This Row],[Cena netto jednostkowa]]*(1-tblSprzedaz[[#This Row],[Rabat %]]),2)</f>
        <v>33.659999999999997</v>
      </c>
      <c r="N252" s="14">
        <f>ROUND(tblSprzedaz[[#This Row],[Ilość]]*tblSprzedaz[[#This Row],[Koszt jednostkowy netto]],2)</f>
        <v>20.92</v>
      </c>
      <c r="O252" s="14">
        <f>tblSprzedaz[[#This Row],[Przychód netto]]-tblSprzedaz[[#This Row],[Koszt całkowity netto]]</f>
        <v>12.739999999999995</v>
      </c>
      <c r="P252" s="15">
        <f>IFERROR(tblSprzedaz[[#This Row],[Marża kwotowa]]/tblSprzedaz[[#This Row],[Przychód netto]],0)</f>
        <v>0.37849079025549603</v>
      </c>
      <c r="Q252" s="16">
        <f>YEAR(tblSprzedaz[[#This Row],[Data]])</f>
        <v>2025</v>
      </c>
      <c r="R252" s="16">
        <f>MONTH(tblSprzedaz[[#This Row],[Data]])</f>
        <v>3</v>
      </c>
      <c r="S252" s="9" t="str">
        <f>YEAR(tblSprzedaz[[#This Row],[Data]])&amp;"-"&amp;RIGHT("0"&amp;MONTH(tblSprzedaz[[#This Row],[Data]]),2)</f>
        <v>2025-03</v>
      </c>
    </row>
    <row r="253" spans="1:19" x14ac:dyDescent="0.25">
      <c r="A253" s="7" t="s">
        <v>673</v>
      </c>
      <c r="B253" s="10">
        <v>45728</v>
      </c>
      <c r="C253" s="7" t="s">
        <v>674</v>
      </c>
      <c r="D253" s="8" t="s">
        <v>124</v>
      </c>
      <c r="E253" s="8" t="s">
        <v>64</v>
      </c>
      <c r="F253" s="8" t="s">
        <v>33</v>
      </c>
      <c r="G253" s="8" t="s">
        <v>36</v>
      </c>
      <c r="H253" s="8" t="s">
        <v>47</v>
      </c>
      <c r="I253" s="11">
        <v>13</v>
      </c>
      <c r="J253" s="12">
        <v>768.2</v>
      </c>
      <c r="K253" s="13">
        <v>0</v>
      </c>
      <c r="L253" s="12">
        <v>543.22</v>
      </c>
      <c r="M253" s="14">
        <f>ROUND(tblSprzedaz[[#This Row],[Ilość]]*tblSprzedaz[[#This Row],[Cena netto jednostkowa]]*(1-tblSprzedaz[[#This Row],[Rabat %]]),2)</f>
        <v>9986.6</v>
      </c>
      <c r="N253" s="14">
        <f>ROUND(tblSprzedaz[[#This Row],[Ilość]]*tblSprzedaz[[#This Row],[Koszt jednostkowy netto]],2)</f>
        <v>7061.86</v>
      </c>
      <c r="O253" s="14">
        <f>tblSprzedaz[[#This Row],[Przychód netto]]-tblSprzedaz[[#This Row],[Koszt całkowity netto]]</f>
        <v>2924.7400000000007</v>
      </c>
      <c r="P253" s="15">
        <f>IFERROR(tblSprzedaz[[#This Row],[Marża kwotowa]]/tblSprzedaz[[#This Row],[Przychód netto]],0)</f>
        <v>0.29286644103098158</v>
      </c>
      <c r="Q253" s="16">
        <f>YEAR(tblSprzedaz[[#This Row],[Data]])</f>
        <v>2025</v>
      </c>
      <c r="R253" s="16">
        <f>MONTH(tblSprzedaz[[#This Row],[Data]])</f>
        <v>3</v>
      </c>
      <c r="S253" s="9" t="str">
        <f>YEAR(tblSprzedaz[[#This Row],[Data]])&amp;"-"&amp;RIGHT("0"&amp;MONTH(tblSprzedaz[[#This Row],[Data]]),2)</f>
        <v>2025-03</v>
      </c>
    </row>
    <row r="254" spans="1:19" x14ac:dyDescent="0.25">
      <c r="A254" s="7" t="s">
        <v>675</v>
      </c>
      <c r="B254" s="10">
        <v>45729</v>
      </c>
      <c r="C254" s="7" t="s">
        <v>676</v>
      </c>
      <c r="D254" s="8" t="s">
        <v>114</v>
      </c>
      <c r="E254" s="8" t="s">
        <v>58</v>
      </c>
      <c r="F254" s="8" t="s">
        <v>31</v>
      </c>
      <c r="G254" s="8" t="s">
        <v>30</v>
      </c>
      <c r="H254" s="8" t="s">
        <v>40</v>
      </c>
      <c r="I254" s="11">
        <v>13</v>
      </c>
      <c r="J254" s="12">
        <v>350.7</v>
      </c>
      <c r="K254" s="13">
        <v>0</v>
      </c>
      <c r="L254" s="12">
        <v>233.25</v>
      </c>
      <c r="M254" s="14">
        <f>ROUND(tblSprzedaz[[#This Row],[Ilość]]*tblSprzedaz[[#This Row],[Cena netto jednostkowa]]*(1-tblSprzedaz[[#This Row],[Rabat %]]),2)</f>
        <v>4559.1000000000004</v>
      </c>
      <c r="N254" s="14">
        <f>ROUND(tblSprzedaz[[#This Row],[Ilość]]*tblSprzedaz[[#This Row],[Koszt jednostkowy netto]],2)</f>
        <v>3032.25</v>
      </c>
      <c r="O254" s="14">
        <f>tblSprzedaz[[#This Row],[Przychód netto]]-tblSprzedaz[[#This Row],[Koszt całkowity netto]]</f>
        <v>1526.8500000000004</v>
      </c>
      <c r="P254" s="15">
        <f>IFERROR(tblSprzedaz[[#This Row],[Marża kwotowa]]/tblSprzedaz[[#This Row],[Przychód netto]],0)</f>
        <v>0.33490162532078704</v>
      </c>
      <c r="Q254" s="16">
        <f>YEAR(tblSprzedaz[[#This Row],[Data]])</f>
        <v>2025</v>
      </c>
      <c r="R254" s="16">
        <f>MONTH(tblSprzedaz[[#This Row],[Data]])</f>
        <v>3</v>
      </c>
      <c r="S254" s="9" t="str">
        <f>YEAR(tblSprzedaz[[#This Row],[Data]])&amp;"-"&amp;RIGHT("0"&amp;MONTH(tblSprzedaz[[#This Row],[Data]]),2)</f>
        <v>2025-03</v>
      </c>
    </row>
    <row r="255" spans="1:19" x14ac:dyDescent="0.25">
      <c r="A255" s="7" t="s">
        <v>677</v>
      </c>
      <c r="B255" s="10">
        <v>45729</v>
      </c>
      <c r="C255" s="7" t="s">
        <v>678</v>
      </c>
      <c r="D255" s="8" t="s">
        <v>120</v>
      </c>
      <c r="E255" s="8" t="s">
        <v>77</v>
      </c>
      <c r="F255" s="8" t="s">
        <v>37</v>
      </c>
      <c r="G255" s="8" t="s">
        <v>28</v>
      </c>
      <c r="H255" s="8" t="s">
        <v>39</v>
      </c>
      <c r="I255" s="11">
        <v>8</v>
      </c>
      <c r="J255" s="12">
        <v>77.900000000000006</v>
      </c>
      <c r="K255" s="13">
        <v>0.1</v>
      </c>
      <c r="L255" s="12">
        <v>62.15</v>
      </c>
      <c r="M255" s="14">
        <f>ROUND(tblSprzedaz[[#This Row],[Ilość]]*tblSprzedaz[[#This Row],[Cena netto jednostkowa]]*(1-tblSprzedaz[[#This Row],[Rabat %]]),2)</f>
        <v>560.88</v>
      </c>
      <c r="N255" s="14">
        <f>ROUND(tblSprzedaz[[#This Row],[Ilość]]*tblSprzedaz[[#This Row],[Koszt jednostkowy netto]],2)</f>
        <v>497.2</v>
      </c>
      <c r="O255" s="14">
        <f>tblSprzedaz[[#This Row],[Przychód netto]]-tblSprzedaz[[#This Row],[Koszt całkowity netto]]</f>
        <v>63.680000000000007</v>
      </c>
      <c r="P255" s="15">
        <f>IFERROR(tblSprzedaz[[#This Row],[Marża kwotowa]]/tblSprzedaz[[#This Row],[Przychód netto]],0)</f>
        <v>0.11353587220082728</v>
      </c>
      <c r="Q255" s="16">
        <f>YEAR(tblSprzedaz[[#This Row],[Data]])</f>
        <v>2025</v>
      </c>
      <c r="R255" s="16">
        <f>MONTH(tblSprzedaz[[#This Row],[Data]])</f>
        <v>3</v>
      </c>
      <c r="S255" s="9" t="str">
        <f>YEAR(tblSprzedaz[[#This Row],[Data]])&amp;"-"&amp;RIGHT("0"&amp;MONTH(tblSprzedaz[[#This Row],[Data]]),2)</f>
        <v>2025-03</v>
      </c>
    </row>
    <row r="256" spans="1:19" x14ac:dyDescent="0.25">
      <c r="A256" s="7" t="s">
        <v>679</v>
      </c>
      <c r="B256" s="10">
        <v>45729</v>
      </c>
      <c r="C256" s="7" t="s">
        <v>680</v>
      </c>
      <c r="D256" s="8" t="s">
        <v>85</v>
      </c>
      <c r="E256" s="8" t="s">
        <v>51</v>
      </c>
      <c r="F256" s="8" t="s">
        <v>29</v>
      </c>
      <c r="G256" s="8" t="s">
        <v>30</v>
      </c>
      <c r="H256" s="8" t="s">
        <v>40</v>
      </c>
      <c r="I256" s="11">
        <v>8</v>
      </c>
      <c r="J256" s="12">
        <v>51</v>
      </c>
      <c r="K256" s="13">
        <v>0</v>
      </c>
      <c r="L256" s="12">
        <v>28.07</v>
      </c>
      <c r="M256" s="14">
        <f>ROUND(tblSprzedaz[[#This Row],[Ilość]]*tblSprzedaz[[#This Row],[Cena netto jednostkowa]]*(1-tblSprzedaz[[#This Row],[Rabat %]]),2)</f>
        <v>408</v>
      </c>
      <c r="N256" s="14">
        <f>ROUND(tblSprzedaz[[#This Row],[Ilość]]*tblSprzedaz[[#This Row],[Koszt jednostkowy netto]],2)</f>
        <v>224.56</v>
      </c>
      <c r="O256" s="14">
        <f>tblSprzedaz[[#This Row],[Przychód netto]]-tblSprzedaz[[#This Row],[Koszt całkowity netto]]</f>
        <v>183.44</v>
      </c>
      <c r="P256" s="15">
        <f>IFERROR(tblSprzedaz[[#This Row],[Marża kwotowa]]/tblSprzedaz[[#This Row],[Przychód netto]],0)</f>
        <v>0.44960784313725488</v>
      </c>
      <c r="Q256" s="16">
        <f>YEAR(tblSprzedaz[[#This Row],[Data]])</f>
        <v>2025</v>
      </c>
      <c r="R256" s="16">
        <f>MONTH(tblSprzedaz[[#This Row],[Data]])</f>
        <v>3</v>
      </c>
      <c r="S256" s="9" t="str">
        <f>YEAR(tblSprzedaz[[#This Row],[Data]])&amp;"-"&amp;RIGHT("0"&amp;MONTH(tblSprzedaz[[#This Row],[Data]]),2)</f>
        <v>2025-03</v>
      </c>
    </row>
    <row r="257" spans="1:19" x14ac:dyDescent="0.25">
      <c r="A257" s="7" t="s">
        <v>681</v>
      </c>
      <c r="B257" s="10">
        <v>45729</v>
      </c>
      <c r="C257" s="7" t="s">
        <v>682</v>
      </c>
      <c r="D257" s="8" t="s">
        <v>141</v>
      </c>
      <c r="E257" s="8" t="s">
        <v>69</v>
      </c>
      <c r="F257" s="8" t="s">
        <v>35</v>
      </c>
      <c r="G257" s="8" t="s">
        <v>30</v>
      </c>
      <c r="H257" s="8" t="s">
        <v>41</v>
      </c>
      <c r="I257" s="11">
        <v>10</v>
      </c>
      <c r="J257" s="12">
        <v>102</v>
      </c>
      <c r="K257" s="13">
        <v>0</v>
      </c>
      <c r="L257" s="12">
        <v>70.459999999999994</v>
      </c>
      <c r="M257" s="14">
        <f>ROUND(tblSprzedaz[[#This Row],[Ilość]]*tblSprzedaz[[#This Row],[Cena netto jednostkowa]]*(1-tblSprzedaz[[#This Row],[Rabat %]]),2)</f>
        <v>1020</v>
      </c>
      <c r="N257" s="14">
        <f>ROUND(tblSprzedaz[[#This Row],[Ilość]]*tblSprzedaz[[#This Row],[Koszt jednostkowy netto]],2)</f>
        <v>704.6</v>
      </c>
      <c r="O257" s="14">
        <f>tblSprzedaz[[#This Row],[Przychód netto]]-tblSprzedaz[[#This Row],[Koszt całkowity netto]]</f>
        <v>315.39999999999998</v>
      </c>
      <c r="P257" s="15">
        <f>IFERROR(tblSprzedaz[[#This Row],[Marża kwotowa]]/tblSprzedaz[[#This Row],[Przychód netto]],0)</f>
        <v>0.30921568627450979</v>
      </c>
      <c r="Q257" s="16">
        <f>YEAR(tblSprzedaz[[#This Row],[Data]])</f>
        <v>2025</v>
      </c>
      <c r="R257" s="16">
        <f>MONTH(tblSprzedaz[[#This Row],[Data]])</f>
        <v>3</v>
      </c>
      <c r="S257" s="9" t="str">
        <f>YEAR(tblSprzedaz[[#This Row],[Data]])&amp;"-"&amp;RIGHT("0"&amp;MONTH(tblSprzedaz[[#This Row],[Data]]),2)</f>
        <v>2025-03</v>
      </c>
    </row>
    <row r="258" spans="1:19" x14ac:dyDescent="0.25">
      <c r="A258" s="7" t="s">
        <v>683</v>
      </c>
      <c r="B258" s="10">
        <v>45729</v>
      </c>
      <c r="C258" s="7" t="s">
        <v>684</v>
      </c>
      <c r="D258" s="8" t="s">
        <v>100</v>
      </c>
      <c r="E258" s="8" t="s">
        <v>50</v>
      </c>
      <c r="F258" s="8" t="s">
        <v>29</v>
      </c>
      <c r="G258" s="8" t="s">
        <v>28</v>
      </c>
      <c r="H258" s="8" t="s">
        <v>38</v>
      </c>
      <c r="I258" s="11">
        <v>16</v>
      </c>
      <c r="J258" s="12">
        <v>45.22</v>
      </c>
      <c r="K258" s="13">
        <v>0</v>
      </c>
      <c r="L258" s="12">
        <v>28.25</v>
      </c>
      <c r="M258" s="14">
        <f>ROUND(tblSprzedaz[[#This Row],[Ilość]]*tblSprzedaz[[#This Row],[Cena netto jednostkowa]]*(1-tblSprzedaz[[#This Row],[Rabat %]]),2)</f>
        <v>723.52</v>
      </c>
      <c r="N258" s="14">
        <f>ROUND(tblSprzedaz[[#This Row],[Ilość]]*tblSprzedaz[[#This Row],[Koszt jednostkowy netto]],2)</f>
        <v>452</v>
      </c>
      <c r="O258" s="14">
        <f>tblSprzedaz[[#This Row],[Przychód netto]]-tblSprzedaz[[#This Row],[Koszt całkowity netto]]</f>
        <v>271.52</v>
      </c>
      <c r="P258" s="15">
        <f>IFERROR(tblSprzedaz[[#This Row],[Marża kwotowa]]/tblSprzedaz[[#This Row],[Przychód netto]],0)</f>
        <v>0.37527642636001768</v>
      </c>
      <c r="Q258" s="16">
        <f>YEAR(tblSprzedaz[[#This Row],[Data]])</f>
        <v>2025</v>
      </c>
      <c r="R258" s="16">
        <f>MONTH(tblSprzedaz[[#This Row],[Data]])</f>
        <v>3</v>
      </c>
      <c r="S258" s="9" t="str">
        <f>YEAR(tblSprzedaz[[#This Row],[Data]])&amp;"-"&amp;RIGHT("0"&amp;MONTH(tblSprzedaz[[#This Row],[Data]]),2)</f>
        <v>2025-03</v>
      </c>
    </row>
    <row r="259" spans="1:19" x14ac:dyDescent="0.25">
      <c r="A259" s="7" t="s">
        <v>685</v>
      </c>
      <c r="B259" s="10">
        <v>45730</v>
      </c>
      <c r="C259" s="7" t="s">
        <v>686</v>
      </c>
      <c r="D259" s="8" t="s">
        <v>99</v>
      </c>
      <c r="E259" s="8" t="s">
        <v>56</v>
      </c>
      <c r="F259" s="8" t="s">
        <v>31</v>
      </c>
      <c r="G259" s="8" t="s">
        <v>36</v>
      </c>
      <c r="H259" s="8" t="s">
        <v>47</v>
      </c>
      <c r="I259" s="11">
        <v>2</v>
      </c>
      <c r="J259" s="12">
        <v>279.3</v>
      </c>
      <c r="K259" s="13">
        <v>0.15</v>
      </c>
      <c r="L259" s="12">
        <v>175.25</v>
      </c>
      <c r="M259" s="14">
        <f>ROUND(tblSprzedaz[[#This Row],[Ilość]]*tblSprzedaz[[#This Row],[Cena netto jednostkowa]]*(1-tblSprzedaz[[#This Row],[Rabat %]]),2)</f>
        <v>474.81</v>
      </c>
      <c r="N259" s="14">
        <f>ROUND(tblSprzedaz[[#This Row],[Ilość]]*tblSprzedaz[[#This Row],[Koszt jednostkowy netto]],2)</f>
        <v>350.5</v>
      </c>
      <c r="O259" s="14">
        <f>tblSprzedaz[[#This Row],[Przychód netto]]-tblSprzedaz[[#This Row],[Koszt całkowity netto]]</f>
        <v>124.31</v>
      </c>
      <c r="P259" s="15">
        <f>IFERROR(tblSprzedaz[[#This Row],[Marża kwotowa]]/tblSprzedaz[[#This Row],[Przychód netto]],0)</f>
        <v>0.26180998715275583</v>
      </c>
      <c r="Q259" s="16">
        <f>YEAR(tblSprzedaz[[#This Row],[Data]])</f>
        <v>2025</v>
      </c>
      <c r="R259" s="16">
        <f>MONTH(tblSprzedaz[[#This Row],[Data]])</f>
        <v>3</v>
      </c>
      <c r="S259" s="9" t="str">
        <f>YEAR(tblSprzedaz[[#This Row],[Data]])&amp;"-"&amp;RIGHT("0"&amp;MONTH(tblSprzedaz[[#This Row],[Data]]),2)</f>
        <v>2025-03</v>
      </c>
    </row>
    <row r="260" spans="1:19" x14ac:dyDescent="0.25">
      <c r="A260" s="7" t="s">
        <v>687</v>
      </c>
      <c r="B260" s="10">
        <v>45730</v>
      </c>
      <c r="C260" s="7" t="s">
        <v>688</v>
      </c>
      <c r="D260" s="8" t="s">
        <v>142</v>
      </c>
      <c r="E260" s="8" t="s">
        <v>64</v>
      </c>
      <c r="F260" s="8" t="s">
        <v>33</v>
      </c>
      <c r="G260" s="8" t="s">
        <v>34</v>
      </c>
      <c r="H260" s="8" t="s">
        <v>44</v>
      </c>
      <c r="I260" s="11">
        <v>12</v>
      </c>
      <c r="J260" s="12">
        <v>768.2</v>
      </c>
      <c r="K260" s="13">
        <v>0.15</v>
      </c>
      <c r="L260" s="12">
        <v>509.18</v>
      </c>
      <c r="M260" s="14">
        <f>ROUND(tblSprzedaz[[#This Row],[Ilość]]*tblSprzedaz[[#This Row],[Cena netto jednostkowa]]*(1-tblSprzedaz[[#This Row],[Rabat %]]),2)</f>
        <v>7835.64</v>
      </c>
      <c r="N260" s="14">
        <f>ROUND(tblSprzedaz[[#This Row],[Ilość]]*tblSprzedaz[[#This Row],[Koszt jednostkowy netto]],2)</f>
        <v>6110.16</v>
      </c>
      <c r="O260" s="14">
        <f>tblSprzedaz[[#This Row],[Przychód netto]]-tblSprzedaz[[#This Row],[Koszt całkowity netto]]</f>
        <v>1725.4800000000005</v>
      </c>
      <c r="P260" s="15">
        <f>IFERROR(tblSprzedaz[[#This Row],[Marża kwotowa]]/tblSprzedaz[[#This Row],[Przychód netto]],0)</f>
        <v>0.22020919797234181</v>
      </c>
      <c r="Q260" s="16">
        <f>YEAR(tblSprzedaz[[#This Row],[Data]])</f>
        <v>2025</v>
      </c>
      <c r="R260" s="16">
        <f>MONTH(tblSprzedaz[[#This Row],[Data]])</f>
        <v>3</v>
      </c>
      <c r="S260" s="9" t="str">
        <f>YEAR(tblSprzedaz[[#This Row],[Data]])&amp;"-"&amp;RIGHT("0"&amp;MONTH(tblSprzedaz[[#This Row],[Data]]),2)</f>
        <v>2025-03</v>
      </c>
    </row>
    <row r="261" spans="1:19" x14ac:dyDescent="0.25">
      <c r="A261" s="7" t="s">
        <v>689</v>
      </c>
      <c r="B261" s="10">
        <v>45730</v>
      </c>
      <c r="C261" s="7" t="s">
        <v>690</v>
      </c>
      <c r="D261" s="8" t="s">
        <v>117</v>
      </c>
      <c r="E261" s="8" t="s">
        <v>60</v>
      </c>
      <c r="F261" s="8" t="s">
        <v>33</v>
      </c>
      <c r="G261" s="8" t="s">
        <v>36</v>
      </c>
      <c r="H261" s="8" t="s">
        <v>46</v>
      </c>
      <c r="I261" s="11">
        <v>16</v>
      </c>
      <c r="J261" s="12">
        <v>455.4</v>
      </c>
      <c r="K261" s="13">
        <v>0.05</v>
      </c>
      <c r="L261" s="12">
        <v>320.77999999999997</v>
      </c>
      <c r="M261" s="14">
        <f>ROUND(tblSprzedaz[[#This Row],[Ilość]]*tblSprzedaz[[#This Row],[Cena netto jednostkowa]]*(1-tblSprzedaz[[#This Row],[Rabat %]]),2)</f>
        <v>6922.08</v>
      </c>
      <c r="N261" s="14">
        <f>ROUND(tblSprzedaz[[#This Row],[Ilość]]*tblSprzedaz[[#This Row],[Koszt jednostkowy netto]],2)</f>
        <v>5132.4799999999996</v>
      </c>
      <c r="O261" s="14">
        <f>tblSprzedaz[[#This Row],[Przychód netto]]-tblSprzedaz[[#This Row],[Koszt całkowity netto]]</f>
        <v>1789.6000000000004</v>
      </c>
      <c r="P261" s="15">
        <f>IFERROR(tblSprzedaz[[#This Row],[Marża kwotowa]]/tblSprzedaz[[#This Row],[Przychód netto]],0)</f>
        <v>0.25853500681875974</v>
      </c>
      <c r="Q261" s="16">
        <f>YEAR(tblSprzedaz[[#This Row],[Data]])</f>
        <v>2025</v>
      </c>
      <c r="R261" s="16">
        <f>MONTH(tblSprzedaz[[#This Row],[Data]])</f>
        <v>3</v>
      </c>
      <c r="S261" s="9" t="str">
        <f>YEAR(tblSprzedaz[[#This Row],[Data]])&amp;"-"&amp;RIGHT("0"&amp;MONTH(tblSprzedaz[[#This Row],[Data]]),2)</f>
        <v>2025-03</v>
      </c>
    </row>
    <row r="262" spans="1:19" x14ac:dyDescent="0.25">
      <c r="A262" s="7" t="s">
        <v>691</v>
      </c>
      <c r="B262" s="10">
        <v>45730</v>
      </c>
      <c r="C262" s="7" t="s">
        <v>692</v>
      </c>
      <c r="D262" s="8" t="s">
        <v>103</v>
      </c>
      <c r="E262" s="8" t="s">
        <v>74</v>
      </c>
      <c r="F262" s="8" t="s">
        <v>37</v>
      </c>
      <c r="G262" s="8" t="s">
        <v>28</v>
      </c>
      <c r="H262" s="8" t="s">
        <v>38</v>
      </c>
      <c r="I262" s="11">
        <v>19</v>
      </c>
      <c r="J262" s="12">
        <v>126.35</v>
      </c>
      <c r="K262" s="13">
        <v>0</v>
      </c>
      <c r="L262" s="12">
        <v>97.15</v>
      </c>
      <c r="M262" s="14">
        <f>ROUND(tblSprzedaz[[#This Row],[Ilość]]*tblSprzedaz[[#This Row],[Cena netto jednostkowa]]*(1-tblSprzedaz[[#This Row],[Rabat %]]),2)</f>
        <v>2400.65</v>
      </c>
      <c r="N262" s="14">
        <f>ROUND(tblSprzedaz[[#This Row],[Ilość]]*tblSprzedaz[[#This Row],[Koszt jednostkowy netto]],2)</f>
        <v>1845.85</v>
      </c>
      <c r="O262" s="14">
        <f>tblSprzedaz[[#This Row],[Przychód netto]]-tblSprzedaz[[#This Row],[Koszt całkowity netto]]</f>
        <v>554.80000000000018</v>
      </c>
      <c r="P262" s="15">
        <f>IFERROR(tblSprzedaz[[#This Row],[Marża kwotowa]]/tblSprzedaz[[#This Row],[Przychód netto]],0)</f>
        <v>0.23110407597942231</v>
      </c>
      <c r="Q262" s="16">
        <f>YEAR(tblSprzedaz[[#This Row],[Data]])</f>
        <v>2025</v>
      </c>
      <c r="R262" s="16">
        <f>MONTH(tblSprzedaz[[#This Row],[Data]])</f>
        <v>3</v>
      </c>
      <c r="S262" s="9" t="str">
        <f>YEAR(tblSprzedaz[[#This Row],[Data]])&amp;"-"&amp;RIGHT("0"&amp;MONTH(tblSprzedaz[[#This Row],[Data]]),2)</f>
        <v>2025-03</v>
      </c>
    </row>
    <row r="263" spans="1:19" x14ac:dyDescent="0.25">
      <c r="A263" s="7" t="s">
        <v>693</v>
      </c>
      <c r="B263" s="10">
        <v>45731</v>
      </c>
      <c r="C263" s="7" t="s">
        <v>694</v>
      </c>
      <c r="D263" s="8" t="s">
        <v>78</v>
      </c>
      <c r="E263" s="8" t="s">
        <v>69</v>
      </c>
      <c r="F263" s="8" t="s">
        <v>35</v>
      </c>
      <c r="G263" s="8" t="s">
        <v>30</v>
      </c>
      <c r="H263" s="8" t="s">
        <v>40</v>
      </c>
      <c r="I263" s="11">
        <v>17</v>
      </c>
      <c r="J263" s="12">
        <v>102</v>
      </c>
      <c r="K263" s="13">
        <v>0.05</v>
      </c>
      <c r="L263" s="12">
        <v>75.25</v>
      </c>
      <c r="M263" s="14">
        <f>ROUND(tblSprzedaz[[#This Row],[Ilość]]*tblSprzedaz[[#This Row],[Cena netto jednostkowa]]*(1-tblSprzedaz[[#This Row],[Rabat %]]),2)</f>
        <v>1647.3</v>
      </c>
      <c r="N263" s="14">
        <f>ROUND(tblSprzedaz[[#This Row],[Ilość]]*tblSprzedaz[[#This Row],[Koszt jednostkowy netto]],2)</f>
        <v>1279.25</v>
      </c>
      <c r="O263" s="14">
        <f>tblSprzedaz[[#This Row],[Przychód netto]]-tblSprzedaz[[#This Row],[Koszt całkowity netto]]</f>
        <v>368.04999999999995</v>
      </c>
      <c r="P263" s="15">
        <f>IFERROR(tblSprzedaz[[#This Row],[Marża kwotowa]]/tblSprzedaz[[#This Row],[Przychód netto]],0)</f>
        <v>0.22342621259029927</v>
      </c>
      <c r="Q263" s="16">
        <f>YEAR(tblSprzedaz[[#This Row],[Data]])</f>
        <v>2025</v>
      </c>
      <c r="R263" s="16">
        <f>MONTH(tblSprzedaz[[#This Row],[Data]])</f>
        <v>3</v>
      </c>
      <c r="S263" s="9" t="str">
        <f>YEAR(tblSprzedaz[[#This Row],[Data]])&amp;"-"&amp;RIGHT("0"&amp;MONTH(tblSprzedaz[[#This Row],[Data]]),2)</f>
        <v>2025-03</v>
      </c>
    </row>
    <row r="264" spans="1:19" x14ac:dyDescent="0.25">
      <c r="A264" s="7" t="s">
        <v>695</v>
      </c>
      <c r="B264" s="10">
        <v>45732</v>
      </c>
      <c r="C264" s="7" t="s">
        <v>696</v>
      </c>
      <c r="D264" s="8" t="s">
        <v>107</v>
      </c>
      <c r="E264" s="8" t="s">
        <v>57</v>
      </c>
      <c r="F264" s="8" t="s">
        <v>31</v>
      </c>
      <c r="G264" s="8" t="s">
        <v>32</v>
      </c>
      <c r="H264" s="8" t="s">
        <v>43</v>
      </c>
      <c r="I264" s="11">
        <v>14</v>
      </c>
      <c r="J264" s="12">
        <v>315</v>
      </c>
      <c r="K264" s="13">
        <v>0.05</v>
      </c>
      <c r="L264" s="12">
        <v>207.35</v>
      </c>
      <c r="M264" s="14">
        <f>ROUND(tblSprzedaz[[#This Row],[Ilość]]*tblSprzedaz[[#This Row],[Cena netto jednostkowa]]*(1-tblSprzedaz[[#This Row],[Rabat %]]),2)</f>
        <v>4189.5</v>
      </c>
      <c r="N264" s="14">
        <f>ROUND(tblSprzedaz[[#This Row],[Ilość]]*tblSprzedaz[[#This Row],[Koszt jednostkowy netto]],2)</f>
        <v>2902.9</v>
      </c>
      <c r="O264" s="14">
        <f>tblSprzedaz[[#This Row],[Przychód netto]]-tblSprzedaz[[#This Row],[Koszt całkowity netto]]</f>
        <v>1286.5999999999999</v>
      </c>
      <c r="P264" s="15">
        <f>IFERROR(tblSprzedaz[[#This Row],[Marża kwotowa]]/tblSprzedaz[[#This Row],[Przychód netto]],0)</f>
        <v>0.30710108604845443</v>
      </c>
      <c r="Q264" s="16">
        <f>YEAR(tblSprzedaz[[#This Row],[Data]])</f>
        <v>2025</v>
      </c>
      <c r="R264" s="16">
        <f>MONTH(tblSprzedaz[[#This Row],[Data]])</f>
        <v>3</v>
      </c>
      <c r="S264" s="9" t="str">
        <f>YEAR(tblSprzedaz[[#This Row],[Data]])&amp;"-"&amp;RIGHT("0"&amp;MONTH(tblSprzedaz[[#This Row],[Data]]),2)</f>
        <v>2025-03</v>
      </c>
    </row>
    <row r="265" spans="1:19" x14ac:dyDescent="0.25">
      <c r="A265" s="7" t="s">
        <v>697</v>
      </c>
      <c r="B265" s="10">
        <v>45733</v>
      </c>
      <c r="C265" s="7" t="s">
        <v>698</v>
      </c>
      <c r="D265" s="8" t="s">
        <v>125</v>
      </c>
      <c r="E265" s="8" t="s">
        <v>62</v>
      </c>
      <c r="F265" s="8" t="s">
        <v>33</v>
      </c>
      <c r="G265" s="8" t="s">
        <v>36</v>
      </c>
      <c r="H265" s="8" t="s">
        <v>47</v>
      </c>
      <c r="I265" s="11">
        <v>2</v>
      </c>
      <c r="J265" s="12">
        <v>611.79999999999995</v>
      </c>
      <c r="K265" s="13">
        <v>0.1</v>
      </c>
      <c r="L265" s="12">
        <v>431.74</v>
      </c>
      <c r="M265" s="14">
        <f>ROUND(tblSprzedaz[[#This Row],[Ilość]]*tblSprzedaz[[#This Row],[Cena netto jednostkowa]]*(1-tblSprzedaz[[#This Row],[Rabat %]]),2)</f>
        <v>1101.24</v>
      </c>
      <c r="N265" s="14">
        <f>ROUND(tblSprzedaz[[#This Row],[Ilość]]*tblSprzedaz[[#This Row],[Koszt jednostkowy netto]],2)</f>
        <v>863.48</v>
      </c>
      <c r="O265" s="14">
        <f>tblSprzedaz[[#This Row],[Przychód netto]]-tblSprzedaz[[#This Row],[Koszt całkowity netto]]</f>
        <v>237.76</v>
      </c>
      <c r="P265" s="15">
        <f>IFERROR(tblSprzedaz[[#This Row],[Marża kwotowa]]/tblSprzedaz[[#This Row],[Przychód netto]],0)</f>
        <v>0.21590207402564382</v>
      </c>
      <c r="Q265" s="16">
        <f>YEAR(tblSprzedaz[[#This Row],[Data]])</f>
        <v>2025</v>
      </c>
      <c r="R265" s="16">
        <f>MONTH(tblSprzedaz[[#This Row],[Data]])</f>
        <v>3</v>
      </c>
      <c r="S265" s="9" t="str">
        <f>YEAR(tblSprzedaz[[#This Row],[Data]])&amp;"-"&amp;RIGHT("0"&amp;MONTH(tblSprzedaz[[#This Row],[Data]]),2)</f>
        <v>2025-03</v>
      </c>
    </row>
    <row r="266" spans="1:19" x14ac:dyDescent="0.25">
      <c r="A266" s="7" t="s">
        <v>699</v>
      </c>
      <c r="B266" s="10">
        <v>45733</v>
      </c>
      <c r="C266" s="7" t="s">
        <v>700</v>
      </c>
      <c r="D266" s="8" t="s">
        <v>123</v>
      </c>
      <c r="E266" s="8" t="s">
        <v>49</v>
      </c>
      <c r="F266" s="8" t="s">
        <v>29</v>
      </c>
      <c r="G266" s="8" t="s">
        <v>30</v>
      </c>
      <c r="H266" s="8" t="s">
        <v>41</v>
      </c>
      <c r="I266" s="11">
        <v>7</v>
      </c>
      <c r="J266" s="12">
        <v>39.44</v>
      </c>
      <c r="K266" s="13">
        <v>0.05</v>
      </c>
      <c r="L266" s="12">
        <v>24.77</v>
      </c>
      <c r="M266" s="14">
        <f>ROUND(tblSprzedaz[[#This Row],[Ilość]]*tblSprzedaz[[#This Row],[Cena netto jednostkowa]]*(1-tblSprzedaz[[#This Row],[Rabat %]]),2)</f>
        <v>262.27999999999997</v>
      </c>
      <c r="N266" s="14">
        <f>ROUND(tblSprzedaz[[#This Row],[Ilość]]*tblSprzedaz[[#This Row],[Koszt jednostkowy netto]],2)</f>
        <v>173.39</v>
      </c>
      <c r="O266" s="14">
        <f>tblSprzedaz[[#This Row],[Przychód netto]]-tblSprzedaz[[#This Row],[Koszt całkowity netto]]</f>
        <v>88.889999999999986</v>
      </c>
      <c r="P266" s="15">
        <f>IFERROR(tblSprzedaz[[#This Row],[Marża kwotowa]]/tblSprzedaz[[#This Row],[Przychód netto]],0)</f>
        <v>0.33891261247521731</v>
      </c>
      <c r="Q266" s="16">
        <f>YEAR(tblSprzedaz[[#This Row],[Data]])</f>
        <v>2025</v>
      </c>
      <c r="R266" s="16">
        <f>MONTH(tblSprzedaz[[#This Row],[Data]])</f>
        <v>3</v>
      </c>
      <c r="S266" s="9" t="str">
        <f>YEAR(tblSprzedaz[[#This Row],[Data]])&amp;"-"&amp;RIGHT("0"&amp;MONTH(tblSprzedaz[[#This Row],[Data]]),2)</f>
        <v>2025-03</v>
      </c>
    </row>
    <row r="267" spans="1:19" x14ac:dyDescent="0.25">
      <c r="A267" s="7" t="s">
        <v>701</v>
      </c>
      <c r="B267" s="10">
        <v>45733</v>
      </c>
      <c r="C267" s="7" t="s">
        <v>702</v>
      </c>
      <c r="D267" s="8" t="s">
        <v>110</v>
      </c>
      <c r="E267" s="8" t="s">
        <v>71</v>
      </c>
      <c r="F267" s="8" t="s">
        <v>35</v>
      </c>
      <c r="G267" s="8" t="s">
        <v>28</v>
      </c>
      <c r="H267" s="8" t="s">
        <v>39</v>
      </c>
      <c r="I267" s="11">
        <v>4</v>
      </c>
      <c r="J267" s="12">
        <v>55.76</v>
      </c>
      <c r="K267" s="13">
        <v>0</v>
      </c>
      <c r="L267" s="12">
        <v>38.58</v>
      </c>
      <c r="M267" s="14">
        <f>ROUND(tblSprzedaz[[#This Row],[Ilość]]*tblSprzedaz[[#This Row],[Cena netto jednostkowa]]*(1-tblSprzedaz[[#This Row],[Rabat %]]),2)</f>
        <v>223.04</v>
      </c>
      <c r="N267" s="14">
        <f>ROUND(tblSprzedaz[[#This Row],[Ilość]]*tblSprzedaz[[#This Row],[Koszt jednostkowy netto]],2)</f>
        <v>154.32</v>
      </c>
      <c r="O267" s="14">
        <f>tblSprzedaz[[#This Row],[Przychód netto]]-tblSprzedaz[[#This Row],[Koszt całkowity netto]]</f>
        <v>68.72</v>
      </c>
      <c r="P267" s="15">
        <f>IFERROR(tblSprzedaz[[#This Row],[Marża kwotowa]]/tblSprzedaz[[#This Row],[Przychód netto]],0)</f>
        <v>0.30810616929698709</v>
      </c>
      <c r="Q267" s="16">
        <f>YEAR(tblSprzedaz[[#This Row],[Data]])</f>
        <v>2025</v>
      </c>
      <c r="R267" s="16">
        <f>MONTH(tblSprzedaz[[#This Row],[Data]])</f>
        <v>3</v>
      </c>
      <c r="S267" s="9" t="str">
        <f>YEAR(tblSprzedaz[[#This Row],[Data]])&amp;"-"&amp;RIGHT("0"&amp;MONTH(tblSprzedaz[[#This Row],[Data]]),2)</f>
        <v>2025-03</v>
      </c>
    </row>
    <row r="268" spans="1:19" x14ac:dyDescent="0.25">
      <c r="A268" s="7" t="s">
        <v>703</v>
      </c>
      <c r="B268" s="10">
        <v>45733</v>
      </c>
      <c r="C268" s="7" t="s">
        <v>704</v>
      </c>
      <c r="D268" s="8" t="s">
        <v>152</v>
      </c>
      <c r="E268" s="8" t="s">
        <v>50</v>
      </c>
      <c r="F268" s="8" t="s">
        <v>29</v>
      </c>
      <c r="G268" s="8" t="s">
        <v>36</v>
      </c>
      <c r="H268" s="8" t="s">
        <v>47</v>
      </c>
      <c r="I268" s="11">
        <v>15</v>
      </c>
      <c r="J268" s="12">
        <v>45.22</v>
      </c>
      <c r="K268" s="13">
        <v>0</v>
      </c>
      <c r="L268" s="12">
        <v>25.31</v>
      </c>
      <c r="M268" s="14">
        <f>ROUND(tblSprzedaz[[#This Row],[Ilość]]*tblSprzedaz[[#This Row],[Cena netto jednostkowa]]*(1-tblSprzedaz[[#This Row],[Rabat %]]),2)</f>
        <v>678.3</v>
      </c>
      <c r="N268" s="14">
        <f>ROUND(tblSprzedaz[[#This Row],[Ilość]]*tblSprzedaz[[#This Row],[Koszt jednostkowy netto]],2)</f>
        <v>379.65</v>
      </c>
      <c r="O268" s="14">
        <f>tblSprzedaz[[#This Row],[Przychód netto]]-tblSprzedaz[[#This Row],[Koszt całkowity netto]]</f>
        <v>298.64999999999998</v>
      </c>
      <c r="P268" s="15">
        <f>IFERROR(tblSprzedaz[[#This Row],[Marża kwotowa]]/tblSprzedaz[[#This Row],[Przychód netto]],0)</f>
        <v>0.4402919062361787</v>
      </c>
      <c r="Q268" s="16">
        <f>YEAR(tblSprzedaz[[#This Row],[Data]])</f>
        <v>2025</v>
      </c>
      <c r="R268" s="16">
        <f>MONTH(tblSprzedaz[[#This Row],[Data]])</f>
        <v>3</v>
      </c>
      <c r="S268" s="9" t="str">
        <f>YEAR(tblSprzedaz[[#This Row],[Data]])&amp;"-"&amp;RIGHT("0"&amp;MONTH(tblSprzedaz[[#This Row],[Data]]),2)</f>
        <v>2025-03</v>
      </c>
    </row>
    <row r="269" spans="1:19" x14ac:dyDescent="0.25">
      <c r="A269" s="7" t="s">
        <v>705</v>
      </c>
      <c r="B269" s="10">
        <v>45734</v>
      </c>
      <c r="C269" s="7" t="s">
        <v>706</v>
      </c>
      <c r="D269" s="8" t="s">
        <v>111</v>
      </c>
      <c r="E269" s="8" t="s">
        <v>61</v>
      </c>
      <c r="F269" s="8" t="s">
        <v>33</v>
      </c>
      <c r="G269" s="8" t="s">
        <v>28</v>
      </c>
      <c r="H269" s="8" t="s">
        <v>38</v>
      </c>
      <c r="I269" s="11">
        <v>15</v>
      </c>
      <c r="J269" s="12">
        <v>533.6</v>
      </c>
      <c r="K269" s="13">
        <v>0.15</v>
      </c>
      <c r="L269" s="12">
        <v>347.2</v>
      </c>
      <c r="M269" s="14">
        <f>ROUND(tblSprzedaz[[#This Row],[Ilość]]*tblSprzedaz[[#This Row],[Cena netto jednostkowa]]*(1-tblSprzedaz[[#This Row],[Rabat %]]),2)</f>
        <v>6803.4</v>
      </c>
      <c r="N269" s="14">
        <f>ROUND(tblSprzedaz[[#This Row],[Ilość]]*tblSprzedaz[[#This Row],[Koszt jednostkowy netto]],2)</f>
        <v>5208</v>
      </c>
      <c r="O269" s="14">
        <f>tblSprzedaz[[#This Row],[Przychód netto]]-tblSprzedaz[[#This Row],[Koszt całkowity netto]]</f>
        <v>1595.3999999999996</v>
      </c>
      <c r="P269" s="15">
        <f>IFERROR(tblSprzedaz[[#This Row],[Marża kwotowa]]/tblSprzedaz[[#This Row],[Przychód netto]],0)</f>
        <v>0.23450039686039328</v>
      </c>
      <c r="Q269" s="16">
        <f>YEAR(tblSprzedaz[[#This Row],[Data]])</f>
        <v>2025</v>
      </c>
      <c r="R269" s="16">
        <f>MONTH(tblSprzedaz[[#This Row],[Data]])</f>
        <v>3</v>
      </c>
      <c r="S269" s="9" t="str">
        <f>YEAR(tblSprzedaz[[#This Row],[Data]])&amp;"-"&amp;RIGHT("0"&amp;MONTH(tblSprzedaz[[#This Row],[Data]]),2)</f>
        <v>2025-03</v>
      </c>
    </row>
    <row r="270" spans="1:19" x14ac:dyDescent="0.25">
      <c r="A270" s="7" t="s">
        <v>707</v>
      </c>
      <c r="B270" s="10">
        <v>45734</v>
      </c>
      <c r="C270" s="7" t="s">
        <v>708</v>
      </c>
      <c r="D270" s="8" t="s">
        <v>79</v>
      </c>
      <c r="E270" s="8" t="s">
        <v>73</v>
      </c>
      <c r="F270" s="8" t="s">
        <v>37</v>
      </c>
      <c r="G270" s="8" t="s">
        <v>30</v>
      </c>
      <c r="H270" s="8" t="s">
        <v>40</v>
      </c>
      <c r="I270" s="11">
        <v>19</v>
      </c>
      <c r="J270" s="12">
        <v>110.2</v>
      </c>
      <c r="K270" s="13">
        <v>0</v>
      </c>
      <c r="L270" s="12">
        <v>80.63</v>
      </c>
      <c r="M270" s="14">
        <f>ROUND(tblSprzedaz[[#This Row],[Ilość]]*tblSprzedaz[[#This Row],[Cena netto jednostkowa]]*(1-tblSprzedaz[[#This Row],[Rabat %]]),2)</f>
        <v>2093.8000000000002</v>
      </c>
      <c r="N270" s="14">
        <f>ROUND(tblSprzedaz[[#This Row],[Ilość]]*tblSprzedaz[[#This Row],[Koszt jednostkowy netto]],2)</f>
        <v>1531.97</v>
      </c>
      <c r="O270" s="14">
        <f>tblSprzedaz[[#This Row],[Przychód netto]]-tblSprzedaz[[#This Row],[Koszt całkowity netto]]</f>
        <v>561.83000000000015</v>
      </c>
      <c r="P270" s="15">
        <f>IFERROR(tblSprzedaz[[#This Row],[Marża kwotowa]]/tblSprzedaz[[#This Row],[Przychód netto]],0)</f>
        <v>0.2683303085299456</v>
      </c>
      <c r="Q270" s="16">
        <f>YEAR(tblSprzedaz[[#This Row],[Data]])</f>
        <v>2025</v>
      </c>
      <c r="R270" s="16">
        <f>MONTH(tblSprzedaz[[#This Row],[Data]])</f>
        <v>3</v>
      </c>
      <c r="S270" s="9" t="str">
        <f>YEAR(tblSprzedaz[[#This Row],[Data]])&amp;"-"&amp;RIGHT("0"&amp;MONTH(tblSprzedaz[[#This Row],[Data]]),2)</f>
        <v>2025-03</v>
      </c>
    </row>
    <row r="271" spans="1:19" x14ac:dyDescent="0.25">
      <c r="A271" s="7" t="s">
        <v>709</v>
      </c>
      <c r="B271" s="10">
        <v>45734</v>
      </c>
      <c r="C271" s="7" t="s">
        <v>710</v>
      </c>
      <c r="D271" s="8" t="s">
        <v>125</v>
      </c>
      <c r="E271" s="8" t="s">
        <v>73</v>
      </c>
      <c r="F271" s="8" t="s">
        <v>37</v>
      </c>
      <c r="G271" s="8" t="s">
        <v>32</v>
      </c>
      <c r="H271" s="8" t="s">
        <v>42</v>
      </c>
      <c r="I271" s="11">
        <v>26</v>
      </c>
      <c r="J271" s="12">
        <v>110.2</v>
      </c>
      <c r="K271" s="13">
        <v>0</v>
      </c>
      <c r="L271" s="12">
        <v>88.12</v>
      </c>
      <c r="M271" s="14">
        <f>ROUND(tblSprzedaz[[#This Row],[Ilość]]*tblSprzedaz[[#This Row],[Cena netto jednostkowa]]*(1-tblSprzedaz[[#This Row],[Rabat %]]),2)</f>
        <v>2865.2</v>
      </c>
      <c r="N271" s="14">
        <f>ROUND(tblSprzedaz[[#This Row],[Ilość]]*tblSprzedaz[[#This Row],[Koszt jednostkowy netto]],2)</f>
        <v>2291.12</v>
      </c>
      <c r="O271" s="14">
        <f>tblSprzedaz[[#This Row],[Przychód netto]]-tblSprzedaz[[#This Row],[Koszt całkowity netto]]</f>
        <v>574.07999999999993</v>
      </c>
      <c r="P271" s="15">
        <f>IFERROR(tblSprzedaz[[#This Row],[Marża kwotowa]]/tblSprzedaz[[#This Row],[Przychód netto]],0)</f>
        <v>0.20036297640653356</v>
      </c>
      <c r="Q271" s="16">
        <f>YEAR(tblSprzedaz[[#This Row],[Data]])</f>
        <v>2025</v>
      </c>
      <c r="R271" s="16">
        <f>MONTH(tblSprzedaz[[#This Row],[Data]])</f>
        <v>3</v>
      </c>
      <c r="S271" s="9" t="str">
        <f>YEAR(tblSprzedaz[[#This Row],[Data]])&amp;"-"&amp;RIGHT("0"&amp;MONTH(tblSprzedaz[[#This Row],[Data]]),2)</f>
        <v>2025-03</v>
      </c>
    </row>
    <row r="272" spans="1:19" x14ac:dyDescent="0.25">
      <c r="A272" s="7" t="s">
        <v>711</v>
      </c>
      <c r="B272" s="10">
        <v>45734</v>
      </c>
      <c r="C272" s="7" t="s">
        <v>712</v>
      </c>
      <c r="D272" s="8" t="s">
        <v>104</v>
      </c>
      <c r="E272" s="8" t="s">
        <v>72</v>
      </c>
      <c r="F272" s="8" t="s">
        <v>37</v>
      </c>
      <c r="G272" s="8" t="s">
        <v>30</v>
      </c>
      <c r="H272" s="8" t="s">
        <v>40</v>
      </c>
      <c r="I272" s="11">
        <v>17</v>
      </c>
      <c r="J272" s="12">
        <v>94.05</v>
      </c>
      <c r="K272" s="13">
        <v>0</v>
      </c>
      <c r="L272" s="12">
        <v>68.94</v>
      </c>
      <c r="M272" s="14">
        <f>ROUND(tblSprzedaz[[#This Row],[Ilość]]*tblSprzedaz[[#This Row],[Cena netto jednostkowa]]*(1-tblSprzedaz[[#This Row],[Rabat %]]),2)</f>
        <v>1598.85</v>
      </c>
      <c r="N272" s="14">
        <f>ROUND(tblSprzedaz[[#This Row],[Ilość]]*tblSprzedaz[[#This Row],[Koszt jednostkowy netto]],2)</f>
        <v>1171.98</v>
      </c>
      <c r="O272" s="14">
        <f>tblSprzedaz[[#This Row],[Przychód netto]]-tblSprzedaz[[#This Row],[Koszt całkowity netto]]</f>
        <v>426.86999999999989</v>
      </c>
      <c r="P272" s="15">
        <f>IFERROR(tblSprzedaz[[#This Row],[Marża kwotowa]]/tblSprzedaz[[#This Row],[Przychód netto]],0)</f>
        <v>0.26698564593301433</v>
      </c>
      <c r="Q272" s="16">
        <f>YEAR(tblSprzedaz[[#This Row],[Data]])</f>
        <v>2025</v>
      </c>
      <c r="R272" s="16">
        <f>MONTH(tblSprzedaz[[#This Row],[Data]])</f>
        <v>3</v>
      </c>
      <c r="S272" s="9" t="str">
        <f>YEAR(tblSprzedaz[[#This Row],[Data]])&amp;"-"&amp;RIGHT("0"&amp;MONTH(tblSprzedaz[[#This Row],[Data]]),2)</f>
        <v>2025-03</v>
      </c>
    </row>
    <row r="273" spans="1:19" x14ac:dyDescent="0.25">
      <c r="A273" s="7" t="s">
        <v>713</v>
      </c>
      <c r="B273" s="10">
        <v>45734</v>
      </c>
      <c r="C273" s="7" t="s">
        <v>714</v>
      </c>
      <c r="D273" s="8" t="s">
        <v>90</v>
      </c>
      <c r="E273" s="8" t="s">
        <v>67</v>
      </c>
      <c r="F273" s="8" t="s">
        <v>35</v>
      </c>
      <c r="G273" s="8" t="s">
        <v>36</v>
      </c>
      <c r="H273" s="8" t="s">
        <v>46</v>
      </c>
      <c r="I273" s="11">
        <v>7</v>
      </c>
      <c r="J273" s="12">
        <v>78.88</v>
      </c>
      <c r="K273" s="13">
        <v>0</v>
      </c>
      <c r="L273" s="12">
        <v>56.97</v>
      </c>
      <c r="M273" s="14">
        <f>ROUND(tblSprzedaz[[#This Row],[Ilość]]*tblSprzedaz[[#This Row],[Cena netto jednostkowa]]*(1-tblSprzedaz[[#This Row],[Rabat %]]),2)</f>
        <v>552.16</v>
      </c>
      <c r="N273" s="14">
        <f>ROUND(tblSprzedaz[[#This Row],[Ilość]]*tblSprzedaz[[#This Row],[Koszt jednostkowy netto]],2)</f>
        <v>398.79</v>
      </c>
      <c r="O273" s="14">
        <f>tblSprzedaz[[#This Row],[Przychód netto]]-tblSprzedaz[[#This Row],[Koszt całkowity netto]]</f>
        <v>153.36999999999995</v>
      </c>
      <c r="P273" s="15">
        <f>IFERROR(tblSprzedaz[[#This Row],[Marża kwotowa]]/tblSprzedaz[[#This Row],[Przychód netto]],0)</f>
        <v>0.2777636916835699</v>
      </c>
      <c r="Q273" s="16">
        <f>YEAR(tblSprzedaz[[#This Row],[Data]])</f>
        <v>2025</v>
      </c>
      <c r="R273" s="16">
        <f>MONTH(tblSprzedaz[[#This Row],[Data]])</f>
        <v>3</v>
      </c>
      <c r="S273" s="9" t="str">
        <f>YEAR(tblSprzedaz[[#This Row],[Data]])&amp;"-"&amp;RIGHT("0"&amp;MONTH(tblSprzedaz[[#This Row],[Data]]),2)</f>
        <v>2025-03</v>
      </c>
    </row>
    <row r="274" spans="1:19" x14ac:dyDescent="0.25">
      <c r="A274" s="7" t="s">
        <v>715</v>
      </c>
      <c r="B274" s="10">
        <v>45735</v>
      </c>
      <c r="C274" s="7" t="s">
        <v>716</v>
      </c>
      <c r="D274" s="8" t="s">
        <v>111</v>
      </c>
      <c r="E274" s="8" t="s">
        <v>69</v>
      </c>
      <c r="F274" s="8" t="s">
        <v>35</v>
      </c>
      <c r="G274" s="8" t="s">
        <v>34</v>
      </c>
      <c r="H274" s="8" t="s">
        <v>44</v>
      </c>
      <c r="I274" s="11">
        <v>4</v>
      </c>
      <c r="J274" s="12">
        <v>102</v>
      </c>
      <c r="K274" s="13">
        <v>0</v>
      </c>
      <c r="L274" s="12">
        <v>77.12</v>
      </c>
      <c r="M274" s="14">
        <f>ROUND(tblSprzedaz[[#This Row],[Ilość]]*tblSprzedaz[[#This Row],[Cena netto jednostkowa]]*(1-tblSprzedaz[[#This Row],[Rabat %]]),2)</f>
        <v>408</v>
      </c>
      <c r="N274" s="14">
        <f>ROUND(tblSprzedaz[[#This Row],[Ilość]]*tblSprzedaz[[#This Row],[Koszt jednostkowy netto]],2)</f>
        <v>308.48</v>
      </c>
      <c r="O274" s="14">
        <f>tblSprzedaz[[#This Row],[Przychód netto]]-tblSprzedaz[[#This Row],[Koszt całkowity netto]]</f>
        <v>99.519999999999982</v>
      </c>
      <c r="P274" s="15">
        <f>IFERROR(tblSprzedaz[[#This Row],[Marża kwotowa]]/tblSprzedaz[[#This Row],[Przychód netto]],0)</f>
        <v>0.24392156862745093</v>
      </c>
      <c r="Q274" s="16">
        <f>YEAR(tblSprzedaz[[#This Row],[Data]])</f>
        <v>2025</v>
      </c>
      <c r="R274" s="16">
        <f>MONTH(tblSprzedaz[[#This Row],[Data]])</f>
        <v>3</v>
      </c>
      <c r="S274" s="9" t="str">
        <f>YEAR(tblSprzedaz[[#This Row],[Data]])&amp;"-"&amp;RIGHT("0"&amp;MONTH(tblSprzedaz[[#This Row],[Data]]),2)</f>
        <v>2025-03</v>
      </c>
    </row>
    <row r="275" spans="1:19" x14ac:dyDescent="0.25">
      <c r="A275" s="7" t="s">
        <v>717</v>
      </c>
      <c r="B275" s="10">
        <v>45735</v>
      </c>
      <c r="C275" s="7" t="s">
        <v>718</v>
      </c>
      <c r="D275" s="8" t="s">
        <v>124</v>
      </c>
      <c r="E275" s="8" t="s">
        <v>51</v>
      </c>
      <c r="F275" s="8" t="s">
        <v>29</v>
      </c>
      <c r="G275" s="8" t="s">
        <v>32</v>
      </c>
      <c r="H275" s="8" t="s">
        <v>42</v>
      </c>
      <c r="I275" s="11">
        <v>11</v>
      </c>
      <c r="J275" s="12">
        <v>51</v>
      </c>
      <c r="K275" s="13">
        <v>0.15</v>
      </c>
      <c r="L275" s="12">
        <v>28.43</v>
      </c>
      <c r="M275" s="14">
        <f>ROUND(tblSprzedaz[[#This Row],[Ilość]]*tblSprzedaz[[#This Row],[Cena netto jednostkowa]]*(1-tblSprzedaz[[#This Row],[Rabat %]]),2)</f>
        <v>476.85</v>
      </c>
      <c r="N275" s="14">
        <f>ROUND(tblSprzedaz[[#This Row],[Ilość]]*tblSprzedaz[[#This Row],[Koszt jednostkowy netto]],2)</f>
        <v>312.73</v>
      </c>
      <c r="O275" s="14">
        <f>tblSprzedaz[[#This Row],[Przychód netto]]-tblSprzedaz[[#This Row],[Koszt całkowity netto]]</f>
        <v>164.12</v>
      </c>
      <c r="P275" s="15">
        <f>IFERROR(tblSprzedaz[[#This Row],[Marża kwotowa]]/tblSprzedaz[[#This Row],[Przychód netto]],0)</f>
        <v>0.34417531718569783</v>
      </c>
      <c r="Q275" s="16">
        <f>YEAR(tblSprzedaz[[#This Row],[Data]])</f>
        <v>2025</v>
      </c>
      <c r="R275" s="16">
        <f>MONTH(tblSprzedaz[[#This Row],[Data]])</f>
        <v>3</v>
      </c>
      <c r="S275" s="9" t="str">
        <f>YEAR(tblSprzedaz[[#This Row],[Data]])&amp;"-"&amp;RIGHT("0"&amp;MONTH(tblSprzedaz[[#This Row],[Data]]),2)</f>
        <v>2025-03</v>
      </c>
    </row>
    <row r="276" spans="1:19" x14ac:dyDescent="0.25">
      <c r="A276" s="7" t="s">
        <v>719</v>
      </c>
      <c r="B276" s="10">
        <v>45735</v>
      </c>
      <c r="C276" s="7" t="s">
        <v>720</v>
      </c>
      <c r="D276" s="8" t="s">
        <v>136</v>
      </c>
      <c r="E276" s="8" t="s">
        <v>74</v>
      </c>
      <c r="F276" s="8" t="s">
        <v>37</v>
      </c>
      <c r="G276" s="8" t="s">
        <v>30</v>
      </c>
      <c r="H276" s="8" t="s">
        <v>40</v>
      </c>
      <c r="I276" s="11">
        <v>1</v>
      </c>
      <c r="J276" s="12">
        <v>126.35</v>
      </c>
      <c r="K276" s="13">
        <v>0.1</v>
      </c>
      <c r="L276" s="12">
        <v>97.71</v>
      </c>
      <c r="M276" s="14">
        <f>ROUND(tblSprzedaz[[#This Row],[Ilość]]*tblSprzedaz[[#This Row],[Cena netto jednostkowa]]*(1-tblSprzedaz[[#This Row],[Rabat %]]),2)</f>
        <v>113.72</v>
      </c>
      <c r="N276" s="14">
        <f>ROUND(tblSprzedaz[[#This Row],[Ilość]]*tblSprzedaz[[#This Row],[Koszt jednostkowy netto]],2)</f>
        <v>97.71</v>
      </c>
      <c r="O276" s="14">
        <f>tblSprzedaz[[#This Row],[Przychód netto]]-tblSprzedaz[[#This Row],[Koszt całkowity netto]]</f>
        <v>16.010000000000005</v>
      </c>
      <c r="P276" s="15">
        <f>IFERROR(tblSprzedaz[[#This Row],[Marża kwotowa]]/tblSprzedaz[[#This Row],[Przychód netto]],0)</f>
        <v>0.14078438269433702</v>
      </c>
      <c r="Q276" s="16">
        <f>YEAR(tblSprzedaz[[#This Row],[Data]])</f>
        <v>2025</v>
      </c>
      <c r="R276" s="16">
        <f>MONTH(tblSprzedaz[[#This Row],[Data]])</f>
        <v>3</v>
      </c>
      <c r="S276" s="9" t="str">
        <f>YEAR(tblSprzedaz[[#This Row],[Data]])&amp;"-"&amp;RIGHT("0"&amp;MONTH(tblSprzedaz[[#This Row],[Data]]),2)</f>
        <v>2025-03</v>
      </c>
    </row>
    <row r="277" spans="1:19" x14ac:dyDescent="0.25">
      <c r="A277" s="7" t="s">
        <v>721</v>
      </c>
      <c r="B277" s="10">
        <v>45735</v>
      </c>
      <c r="C277" s="7" t="s">
        <v>722</v>
      </c>
      <c r="D277" s="8" t="s">
        <v>152</v>
      </c>
      <c r="E277" s="8" t="s">
        <v>72</v>
      </c>
      <c r="F277" s="8" t="s">
        <v>37</v>
      </c>
      <c r="G277" s="8" t="s">
        <v>36</v>
      </c>
      <c r="H277" s="8" t="s">
        <v>46</v>
      </c>
      <c r="I277" s="11">
        <v>17</v>
      </c>
      <c r="J277" s="12">
        <v>94.05</v>
      </c>
      <c r="K277" s="13">
        <v>0.1</v>
      </c>
      <c r="L277" s="12">
        <v>69.08</v>
      </c>
      <c r="M277" s="14">
        <f>ROUND(tblSprzedaz[[#This Row],[Ilość]]*tblSprzedaz[[#This Row],[Cena netto jednostkowa]]*(1-tblSprzedaz[[#This Row],[Rabat %]]),2)</f>
        <v>1438.97</v>
      </c>
      <c r="N277" s="14">
        <f>ROUND(tblSprzedaz[[#This Row],[Ilość]]*tblSprzedaz[[#This Row],[Koszt jednostkowy netto]],2)</f>
        <v>1174.3599999999999</v>
      </c>
      <c r="O277" s="14">
        <f>tblSprzedaz[[#This Row],[Przychód netto]]-tblSprzedaz[[#This Row],[Koszt całkowity netto]]</f>
        <v>264.61000000000013</v>
      </c>
      <c r="P277" s="15">
        <f>IFERROR(tblSprzedaz[[#This Row],[Marża kwotowa]]/tblSprzedaz[[#This Row],[Przychód netto]],0)</f>
        <v>0.18388847578476281</v>
      </c>
      <c r="Q277" s="16">
        <f>YEAR(tblSprzedaz[[#This Row],[Data]])</f>
        <v>2025</v>
      </c>
      <c r="R277" s="16">
        <f>MONTH(tblSprzedaz[[#This Row],[Data]])</f>
        <v>3</v>
      </c>
      <c r="S277" s="9" t="str">
        <f>YEAR(tblSprzedaz[[#This Row],[Data]])&amp;"-"&amp;RIGHT("0"&amp;MONTH(tblSprzedaz[[#This Row],[Data]]),2)</f>
        <v>2025-03</v>
      </c>
    </row>
    <row r="278" spans="1:19" x14ac:dyDescent="0.25">
      <c r="A278" s="7" t="s">
        <v>723</v>
      </c>
      <c r="B278" s="10">
        <v>45735</v>
      </c>
      <c r="C278" s="7" t="s">
        <v>724</v>
      </c>
      <c r="D278" s="8" t="s">
        <v>80</v>
      </c>
      <c r="E278" s="8" t="s">
        <v>66</v>
      </c>
      <c r="F278" s="8" t="s">
        <v>35</v>
      </c>
      <c r="G278" s="8" t="s">
        <v>34</v>
      </c>
      <c r="H278" s="8" t="s">
        <v>44</v>
      </c>
      <c r="I278" s="11">
        <v>4</v>
      </c>
      <c r="J278" s="12">
        <v>67.319999999999993</v>
      </c>
      <c r="K278" s="13">
        <v>0.05</v>
      </c>
      <c r="L278" s="12">
        <v>49.74</v>
      </c>
      <c r="M278" s="14">
        <f>ROUND(tblSprzedaz[[#This Row],[Ilość]]*tblSprzedaz[[#This Row],[Cena netto jednostkowa]]*(1-tblSprzedaz[[#This Row],[Rabat %]]),2)</f>
        <v>255.82</v>
      </c>
      <c r="N278" s="14">
        <f>ROUND(tblSprzedaz[[#This Row],[Ilość]]*tblSprzedaz[[#This Row],[Koszt jednostkowy netto]],2)</f>
        <v>198.96</v>
      </c>
      <c r="O278" s="14">
        <f>tblSprzedaz[[#This Row],[Przychód netto]]-tblSprzedaz[[#This Row],[Koszt całkowity netto]]</f>
        <v>56.859999999999985</v>
      </c>
      <c r="P278" s="15">
        <f>IFERROR(tblSprzedaz[[#This Row],[Marża kwotowa]]/tblSprzedaz[[#This Row],[Przychód netto]],0)</f>
        <v>0.22226565553905084</v>
      </c>
      <c r="Q278" s="16">
        <f>YEAR(tblSprzedaz[[#This Row],[Data]])</f>
        <v>2025</v>
      </c>
      <c r="R278" s="16">
        <f>MONTH(tblSprzedaz[[#This Row],[Data]])</f>
        <v>3</v>
      </c>
      <c r="S278" s="9" t="str">
        <f>YEAR(tblSprzedaz[[#This Row],[Data]])&amp;"-"&amp;RIGHT("0"&amp;MONTH(tblSprzedaz[[#This Row],[Data]]),2)</f>
        <v>2025-03</v>
      </c>
    </row>
    <row r="279" spans="1:19" x14ac:dyDescent="0.25">
      <c r="A279" s="7" t="s">
        <v>725</v>
      </c>
      <c r="B279" s="10">
        <v>45735</v>
      </c>
      <c r="C279" s="7" t="s">
        <v>726</v>
      </c>
      <c r="D279" s="8" t="s">
        <v>141</v>
      </c>
      <c r="E279" s="8" t="s">
        <v>71</v>
      </c>
      <c r="F279" s="8" t="s">
        <v>35</v>
      </c>
      <c r="G279" s="8" t="s">
        <v>36</v>
      </c>
      <c r="H279" s="8" t="s">
        <v>46</v>
      </c>
      <c r="I279" s="11">
        <v>18</v>
      </c>
      <c r="J279" s="12">
        <v>55.76</v>
      </c>
      <c r="K279" s="13">
        <v>0.05</v>
      </c>
      <c r="L279" s="12">
        <v>42.41</v>
      </c>
      <c r="M279" s="14">
        <f>ROUND(tblSprzedaz[[#This Row],[Ilość]]*tblSprzedaz[[#This Row],[Cena netto jednostkowa]]*(1-tblSprzedaz[[#This Row],[Rabat %]]),2)</f>
        <v>953.5</v>
      </c>
      <c r="N279" s="14">
        <f>ROUND(tblSprzedaz[[#This Row],[Ilość]]*tblSprzedaz[[#This Row],[Koszt jednostkowy netto]],2)</f>
        <v>763.38</v>
      </c>
      <c r="O279" s="14">
        <f>tblSprzedaz[[#This Row],[Przychód netto]]-tblSprzedaz[[#This Row],[Koszt całkowity netto]]</f>
        <v>190.12</v>
      </c>
      <c r="P279" s="15">
        <f>IFERROR(tblSprzedaz[[#This Row],[Marża kwotowa]]/tblSprzedaz[[#This Row],[Przychód netto]],0)</f>
        <v>0.19939171473518616</v>
      </c>
      <c r="Q279" s="16">
        <f>YEAR(tblSprzedaz[[#This Row],[Data]])</f>
        <v>2025</v>
      </c>
      <c r="R279" s="16">
        <f>MONTH(tblSprzedaz[[#This Row],[Data]])</f>
        <v>3</v>
      </c>
      <c r="S279" s="9" t="str">
        <f>YEAR(tblSprzedaz[[#This Row],[Data]])&amp;"-"&amp;RIGHT("0"&amp;MONTH(tblSprzedaz[[#This Row],[Data]]),2)</f>
        <v>2025-03</v>
      </c>
    </row>
    <row r="280" spans="1:19" x14ac:dyDescent="0.25">
      <c r="A280" s="7" t="s">
        <v>727</v>
      </c>
      <c r="B280" s="10">
        <v>45736</v>
      </c>
      <c r="C280" s="7" t="s">
        <v>728</v>
      </c>
      <c r="D280" s="8" t="s">
        <v>142</v>
      </c>
      <c r="E280" s="8" t="s">
        <v>50</v>
      </c>
      <c r="F280" s="8" t="s">
        <v>29</v>
      </c>
      <c r="G280" s="8" t="s">
        <v>36</v>
      </c>
      <c r="H280" s="8" t="s">
        <v>47</v>
      </c>
      <c r="I280" s="11">
        <v>10</v>
      </c>
      <c r="J280" s="12">
        <v>45.22</v>
      </c>
      <c r="K280" s="13">
        <v>0</v>
      </c>
      <c r="L280" s="12">
        <v>25.88</v>
      </c>
      <c r="M280" s="14">
        <f>ROUND(tblSprzedaz[[#This Row],[Ilość]]*tblSprzedaz[[#This Row],[Cena netto jednostkowa]]*(1-tblSprzedaz[[#This Row],[Rabat %]]),2)</f>
        <v>452.2</v>
      </c>
      <c r="N280" s="14">
        <f>ROUND(tblSprzedaz[[#This Row],[Ilość]]*tblSprzedaz[[#This Row],[Koszt jednostkowy netto]],2)</f>
        <v>258.8</v>
      </c>
      <c r="O280" s="14">
        <f>tblSprzedaz[[#This Row],[Przychód netto]]-tblSprzedaz[[#This Row],[Koszt całkowity netto]]</f>
        <v>193.39999999999998</v>
      </c>
      <c r="P280" s="15">
        <f>IFERROR(tblSprzedaz[[#This Row],[Marża kwotowa]]/tblSprzedaz[[#This Row],[Przychód netto]],0)</f>
        <v>0.42768686421937191</v>
      </c>
      <c r="Q280" s="16">
        <f>YEAR(tblSprzedaz[[#This Row],[Data]])</f>
        <v>2025</v>
      </c>
      <c r="R280" s="16">
        <f>MONTH(tblSprzedaz[[#This Row],[Data]])</f>
        <v>3</v>
      </c>
      <c r="S280" s="9" t="str">
        <f>YEAR(tblSprzedaz[[#This Row],[Data]])&amp;"-"&amp;RIGHT("0"&amp;MONTH(tblSprzedaz[[#This Row],[Data]]),2)</f>
        <v>2025-03</v>
      </c>
    </row>
    <row r="281" spans="1:19" x14ac:dyDescent="0.25">
      <c r="A281" s="7" t="s">
        <v>729</v>
      </c>
      <c r="B281" s="10">
        <v>45736</v>
      </c>
      <c r="C281" s="7" t="s">
        <v>730</v>
      </c>
      <c r="D281" s="8" t="s">
        <v>110</v>
      </c>
      <c r="E281" s="8" t="s">
        <v>77</v>
      </c>
      <c r="F281" s="8" t="s">
        <v>37</v>
      </c>
      <c r="G281" s="8" t="s">
        <v>30</v>
      </c>
      <c r="H281" s="8" t="s">
        <v>40</v>
      </c>
      <c r="I281" s="11">
        <v>3</v>
      </c>
      <c r="J281" s="12">
        <v>77.900000000000006</v>
      </c>
      <c r="K281" s="13">
        <v>0.05</v>
      </c>
      <c r="L281" s="12">
        <v>58.43</v>
      </c>
      <c r="M281" s="14">
        <f>ROUND(tblSprzedaz[[#This Row],[Ilość]]*tblSprzedaz[[#This Row],[Cena netto jednostkowa]]*(1-tblSprzedaz[[#This Row],[Rabat %]]),2)</f>
        <v>222.02</v>
      </c>
      <c r="N281" s="14">
        <f>ROUND(tblSprzedaz[[#This Row],[Ilość]]*tblSprzedaz[[#This Row],[Koszt jednostkowy netto]],2)</f>
        <v>175.29</v>
      </c>
      <c r="O281" s="14">
        <f>tblSprzedaz[[#This Row],[Przychód netto]]-tblSprzedaz[[#This Row],[Koszt całkowity netto]]</f>
        <v>46.730000000000018</v>
      </c>
      <c r="P281" s="15">
        <f>IFERROR(tblSprzedaz[[#This Row],[Marża kwotowa]]/tblSprzedaz[[#This Row],[Przychód netto]],0)</f>
        <v>0.21047653364561758</v>
      </c>
      <c r="Q281" s="16">
        <f>YEAR(tblSprzedaz[[#This Row],[Data]])</f>
        <v>2025</v>
      </c>
      <c r="R281" s="16">
        <f>MONTH(tblSprzedaz[[#This Row],[Data]])</f>
        <v>3</v>
      </c>
      <c r="S281" s="9" t="str">
        <f>YEAR(tblSprzedaz[[#This Row],[Data]])&amp;"-"&amp;RIGHT("0"&amp;MONTH(tblSprzedaz[[#This Row],[Data]]),2)</f>
        <v>2025-03</v>
      </c>
    </row>
    <row r="282" spans="1:19" x14ac:dyDescent="0.25">
      <c r="A282" s="7" t="s">
        <v>731</v>
      </c>
      <c r="B282" s="10">
        <v>45736</v>
      </c>
      <c r="C282" s="7" t="s">
        <v>732</v>
      </c>
      <c r="D282" s="8" t="s">
        <v>141</v>
      </c>
      <c r="E282" s="8" t="s">
        <v>74</v>
      </c>
      <c r="F282" s="8" t="s">
        <v>37</v>
      </c>
      <c r="G282" s="8" t="s">
        <v>30</v>
      </c>
      <c r="H282" s="8" t="s">
        <v>40</v>
      </c>
      <c r="I282" s="11">
        <v>11</v>
      </c>
      <c r="J282" s="12">
        <v>126.35</v>
      </c>
      <c r="K282" s="13">
        <v>0.1</v>
      </c>
      <c r="L282" s="12">
        <v>93.87</v>
      </c>
      <c r="M282" s="14">
        <f>ROUND(tblSprzedaz[[#This Row],[Ilość]]*tblSprzedaz[[#This Row],[Cena netto jednostkowa]]*(1-tblSprzedaz[[#This Row],[Rabat %]]),2)</f>
        <v>1250.8699999999999</v>
      </c>
      <c r="N282" s="14">
        <f>ROUND(tblSprzedaz[[#This Row],[Ilość]]*tblSprzedaz[[#This Row],[Koszt jednostkowy netto]],2)</f>
        <v>1032.57</v>
      </c>
      <c r="O282" s="14">
        <f>tblSprzedaz[[#This Row],[Przychód netto]]-tblSprzedaz[[#This Row],[Koszt całkowity netto]]</f>
        <v>218.29999999999995</v>
      </c>
      <c r="P282" s="15">
        <f>IFERROR(tblSprzedaz[[#This Row],[Marża kwotowa]]/tblSprzedaz[[#This Row],[Przychód netto]],0)</f>
        <v>0.17451853509957069</v>
      </c>
      <c r="Q282" s="16">
        <f>YEAR(tblSprzedaz[[#This Row],[Data]])</f>
        <v>2025</v>
      </c>
      <c r="R282" s="16">
        <f>MONTH(tblSprzedaz[[#This Row],[Data]])</f>
        <v>3</v>
      </c>
      <c r="S282" s="9" t="str">
        <f>YEAR(tblSprzedaz[[#This Row],[Data]])&amp;"-"&amp;RIGHT("0"&amp;MONTH(tblSprzedaz[[#This Row],[Data]]),2)</f>
        <v>2025-03</v>
      </c>
    </row>
    <row r="283" spans="1:19" x14ac:dyDescent="0.25">
      <c r="A283" s="7" t="s">
        <v>733</v>
      </c>
      <c r="B283" s="10">
        <v>45736</v>
      </c>
      <c r="C283" s="7" t="s">
        <v>734</v>
      </c>
      <c r="D283" s="8" t="s">
        <v>145</v>
      </c>
      <c r="E283" s="8" t="s">
        <v>59</v>
      </c>
      <c r="F283" s="8" t="s">
        <v>31</v>
      </c>
      <c r="G283" s="8" t="s">
        <v>34</v>
      </c>
      <c r="H283" s="8" t="s">
        <v>44</v>
      </c>
      <c r="I283" s="11">
        <v>14</v>
      </c>
      <c r="J283" s="12">
        <v>172.2</v>
      </c>
      <c r="K283" s="13">
        <v>0.05</v>
      </c>
      <c r="L283" s="12">
        <v>108.55</v>
      </c>
      <c r="M283" s="14">
        <f>ROUND(tblSprzedaz[[#This Row],[Ilość]]*tblSprzedaz[[#This Row],[Cena netto jednostkowa]]*(1-tblSprzedaz[[#This Row],[Rabat %]]),2)</f>
        <v>2290.2600000000002</v>
      </c>
      <c r="N283" s="14">
        <f>ROUND(tblSprzedaz[[#This Row],[Ilość]]*tblSprzedaz[[#This Row],[Koszt jednostkowy netto]],2)</f>
        <v>1519.7</v>
      </c>
      <c r="O283" s="14">
        <f>tblSprzedaz[[#This Row],[Przychód netto]]-tblSprzedaz[[#This Row],[Koszt całkowity netto]]</f>
        <v>770.56000000000017</v>
      </c>
      <c r="P283" s="15">
        <f>IFERROR(tblSprzedaz[[#This Row],[Marża kwotowa]]/tblSprzedaz[[#This Row],[Przychód netto]],0)</f>
        <v>0.33645088330582557</v>
      </c>
      <c r="Q283" s="16">
        <f>YEAR(tblSprzedaz[[#This Row],[Data]])</f>
        <v>2025</v>
      </c>
      <c r="R283" s="16">
        <f>MONTH(tblSprzedaz[[#This Row],[Data]])</f>
        <v>3</v>
      </c>
      <c r="S283" s="9" t="str">
        <f>YEAR(tblSprzedaz[[#This Row],[Data]])&amp;"-"&amp;RIGHT("0"&amp;MONTH(tblSprzedaz[[#This Row],[Data]]),2)</f>
        <v>2025-03</v>
      </c>
    </row>
    <row r="284" spans="1:19" x14ac:dyDescent="0.25">
      <c r="A284" s="7" t="s">
        <v>735</v>
      </c>
      <c r="B284" s="10">
        <v>45737</v>
      </c>
      <c r="C284" s="7" t="s">
        <v>736</v>
      </c>
      <c r="D284" s="8" t="s">
        <v>92</v>
      </c>
      <c r="E284" s="8" t="s">
        <v>66</v>
      </c>
      <c r="F284" s="8" t="s">
        <v>35</v>
      </c>
      <c r="G284" s="8" t="s">
        <v>34</v>
      </c>
      <c r="H284" s="8" t="s">
        <v>45</v>
      </c>
      <c r="I284" s="11">
        <v>4</v>
      </c>
      <c r="J284" s="12">
        <v>67.319999999999993</v>
      </c>
      <c r="K284" s="13">
        <v>0.1</v>
      </c>
      <c r="L284" s="12">
        <v>46.53</v>
      </c>
      <c r="M284" s="14">
        <f>ROUND(tblSprzedaz[[#This Row],[Ilość]]*tblSprzedaz[[#This Row],[Cena netto jednostkowa]]*(1-tblSprzedaz[[#This Row],[Rabat %]]),2)</f>
        <v>242.35</v>
      </c>
      <c r="N284" s="14">
        <f>ROUND(tblSprzedaz[[#This Row],[Ilość]]*tblSprzedaz[[#This Row],[Koszt jednostkowy netto]],2)</f>
        <v>186.12</v>
      </c>
      <c r="O284" s="14">
        <f>tblSprzedaz[[#This Row],[Przychód netto]]-tblSprzedaz[[#This Row],[Koszt całkowity netto]]</f>
        <v>56.22999999999999</v>
      </c>
      <c r="P284" s="15">
        <f>IFERROR(tblSprzedaz[[#This Row],[Marża kwotowa]]/tblSprzedaz[[#This Row],[Przychód netto]],0)</f>
        <v>0.23201980606560754</v>
      </c>
      <c r="Q284" s="16">
        <f>YEAR(tblSprzedaz[[#This Row],[Data]])</f>
        <v>2025</v>
      </c>
      <c r="R284" s="16">
        <f>MONTH(tblSprzedaz[[#This Row],[Data]])</f>
        <v>3</v>
      </c>
      <c r="S284" s="9" t="str">
        <f>YEAR(tblSprzedaz[[#This Row],[Data]])&amp;"-"&amp;RIGHT("0"&amp;MONTH(tblSprzedaz[[#This Row],[Data]]),2)</f>
        <v>2025-03</v>
      </c>
    </row>
    <row r="285" spans="1:19" x14ac:dyDescent="0.25">
      <c r="A285" s="7" t="s">
        <v>737</v>
      </c>
      <c r="B285" s="10">
        <v>45737</v>
      </c>
      <c r="C285" s="7" t="s">
        <v>738</v>
      </c>
      <c r="D285" s="8" t="s">
        <v>152</v>
      </c>
      <c r="E285" s="8" t="s">
        <v>57</v>
      </c>
      <c r="F285" s="8" t="s">
        <v>31</v>
      </c>
      <c r="G285" s="8" t="s">
        <v>32</v>
      </c>
      <c r="H285" s="8" t="s">
        <v>42</v>
      </c>
      <c r="I285" s="11">
        <v>2</v>
      </c>
      <c r="J285" s="12">
        <v>315</v>
      </c>
      <c r="K285" s="13">
        <v>0.05</v>
      </c>
      <c r="L285" s="12">
        <v>198.73</v>
      </c>
      <c r="M285" s="14">
        <f>ROUND(tblSprzedaz[[#This Row],[Ilość]]*tblSprzedaz[[#This Row],[Cena netto jednostkowa]]*(1-tblSprzedaz[[#This Row],[Rabat %]]),2)</f>
        <v>598.5</v>
      </c>
      <c r="N285" s="14">
        <f>ROUND(tblSprzedaz[[#This Row],[Ilość]]*tblSprzedaz[[#This Row],[Koszt jednostkowy netto]],2)</f>
        <v>397.46</v>
      </c>
      <c r="O285" s="14">
        <f>tblSprzedaz[[#This Row],[Przychód netto]]-tblSprzedaz[[#This Row],[Koszt całkowity netto]]</f>
        <v>201.04000000000002</v>
      </c>
      <c r="P285" s="15">
        <f>IFERROR(tblSprzedaz[[#This Row],[Marża kwotowa]]/tblSprzedaz[[#This Row],[Przychód netto]],0)</f>
        <v>0.33590643274853804</v>
      </c>
      <c r="Q285" s="16">
        <f>YEAR(tblSprzedaz[[#This Row],[Data]])</f>
        <v>2025</v>
      </c>
      <c r="R285" s="16">
        <f>MONTH(tblSprzedaz[[#This Row],[Data]])</f>
        <v>3</v>
      </c>
      <c r="S285" s="9" t="str">
        <f>YEAR(tblSprzedaz[[#This Row],[Data]])&amp;"-"&amp;RIGHT("0"&amp;MONTH(tblSprzedaz[[#This Row],[Data]]),2)</f>
        <v>2025-03</v>
      </c>
    </row>
    <row r="286" spans="1:19" x14ac:dyDescent="0.25">
      <c r="A286" s="7" t="s">
        <v>739</v>
      </c>
      <c r="B286" s="10">
        <v>45737</v>
      </c>
      <c r="C286" s="7" t="s">
        <v>740</v>
      </c>
      <c r="D286" s="8" t="s">
        <v>96</v>
      </c>
      <c r="E286" s="8" t="s">
        <v>74</v>
      </c>
      <c r="F286" s="8" t="s">
        <v>37</v>
      </c>
      <c r="G286" s="8" t="s">
        <v>34</v>
      </c>
      <c r="H286" s="8" t="s">
        <v>45</v>
      </c>
      <c r="I286" s="11">
        <v>5</v>
      </c>
      <c r="J286" s="12">
        <v>126.35</v>
      </c>
      <c r="K286" s="13">
        <v>0.1</v>
      </c>
      <c r="L286" s="12">
        <v>97.92</v>
      </c>
      <c r="M286" s="14">
        <f>ROUND(tblSprzedaz[[#This Row],[Ilość]]*tblSprzedaz[[#This Row],[Cena netto jednostkowa]]*(1-tblSprzedaz[[#This Row],[Rabat %]]),2)</f>
        <v>568.58000000000004</v>
      </c>
      <c r="N286" s="14">
        <f>ROUND(tblSprzedaz[[#This Row],[Ilość]]*tblSprzedaz[[#This Row],[Koszt jednostkowy netto]],2)</f>
        <v>489.6</v>
      </c>
      <c r="O286" s="14">
        <f>tblSprzedaz[[#This Row],[Przychód netto]]-tblSprzedaz[[#This Row],[Koszt całkowity netto]]</f>
        <v>78.980000000000018</v>
      </c>
      <c r="P286" s="15">
        <f>IFERROR(tblSprzedaz[[#This Row],[Marża kwotowa]]/tblSprzedaz[[#This Row],[Przychód netto]],0)</f>
        <v>0.13890745365647755</v>
      </c>
      <c r="Q286" s="16">
        <f>YEAR(tblSprzedaz[[#This Row],[Data]])</f>
        <v>2025</v>
      </c>
      <c r="R286" s="16">
        <f>MONTH(tblSprzedaz[[#This Row],[Data]])</f>
        <v>3</v>
      </c>
      <c r="S286" s="9" t="str">
        <f>YEAR(tblSprzedaz[[#This Row],[Data]])&amp;"-"&amp;RIGHT("0"&amp;MONTH(tblSprzedaz[[#This Row],[Data]]),2)</f>
        <v>2025-03</v>
      </c>
    </row>
    <row r="287" spans="1:19" x14ac:dyDescent="0.25">
      <c r="A287" s="7" t="s">
        <v>741</v>
      </c>
      <c r="B287" s="10">
        <v>45738</v>
      </c>
      <c r="C287" s="7" t="s">
        <v>742</v>
      </c>
      <c r="D287" s="8" t="s">
        <v>120</v>
      </c>
      <c r="E287" s="8" t="s">
        <v>65</v>
      </c>
      <c r="F287" s="8" t="s">
        <v>33</v>
      </c>
      <c r="G287" s="8" t="s">
        <v>32</v>
      </c>
      <c r="H287" s="8" t="s">
        <v>43</v>
      </c>
      <c r="I287" s="11">
        <v>5</v>
      </c>
      <c r="J287" s="12">
        <v>377.2</v>
      </c>
      <c r="K287" s="13">
        <v>0.15</v>
      </c>
      <c r="L287" s="12">
        <v>252.54</v>
      </c>
      <c r="M287" s="14">
        <f>ROUND(tblSprzedaz[[#This Row],[Ilość]]*tblSprzedaz[[#This Row],[Cena netto jednostkowa]]*(1-tblSprzedaz[[#This Row],[Rabat %]]),2)</f>
        <v>1603.1</v>
      </c>
      <c r="N287" s="14">
        <f>ROUND(tblSprzedaz[[#This Row],[Ilość]]*tblSprzedaz[[#This Row],[Koszt jednostkowy netto]],2)</f>
        <v>1262.7</v>
      </c>
      <c r="O287" s="14">
        <f>tblSprzedaz[[#This Row],[Przychód netto]]-tblSprzedaz[[#This Row],[Koszt całkowity netto]]</f>
        <v>340.39999999999986</v>
      </c>
      <c r="P287" s="15">
        <f>IFERROR(tblSprzedaz[[#This Row],[Marża kwotowa]]/tblSprzedaz[[#This Row],[Przychód netto]],0)</f>
        <v>0.21233859397417496</v>
      </c>
      <c r="Q287" s="16">
        <f>YEAR(tblSprzedaz[[#This Row],[Data]])</f>
        <v>2025</v>
      </c>
      <c r="R287" s="16">
        <f>MONTH(tblSprzedaz[[#This Row],[Data]])</f>
        <v>3</v>
      </c>
      <c r="S287" s="9" t="str">
        <f>YEAR(tblSprzedaz[[#This Row],[Data]])&amp;"-"&amp;RIGHT("0"&amp;MONTH(tblSprzedaz[[#This Row],[Data]]),2)</f>
        <v>2025-03</v>
      </c>
    </row>
    <row r="288" spans="1:19" x14ac:dyDescent="0.25">
      <c r="A288" s="7" t="s">
        <v>743</v>
      </c>
      <c r="B288" s="10">
        <v>45739</v>
      </c>
      <c r="C288" s="7" t="s">
        <v>744</v>
      </c>
      <c r="D288" s="8" t="s">
        <v>104</v>
      </c>
      <c r="E288" s="8" t="s">
        <v>57</v>
      </c>
      <c r="F288" s="8" t="s">
        <v>31</v>
      </c>
      <c r="G288" s="8" t="s">
        <v>34</v>
      </c>
      <c r="H288" s="8" t="s">
        <v>45</v>
      </c>
      <c r="I288" s="11">
        <v>9</v>
      </c>
      <c r="J288" s="12">
        <v>315</v>
      </c>
      <c r="K288" s="13">
        <v>0</v>
      </c>
      <c r="L288" s="12">
        <v>197.53</v>
      </c>
      <c r="M288" s="14">
        <f>ROUND(tblSprzedaz[[#This Row],[Ilość]]*tblSprzedaz[[#This Row],[Cena netto jednostkowa]]*(1-tblSprzedaz[[#This Row],[Rabat %]]),2)</f>
        <v>2835</v>
      </c>
      <c r="N288" s="14">
        <f>ROUND(tblSprzedaz[[#This Row],[Ilość]]*tblSprzedaz[[#This Row],[Koszt jednostkowy netto]],2)</f>
        <v>1777.77</v>
      </c>
      <c r="O288" s="14">
        <f>tblSprzedaz[[#This Row],[Przychód netto]]-tblSprzedaz[[#This Row],[Koszt całkowity netto]]</f>
        <v>1057.23</v>
      </c>
      <c r="P288" s="15">
        <f>IFERROR(tblSprzedaz[[#This Row],[Marża kwotowa]]/tblSprzedaz[[#This Row],[Przychód netto]],0)</f>
        <v>0.37292063492063493</v>
      </c>
      <c r="Q288" s="16">
        <f>YEAR(tblSprzedaz[[#This Row],[Data]])</f>
        <v>2025</v>
      </c>
      <c r="R288" s="16">
        <f>MONTH(tblSprzedaz[[#This Row],[Data]])</f>
        <v>3</v>
      </c>
      <c r="S288" s="9" t="str">
        <f>YEAR(tblSprzedaz[[#This Row],[Data]])&amp;"-"&amp;RIGHT("0"&amp;MONTH(tblSprzedaz[[#This Row],[Data]]),2)</f>
        <v>2025-03</v>
      </c>
    </row>
    <row r="289" spans="1:19" x14ac:dyDescent="0.25">
      <c r="A289" s="7" t="s">
        <v>745</v>
      </c>
      <c r="B289" s="10">
        <v>45740</v>
      </c>
      <c r="C289" s="7" t="s">
        <v>746</v>
      </c>
      <c r="D289" s="8" t="s">
        <v>110</v>
      </c>
      <c r="E289" s="8" t="s">
        <v>54</v>
      </c>
      <c r="F289" s="8" t="s">
        <v>31</v>
      </c>
      <c r="G289" s="8" t="s">
        <v>32</v>
      </c>
      <c r="H289" s="8" t="s">
        <v>42</v>
      </c>
      <c r="I289" s="11">
        <v>12</v>
      </c>
      <c r="J289" s="12">
        <v>207.9</v>
      </c>
      <c r="K289" s="13">
        <v>0</v>
      </c>
      <c r="L289" s="12">
        <v>133.69</v>
      </c>
      <c r="M289" s="14">
        <f>ROUND(tblSprzedaz[[#This Row],[Ilość]]*tblSprzedaz[[#This Row],[Cena netto jednostkowa]]*(1-tblSprzedaz[[#This Row],[Rabat %]]),2)</f>
        <v>2494.8000000000002</v>
      </c>
      <c r="N289" s="14">
        <f>ROUND(tblSprzedaz[[#This Row],[Ilość]]*tblSprzedaz[[#This Row],[Koszt jednostkowy netto]],2)</f>
        <v>1604.28</v>
      </c>
      <c r="O289" s="14">
        <f>tblSprzedaz[[#This Row],[Przychód netto]]-tblSprzedaz[[#This Row],[Koszt całkowity netto]]</f>
        <v>890.52000000000021</v>
      </c>
      <c r="P289" s="15">
        <f>IFERROR(tblSprzedaz[[#This Row],[Marża kwotowa]]/tblSprzedaz[[#This Row],[Przychód netto]],0)</f>
        <v>0.35695045695045702</v>
      </c>
      <c r="Q289" s="16">
        <f>YEAR(tblSprzedaz[[#This Row],[Data]])</f>
        <v>2025</v>
      </c>
      <c r="R289" s="16">
        <f>MONTH(tblSprzedaz[[#This Row],[Data]])</f>
        <v>3</v>
      </c>
      <c r="S289" s="9" t="str">
        <f>YEAR(tblSprzedaz[[#This Row],[Data]])&amp;"-"&amp;RIGHT("0"&amp;MONTH(tblSprzedaz[[#This Row],[Data]]),2)</f>
        <v>2025-03</v>
      </c>
    </row>
    <row r="290" spans="1:19" x14ac:dyDescent="0.25">
      <c r="A290" s="7" t="s">
        <v>747</v>
      </c>
      <c r="B290" s="10">
        <v>45740</v>
      </c>
      <c r="C290" s="7" t="s">
        <v>748</v>
      </c>
      <c r="D290" s="8" t="s">
        <v>81</v>
      </c>
      <c r="E290" s="8" t="s">
        <v>51</v>
      </c>
      <c r="F290" s="8" t="s">
        <v>29</v>
      </c>
      <c r="G290" s="8" t="s">
        <v>30</v>
      </c>
      <c r="H290" s="8" t="s">
        <v>40</v>
      </c>
      <c r="I290" s="11">
        <v>13</v>
      </c>
      <c r="J290" s="12">
        <v>51</v>
      </c>
      <c r="K290" s="13">
        <v>0</v>
      </c>
      <c r="L290" s="12">
        <v>30.8</v>
      </c>
      <c r="M290" s="14">
        <f>ROUND(tblSprzedaz[[#This Row],[Ilość]]*tblSprzedaz[[#This Row],[Cena netto jednostkowa]]*(1-tblSprzedaz[[#This Row],[Rabat %]]),2)</f>
        <v>663</v>
      </c>
      <c r="N290" s="14">
        <f>ROUND(tblSprzedaz[[#This Row],[Ilość]]*tblSprzedaz[[#This Row],[Koszt jednostkowy netto]],2)</f>
        <v>400.4</v>
      </c>
      <c r="O290" s="14">
        <f>tblSprzedaz[[#This Row],[Przychód netto]]-tblSprzedaz[[#This Row],[Koszt całkowity netto]]</f>
        <v>262.60000000000002</v>
      </c>
      <c r="P290" s="15">
        <f>IFERROR(tblSprzedaz[[#This Row],[Marża kwotowa]]/tblSprzedaz[[#This Row],[Przychód netto]],0)</f>
        <v>0.39607843137254906</v>
      </c>
      <c r="Q290" s="16">
        <f>YEAR(tblSprzedaz[[#This Row],[Data]])</f>
        <v>2025</v>
      </c>
      <c r="R290" s="16">
        <f>MONTH(tblSprzedaz[[#This Row],[Data]])</f>
        <v>3</v>
      </c>
      <c r="S290" s="9" t="str">
        <f>YEAR(tblSprzedaz[[#This Row],[Data]])&amp;"-"&amp;RIGHT("0"&amp;MONTH(tblSprzedaz[[#This Row],[Data]]),2)</f>
        <v>2025-03</v>
      </c>
    </row>
    <row r="291" spans="1:19" x14ac:dyDescent="0.25">
      <c r="A291" s="7" t="s">
        <v>749</v>
      </c>
      <c r="B291" s="10">
        <v>45740</v>
      </c>
      <c r="C291" s="7" t="s">
        <v>750</v>
      </c>
      <c r="D291" s="8" t="s">
        <v>87</v>
      </c>
      <c r="E291" s="8" t="s">
        <v>65</v>
      </c>
      <c r="F291" s="8" t="s">
        <v>33</v>
      </c>
      <c r="G291" s="8" t="s">
        <v>30</v>
      </c>
      <c r="H291" s="8" t="s">
        <v>41</v>
      </c>
      <c r="I291" s="11">
        <v>2</v>
      </c>
      <c r="J291" s="12">
        <v>377.2</v>
      </c>
      <c r="K291" s="13">
        <v>0.05</v>
      </c>
      <c r="L291" s="12">
        <v>256.79000000000002</v>
      </c>
      <c r="M291" s="14">
        <f>ROUND(tblSprzedaz[[#This Row],[Ilość]]*tblSprzedaz[[#This Row],[Cena netto jednostkowa]]*(1-tblSprzedaz[[#This Row],[Rabat %]]),2)</f>
        <v>716.68</v>
      </c>
      <c r="N291" s="14">
        <f>ROUND(tblSprzedaz[[#This Row],[Ilość]]*tblSprzedaz[[#This Row],[Koszt jednostkowy netto]],2)</f>
        <v>513.58000000000004</v>
      </c>
      <c r="O291" s="14">
        <f>tblSprzedaz[[#This Row],[Przychód netto]]-tblSprzedaz[[#This Row],[Koszt całkowity netto]]</f>
        <v>203.09999999999991</v>
      </c>
      <c r="P291" s="15">
        <f>IFERROR(tblSprzedaz[[#This Row],[Marża kwotowa]]/tblSprzedaz[[#This Row],[Przychód netto]],0)</f>
        <v>0.28339007646369357</v>
      </c>
      <c r="Q291" s="16">
        <f>YEAR(tblSprzedaz[[#This Row],[Data]])</f>
        <v>2025</v>
      </c>
      <c r="R291" s="16">
        <f>MONTH(tblSprzedaz[[#This Row],[Data]])</f>
        <v>3</v>
      </c>
      <c r="S291" s="9" t="str">
        <f>YEAR(tblSprzedaz[[#This Row],[Data]])&amp;"-"&amp;RIGHT("0"&amp;MONTH(tblSprzedaz[[#This Row],[Data]]),2)</f>
        <v>2025-03</v>
      </c>
    </row>
    <row r="292" spans="1:19" x14ac:dyDescent="0.25">
      <c r="A292" s="7" t="s">
        <v>751</v>
      </c>
      <c r="B292" s="10">
        <v>45740</v>
      </c>
      <c r="C292" s="7" t="s">
        <v>752</v>
      </c>
      <c r="D292" s="8" t="s">
        <v>118</v>
      </c>
      <c r="E292" s="8" t="s">
        <v>56</v>
      </c>
      <c r="F292" s="8" t="s">
        <v>31</v>
      </c>
      <c r="G292" s="8" t="s">
        <v>34</v>
      </c>
      <c r="H292" s="8" t="s">
        <v>44</v>
      </c>
      <c r="I292" s="11">
        <v>12</v>
      </c>
      <c r="J292" s="12">
        <v>279.3</v>
      </c>
      <c r="K292" s="13">
        <v>0.1</v>
      </c>
      <c r="L292" s="12">
        <v>188.22</v>
      </c>
      <c r="M292" s="14">
        <f>ROUND(tblSprzedaz[[#This Row],[Ilość]]*tblSprzedaz[[#This Row],[Cena netto jednostkowa]]*(1-tblSprzedaz[[#This Row],[Rabat %]]),2)</f>
        <v>3016.44</v>
      </c>
      <c r="N292" s="14">
        <f>ROUND(tblSprzedaz[[#This Row],[Ilość]]*tblSprzedaz[[#This Row],[Koszt jednostkowy netto]],2)</f>
        <v>2258.64</v>
      </c>
      <c r="O292" s="14">
        <f>tblSprzedaz[[#This Row],[Przychód netto]]-tblSprzedaz[[#This Row],[Koszt całkowity netto]]</f>
        <v>757.80000000000018</v>
      </c>
      <c r="P292" s="15">
        <f>IFERROR(tblSprzedaz[[#This Row],[Marża kwotowa]]/tblSprzedaz[[#This Row],[Przychód netto]],0)</f>
        <v>0.25122329633607837</v>
      </c>
      <c r="Q292" s="16">
        <f>YEAR(tblSprzedaz[[#This Row],[Data]])</f>
        <v>2025</v>
      </c>
      <c r="R292" s="16">
        <f>MONTH(tblSprzedaz[[#This Row],[Data]])</f>
        <v>3</v>
      </c>
      <c r="S292" s="9" t="str">
        <f>YEAR(tblSprzedaz[[#This Row],[Data]])&amp;"-"&amp;RIGHT("0"&amp;MONTH(tblSprzedaz[[#This Row],[Data]]),2)</f>
        <v>2025-03</v>
      </c>
    </row>
    <row r="293" spans="1:19" x14ac:dyDescent="0.25">
      <c r="A293" s="7" t="s">
        <v>753</v>
      </c>
      <c r="B293" s="10">
        <v>45740</v>
      </c>
      <c r="C293" s="7" t="s">
        <v>754</v>
      </c>
      <c r="D293" s="8" t="s">
        <v>86</v>
      </c>
      <c r="E293" s="8" t="s">
        <v>60</v>
      </c>
      <c r="F293" s="8" t="s">
        <v>33</v>
      </c>
      <c r="G293" s="8" t="s">
        <v>30</v>
      </c>
      <c r="H293" s="8" t="s">
        <v>40</v>
      </c>
      <c r="I293" s="11">
        <v>9</v>
      </c>
      <c r="J293" s="12">
        <v>455.4</v>
      </c>
      <c r="K293" s="13">
        <v>0</v>
      </c>
      <c r="L293" s="12">
        <v>294.47000000000003</v>
      </c>
      <c r="M293" s="14">
        <f>ROUND(tblSprzedaz[[#This Row],[Ilość]]*tblSprzedaz[[#This Row],[Cena netto jednostkowa]]*(1-tblSprzedaz[[#This Row],[Rabat %]]),2)</f>
        <v>4098.6000000000004</v>
      </c>
      <c r="N293" s="14">
        <f>ROUND(tblSprzedaz[[#This Row],[Ilość]]*tblSprzedaz[[#This Row],[Koszt jednostkowy netto]],2)</f>
        <v>2650.23</v>
      </c>
      <c r="O293" s="14">
        <f>tblSprzedaz[[#This Row],[Przychód netto]]-tblSprzedaz[[#This Row],[Koszt całkowity netto]]</f>
        <v>1448.3700000000003</v>
      </c>
      <c r="P293" s="15">
        <f>IFERROR(tblSprzedaz[[#This Row],[Marża kwotowa]]/tblSprzedaz[[#This Row],[Przychód netto]],0)</f>
        <v>0.35338164251207732</v>
      </c>
      <c r="Q293" s="16">
        <f>YEAR(tblSprzedaz[[#This Row],[Data]])</f>
        <v>2025</v>
      </c>
      <c r="R293" s="16">
        <f>MONTH(tblSprzedaz[[#This Row],[Data]])</f>
        <v>3</v>
      </c>
      <c r="S293" s="9" t="str">
        <f>YEAR(tblSprzedaz[[#This Row],[Data]])&amp;"-"&amp;RIGHT("0"&amp;MONTH(tblSprzedaz[[#This Row],[Data]]),2)</f>
        <v>2025-03</v>
      </c>
    </row>
    <row r="294" spans="1:19" x14ac:dyDescent="0.25">
      <c r="A294" s="7" t="s">
        <v>755</v>
      </c>
      <c r="B294" s="10">
        <v>45740</v>
      </c>
      <c r="C294" s="7" t="s">
        <v>756</v>
      </c>
      <c r="D294" s="8" t="s">
        <v>98</v>
      </c>
      <c r="E294" s="8" t="s">
        <v>66</v>
      </c>
      <c r="F294" s="8" t="s">
        <v>35</v>
      </c>
      <c r="G294" s="8" t="s">
        <v>30</v>
      </c>
      <c r="H294" s="8" t="s">
        <v>40</v>
      </c>
      <c r="I294" s="11">
        <v>4</v>
      </c>
      <c r="J294" s="12">
        <v>67.319999999999993</v>
      </c>
      <c r="K294" s="13">
        <v>0.15</v>
      </c>
      <c r="L294" s="12">
        <v>47.52</v>
      </c>
      <c r="M294" s="14">
        <f>ROUND(tblSprzedaz[[#This Row],[Ilość]]*tblSprzedaz[[#This Row],[Cena netto jednostkowa]]*(1-tblSprzedaz[[#This Row],[Rabat %]]),2)</f>
        <v>228.89</v>
      </c>
      <c r="N294" s="14">
        <f>ROUND(tblSprzedaz[[#This Row],[Ilość]]*tblSprzedaz[[#This Row],[Koszt jednostkowy netto]],2)</f>
        <v>190.08</v>
      </c>
      <c r="O294" s="14">
        <f>tblSprzedaz[[#This Row],[Przychód netto]]-tblSprzedaz[[#This Row],[Koszt całkowity netto]]</f>
        <v>38.809999999999974</v>
      </c>
      <c r="P294" s="15">
        <f>IFERROR(tblSprzedaz[[#This Row],[Marża kwotowa]]/tblSprzedaz[[#This Row],[Przychód netto]],0)</f>
        <v>0.16955742933286722</v>
      </c>
      <c r="Q294" s="16">
        <f>YEAR(tblSprzedaz[[#This Row],[Data]])</f>
        <v>2025</v>
      </c>
      <c r="R294" s="16">
        <f>MONTH(tblSprzedaz[[#This Row],[Data]])</f>
        <v>3</v>
      </c>
      <c r="S294" s="9" t="str">
        <f>YEAR(tblSprzedaz[[#This Row],[Data]])&amp;"-"&amp;RIGHT("0"&amp;MONTH(tblSprzedaz[[#This Row],[Data]]),2)</f>
        <v>2025-03</v>
      </c>
    </row>
    <row r="295" spans="1:19" x14ac:dyDescent="0.25">
      <c r="A295" s="7" t="s">
        <v>757</v>
      </c>
      <c r="B295" s="10">
        <v>45741</v>
      </c>
      <c r="C295" s="7" t="s">
        <v>758</v>
      </c>
      <c r="D295" s="8" t="s">
        <v>151</v>
      </c>
      <c r="E295" s="8" t="s">
        <v>58</v>
      </c>
      <c r="F295" s="8" t="s">
        <v>31</v>
      </c>
      <c r="G295" s="8" t="s">
        <v>34</v>
      </c>
      <c r="H295" s="8" t="s">
        <v>45</v>
      </c>
      <c r="I295" s="11">
        <v>7</v>
      </c>
      <c r="J295" s="12">
        <v>350.7</v>
      </c>
      <c r="K295" s="13">
        <v>0.05</v>
      </c>
      <c r="L295" s="12">
        <v>232.56</v>
      </c>
      <c r="M295" s="14">
        <f>ROUND(tblSprzedaz[[#This Row],[Ilość]]*tblSprzedaz[[#This Row],[Cena netto jednostkowa]]*(1-tblSprzedaz[[#This Row],[Rabat %]]),2)</f>
        <v>2332.16</v>
      </c>
      <c r="N295" s="14">
        <f>ROUND(tblSprzedaz[[#This Row],[Ilość]]*tblSprzedaz[[#This Row],[Koszt jednostkowy netto]],2)</f>
        <v>1627.92</v>
      </c>
      <c r="O295" s="14">
        <f>tblSprzedaz[[#This Row],[Przychód netto]]-tblSprzedaz[[#This Row],[Koszt całkowity netto]]</f>
        <v>704.23999999999978</v>
      </c>
      <c r="P295" s="15">
        <f>IFERROR(tblSprzedaz[[#This Row],[Marża kwotowa]]/tblSprzedaz[[#This Row],[Przychód netto]],0)</f>
        <v>0.30196899012074635</v>
      </c>
      <c r="Q295" s="16">
        <f>YEAR(tblSprzedaz[[#This Row],[Data]])</f>
        <v>2025</v>
      </c>
      <c r="R295" s="16">
        <f>MONTH(tblSprzedaz[[#This Row],[Data]])</f>
        <v>3</v>
      </c>
      <c r="S295" s="9" t="str">
        <f>YEAR(tblSprzedaz[[#This Row],[Data]])&amp;"-"&amp;RIGHT("0"&amp;MONTH(tblSprzedaz[[#This Row],[Data]]),2)</f>
        <v>2025-03</v>
      </c>
    </row>
    <row r="296" spans="1:19" x14ac:dyDescent="0.25">
      <c r="A296" s="7" t="s">
        <v>759</v>
      </c>
      <c r="B296" s="10">
        <v>45741</v>
      </c>
      <c r="C296" s="7" t="s">
        <v>760</v>
      </c>
      <c r="D296" s="8" t="s">
        <v>89</v>
      </c>
      <c r="E296" s="8" t="s">
        <v>73</v>
      </c>
      <c r="F296" s="8" t="s">
        <v>37</v>
      </c>
      <c r="G296" s="8" t="s">
        <v>32</v>
      </c>
      <c r="H296" s="8" t="s">
        <v>42</v>
      </c>
      <c r="I296" s="11">
        <v>26</v>
      </c>
      <c r="J296" s="12">
        <v>110.2</v>
      </c>
      <c r="K296" s="13">
        <v>0.1</v>
      </c>
      <c r="L296" s="12">
        <v>83.28</v>
      </c>
      <c r="M296" s="14">
        <f>ROUND(tblSprzedaz[[#This Row],[Ilość]]*tblSprzedaz[[#This Row],[Cena netto jednostkowa]]*(1-tblSprzedaz[[#This Row],[Rabat %]]),2)</f>
        <v>2578.6799999999998</v>
      </c>
      <c r="N296" s="14">
        <f>ROUND(tblSprzedaz[[#This Row],[Ilość]]*tblSprzedaz[[#This Row],[Koszt jednostkowy netto]],2)</f>
        <v>2165.2800000000002</v>
      </c>
      <c r="O296" s="14">
        <f>tblSprzedaz[[#This Row],[Przychód netto]]-tblSprzedaz[[#This Row],[Koszt całkowity netto]]</f>
        <v>413.39999999999964</v>
      </c>
      <c r="P296" s="15">
        <f>IFERROR(tblSprzedaz[[#This Row],[Marża kwotowa]]/tblSprzedaz[[#This Row],[Przychód netto]],0)</f>
        <v>0.16031457955232897</v>
      </c>
      <c r="Q296" s="16">
        <f>YEAR(tblSprzedaz[[#This Row],[Data]])</f>
        <v>2025</v>
      </c>
      <c r="R296" s="16">
        <f>MONTH(tblSprzedaz[[#This Row],[Data]])</f>
        <v>3</v>
      </c>
      <c r="S296" s="9" t="str">
        <f>YEAR(tblSprzedaz[[#This Row],[Data]])&amp;"-"&amp;RIGHT("0"&amp;MONTH(tblSprzedaz[[#This Row],[Data]]),2)</f>
        <v>2025-03</v>
      </c>
    </row>
    <row r="297" spans="1:19" x14ac:dyDescent="0.25">
      <c r="A297" s="7" t="s">
        <v>761</v>
      </c>
      <c r="B297" s="10">
        <v>45741</v>
      </c>
      <c r="C297" s="7" t="s">
        <v>762</v>
      </c>
      <c r="D297" s="8" t="s">
        <v>148</v>
      </c>
      <c r="E297" s="8" t="s">
        <v>54</v>
      </c>
      <c r="F297" s="8" t="s">
        <v>31</v>
      </c>
      <c r="G297" s="8" t="s">
        <v>34</v>
      </c>
      <c r="H297" s="8" t="s">
        <v>44</v>
      </c>
      <c r="I297" s="11">
        <v>13</v>
      </c>
      <c r="J297" s="12">
        <v>207.9</v>
      </c>
      <c r="K297" s="13">
        <v>0.1</v>
      </c>
      <c r="L297" s="12">
        <v>137.38</v>
      </c>
      <c r="M297" s="14">
        <f>ROUND(tblSprzedaz[[#This Row],[Ilość]]*tblSprzedaz[[#This Row],[Cena netto jednostkowa]]*(1-tblSprzedaz[[#This Row],[Rabat %]]),2)</f>
        <v>2432.4299999999998</v>
      </c>
      <c r="N297" s="14">
        <f>ROUND(tblSprzedaz[[#This Row],[Ilość]]*tblSprzedaz[[#This Row],[Koszt jednostkowy netto]],2)</f>
        <v>1785.94</v>
      </c>
      <c r="O297" s="14">
        <f>tblSprzedaz[[#This Row],[Przychód netto]]-tblSprzedaz[[#This Row],[Koszt całkowity netto]]</f>
        <v>646.48999999999978</v>
      </c>
      <c r="P297" s="15">
        <f>IFERROR(tblSprzedaz[[#This Row],[Marża kwotowa]]/tblSprzedaz[[#This Row],[Przychód netto]],0)</f>
        <v>0.26577948800171014</v>
      </c>
      <c r="Q297" s="16">
        <f>YEAR(tblSprzedaz[[#This Row],[Data]])</f>
        <v>2025</v>
      </c>
      <c r="R297" s="16">
        <f>MONTH(tblSprzedaz[[#This Row],[Data]])</f>
        <v>3</v>
      </c>
      <c r="S297" s="9" t="str">
        <f>YEAR(tblSprzedaz[[#This Row],[Data]])&amp;"-"&amp;RIGHT("0"&amp;MONTH(tblSprzedaz[[#This Row],[Data]]),2)</f>
        <v>2025-03</v>
      </c>
    </row>
    <row r="298" spans="1:19" x14ac:dyDescent="0.25">
      <c r="A298" s="7" t="s">
        <v>763</v>
      </c>
      <c r="B298" s="10">
        <v>45741</v>
      </c>
      <c r="C298" s="7" t="s">
        <v>764</v>
      </c>
      <c r="D298" s="8" t="s">
        <v>82</v>
      </c>
      <c r="E298" s="8" t="s">
        <v>58</v>
      </c>
      <c r="F298" s="8" t="s">
        <v>31</v>
      </c>
      <c r="G298" s="8" t="s">
        <v>36</v>
      </c>
      <c r="H298" s="8" t="s">
        <v>47</v>
      </c>
      <c r="I298" s="11">
        <v>12</v>
      </c>
      <c r="J298" s="12">
        <v>350.7</v>
      </c>
      <c r="K298" s="13">
        <v>0.1</v>
      </c>
      <c r="L298" s="12">
        <v>215.57</v>
      </c>
      <c r="M298" s="14">
        <f>ROUND(tblSprzedaz[[#This Row],[Ilość]]*tblSprzedaz[[#This Row],[Cena netto jednostkowa]]*(1-tblSprzedaz[[#This Row],[Rabat %]]),2)</f>
        <v>3787.56</v>
      </c>
      <c r="N298" s="14">
        <f>ROUND(tblSprzedaz[[#This Row],[Ilość]]*tblSprzedaz[[#This Row],[Koszt jednostkowy netto]],2)</f>
        <v>2586.84</v>
      </c>
      <c r="O298" s="14">
        <f>tblSprzedaz[[#This Row],[Przychód netto]]-tblSprzedaz[[#This Row],[Koszt całkowity netto]]</f>
        <v>1200.7199999999998</v>
      </c>
      <c r="P298" s="15">
        <f>IFERROR(tblSprzedaz[[#This Row],[Marża kwotowa]]/tblSprzedaz[[#This Row],[Przychód netto]],0)</f>
        <v>0.31701676013053254</v>
      </c>
      <c r="Q298" s="16">
        <f>YEAR(tblSprzedaz[[#This Row],[Data]])</f>
        <v>2025</v>
      </c>
      <c r="R298" s="16">
        <f>MONTH(tblSprzedaz[[#This Row],[Data]])</f>
        <v>3</v>
      </c>
      <c r="S298" s="9" t="str">
        <f>YEAR(tblSprzedaz[[#This Row],[Data]])&amp;"-"&amp;RIGHT("0"&amp;MONTH(tblSprzedaz[[#This Row],[Data]]),2)</f>
        <v>2025-03</v>
      </c>
    </row>
    <row r="299" spans="1:19" x14ac:dyDescent="0.25">
      <c r="A299" s="7" t="s">
        <v>765</v>
      </c>
      <c r="B299" s="10">
        <v>45741</v>
      </c>
      <c r="C299" s="7" t="s">
        <v>766</v>
      </c>
      <c r="D299" s="8" t="s">
        <v>127</v>
      </c>
      <c r="E299" s="8" t="s">
        <v>57</v>
      </c>
      <c r="F299" s="8" t="s">
        <v>31</v>
      </c>
      <c r="G299" s="8" t="s">
        <v>36</v>
      </c>
      <c r="H299" s="8" t="s">
        <v>47</v>
      </c>
      <c r="I299" s="11">
        <v>2</v>
      </c>
      <c r="J299" s="12">
        <v>315</v>
      </c>
      <c r="K299" s="13">
        <v>0</v>
      </c>
      <c r="L299" s="12">
        <v>209.43</v>
      </c>
      <c r="M299" s="14">
        <f>ROUND(tblSprzedaz[[#This Row],[Ilość]]*tblSprzedaz[[#This Row],[Cena netto jednostkowa]]*(1-tblSprzedaz[[#This Row],[Rabat %]]),2)</f>
        <v>630</v>
      </c>
      <c r="N299" s="14">
        <f>ROUND(tblSprzedaz[[#This Row],[Ilość]]*tblSprzedaz[[#This Row],[Koszt jednostkowy netto]],2)</f>
        <v>418.86</v>
      </c>
      <c r="O299" s="14">
        <f>tblSprzedaz[[#This Row],[Przychód netto]]-tblSprzedaz[[#This Row],[Koszt całkowity netto]]</f>
        <v>211.14</v>
      </c>
      <c r="P299" s="15">
        <f>IFERROR(tblSprzedaz[[#This Row],[Marża kwotowa]]/tblSprzedaz[[#This Row],[Przychód netto]],0)</f>
        <v>0.33514285714285713</v>
      </c>
      <c r="Q299" s="16">
        <f>YEAR(tblSprzedaz[[#This Row],[Data]])</f>
        <v>2025</v>
      </c>
      <c r="R299" s="16">
        <f>MONTH(tblSprzedaz[[#This Row],[Data]])</f>
        <v>3</v>
      </c>
      <c r="S299" s="9" t="str">
        <f>YEAR(tblSprzedaz[[#This Row],[Data]])&amp;"-"&amp;RIGHT("0"&amp;MONTH(tblSprzedaz[[#This Row],[Data]]),2)</f>
        <v>2025-03</v>
      </c>
    </row>
    <row r="300" spans="1:19" x14ac:dyDescent="0.25">
      <c r="A300" s="7" t="s">
        <v>767</v>
      </c>
      <c r="B300" s="10">
        <v>45742</v>
      </c>
      <c r="C300" s="7" t="s">
        <v>768</v>
      </c>
      <c r="D300" s="8" t="s">
        <v>97</v>
      </c>
      <c r="E300" s="8" t="s">
        <v>66</v>
      </c>
      <c r="F300" s="8" t="s">
        <v>35</v>
      </c>
      <c r="G300" s="8" t="s">
        <v>30</v>
      </c>
      <c r="H300" s="8" t="s">
        <v>40</v>
      </c>
      <c r="I300" s="11">
        <v>16</v>
      </c>
      <c r="J300" s="12">
        <v>67.319999999999993</v>
      </c>
      <c r="K300" s="13">
        <v>0.05</v>
      </c>
      <c r="L300" s="12">
        <v>46.41</v>
      </c>
      <c r="M300" s="14">
        <f>ROUND(tblSprzedaz[[#This Row],[Ilość]]*tblSprzedaz[[#This Row],[Cena netto jednostkowa]]*(1-tblSprzedaz[[#This Row],[Rabat %]]),2)</f>
        <v>1023.26</v>
      </c>
      <c r="N300" s="14">
        <f>ROUND(tblSprzedaz[[#This Row],[Ilość]]*tblSprzedaz[[#This Row],[Koszt jednostkowy netto]],2)</f>
        <v>742.56</v>
      </c>
      <c r="O300" s="14">
        <f>tblSprzedaz[[#This Row],[Przychód netto]]-tblSprzedaz[[#This Row],[Koszt całkowity netto]]</f>
        <v>280.70000000000005</v>
      </c>
      <c r="P300" s="15">
        <f>IFERROR(tblSprzedaz[[#This Row],[Marża kwotowa]]/tblSprzedaz[[#This Row],[Przychód netto]],0)</f>
        <v>0.27431933233000416</v>
      </c>
      <c r="Q300" s="16">
        <f>YEAR(tblSprzedaz[[#This Row],[Data]])</f>
        <v>2025</v>
      </c>
      <c r="R300" s="16">
        <f>MONTH(tblSprzedaz[[#This Row],[Data]])</f>
        <v>3</v>
      </c>
      <c r="S300" s="9" t="str">
        <f>YEAR(tblSprzedaz[[#This Row],[Data]])&amp;"-"&amp;RIGHT("0"&amp;MONTH(tblSprzedaz[[#This Row],[Data]]),2)</f>
        <v>2025-03</v>
      </c>
    </row>
    <row r="301" spans="1:19" x14ac:dyDescent="0.25">
      <c r="A301" s="7" t="s">
        <v>769</v>
      </c>
      <c r="B301" s="10">
        <v>45742</v>
      </c>
      <c r="C301" s="7" t="s">
        <v>770</v>
      </c>
      <c r="D301" s="8" t="s">
        <v>99</v>
      </c>
      <c r="E301" s="8" t="s">
        <v>71</v>
      </c>
      <c r="F301" s="8" t="s">
        <v>35</v>
      </c>
      <c r="G301" s="8" t="s">
        <v>30</v>
      </c>
      <c r="H301" s="8" t="s">
        <v>41</v>
      </c>
      <c r="I301" s="11">
        <v>2</v>
      </c>
      <c r="J301" s="12">
        <v>55.76</v>
      </c>
      <c r="K301" s="13">
        <v>0</v>
      </c>
      <c r="L301" s="12">
        <v>39.82</v>
      </c>
      <c r="M301" s="14">
        <f>ROUND(tblSprzedaz[[#This Row],[Ilość]]*tblSprzedaz[[#This Row],[Cena netto jednostkowa]]*(1-tblSprzedaz[[#This Row],[Rabat %]]),2)</f>
        <v>111.52</v>
      </c>
      <c r="N301" s="14">
        <f>ROUND(tblSprzedaz[[#This Row],[Ilość]]*tblSprzedaz[[#This Row],[Koszt jednostkowy netto]],2)</f>
        <v>79.64</v>
      </c>
      <c r="O301" s="14">
        <f>tblSprzedaz[[#This Row],[Przychód netto]]-tblSprzedaz[[#This Row],[Koszt całkowity netto]]</f>
        <v>31.879999999999995</v>
      </c>
      <c r="P301" s="15">
        <f>IFERROR(tblSprzedaz[[#This Row],[Marża kwotowa]]/tblSprzedaz[[#This Row],[Przychód netto]],0)</f>
        <v>0.28586800573888088</v>
      </c>
      <c r="Q301" s="16">
        <f>YEAR(tblSprzedaz[[#This Row],[Data]])</f>
        <v>2025</v>
      </c>
      <c r="R301" s="16">
        <f>MONTH(tblSprzedaz[[#This Row],[Data]])</f>
        <v>3</v>
      </c>
      <c r="S301" s="9" t="str">
        <f>YEAR(tblSprzedaz[[#This Row],[Data]])&amp;"-"&amp;RIGHT("0"&amp;MONTH(tblSprzedaz[[#This Row],[Data]]),2)</f>
        <v>2025-03</v>
      </c>
    </row>
    <row r="302" spans="1:19" x14ac:dyDescent="0.25">
      <c r="A302" s="7" t="s">
        <v>771</v>
      </c>
      <c r="B302" s="10">
        <v>45742</v>
      </c>
      <c r="C302" s="7" t="s">
        <v>772</v>
      </c>
      <c r="D302" s="8" t="s">
        <v>84</v>
      </c>
      <c r="E302" s="8" t="s">
        <v>54</v>
      </c>
      <c r="F302" s="8" t="s">
        <v>31</v>
      </c>
      <c r="G302" s="8" t="s">
        <v>28</v>
      </c>
      <c r="H302" s="8" t="s">
        <v>38</v>
      </c>
      <c r="I302" s="11">
        <v>4</v>
      </c>
      <c r="J302" s="12">
        <v>207.9</v>
      </c>
      <c r="K302" s="13">
        <v>0</v>
      </c>
      <c r="L302" s="12">
        <v>124.24</v>
      </c>
      <c r="M302" s="14">
        <f>ROUND(tblSprzedaz[[#This Row],[Ilość]]*tblSprzedaz[[#This Row],[Cena netto jednostkowa]]*(1-tblSprzedaz[[#This Row],[Rabat %]]),2)</f>
        <v>831.6</v>
      </c>
      <c r="N302" s="14">
        <f>ROUND(tblSprzedaz[[#This Row],[Ilość]]*tblSprzedaz[[#This Row],[Koszt jednostkowy netto]],2)</f>
        <v>496.96</v>
      </c>
      <c r="O302" s="14">
        <f>tblSprzedaz[[#This Row],[Przychód netto]]-tblSprzedaz[[#This Row],[Koszt całkowity netto]]</f>
        <v>334.64000000000004</v>
      </c>
      <c r="P302" s="15">
        <f>IFERROR(tblSprzedaz[[#This Row],[Marża kwotowa]]/tblSprzedaz[[#This Row],[Przychód netto]],0)</f>
        <v>0.40240500240500243</v>
      </c>
      <c r="Q302" s="16">
        <f>YEAR(tblSprzedaz[[#This Row],[Data]])</f>
        <v>2025</v>
      </c>
      <c r="R302" s="16">
        <f>MONTH(tblSprzedaz[[#This Row],[Data]])</f>
        <v>3</v>
      </c>
      <c r="S302" s="9" t="str">
        <f>YEAR(tblSprzedaz[[#This Row],[Data]])&amp;"-"&amp;RIGHT("0"&amp;MONTH(tblSprzedaz[[#This Row],[Data]]),2)</f>
        <v>2025-03</v>
      </c>
    </row>
    <row r="303" spans="1:19" x14ac:dyDescent="0.25">
      <c r="A303" s="7" t="s">
        <v>773</v>
      </c>
      <c r="B303" s="10">
        <v>45743</v>
      </c>
      <c r="C303" s="7" t="s">
        <v>774</v>
      </c>
      <c r="D303" s="8" t="s">
        <v>131</v>
      </c>
      <c r="E303" s="8" t="s">
        <v>62</v>
      </c>
      <c r="F303" s="8" t="s">
        <v>33</v>
      </c>
      <c r="G303" s="8" t="s">
        <v>34</v>
      </c>
      <c r="H303" s="8" t="s">
        <v>45</v>
      </c>
      <c r="I303" s="11">
        <v>7</v>
      </c>
      <c r="J303" s="12">
        <v>611.79999999999995</v>
      </c>
      <c r="K303" s="13">
        <v>0.1</v>
      </c>
      <c r="L303" s="12">
        <v>413.78</v>
      </c>
      <c r="M303" s="14">
        <f>ROUND(tblSprzedaz[[#This Row],[Ilość]]*tblSprzedaz[[#This Row],[Cena netto jednostkowa]]*(1-tblSprzedaz[[#This Row],[Rabat %]]),2)</f>
        <v>3854.34</v>
      </c>
      <c r="N303" s="14">
        <f>ROUND(tblSprzedaz[[#This Row],[Ilość]]*tblSprzedaz[[#This Row],[Koszt jednostkowy netto]],2)</f>
        <v>2896.46</v>
      </c>
      <c r="O303" s="14">
        <f>tblSprzedaz[[#This Row],[Przychód netto]]-tblSprzedaz[[#This Row],[Koszt całkowity netto]]</f>
        <v>957.88000000000011</v>
      </c>
      <c r="P303" s="15">
        <f>IFERROR(tblSprzedaz[[#This Row],[Marża kwotowa]]/tblSprzedaz[[#This Row],[Przychód netto]],0)</f>
        <v>0.24851985035051399</v>
      </c>
      <c r="Q303" s="16">
        <f>YEAR(tblSprzedaz[[#This Row],[Data]])</f>
        <v>2025</v>
      </c>
      <c r="R303" s="16">
        <f>MONTH(tblSprzedaz[[#This Row],[Data]])</f>
        <v>3</v>
      </c>
      <c r="S303" s="9" t="str">
        <f>YEAR(tblSprzedaz[[#This Row],[Data]])&amp;"-"&amp;RIGHT("0"&amp;MONTH(tblSprzedaz[[#This Row],[Data]]),2)</f>
        <v>2025-03</v>
      </c>
    </row>
    <row r="304" spans="1:19" x14ac:dyDescent="0.25">
      <c r="A304" s="7" t="s">
        <v>775</v>
      </c>
      <c r="B304" s="10">
        <v>45743</v>
      </c>
      <c r="C304" s="7" t="s">
        <v>776</v>
      </c>
      <c r="D304" s="8" t="s">
        <v>111</v>
      </c>
      <c r="E304" s="8" t="s">
        <v>77</v>
      </c>
      <c r="F304" s="8" t="s">
        <v>37</v>
      </c>
      <c r="G304" s="8" t="s">
        <v>34</v>
      </c>
      <c r="H304" s="8" t="s">
        <v>44</v>
      </c>
      <c r="I304" s="11">
        <v>14</v>
      </c>
      <c r="J304" s="12">
        <v>77.900000000000006</v>
      </c>
      <c r="K304" s="13">
        <v>0.05</v>
      </c>
      <c r="L304" s="12">
        <v>58.89</v>
      </c>
      <c r="M304" s="14">
        <f>ROUND(tblSprzedaz[[#This Row],[Ilość]]*tblSprzedaz[[#This Row],[Cena netto jednostkowa]]*(1-tblSprzedaz[[#This Row],[Rabat %]]),2)</f>
        <v>1036.07</v>
      </c>
      <c r="N304" s="14">
        <f>ROUND(tblSprzedaz[[#This Row],[Ilość]]*tblSprzedaz[[#This Row],[Koszt jednostkowy netto]],2)</f>
        <v>824.46</v>
      </c>
      <c r="O304" s="14">
        <f>tblSprzedaz[[#This Row],[Przychód netto]]-tblSprzedaz[[#This Row],[Koszt całkowity netto]]</f>
        <v>211.6099999999999</v>
      </c>
      <c r="P304" s="15">
        <f>IFERROR(tblSprzedaz[[#This Row],[Marża kwotowa]]/tblSprzedaz[[#This Row],[Przychód netto]],0)</f>
        <v>0.20424295655698932</v>
      </c>
      <c r="Q304" s="16">
        <f>YEAR(tblSprzedaz[[#This Row],[Data]])</f>
        <v>2025</v>
      </c>
      <c r="R304" s="16">
        <f>MONTH(tblSprzedaz[[#This Row],[Data]])</f>
        <v>3</v>
      </c>
      <c r="S304" s="9" t="str">
        <f>YEAR(tblSprzedaz[[#This Row],[Data]])&amp;"-"&amp;RIGHT("0"&amp;MONTH(tblSprzedaz[[#This Row],[Data]]),2)</f>
        <v>2025-03</v>
      </c>
    </row>
    <row r="305" spans="1:19" x14ac:dyDescent="0.25">
      <c r="A305" s="7" t="s">
        <v>777</v>
      </c>
      <c r="B305" s="10">
        <v>45743</v>
      </c>
      <c r="C305" s="7" t="s">
        <v>778</v>
      </c>
      <c r="D305" s="8" t="s">
        <v>91</v>
      </c>
      <c r="E305" s="8" t="s">
        <v>50</v>
      </c>
      <c r="F305" s="8" t="s">
        <v>29</v>
      </c>
      <c r="G305" s="8" t="s">
        <v>36</v>
      </c>
      <c r="H305" s="8" t="s">
        <v>46</v>
      </c>
      <c r="I305" s="11">
        <v>16</v>
      </c>
      <c r="J305" s="12">
        <v>45.22</v>
      </c>
      <c r="K305" s="13">
        <v>0</v>
      </c>
      <c r="L305" s="12">
        <v>26.89</v>
      </c>
      <c r="M305" s="14">
        <f>ROUND(tblSprzedaz[[#This Row],[Ilość]]*tblSprzedaz[[#This Row],[Cena netto jednostkowa]]*(1-tblSprzedaz[[#This Row],[Rabat %]]),2)</f>
        <v>723.52</v>
      </c>
      <c r="N305" s="14">
        <f>ROUND(tblSprzedaz[[#This Row],[Ilość]]*tblSprzedaz[[#This Row],[Koszt jednostkowy netto]],2)</f>
        <v>430.24</v>
      </c>
      <c r="O305" s="14">
        <f>tblSprzedaz[[#This Row],[Przychód netto]]-tblSprzedaz[[#This Row],[Koszt całkowity netto]]</f>
        <v>293.27999999999997</v>
      </c>
      <c r="P305" s="15">
        <f>IFERROR(tblSprzedaz[[#This Row],[Marża kwotowa]]/tblSprzedaz[[#This Row],[Przychód netto]],0)</f>
        <v>0.40535161432994249</v>
      </c>
      <c r="Q305" s="16">
        <f>YEAR(tblSprzedaz[[#This Row],[Data]])</f>
        <v>2025</v>
      </c>
      <c r="R305" s="16">
        <f>MONTH(tblSprzedaz[[#This Row],[Data]])</f>
        <v>3</v>
      </c>
      <c r="S305" s="9" t="str">
        <f>YEAR(tblSprzedaz[[#This Row],[Data]])&amp;"-"&amp;RIGHT("0"&amp;MONTH(tblSprzedaz[[#This Row],[Data]]),2)</f>
        <v>2025-03</v>
      </c>
    </row>
    <row r="306" spans="1:19" x14ac:dyDescent="0.25">
      <c r="A306" s="7" t="s">
        <v>779</v>
      </c>
      <c r="B306" s="10">
        <v>45743</v>
      </c>
      <c r="C306" s="7" t="s">
        <v>780</v>
      </c>
      <c r="D306" s="8" t="s">
        <v>86</v>
      </c>
      <c r="E306" s="8" t="s">
        <v>60</v>
      </c>
      <c r="F306" s="8" t="s">
        <v>33</v>
      </c>
      <c r="G306" s="8" t="s">
        <v>28</v>
      </c>
      <c r="H306" s="8" t="s">
        <v>39</v>
      </c>
      <c r="I306" s="11">
        <v>9</v>
      </c>
      <c r="J306" s="12">
        <v>455.4</v>
      </c>
      <c r="K306" s="13">
        <v>0.1</v>
      </c>
      <c r="L306" s="12">
        <v>308.94</v>
      </c>
      <c r="M306" s="14">
        <f>ROUND(tblSprzedaz[[#This Row],[Ilość]]*tblSprzedaz[[#This Row],[Cena netto jednostkowa]]*(1-tblSprzedaz[[#This Row],[Rabat %]]),2)</f>
        <v>3688.74</v>
      </c>
      <c r="N306" s="14">
        <f>ROUND(tblSprzedaz[[#This Row],[Ilość]]*tblSprzedaz[[#This Row],[Koszt jednostkowy netto]],2)</f>
        <v>2780.46</v>
      </c>
      <c r="O306" s="14">
        <f>tblSprzedaz[[#This Row],[Przychód netto]]-tblSprzedaz[[#This Row],[Koszt całkowity netto]]</f>
        <v>908.27999999999975</v>
      </c>
      <c r="P306" s="15">
        <f>IFERROR(tblSprzedaz[[#This Row],[Marża kwotowa]]/tblSprzedaz[[#This Row],[Przychód netto]],0)</f>
        <v>0.24623042014346358</v>
      </c>
      <c r="Q306" s="16">
        <f>YEAR(tblSprzedaz[[#This Row],[Data]])</f>
        <v>2025</v>
      </c>
      <c r="R306" s="16">
        <f>MONTH(tblSprzedaz[[#This Row],[Data]])</f>
        <v>3</v>
      </c>
      <c r="S306" s="9" t="str">
        <f>YEAR(tblSprzedaz[[#This Row],[Data]])&amp;"-"&amp;RIGHT("0"&amp;MONTH(tblSprzedaz[[#This Row],[Data]]),2)</f>
        <v>2025-03</v>
      </c>
    </row>
    <row r="307" spans="1:19" x14ac:dyDescent="0.25">
      <c r="A307" s="7" t="s">
        <v>781</v>
      </c>
      <c r="B307" s="10">
        <v>45744</v>
      </c>
      <c r="C307" s="7" t="s">
        <v>782</v>
      </c>
      <c r="D307" s="8" t="s">
        <v>138</v>
      </c>
      <c r="E307" s="8" t="s">
        <v>64</v>
      </c>
      <c r="F307" s="8" t="s">
        <v>33</v>
      </c>
      <c r="G307" s="8" t="s">
        <v>34</v>
      </c>
      <c r="H307" s="8" t="s">
        <v>44</v>
      </c>
      <c r="I307" s="11">
        <v>6</v>
      </c>
      <c r="J307" s="12">
        <v>768.2</v>
      </c>
      <c r="K307" s="13">
        <v>0</v>
      </c>
      <c r="L307" s="12">
        <v>537.44000000000005</v>
      </c>
      <c r="M307" s="14">
        <f>ROUND(tblSprzedaz[[#This Row],[Ilość]]*tblSprzedaz[[#This Row],[Cena netto jednostkowa]]*(1-tblSprzedaz[[#This Row],[Rabat %]]),2)</f>
        <v>4609.2</v>
      </c>
      <c r="N307" s="14">
        <f>ROUND(tblSprzedaz[[#This Row],[Ilość]]*tblSprzedaz[[#This Row],[Koszt jednostkowy netto]],2)</f>
        <v>3224.64</v>
      </c>
      <c r="O307" s="14">
        <f>tblSprzedaz[[#This Row],[Przychód netto]]-tblSprzedaz[[#This Row],[Koszt całkowity netto]]</f>
        <v>1384.56</v>
      </c>
      <c r="P307" s="15">
        <f>IFERROR(tblSprzedaz[[#This Row],[Marża kwotowa]]/tblSprzedaz[[#This Row],[Przychód netto]],0)</f>
        <v>0.30039052330122362</v>
      </c>
      <c r="Q307" s="16">
        <f>YEAR(tblSprzedaz[[#This Row],[Data]])</f>
        <v>2025</v>
      </c>
      <c r="R307" s="16">
        <f>MONTH(tblSprzedaz[[#This Row],[Data]])</f>
        <v>3</v>
      </c>
      <c r="S307" s="9" t="str">
        <f>YEAR(tblSprzedaz[[#This Row],[Data]])&amp;"-"&amp;RIGHT("0"&amp;MONTH(tblSprzedaz[[#This Row],[Data]]),2)</f>
        <v>2025-03</v>
      </c>
    </row>
    <row r="308" spans="1:19" x14ac:dyDescent="0.25">
      <c r="A308" s="7" t="s">
        <v>783</v>
      </c>
      <c r="B308" s="10">
        <v>45744</v>
      </c>
      <c r="C308" s="7" t="s">
        <v>784</v>
      </c>
      <c r="D308" s="8" t="s">
        <v>85</v>
      </c>
      <c r="E308" s="8" t="s">
        <v>64</v>
      </c>
      <c r="F308" s="8" t="s">
        <v>33</v>
      </c>
      <c r="G308" s="8" t="s">
        <v>30</v>
      </c>
      <c r="H308" s="8" t="s">
        <v>40</v>
      </c>
      <c r="I308" s="11">
        <v>3</v>
      </c>
      <c r="J308" s="12">
        <v>768.2</v>
      </c>
      <c r="K308" s="13">
        <v>0.1</v>
      </c>
      <c r="L308" s="12">
        <v>546.79999999999995</v>
      </c>
      <c r="M308" s="14">
        <f>ROUND(tblSprzedaz[[#This Row],[Ilość]]*tblSprzedaz[[#This Row],[Cena netto jednostkowa]]*(1-tblSprzedaz[[#This Row],[Rabat %]]),2)</f>
        <v>2074.14</v>
      </c>
      <c r="N308" s="14">
        <f>ROUND(tblSprzedaz[[#This Row],[Ilość]]*tblSprzedaz[[#This Row],[Koszt jednostkowy netto]],2)</f>
        <v>1640.4</v>
      </c>
      <c r="O308" s="14">
        <f>tblSprzedaz[[#This Row],[Przychód netto]]-tblSprzedaz[[#This Row],[Koszt całkowity netto]]</f>
        <v>433.73999999999978</v>
      </c>
      <c r="P308" s="15">
        <f>IFERROR(tblSprzedaz[[#This Row],[Marża kwotowa]]/tblSprzedaz[[#This Row],[Przychód netto]],0)</f>
        <v>0.20911799589227334</v>
      </c>
      <c r="Q308" s="16">
        <f>YEAR(tblSprzedaz[[#This Row],[Data]])</f>
        <v>2025</v>
      </c>
      <c r="R308" s="16">
        <f>MONTH(tblSprzedaz[[#This Row],[Data]])</f>
        <v>3</v>
      </c>
      <c r="S308" s="9" t="str">
        <f>YEAR(tblSprzedaz[[#This Row],[Data]])&amp;"-"&amp;RIGHT("0"&amp;MONTH(tblSprzedaz[[#This Row],[Data]]),2)</f>
        <v>2025-03</v>
      </c>
    </row>
    <row r="309" spans="1:19" x14ac:dyDescent="0.25">
      <c r="A309" s="7" t="s">
        <v>785</v>
      </c>
      <c r="B309" s="10">
        <v>45744</v>
      </c>
      <c r="C309" s="7" t="s">
        <v>786</v>
      </c>
      <c r="D309" s="8" t="s">
        <v>120</v>
      </c>
      <c r="E309" s="8" t="s">
        <v>56</v>
      </c>
      <c r="F309" s="8" t="s">
        <v>31</v>
      </c>
      <c r="G309" s="8" t="s">
        <v>34</v>
      </c>
      <c r="H309" s="8" t="s">
        <v>44</v>
      </c>
      <c r="I309" s="11">
        <v>10</v>
      </c>
      <c r="J309" s="12">
        <v>279.3</v>
      </c>
      <c r="K309" s="13">
        <v>0</v>
      </c>
      <c r="L309" s="12">
        <v>176.42</v>
      </c>
      <c r="M309" s="14">
        <f>ROUND(tblSprzedaz[[#This Row],[Ilość]]*tblSprzedaz[[#This Row],[Cena netto jednostkowa]]*(1-tblSprzedaz[[#This Row],[Rabat %]]),2)</f>
        <v>2793</v>
      </c>
      <c r="N309" s="14">
        <f>ROUND(tblSprzedaz[[#This Row],[Ilość]]*tblSprzedaz[[#This Row],[Koszt jednostkowy netto]],2)</f>
        <v>1764.2</v>
      </c>
      <c r="O309" s="14">
        <f>tblSprzedaz[[#This Row],[Przychód netto]]-tblSprzedaz[[#This Row],[Koszt całkowity netto]]</f>
        <v>1028.8</v>
      </c>
      <c r="P309" s="15">
        <f>IFERROR(tblSprzedaz[[#This Row],[Marża kwotowa]]/tblSprzedaz[[#This Row],[Przychód netto]],0)</f>
        <v>0.36834944504117434</v>
      </c>
      <c r="Q309" s="16">
        <f>YEAR(tblSprzedaz[[#This Row],[Data]])</f>
        <v>2025</v>
      </c>
      <c r="R309" s="16">
        <f>MONTH(tblSprzedaz[[#This Row],[Data]])</f>
        <v>3</v>
      </c>
      <c r="S309" s="9" t="str">
        <f>YEAR(tblSprzedaz[[#This Row],[Data]])&amp;"-"&amp;RIGHT("0"&amp;MONTH(tblSprzedaz[[#This Row],[Data]]),2)</f>
        <v>2025-03</v>
      </c>
    </row>
    <row r="310" spans="1:19" x14ac:dyDescent="0.25">
      <c r="A310" s="7" t="s">
        <v>787</v>
      </c>
      <c r="B310" s="10">
        <v>45744</v>
      </c>
      <c r="C310" s="7" t="s">
        <v>788</v>
      </c>
      <c r="D310" s="8" t="s">
        <v>123</v>
      </c>
      <c r="E310" s="8" t="s">
        <v>67</v>
      </c>
      <c r="F310" s="8" t="s">
        <v>35</v>
      </c>
      <c r="G310" s="8" t="s">
        <v>36</v>
      </c>
      <c r="H310" s="8" t="s">
        <v>47</v>
      </c>
      <c r="I310" s="11">
        <v>14</v>
      </c>
      <c r="J310" s="12">
        <v>78.88</v>
      </c>
      <c r="K310" s="13">
        <v>0.15</v>
      </c>
      <c r="L310" s="12">
        <v>55.18</v>
      </c>
      <c r="M310" s="14">
        <f>ROUND(tblSprzedaz[[#This Row],[Ilość]]*tblSprzedaz[[#This Row],[Cena netto jednostkowa]]*(1-tblSprzedaz[[#This Row],[Rabat %]]),2)</f>
        <v>938.67</v>
      </c>
      <c r="N310" s="14">
        <f>ROUND(tblSprzedaz[[#This Row],[Ilość]]*tblSprzedaz[[#This Row],[Koszt jednostkowy netto]],2)</f>
        <v>772.52</v>
      </c>
      <c r="O310" s="14">
        <f>tblSprzedaz[[#This Row],[Przychód netto]]-tblSprzedaz[[#This Row],[Koszt całkowity netto]]</f>
        <v>166.14999999999998</v>
      </c>
      <c r="P310" s="15">
        <f>IFERROR(tblSprzedaz[[#This Row],[Marża kwotowa]]/tblSprzedaz[[#This Row],[Przychód netto]],0)</f>
        <v>0.17700576347385127</v>
      </c>
      <c r="Q310" s="16">
        <f>YEAR(tblSprzedaz[[#This Row],[Data]])</f>
        <v>2025</v>
      </c>
      <c r="R310" s="16">
        <f>MONTH(tblSprzedaz[[#This Row],[Data]])</f>
        <v>3</v>
      </c>
      <c r="S310" s="9" t="str">
        <f>YEAR(tblSprzedaz[[#This Row],[Data]])&amp;"-"&amp;RIGHT("0"&amp;MONTH(tblSprzedaz[[#This Row],[Data]]),2)</f>
        <v>2025-03</v>
      </c>
    </row>
    <row r="311" spans="1:19" x14ac:dyDescent="0.25">
      <c r="A311" s="7" t="s">
        <v>789</v>
      </c>
      <c r="B311" s="10">
        <v>45744</v>
      </c>
      <c r="C311" s="7" t="s">
        <v>790</v>
      </c>
      <c r="D311" s="8" t="s">
        <v>152</v>
      </c>
      <c r="E311" s="8" t="s">
        <v>77</v>
      </c>
      <c r="F311" s="8" t="s">
        <v>37</v>
      </c>
      <c r="G311" s="8" t="s">
        <v>36</v>
      </c>
      <c r="H311" s="8" t="s">
        <v>47</v>
      </c>
      <c r="I311" s="11">
        <v>6</v>
      </c>
      <c r="J311" s="12">
        <v>77.900000000000006</v>
      </c>
      <c r="K311" s="13">
        <v>0.05</v>
      </c>
      <c r="L311" s="12">
        <v>57.36</v>
      </c>
      <c r="M311" s="14">
        <f>ROUND(tblSprzedaz[[#This Row],[Ilość]]*tblSprzedaz[[#This Row],[Cena netto jednostkowa]]*(1-tblSprzedaz[[#This Row],[Rabat %]]),2)</f>
        <v>444.03</v>
      </c>
      <c r="N311" s="14">
        <f>ROUND(tblSprzedaz[[#This Row],[Ilość]]*tblSprzedaz[[#This Row],[Koszt jednostkowy netto]],2)</f>
        <v>344.16</v>
      </c>
      <c r="O311" s="14">
        <f>tblSprzedaz[[#This Row],[Przychód netto]]-tblSprzedaz[[#This Row],[Koszt całkowity netto]]</f>
        <v>99.869999999999948</v>
      </c>
      <c r="P311" s="15">
        <f>IFERROR(tblSprzedaz[[#This Row],[Marża kwotowa]]/tblSprzedaz[[#This Row],[Przychód netto]],0)</f>
        <v>0.22491723532193761</v>
      </c>
      <c r="Q311" s="16">
        <f>YEAR(tblSprzedaz[[#This Row],[Data]])</f>
        <v>2025</v>
      </c>
      <c r="R311" s="16">
        <f>MONTH(tblSprzedaz[[#This Row],[Data]])</f>
        <v>3</v>
      </c>
      <c r="S311" s="9" t="str">
        <f>YEAR(tblSprzedaz[[#This Row],[Data]])&amp;"-"&amp;RIGHT("0"&amp;MONTH(tblSprzedaz[[#This Row],[Data]]),2)</f>
        <v>2025-03</v>
      </c>
    </row>
    <row r="312" spans="1:19" x14ac:dyDescent="0.25">
      <c r="A312" s="7" t="s">
        <v>791</v>
      </c>
      <c r="B312" s="10">
        <v>45745</v>
      </c>
      <c r="C312" s="7" t="s">
        <v>792</v>
      </c>
      <c r="D312" s="8" t="s">
        <v>125</v>
      </c>
      <c r="E312" s="8" t="s">
        <v>70</v>
      </c>
      <c r="F312" s="8" t="s">
        <v>35</v>
      </c>
      <c r="G312" s="8" t="s">
        <v>34</v>
      </c>
      <c r="H312" s="8" t="s">
        <v>45</v>
      </c>
      <c r="I312" s="11">
        <v>6</v>
      </c>
      <c r="J312" s="12">
        <v>113.56</v>
      </c>
      <c r="K312" s="13">
        <v>0.15</v>
      </c>
      <c r="L312" s="12">
        <v>83.24</v>
      </c>
      <c r="M312" s="14">
        <f>ROUND(tblSprzedaz[[#This Row],[Ilość]]*tblSprzedaz[[#This Row],[Cena netto jednostkowa]]*(1-tblSprzedaz[[#This Row],[Rabat %]]),2)</f>
        <v>579.16</v>
      </c>
      <c r="N312" s="14">
        <f>ROUND(tblSprzedaz[[#This Row],[Ilość]]*tblSprzedaz[[#This Row],[Koszt jednostkowy netto]],2)</f>
        <v>499.44</v>
      </c>
      <c r="O312" s="14">
        <f>tblSprzedaz[[#This Row],[Przychód netto]]-tblSprzedaz[[#This Row],[Koszt całkowity netto]]</f>
        <v>79.71999999999997</v>
      </c>
      <c r="P312" s="15">
        <f>IFERROR(tblSprzedaz[[#This Row],[Marża kwotowa]]/tblSprzedaz[[#This Row],[Przychód netto]],0)</f>
        <v>0.13764762759859103</v>
      </c>
      <c r="Q312" s="16">
        <f>YEAR(tblSprzedaz[[#This Row],[Data]])</f>
        <v>2025</v>
      </c>
      <c r="R312" s="16">
        <f>MONTH(tblSprzedaz[[#This Row],[Data]])</f>
        <v>3</v>
      </c>
      <c r="S312" s="9" t="str">
        <f>YEAR(tblSprzedaz[[#This Row],[Data]])&amp;"-"&amp;RIGHT("0"&amp;MONTH(tblSprzedaz[[#This Row],[Data]]),2)</f>
        <v>2025-03</v>
      </c>
    </row>
    <row r="313" spans="1:19" x14ac:dyDescent="0.25">
      <c r="A313" s="7" t="s">
        <v>793</v>
      </c>
      <c r="B313" s="10">
        <v>45745</v>
      </c>
      <c r="C313" s="7" t="s">
        <v>794</v>
      </c>
      <c r="D313" s="8" t="s">
        <v>115</v>
      </c>
      <c r="E313" s="8" t="s">
        <v>68</v>
      </c>
      <c r="F313" s="8" t="s">
        <v>35</v>
      </c>
      <c r="G313" s="8" t="s">
        <v>28</v>
      </c>
      <c r="H313" s="8" t="s">
        <v>39</v>
      </c>
      <c r="I313" s="11">
        <v>4</v>
      </c>
      <c r="J313" s="12">
        <v>90.44</v>
      </c>
      <c r="K313" s="13">
        <v>0.15</v>
      </c>
      <c r="L313" s="12">
        <v>66.930000000000007</v>
      </c>
      <c r="M313" s="14">
        <f>ROUND(tblSprzedaz[[#This Row],[Ilość]]*tblSprzedaz[[#This Row],[Cena netto jednostkowa]]*(1-tblSprzedaz[[#This Row],[Rabat %]]),2)</f>
        <v>307.5</v>
      </c>
      <c r="N313" s="14">
        <f>ROUND(tblSprzedaz[[#This Row],[Ilość]]*tblSprzedaz[[#This Row],[Koszt jednostkowy netto]],2)</f>
        <v>267.72000000000003</v>
      </c>
      <c r="O313" s="14">
        <f>tblSprzedaz[[#This Row],[Przychód netto]]-tblSprzedaz[[#This Row],[Koszt całkowity netto]]</f>
        <v>39.779999999999973</v>
      </c>
      <c r="P313" s="15">
        <f>IFERROR(tblSprzedaz[[#This Row],[Marża kwotowa]]/tblSprzedaz[[#This Row],[Przychód netto]],0)</f>
        <v>0.12936585365853651</v>
      </c>
      <c r="Q313" s="16">
        <f>YEAR(tblSprzedaz[[#This Row],[Data]])</f>
        <v>2025</v>
      </c>
      <c r="R313" s="16">
        <f>MONTH(tblSprzedaz[[#This Row],[Data]])</f>
        <v>3</v>
      </c>
      <c r="S313" s="9" t="str">
        <f>YEAR(tblSprzedaz[[#This Row],[Data]])&amp;"-"&amp;RIGHT("0"&amp;MONTH(tblSprzedaz[[#This Row],[Data]]),2)</f>
        <v>2025-03</v>
      </c>
    </row>
    <row r="314" spans="1:19" x14ac:dyDescent="0.25">
      <c r="A314" s="7" t="s">
        <v>795</v>
      </c>
      <c r="B314" s="10">
        <v>45746</v>
      </c>
      <c r="C314" s="7" t="s">
        <v>796</v>
      </c>
      <c r="D314" s="8" t="s">
        <v>147</v>
      </c>
      <c r="E314" s="8" t="s">
        <v>61</v>
      </c>
      <c r="F314" s="8" t="s">
        <v>33</v>
      </c>
      <c r="G314" s="8" t="s">
        <v>32</v>
      </c>
      <c r="H314" s="8" t="s">
        <v>42</v>
      </c>
      <c r="I314" s="11">
        <v>24</v>
      </c>
      <c r="J314" s="12">
        <v>533.6</v>
      </c>
      <c r="K314" s="13">
        <v>0.05</v>
      </c>
      <c r="L314" s="12">
        <v>360.98</v>
      </c>
      <c r="M314" s="14">
        <f>ROUND(tblSprzedaz[[#This Row],[Ilość]]*tblSprzedaz[[#This Row],[Cena netto jednostkowa]]*(1-tblSprzedaz[[#This Row],[Rabat %]]),2)</f>
        <v>12166.08</v>
      </c>
      <c r="N314" s="14">
        <f>ROUND(tblSprzedaz[[#This Row],[Ilość]]*tblSprzedaz[[#This Row],[Koszt jednostkowy netto]],2)</f>
        <v>8663.52</v>
      </c>
      <c r="O314" s="14">
        <f>tblSprzedaz[[#This Row],[Przychód netto]]-tblSprzedaz[[#This Row],[Koszt całkowity netto]]</f>
        <v>3502.5599999999995</v>
      </c>
      <c r="P314" s="15">
        <f>IFERROR(tblSprzedaz[[#This Row],[Marża kwotowa]]/tblSprzedaz[[#This Row],[Przychód netto]],0)</f>
        <v>0.28789552592124984</v>
      </c>
      <c r="Q314" s="16">
        <f>YEAR(tblSprzedaz[[#This Row],[Data]])</f>
        <v>2025</v>
      </c>
      <c r="R314" s="16">
        <f>MONTH(tblSprzedaz[[#This Row],[Data]])</f>
        <v>3</v>
      </c>
      <c r="S314" s="9" t="str">
        <f>YEAR(tblSprzedaz[[#This Row],[Data]])&amp;"-"&amp;RIGHT("0"&amp;MONTH(tblSprzedaz[[#This Row],[Data]]),2)</f>
        <v>2025-03</v>
      </c>
    </row>
    <row r="315" spans="1:19" x14ac:dyDescent="0.25">
      <c r="A315" s="7" t="s">
        <v>797</v>
      </c>
      <c r="B315" s="10">
        <v>45747</v>
      </c>
      <c r="C315" s="7" t="s">
        <v>798</v>
      </c>
      <c r="D315" s="8" t="s">
        <v>147</v>
      </c>
      <c r="E315" s="8" t="s">
        <v>54</v>
      </c>
      <c r="F315" s="8" t="s">
        <v>31</v>
      </c>
      <c r="G315" s="8" t="s">
        <v>30</v>
      </c>
      <c r="H315" s="8" t="s">
        <v>40</v>
      </c>
      <c r="I315" s="11">
        <v>6</v>
      </c>
      <c r="J315" s="12">
        <v>207.9</v>
      </c>
      <c r="K315" s="13">
        <v>0</v>
      </c>
      <c r="L315" s="12">
        <v>137.91</v>
      </c>
      <c r="M315" s="14">
        <f>ROUND(tblSprzedaz[[#This Row],[Ilość]]*tblSprzedaz[[#This Row],[Cena netto jednostkowa]]*(1-tblSprzedaz[[#This Row],[Rabat %]]),2)</f>
        <v>1247.4000000000001</v>
      </c>
      <c r="N315" s="14">
        <f>ROUND(tblSprzedaz[[#This Row],[Ilość]]*tblSprzedaz[[#This Row],[Koszt jednostkowy netto]],2)</f>
        <v>827.46</v>
      </c>
      <c r="O315" s="14">
        <f>tblSprzedaz[[#This Row],[Przychód netto]]-tblSprzedaz[[#This Row],[Koszt całkowity netto]]</f>
        <v>419.94000000000005</v>
      </c>
      <c r="P315" s="15">
        <f>IFERROR(tblSprzedaz[[#This Row],[Marża kwotowa]]/tblSprzedaz[[#This Row],[Przychód netto]],0)</f>
        <v>0.33665223665223665</v>
      </c>
      <c r="Q315" s="16">
        <f>YEAR(tblSprzedaz[[#This Row],[Data]])</f>
        <v>2025</v>
      </c>
      <c r="R315" s="16">
        <f>MONTH(tblSprzedaz[[#This Row],[Data]])</f>
        <v>3</v>
      </c>
      <c r="S315" s="9" t="str">
        <f>YEAR(tblSprzedaz[[#This Row],[Data]])&amp;"-"&amp;RIGHT("0"&amp;MONTH(tblSprzedaz[[#This Row],[Data]]),2)</f>
        <v>2025-03</v>
      </c>
    </row>
    <row r="316" spans="1:19" x14ac:dyDescent="0.25">
      <c r="A316" s="7" t="s">
        <v>799</v>
      </c>
      <c r="B316" s="10">
        <v>45747</v>
      </c>
      <c r="C316" s="7" t="s">
        <v>800</v>
      </c>
      <c r="D316" s="8" t="s">
        <v>144</v>
      </c>
      <c r="E316" s="8" t="s">
        <v>62</v>
      </c>
      <c r="F316" s="8" t="s">
        <v>33</v>
      </c>
      <c r="G316" s="8" t="s">
        <v>28</v>
      </c>
      <c r="H316" s="8" t="s">
        <v>38</v>
      </c>
      <c r="I316" s="11">
        <v>2</v>
      </c>
      <c r="J316" s="12">
        <v>611.79999999999995</v>
      </c>
      <c r="K316" s="13">
        <v>0.15</v>
      </c>
      <c r="L316" s="12">
        <v>408.75</v>
      </c>
      <c r="M316" s="14">
        <f>ROUND(tblSprzedaz[[#This Row],[Ilość]]*tblSprzedaz[[#This Row],[Cena netto jednostkowa]]*(1-tblSprzedaz[[#This Row],[Rabat %]]),2)</f>
        <v>1040.06</v>
      </c>
      <c r="N316" s="14">
        <f>ROUND(tblSprzedaz[[#This Row],[Ilość]]*tblSprzedaz[[#This Row],[Koszt jednostkowy netto]],2)</f>
        <v>817.5</v>
      </c>
      <c r="O316" s="14">
        <f>tblSprzedaz[[#This Row],[Przychód netto]]-tblSprzedaz[[#This Row],[Koszt całkowity netto]]</f>
        <v>222.55999999999995</v>
      </c>
      <c r="P316" s="15">
        <f>IFERROR(tblSprzedaz[[#This Row],[Marża kwotowa]]/tblSprzedaz[[#This Row],[Przychód netto]],0)</f>
        <v>0.21398765455839083</v>
      </c>
      <c r="Q316" s="16">
        <f>YEAR(tblSprzedaz[[#This Row],[Data]])</f>
        <v>2025</v>
      </c>
      <c r="R316" s="16">
        <f>MONTH(tblSprzedaz[[#This Row],[Data]])</f>
        <v>3</v>
      </c>
      <c r="S316" s="9" t="str">
        <f>YEAR(tblSprzedaz[[#This Row],[Data]])&amp;"-"&amp;RIGHT("0"&amp;MONTH(tblSprzedaz[[#This Row],[Data]]),2)</f>
        <v>2025-03</v>
      </c>
    </row>
    <row r="317" spans="1:19" x14ac:dyDescent="0.25">
      <c r="A317" s="7" t="s">
        <v>801</v>
      </c>
      <c r="B317" s="10">
        <v>45747</v>
      </c>
      <c r="C317" s="7" t="s">
        <v>802</v>
      </c>
      <c r="D317" s="8" t="s">
        <v>136</v>
      </c>
      <c r="E317" s="8" t="s">
        <v>70</v>
      </c>
      <c r="F317" s="8" t="s">
        <v>35</v>
      </c>
      <c r="G317" s="8" t="s">
        <v>28</v>
      </c>
      <c r="H317" s="8" t="s">
        <v>39</v>
      </c>
      <c r="I317" s="11">
        <v>8</v>
      </c>
      <c r="J317" s="12">
        <v>113.56</v>
      </c>
      <c r="K317" s="13">
        <v>0.05</v>
      </c>
      <c r="L317" s="12">
        <v>84.09</v>
      </c>
      <c r="M317" s="14">
        <f>ROUND(tblSprzedaz[[#This Row],[Ilość]]*tblSprzedaz[[#This Row],[Cena netto jednostkowa]]*(1-tblSprzedaz[[#This Row],[Rabat %]]),2)</f>
        <v>863.06</v>
      </c>
      <c r="N317" s="14">
        <f>ROUND(tblSprzedaz[[#This Row],[Ilość]]*tblSprzedaz[[#This Row],[Koszt jednostkowy netto]],2)</f>
        <v>672.72</v>
      </c>
      <c r="O317" s="14">
        <f>tblSprzedaz[[#This Row],[Przychód netto]]-tblSprzedaz[[#This Row],[Koszt całkowity netto]]</f>
        <v>190.33999999999992</v>
      </c>
      <c r="P317" s="15">
        <f>IFERROR(tblSprzedaz[[#This Row],[Marża kwotowa]]/tblSprzedaz[[#This Row],[Przychód netto]],0)</f>
        <v>0.22054086622019317</v>
      </c>
      <c r="Q317" s="16">
        <f>YEAR(tblSprzedaz[[#This Row],[Data]])</f>
        <v>2025</v>
      </c>
      <c r="R317" s="16">
        <f>MONTH(tblSprzedaz[[#This Row],[Data]])</f>
        <v>3</v>
      </c>
      <c r="S317" s="9" t="str">
        <f>YEAR(tblSprzedaz[[#This Row],[Data]])&amp;"-"&amp;RIGHT("0"&amp;MONTH(tblSprzedaz[[#This Row],[Data]]),2)</f>
        <v>2025-03</v>
      </c>
    </row>
    <row r="318" spans="1:19" x14ac:dyDescent="0.25">
      <c r="A318" s="7" t="s">
        <v>803</v>
      </c>
      <c r="B318" s="10">
        <v>45748</v>
      </c>
      <c r="C318" s="7" t="s">
        <v>804</v>
      </c>
      <c r="D318" s="8" t="s">
        <v>101</v>
      </c>
      <c r="E318" s="8" t="s">
        <v>66</v>
      </c>
      <c r="F318" s="8" t="s">
        <v>35</v>
      </c>
      <c r="G318" s="8" t="s">
        <v>34</v>
      </c>
      <c r="H318" s="8" t="s">
        <v>44</v>
      </c>
      <c r="I318" s="11">
        <v>8</v>
      </c>
      <c r="J318" s="12">
        <v>67.319999999999993</v>
      </c>
      <c r="K318" s="13">
        <v>0.05</v>
      </c>
      <c r="L318" s="12">
        <v>48.55</v>
      </c>
      <c r="M318" s="14">
        <f>ROUND(tblSprzedaz[[#This Row],[Ilość]]*tblSprzedaz[[#This Row],[Cena netto jednostkowa]]*(1-tblSprzedaz[[#This Row],[Rabat %]]),2)</f>
        <v>511.63</v>
      </c>
      <c r="N318" s="14">
        <f>ROUND(tblSprzedaz[[#This Row],[Ilość]]*tblSprzedaz[[#This Row],[Koszt jednostkowy netto]],2)</f>
        <v>388.4</v>
      </c>
      <c r="O318" s="14">
        <f>tblSprzedaz[[#This Row],[Przychód netto]]-tblSprzedaz[[#This Row],[Koszt całkowity netto]]</f>
        <v>123.23000000000002</v>
      </c>
      <c r="P318" s="15">
        <f>IFERROR(tblSprzedaz[[#This Row],[Marża kwotowa]]/tblSprzedaz[[#This Row],[Przychód netto]],0)</f>
        <v>0.24085765103688217</v>
      </c>
      <c r="Q318" s="16">
        <f>YEAR(tblSprzedaz[[#This Row],[Data]])</f>
        <v>2025</v>
      </c>
      <c r="R318" s="16">
        <f>MONTH(tblSprzedaz[[#This Row],[Data]])</f>
        <v>4</v>
      </c>
      <c r="S318" s="9" t="str">
        <f>YEAR(tblSprzedaz[[#This Row],[Data]])&amp;"-"&amp;RIGHT("0"&amp;MONTH(tblSprzedaz[[#This Row],[Data]]),2)</f>
        <v>2025-04</v>
      </c>
    </row>
    <row r="319" spans="1:19" x14ac:dyDescent="0.25">
      <c r="A319" s="7" t="s">
        <v>805</v>
      </c>
      <c r="B319" s="10">
        <v>45748</v>
      </c>
      <c r="C319" s="7" t="s">
        <v>806</v>
      </c>
      <c r="D319" s="8" t="s">
        <v>80</v>
      </c>
      <c r="E319" s="8" t="s">
        <v>52</v>
      </c>
      <c r="F319" s="8" t="s">
        <v>29</v>
      </c>
      <c r="G319" s="8" t="s">
        <v>34</v>
      </c>
      <c r="H319" s="8" t="s">
        <v>45</v>
      </c>
      <c r="I319" s="11">
        <v>7</v>
      </c>
      <c r="J319" s="12">
        <v>56.78</v>
      </c>
      <c r="K319" s="13">
        <v>0.15</v>
      </c>
      <c r="L319" s="12">
        <v>32.64</v>
      </c>
      <c r="M319" s="14">
        <f>ROUND(tblSprzedaz[[#This Row],[Ilość]]*tblSprzedaz[[#This Row],[Cena netto jednostkowa]]*(1-tblSprzedaz[[#This Row],[Rabat %]]),2)</f>
        <v>337.84</v>
      </c>
      <c r="N319" s="14">
        <f>ROUND(tblSprzedaz[[#This Row],[Ilość]]*tblSprzedaz[[#This Row],[Koszt jednostkowy netto]],2)</f>
        <v>228.48</v>
      </c>
      <c r="O319" s="14">
        <f>tblSprzedaz[[#This Row],[Przychód netto]]-tblSprzedaz[[#This Row],[Koszt całkowity netto]]</f>
        <v>109.35999999999999</v>
      </c>
      <c r="P319" s="15">
        <f>IFERROR(tblSprzedaz[[#This Row],[Marża kwotowa]]/tblSprzedaz[[#This Row],[Przychód netto]],0)</f>
        <v>0.32370352829741889</v>
      </c>
      <c r="Q319" s="16">
        <f>YEAR(tblSprzedaz[[#This Row],[Data]])</f>
        <v>2025</v>
      </c>
      <c r="R319" s="16">
        <f>MONTH(tblSprzedaz[[#This Row],[Data]])</f>
        <v>4</v>
      </c>
      <c r="S319" s="9" t="str">
        <f>YEAR(tblSprzedaz[[#This Row],[Data]])&amp;"-"&amp;RIGHT("0"&amp;MONTH(tblSprzedaz[[#This Row],[Data]]),2)</f>
        <v>2025-04</v>
      </c>
    </row>
    <row r="320" spans="1:19" x14ac:dyDescent="0.25">
      <c r="A320" s="7" t="s">
        <v>807</v>
      </c>
      <c r="B320" s="10">
        <v>45748</v>
      </c>
      <c r="C320" s="7" t="s">
        <v>808</v>
      </c>
      <c r="D320" s="8" t="s">
        <v>137</v>
      </c>
      <c r="E320" s="8" t="s">
        <v>51</v>
      </c>
      <c r="F320" s="8" t="s">
        <v>29</v>
      </c>
      <c r="G320" s="8" t="s">
        <v>34</v>
      </c>
      <c r="H320" s="8" t="s">
        <v>44</v>
      </c>
      <c r="I320" s="11">
        <v>6</v>
      </c>
      <c r="J320" s="12">
        <v>51</v>
      </c>
      <c r="K320" s="13">
        <v>0</v>
      </c>
      <c r="L320" s="12">
        <v>28.78</v>
      </c>
      <c r="M320" s="14">
        <f>ROUND(tblSprzedaz[[#This Row],[Ilość]]*tblSprzedaz[[#This Row],[Cena netto jednostkowa]]*(1-tblSprzedaz[[#This Row],[Rabat %]]),2)</f>
        <v>306</v>
      </c>
      <c r="N320" s="14">
        <f>ROUND(tblSprzedaz[[#This Row],[Ilość]]*tblSprzedaz[[#This Row],[Koszt jednostkowy netto]],2)</f>
        <v>172.68</v>
      </c>
      <c r="O320" s="14">
        <f>tblSprzedaz[[#This Row],[Przychód netto]]-tblSprzedaz[[#This Row],[Koszt całkowity netto]]</f>
        <v>133.32</v>
      </c>
      <c r="P320" s="15">
        <f>IFERROR(tblSprzedaz[[#This Row],[Marża kwotowa]]/tblSprzedaz[[#This Row],[Przychód netto]],0)</f>
        <v>0.43568627450980391</v>
      </c>
      <c r="Q320" s="16">
        <f>YEAR(tblSprzedaz[[#This Row],[Data]])</f>
        <v>2025</v>
      </c>
      <c r="R320" s="16">
        <f>MONTH(tblSprzedaz[[#This Row],[Data]])</f>
        <v>4</v>
      </c>
      <c r="S320" s="9" t="str">
        <f>YEAR(tblSprzedaz[[#This Row],[Data]])&amp;"-"&amp;RIGHT("0"&amp;MONTH(tblSprzedaz[[#This Row],[Data]]),2)</f>
        <v>2025-04</v>
      </c>
    </row>
    <row r="321" spans="1:19" x14ac:dyDescent="0.25">
      <c r="A321" s="7" t="s">
        <v>809</v>
      </c>
      <c r="B321" s="10">
        <v>45748</v>
      </c>
      <c r="C321" s="7" t="s">
        <v>810</v>
      </c>
      <c r="D321" s="8" t="s">
        <v>85</v>
      </c>
      <c r="E321" s="8" t="s">
        <v>63</v>
      </c>
      <c r="F321" s="8" t="s">
        <v>33</v>
      </c>
      <c r="G321" s="8" t="s">
        <v>36</v>
      </c>
      <c r="H321" s="8" t="s">
        <v>47</v>
      </c>
      <c r="I321" s="11">
        <v>16</v>
      </c>
      <c r="J321" s="12">
        <v>690</v>
      </c>
      <c r="K321" s="13">
        <v>0</v>
      </c>
      <c r="L321" s="12">
        <v>484.52</v>
      </c>
      <c r="M321" s="14">
        <f>ROUND(tblSprzedaz[[#This Row],[Ilość]]*tblSprzedaz[[#This Row],[Cena netto jednostkowa]]*(1-tblSprzedaz[[#This Row],[Rabat %]]),2)</f>
        <v>11040</v>
      </c>
      <c r="N321" s="14">
        <f>ROUND(tblSprzedaz[[#This Row],[Ilość]]*tblSprzedaz[[#This Row],[Koszt jednostkowy netto]],2)</f>
        <v>7752.32</v>
      </c>
      <c r="O321" s="14">
        <f>tblSprzedaz[[#This Row],[Przychód netto]]-tblSprzedaz[[#This Row],[Koszt całkowity netto]]</f>
        <v>3287.6800000000003</v>
      </c>
      <c r="P321" s="15">
        <f>IFERROR(tblSprzedaz[[#This Row],[Marża kwotowa]]/tblSprzedaz[[#This Row],[Przychód netto]],0)</f>
        <v>0.2977971014492754</v>
      </c>
      <c r="Q321" s="16">
        <f>YEAR(tblSprzedaz[[#This Row],[Data]])</f>
        <v>2025</v>
      </c>
      <c r="R321" s="16">
        <f>MONTH(tblSprzedaz[[#This Row],[Data]])</f>
        <v>4</v>
      </c>
      <c r="S321" s="9" t="str">
        <f>YEAR(tblSprzedaz[[#This Row],[Data]])&amp;"-"&amp;RIGHT("0"&amp;MONTH(tblSprzedaz[[#This Row],[Data]]),2)</f>
        <v>2025-04</v>
      </c>
    </row>
    <row r="322" spans="1:19" x14ac:dyDescent="0.25">
      <c r="A322" s="7" t="s">
        <v>811</v>
      </c>
      <c r="B322" s="10">
        <v>45749</v>
      </c>
      <c r="C322" s="7" t="s">
        <v>812</v>
      </c>
      <c r="D322" s="8" t="s">
        <v>137</v>
      </c>
      <c r="E322" s="8" t="s">
        <v>50</v>
      </c>
      <c r="F322" s="8" t="s">
        <v>29</v>
      </c>
      <c r="G322" s="8" t="s">
        <v>28</v>
      </c>
      <c r="H322" s="8" t="s">
        <v>38</v>
      </c>
      <c r="I322" s="11">
        <v>13</v>
      </c>
      <c r="J322" s="12">
        <v>45.22</v>
      </c>
      <c r="K322" s="13">
        <v>0.05</v>
      </c>
      <c r="L322" s="12">
        <v>26.61</v>
      </c>
      <c r="M322" s="14">
        <f>ROUND(tblSprzedaz[[#This Row],[Ilość]]*tblSprzedaz[[#This Row],[Cena netto jednostkowa]]*(1-tblSprzedaz[[#This Row],[Rabat %]]),2)</f>
        <v>558.47</v>
      </c>
      <c r="N322" s="14">
        <f>ROUND(tblSprzedaz[[#This Row],[Ilość]]*tblSprzedaz[[#This Row],[Koszt jednostkowy netto]],2)</f>
        <v>345.93</v>
      </c>
      <c r="O322" s="14">
        <f>tblSprzedaz[[#This Row],[Przychód netto]]-tblSprzedaz[[#This Row],[Koszt całkowity netto]]</f>
        <v>212.54000000000002</v>
      </c>
      <c r="P322" s="15">
        <f>IFERROR(tblSprzedaz[[#This Row],[Marża kwotowa]]/tblSprzedaz[[#This Row],[Przychód netto]],0)</f>
        <v>0.38057550092216236</v>
      </c>
      <c r="Q322" s="16">
        <f>YEAR(tblSprzedaz[[#This Row],[Data]])</f>
        <v>2025</v>
      </c>
      <c r="R322" s="16">
        <f>MONTH(tblSprzedaz[[#This Row],[Data]])</f>
        <v>4</v>
      </c>
      <c r="S322" s="9" t="str">
        <f>YEAR(tblSprzedaz[[#This Row],[Data]])&amp;"-"&amp;RIGHT("0"&amp;MONTH(tblSprzedaz[[#This Row],[Data]]),2)</f>
        <v>2025-04</v>
      </c>
    </row>
    <row r="323" spans="1:19" x14ac:dyDescent="0.25">
      <c r="A323" s="7" t="s">
        <v>813</v>
      </c>
      <c r="B323" s="10">
        <v>45749</v>
      </c>
      <c r="C323" s="7" t="s">
        <v>814</v>
      </c>
      <c r="D323" s="8" t="s">
        <v>90</v>
      </c>
      <c r="E323" s="8" t="s">
        <v>76</v>
      </c>
      <c r="F323" s="8" t="s">
        <v>37</v>
      </c>
      <c r="G323" s="8" t="s">
        <v>28</v>
      </c>
      <c r="H323" s="8" t="s">
        <v>39</v>
      </c>
      <c r="I323" s="11">
        <v>17</v>
      </c>
      <c r="J323" s="12">
        <v>158.65</v>
      </c>
      <c r="K323" s="13">
        <v>0.15</v>
      </c>
      <c r="L323" s="12">
        <v>127.07</v>
      </c>
      <c r="M323" s="14">
        <f>ROUND(tblSprzedaz[[#This Row],[Ilość]]*tblSprzedaz[[#This Row],[Cena netto jednostkowa]]*(1-tblSprzedaz[[#This Row],[Rabat %]]),2)</f>
        <v>2292.4899999999998</v>
      </c>
      <c r="N323" s="14">
        <f>ROUND(tblSprzedaz[[#This Row],[Ilość]]*tblSprzedaz[[#This Row],[Koszt jednostkowy netto]],2)</f>
        <v>2160.19</v>
      </c>
      <c r="O323" s="14">
        <f>tblSprzedaz[[#This Row],[Przychód netto]]-tblSprzedaz[[#This Row],[Koszt całkowity netto]]</f>
        <v>132.29999999999973</v>
      </c>
      <c r="P323" s="15">
        <f>IFERROR(tblSprzedaz[[#This Row],[Marża kwotowa]]/tblSprzedaz[[#This Row],[Przychód netto]],0)</f>
        <v>5.7710175398802063E-2</v>
      </c>
      <c r="Q323" s="16">
        <f>YEAR(tblSprzedaz[[#This Row],[Data]])</f>
        <v>2025</v>
      </c>
      <c r="R323" s="16">
        <f>MONTH(tblSprzedaz[[#This Row],[Data]])</f>
        <v>4</v>
      </c>
      <c r="S323" s="9" t="str">
        <f>YEAR(tblSprzedaz[[#This Row],[Data]])&amp;"-"&amp;RIGHT("0"&amp;MONTH(tblSprzedaz[[#This Row],[Data]]),2)</f>
        <v>2025-04</v>
      </c>
    </row>
    <row r="324" spans="1:19" x14ac:dyDescent="0.25">
      <c r="A324" s="7" t="s">
        <v>815</v>
      </c>
      <c r="B324" s="10">
        <v>45749</v>
      </c>
      <c r="C324" s="7" t="s">
        <v>816</v>
      </c>
      <c r="D324" s="8" t="s">
        <v>147</v>
      </c>
      <c r="E324" s="8" t="s">
        <v>67</v>
      </c>
      <c r="F324" s="8" t="s">
        <v>35</v>
      </c>
      <c r="G324" s="8" t="s">
        <v>34</v>
      </c>
      <c r="H324" s="8" t="s">
        <v>44</v>
      </c>
      <c r="I324" s="11">
        <v>6</v>
      </c>
      <c r="J324" s="12">
        <v>78.88</v>
      </c>
      <c r="K324" s="13">
        <v>0</v>
      </c>
      <c r="L324" s="12">
        <v>57.34</v>
      </c>
      <c r="M324" s="14">
        <f>ROUND(tblSprzedaz[[#This Row],[Ilość]]*tblSprzedaz[[#This Row],[Cena netto jednostkowa]]*(1-tblSprzedaz[[#This Row],[Rabat %]]),2)</f>
        <v>473.28</v>
      </c>
      <c r="N324" s="14">
        <f>ROUND(tblSprzedaz[[#This Row],[Ilość]]*tblSprzedaz[[#This Row],[Koszt jednostkowy netto]],2)</f>
        <v>344.04</v>
      </c>
      <c r="O324" s="14">
        <f>tblSprzedaz[[#This Row],[Przychód netto]]-tblSprzedaz[[#This Row],[Koszt całkowity netto]]</f>
        <v>129.23999999999995</v>
      </c>
      <c r="P324" s="15">
        <f>IFERROR(tblSprzedaz[[#This Row],[Marża kwotowa]]/tblSprzedaz[[#This Row],[Przychód netto]],0)</f>
        <v>0.27307302231237313</v>
      </c>
      <c r="Q324" s="16">
        <f>YEAR(tblSprzedaz[[#This Row],[Data]])</f>
        <v>2025</v>
      </c>
      <c r="R324" s="16">
        <f>MONTH(tblSprzedaz[[#This Row],[Data]])</f>
        <v>4</v>
      </c>
      <c r="S324" s="9" t="str">
        <f>YEAR(tblSprzedaz[[#This Row],[Data]])&amp;"-"&amp;RIGHT("0"&amp;MONTH(tblSprzedaz[[#This Row],[Data]]),2)</f>
        <v>2025-04</v>
      </c>
    </row>
    <row r="325" spans="1:19" x14ac:dyDescent="0.25">
      <c r="A325" s="7" t="s">
        <v>817</v>
      </c>
      <c r="B325" s="10">
        <v>45749</v>
      </c>
      <c r="C325" s="7" t="s">
        <v>818</v>
      </c>
      <c r="D325" s="8" t="s">
        <v>107</v>
      </c>
      <c r="E325" s="8" t="s">
        <v>66</v>
      </c>
      <c r="F325" s="8" t="s">
        <v>35</v>
      </c>
      <c r="G325" s="8" t="s">
        <v>36</v>
      </c>
      <c r="H325" s="8" t="s">
        <v>46</v>
      </c>
      <c r="I325" s="11">
        <v>15</v>
      </c>
      <c r="J325" s="12">
        <v>67.319999999999993</v>
      </c>
      <c r="K325" s="13">
        <v>0</v>
      </c>
      <c r="L325" s="12">
        <v>50.3</v>
      </c>
      <c r="M325" s="14">
        <f>ROUND(tblSprzedaz[[#This Row],[Ilość]]*tblSprzedaz[[#This Row],[Cena netto jednostkowa]]*(1-tblSprzedaz[[#This Row],[Rabat %]]),2)</f>
        <v>1009.8</v>
      </c>
      <c r="N325" s="14">
        <f>ROUND(tblSprzedaz[[#This Row],[Ilość]]*tblSprzedaz[[#This Row],[Koszt jednostkowy netto]],2)</f>
        <v>754.5</v>
      </c>
      <c r="O325" s="14">
        <f>tblSprzedaz[[#This Row],[Przychód netto]]-tblSprzedaz[[#This Row],[Koszt całkowity netto]]</f>
        <v>255.29999999999995</v>
      </c>
      <c r="P325" s="15">
        <f>IFERROR(tblSprzedaz[[#This Row],[Marża kwotowa]]/tblSprzedaz[[#This Row],[Przychód netto]],0)</f>
        <v>0.25282234105763512</v>
      </c>
      <c r="Q325" s="16">
        <f>YEAR(tblSprzedaz[[#This Row],[Data]])</f>
        <v>2025</v>
      </c>
      <c r="R325" s="16">
        <f>MONTH(tblSprzedaz[[#This Row],[Data]])</f>
        <v>4</v>
      </c>
      <c r="S325" s="9" t="str">
        <f>YEAR(tblSprzedaz[[#This Row],[Data]])&amp;"-"&amp;RIGHT("0"&amp;MONTH(tblSprzedaz[[#This Row],[Data]]),2)</f>
        <v>2025-04</v>
      </c>
    </row>
    <row r="326" spans="1:19" x14ac:dyDescent="0.25">
      <c r="A326" s="7" t="s">
        <v>819</v>
      </c>
      <c r="B326" s="10">
        <v>45749</v>
      </c>
      <c r="C326" s="7" t="s">
        <v>820</v>
      </c>
      <c r="D326" s="8" t="s">
        <v>79</v>
      </c>
      <c r="E326" s="8" t="s">
        <v>50</v>
      </c>
      <c r="F326" s="8" t="s">
        <v>29</v>
      </c>
      <c r="G326" s="8" t="s">
        <v>32</v>
      </c>
      <c r="H326" s="8" t="s">
        <v>43</v>
      </c>
      <c r="I326" s="11">
        <v>27</v>
      </c>
      <c r="J326" s="12">
        <v>45.22</v>
      </c>
      <c r="K326" s="13">
        <v>0.05</v>
      </c>
      <c r="L326" s="12">
        <v>26.52</v>
      </c>
      <c r="M326" s="14">
        <f>ROUND(tblSprzedaz[[#This Row],[Ilość]]*tblSprzedaz[[#This Row],[Cena netto jednostkowa]]*(1-tblSprzedaz[[#This Row],[Rabat %]]),2)</f>
        <v>1159.8900000000001</v>
      </c>
      <c r="N326" s="14">
        <f>ROUND(tblSprzedaz[[#This Row],[Ilość]]*tblSprzedaz[[#This Row],[Koszt jednostkowy netto]],2)</f>
        <v>716.04</v>
      </c>
      <c r="O326" s="14">
        <f>tblSprzedaz[[#This Row],[Przychód netto]]-tblSprzedaz[[#This Row],[Koszt całkowity netto]]</f>
        <v>443.85000000000014</v>
      </c>
      <c r="P326" s="15">
        <f>IFERROR(tblSprzedaz[[#This Row],[Marża kwotowa]]/tblSprzedaz[[#This Row],[Przychód netto]],0)</f>
        <v>0.38266559759977248</v>
      </c>
      <c r="Q326" s="16">
        <f>YEAR(tblSprzedaz[[#This Row],[Data]])</f>
        <v>2025</v>
      </c>
      <c r="R326" s="16">
        <f>MONTH(tblSprzedaz[[#This Row],[Data]])</f>
        <v>4</v>
      </c>
      <c r="S326" s="9" t="str">
        <f>YEAR(tblSprzedaz[[#This Row],[Data]])&amp;"-"&amp;RIGHT("0"&amp;MONTH(tblSprzedaz[[#This Row],[Data]]),2)</f>
        <v>2025-04</v>
      </c>
    </row>
    <row r="327" spans="1:19" x14ac:dyDescent="0.25">
      <c r="A327" s="7" t="s">
        <v>821</v>
      </c>
      <c r="B327" s="10">
        <v>45749</v>
      </c>
      <c r="C327" s="7" t="s">
        <v>822</v>
      </c>
      <c r="D327" s="8" t="s">
        <v>113</v>
      </c>
      <c r="E327" s="8" t="s">
        <v>62</v>
      </c>
      <c r="F327" s="8" t="s">
        <v>33</v>
      </c>
      <c r="G327" s="8" t="s">
        <v>34</v>
      </c>
      <c r="H327" s="8" t="s">
        <v>44</v>
      </c>
      <c r="I327" s="11">
        <v>14</v>
      </c>
      <c r="J327" s="12">
        <v>611.79999999999995</v>
      </c>
      <c r="K327" s="13">
        <v>0.1</v>
      </c>
      <c r="L327" s="12">
        <v>433.85</v>
      </c>
      <c r="M327" s="14">
        <f>ROUND(tblSprzedaz[[#This Row],[Ilość]]*tblSprzedaz[[#This Row],[Cena netto jednostkowa]]*(1-tblSprzedaz[[#This Row],[Rabat %]]),2)</f>
        <v>7708.68</v>
      </c>
      <c r="N327" s="14">
        <f>ROUND(tblSprzedaz[[#This Row],[Ilość]]*tblSprzedaz[[#This Row],[Koszt jednostkowy netto]],2)</f>
        <v>6073.9</v>
      </c>
      <c r="O327" s="14">
        <f>tblSprzedaz[[#This Row],[Przychód netto]]-tblSprzedaz[[#This Row],[Koszt całkowity netto]]</f>
        <v>1634.7800000000007</v>
      </c>
      <c r="P327" s="15">
        <f>IFERROR(tblSprzedaz[[#This Row],[Marża kwotowa]]/tblSprzedaz[[#This Row],[Przychód netto]],0)</f>
        <v>0.21207003014783343</v>
      </c>
      <c r="Q327" s="16">
        <f>YEAR(tblSprzedaz[[#This Row],[Data]])</f>
        <v>2025</v>
      </c>
      <c r="R327" s="16">
        <f>MONTH(tblSprzedaz[[#This Row],[Data]])</f>
        <v>4</v>
      </c>
      <c r="S327" s="9" t="str">
        <f>YEAR(tblSprzedaz[[#This Row],[Data]])&amp;"-"&amp;RIGHT("0"&amp;MONTH(tblSprzedaz[[#This Row],[Data]]),2)</f>
        <v>2025-04</v>
      </c>
    </row>
    <row r="328" spans="1:19" x14ac:dyDescent="0.25">
      <c r="A328" s="7" t="s">
        <v>823</v>
      </c>
      <c r="B328" s="10">
        <v>45750</v>
      </c>
      <c r="C328" s="7" t="s">
        <v>824</v>
      </c>
      <c r="D328" s="8" t="s">
        <v>139</v>
      </c>
      <c r="E328" s="8" t="s">
        <v>68</v>
      </c>
      <c r="F328" s="8" t="s">
        <v>35</v>
      </c>
      <c r="G328" s="8" t="s">
        <v>28</v>
      </c>
      <c r="H328" s="8" t="s">
        <v>38</v>
      </c>
      <c r="I328" s="11">
        <v>1</v>
      </c>
      <c r="J328" s="12">
        <v>90.44</v>
      </c>
      <c r="K328" s="13">
        <v>0.05</v>
      </c>
      <c r="L328" s="12">
        <v>67.28</v>
      </c>
      <c r="M328" s="14">
        <f>ROUND(tblSprzedaz[[#This Row],[Ilość]]*tblSprzedaz[[#This Row],[Cena netto jednostkowa]]*(1-tblSprzedaz[[#This Row],[Rabat %]]),2)</f>
        <v>85.92</v>
      </c>
      <c r="N328" s="14">
        <f>ROUND(tblSprzedaz[[#This Row],[Ilość]]*tblSprzedaz[[#This Row],[Koszt jednostkowy netto]],2)</f>
        <v>67.28</v>
      </c>
      <c r="O328" s="14">
        <f>tblSprzedaz[[#This Row],[Przychód netto]]-tblSprzedaz[[#This Row],[Koszt całkowity netto]]</f>
        <v>18.64</v>
      </c>
      <c r="P328" s="15">
        <f>IFERROR(tblSprzedaz[[#This Row],[Marża kwotowa]]/tblSprzedaz[[#This Row],[Przychód netto]],0)</f>
        <v>0.21694599627560521</v>
      </c>
      <c r="Q328" s="16">
        <f>YEAR(tblSprzedaz[[#This Row],[Data]])</f>
        <v>2025</v>
      </c>
      <c r="R328" s="16">
        <f>MONTH(tblSprzedaz[[#This Row],[Data]])</f>
        <v>4</v>
      </c>
      <c r="S328" s="9" t="str">
        <f>YEAR(tblSprzedaz[[#This Row],[Data]])&amp;"-"&amp;RIGHT("0"&amp;MONTH(tblSprzedaz[[#This Row],[Data]]),2)</f>
        <v>2025-04</v>
      </c>
    </row>
    <row r="329" spans="1:19" x14ac:dyDescent="0.25">
      <c r="A329" s="7" t="s">
        <v>825</v>
      </c>
      <c r="B329" s="10">
        <v>45750</v>
      </c>
      <c r="C329" s="7" t="s">
        <v>826</v>
      </c>
      <c r="D329" s="8" t="s">
        <v>111</v>
      </c>
      <c r="E329" s="8" t="s">
        <v>77</v>
      </c>
      <c r="F329" s="8" t="s">
        <v>37</v>
      </c>
      <c r="G329" s="8" t="s">
        <v>30</v>
      </c>
      <c r="H329" s="8" t="s">
        <v>41</v>
      </c>
      <c r="I329" s="11">
        <v>10</v>
      </c>
      <c r="J329" s="12">
        <v>77.900000000000006</v>
      </c>
      <c r="K329" s="13">
        <v>0</v>
      </c>
      <c r="L329" s="12">
        <v>57.52</v>
      </c>
      <c r="M329" s="14">
        <f>ROUND(tblSprzedaz[[#This Row],[Ilość]]*tblSprzedaz[[#This Row],[Cena netto jednostkowa]]*(1-tblSprzedaz[[#This Row],[Rabat %]]),2)</f>
        <v>779</v>
      </c>
      <c r="N329" s="14">
        <f>ROUND(tblSprzedaz[[#This Row],[Ilość]]*tblSprzedaz[[#This Row],[Koszt jednostkowy netto]],2)</f>
        <v>575.20000000000005</v>
      </c>
      <c r="O329" s="14">
        <f>tblSprzedaz[[#This Row],[Przychód netto]]-tblSprzedaz[[#This Row],[Koszt całkowity netto]]</f>
        <v>203.79999999999995</v>
      </c>
      <c r="P329" s="15">
        <f>IFERROR(tblSprzedaz[[#This Row],[Marża kwotowa]]/tblSprzedaz[[#This Row],[Przychód netto]],0)</f>
        <v>0.26161745827984589</v>
      </c>
      <c r="Q329" s="16">
        <f>YEAR(tblSprzedaz[[#This Row],[Data]])</f>
        <v>2025</v>
      </c>
      <c r="R329" s="16">
        <f>MONTH(tblSprzedaz[[#This Row],[Data]])</f>
        <v>4</v>
      </c>
      <c r="S329" s="9" t="str">
        <f>YEAR(tblSprzedaz[[#This Row],[Data]])&amp;"-"&amp;RIGHT("0"&amp;MONTH(tblSprzedaz[[#This Row],[Data]]),2)</f>
        <v>2025-04</v>
      </c>
    </row>
    <row r="330" spans="1:19" x14ac:dyDescent="0.25">
      <c r="A330" s="7" t="s">
        <v>827</v>
      </c>
      <c r="B330" s="10">
        <v>45750</v>
      </c>
      <c r="C330" s="7" t="s">
        <v>828</v>
      </c>
      <c r="D330" s="8" t="s">
        <v>121</v>
      </c>
      <c r="E330" s="8" t="s">
        <v>65</v>
      </c>
      <c r="F330" s="8" t="s">
        <v>33</v>
      </c>
      <c r="G330" s="8" t="s">
        <v>36</v>
      </c>
      <c r="H330" s="8" t="s">
        <v>46</v>
      </c>
      <c r="I330" s="11">
        <v>15</v>
      </c>
      <c r="J330" s="12">
        <v>377.2</v>
      </c>
      <c r="K330" s="13">
        <v>0</v>
      </c>
      <c r="L330" s="12">
        <v>251.71</v>
      </c>
      <c r="M330" s="14">
        <f>ROUND(tblSprzedaz[[#This Row],[Ilość]]*tblSprzedaz[[#This Row],[Cena netto jednostkowa]]*(1-tblSprzedaz[[#This Row],[Rabat %]]),2)</f>
        <v>5658</v>
      </c>
      <c r="N330" s="14">
        <f>ROUND(tblSprzedaz[[#This Row],[Ilość]]*tblSprzedaz[[#This Row],[Koszt jednostkowy netto]],2)</f>
        <v>3775.65</v>
      </c>
      <c r="O330" s="14">
        <f>tblSprzedaz[[#This Row],[Przychód netto]]-tblSprzedaz[[#This Row],[Koszt całkowity netto]]</f>
        <v>1882.35</v>
      </c>
      <c r="P330" s="15">
        <f>IFERROR(tblSprzedaz[[#This Row],[Marża kwotowa]]/tblSprzedaz[[#This Row],[Przychód netto]],0)</f>
        <v>0.3326882290562036</v>
      </c>
      <c r="Q330" s="16">
        <f>YEAR(tblSprzedaz[[#This Row],[Data]])</f>
        <v>2025</v>
      </c>
      <c r="R330" s="16">
        <f>MONTH(tblSprzedaz[[#This Row],[Data]])</f>
        <v>4</v>
      </c>
      <c r="S330" s="9" t="str">
        <f>YEAR(tblSprzedaz[[#This Row],[Data]])&amp;"-"&amp;RIGHT("0"&amp;MONTH(tblSprzedaz[[#This Row],[Data]]),2)</f>
        <v>2025-04</v>
      </c>
    </row>
    <row r="331" spans="1:19" x14ac:dyDescent="0.25">
      <c r="A331" s="7" t="s">
        <v>829</v>
      </c>
      <c r="B331" s="10">
        <v>45751</v>
      </c>
      <c r="C331" s="7" t="s">
        <v>830</v>
      </c>
      <c r="D331" s="8" t="s">
        <v>132</v>
      </c>
      <c r="E331" s="8" t="s">
        <v>59</v>
      </c>
      <c r="F331" s="8" t="s">
        <v>31</v>
      </c>
      <c r="G331" s="8" t="s">
        <v>30</v>
      </c>
      <c r="H331" s="8" t="s">
        <v>40</v>
      </c>
      <c r="I331" s="11">
        <v>12</v>
      </c>
      <c r="J331" s="12">
        <v>172.2</v>
      </c>
      <c r="K331" s="13">
        <v>0.1</v>
      </c>
      <c r="L331" s="12">
        <v>108.97</v>
      </c>
      <c r="M331" s="14">
        <f>ROUND(tblSprzedaz[[#This Row],[Ilość]]*tblSprzedaz[[#This Row],[Cena netto jednostkowa]]*(1-tblSprzedaz[[#This Row],[Rabat %]]),2)</f>
        <v>1859.76</v>
      </c>
      <c r="N331" s="14">
        <f>ROUND(tblSprzedaz[[#This Row],[Ilość]]*tblSprzedaz[[#This Row],[Koszt jednostkowy netto]],2)</f>
        <v>1307.6400000000001</v>
      </c>
      <c r="O331" s="14">
        <f>tblSprzedaz[[#This Row],[Przychód netto]]-tblSprzedaz[[#This Row],[Koszt całkowity netto]]</f>
        <v>552.11999999999989</v>
      </c>
      <c r="P331" s="15">
        <f>IFERROR(tblSprzedaz[[#This Row],[Marża kwotowa]]/tblSprzedaz[[#This Row],[Przychód netto]],0)</f>
        <v>0.29687701638921143</v>
      </c>
      <c r="Q331" s="16">
        <f>YEAR(tblSprzedaz[[#This Row],[Data]])</f>
        <v>2025</v>
      </c>
      <c r="R331" s="16">
        <f>MONTH(tblSprzedaz[[#This Row],[Data]])</f>
        <v>4</v>
      </c>
      <c r="S331" s="9" t="str">
        <f>YEAR(tblSprzedaz[[#This Row],[Data]])&amp;"-"&amp;RIGHT("0"&amp;MONTH(tblSprzedaz[[#This Row],[Data]]),2)</f>
        <v>2025-04</v>
      </c>
    </row>
    <row r="332" spans="1:19" x14ac:dyDescent="0.25">
      <c r="A332" s="7" t="s">
        <v>831</v>
      </c>
      <c r="B332" s="10">
        <v>45751</v>
      </c>
      <c r="C332" s="7" t="s">
        <v>832</v>
      </c>
      <c r="D332" s="8" t="s">
        <v>118</v>
      </c>
      <c r="E332" s="8" t="s">
        <v>72</v>
      </c>
      <c r="F332" s="8" t="s">
        <v>37</v>
      </c>
      <c r="G332" s="8" t="s">
        <v>32</v>
      </c>
      <c r="H332" s="8" t="s">
        <v>42</v>
      </c>
      <c r="I332" s="11">
        <v>19</v>
      </c>
      <c r="J332" s="12">
        <v>94.05</v>
      </c>
      <c r="K332" s="13">
        <v>0.05</v>
      </c>
      <c r="L332" s="12">
        <v>75.78</v>
      </c>
      <c r="M332" s="14">
        <f>ROUND(tblSprzedaz[[#This Row],[Ilość]]*tblSprzedaz[[#This Row],[Cena netto jednostkowa]]*(1-tblSprzedaz[[#This Row],[Rabat %]]),2)</f>
        <v>1697.6</v>
      </c>
      <c r="N332" s="14">
        <f>ROUND(tblSprzedaz[[#This Row],[Ilość]]*tblSprzedaz[[#This Row],[Koszt jednostkowy netto]],2)</f>
        <v>1439.82</v>
      </c>
      <c r="O332" s="14">
        <f>tblSprzedaz[[#This Row],[Przychód netto]]-tblSprzedaz[[#This Row],[Koszt całkowity netto]]</f>
        <v>257.77999999999997</v>
      </c>
      <c r="P332" s="15">
        <f>IFERROR(tblSprzedaz[[#This Row],[Marża kwotowa]]/tblSprzedaz[[#This Row],[Przychód netto]],0)</f>
        <v>0.1518496701225259</v>
      </c>
      <c r="Q332" s="16">
        <f>YEAR(tblSprzedaz[[#This Row],[Data]])</f>
        <v>2025</v>
      </c>
      <c r="R332" s="16">
        <f>MONTH(tblSprzedaz[[#This Row],[Data]])</f>
        <v>4</v>
      </c>
      <c r="S332" s="9" t="str">
        <f>YEAR(tblSprzedaz[[#This Row],[Data]])&amp;"-"&amp;RIGHT("0"&amp;MONTH(tblSprzedaz[[#This Row],[Data]]),2)</f>
        <v>2025-04</v>
      </c>
    </row>
    <row r="333" spans="1:19" x14ac:dyDescent="0.25">
      <c r="A333" s="7" t="s">
        <v>833</v>
      </c>
      <c r="B333" s="10">
        <v>45751</v>
      </c>
      <c r="C333" s="7" t="s">
        <v>834</v>
      </c>
      <c r="D333" s="8" t="s">
        <v>105</v>
      </c>
      <c r="E333" s="8" t="s">
        <v>68</v>
      </c>
      <c r="F333" s="8" t="s">
        <v>35</v>
      </c>
      <c r="G333" s="8" t="s">
        <v>32</v>
      </c>
      <c r="H333" s="8" t="s">
        <v>43</v>
      </c>
      <c r="I333" s="11">
        <v>24</v>
      </c>
      <c r="J333" s="12">
        <v>90.44</v>
      </c>
      <c r="K333" s="13">
        <v>0.15</v>
      </c>
      <c r="L333" s="12">
        <v>63.05</v>
      </c>
      <c r="M333" s="14">
        <f>ROUND(tblSprzedaz[[#This Row],[Ilość]]*tblSprzedaz[[#This Row],[Cena netto jednostkowa]]*(1-tblSprzedaz[[#This Row],[Rabat %]]),2)</f>
        <v>1844.98</v>
      </c>
      <c r="N333" s="14">
        <f>ROUND(tblSprzedaz[[#This Row],[Ilość]]*tblSprzedaz[[#This Row],[Koszt jednostkowy netto]],2)</f>
        <v>1513.2</v>
      </c>
      <c r="O333" s="14">
        <f>tblSprzedaz[[#This Row],[Przychód netto]]-tblSprzedaz[[#This Row],[Koszt całkowity netto]]</f>
        <v>331.78</v>
      </c>
      <c r="P333" s="15">
        <f>IFERROR(tblSprzedaz[[#This Row],[Marża kwotowa]]/tblSprzedaz[[#This Row],[Przychód netto]],0)</f>
        <v>0.17982850762609892</v>
      </c>
      <c r="Q333" s="16">
        <f>YEAR(tblSprzedaz[[#This Row],[Data]])</f>
        <v>2025</v>
      </c>
      <c r="R333" s="16">
        <f>MONTH(tblSprzedaz[[#This Row],[Data]])</f>
        <v>4</v>
      </c>
      <c r="S333" s="9" t="str">
        <f>YEAR(tblSprzedaz[[#This Row],[Data]])&amp;"-"&amp;RIGHT("0"&amp;MONTH(tblSprzedaz[[#This Row],[Data]]),2)</f>
        <v>2025-04</v>
      </c>
    </row>
    <row r="334" spans="1:19" x14ac:dyDescent="0.25">
      <c r="A334" s="7" t="s">
        <v>835</v>
      </c>
      <c r="B334" s="10">
        <v>45751</v>
      </c>
      <c r="C334" s="7" t="s">
        <v>836</v>
      </c>
      <c r="D334" s="8" t="s">
        <v>91</v>
      </c>
      <c r="E334" s="8" t="s">
        <v>75</v>
      </c>
      <c r="F334" s="8" t="s">
        <v>37</v>
      </c>
      <c r="G334" s="8" t="s">
        <v>28</v>
      </c>
      <c r="H334" s="8" t="s">
        <v>38</v>
      </c>
      <c r="I334" s="11">
        <v>16</v>
      </c>
      <c r="J334" s="12">
        <v>142.5</v>
      </c>
      <c r="K334" s="13">
        <v>0</v>
      </c>
      <c r="L334" s="12">
        <v>105.13</v>
      </c>
      <c r="M334" s="14">
        <f>ROUND(tblSprzedaz[[#This Row],[Ilość]]*tblSprzedaz[[#This Row],[Cena netto jednostkowa]]*(1-tblSprzedaz[[#This Row],[Rabat %]]),2)</f>
        <v>2280</v>
      </c>
      <c r="N334" s="14">
        <f>ROUND(tblSprzedaz[[#This Row],[Ilość]]*tblSprzedaz[[#This Row],[Koszt jednostkowy netto]],2)</f>
        <v>1682.08</v>
      </c>
      <c r="O334" s="14">
        <f>tblSprzedaz[[#This Row],[Przychód netto]]-tblSprzedaz[[#This Row],[Koszt całkowity netto]]</f>
        <v>597.92000000000007</v>
      </c>
      <c r="P334" s="15">
        <f>IFERROR(tblSprzedaz[[#This Row],[Marża kwotowa]]/tblSprzedaz[[#This Row],[Przychód netto]],0)</f>
        <v>0.26224561403508773</v>
      </c>
      <c r="Q334" s="16">
        <f>YEAR(tblSprzedaz[[#This Row],[Data]])</f>
        <v>2025</v>
      </c>
      <c r="R334" s="16">
        <f>MONTH(tblSprzedaz[[#This Row],[Data]])</f>
        <v>4</v>
      </c>
      <c r="S334" s="9" t="str">
        <f>YEAR(tblSprzedaz[[#This Row],[Data]])&amp;"-"&amp;RIGHT("0"&amp;MONTH(tblSprzedaz[[#This Row],[Data]]),2)</f>
        <v>2025-04</v>
      </c>
    </row>
    <row r="335" spans="1:19" x14ac:dyDescent="0.25">
      <c r="A335" s="7" t="s">
        <v>837</v>
      </c>
      <c r="B335" s="10">
        <v>45751</v>
      </c>
      <c r="C335" s="7" t="s">
        <v>838</v>
      </c>
      <c r="D335" s="8" t="s">
        <v>90</v>
      </c>
      <c r="E335" s="8" t="s">
        <v>56</v>
      </c>
      <c r="F335" s="8" t="s">
        <v>31</v>
      </c>
      <c r="G335" s="8" t="s">
        <v>28</v>
      </c>
      <c r="H335" s="8" t="s">
        <v>38</v>
      </c>
      <c r="I335" s="11">
        <v>19</v>
      </c>
      <c r="J335" s="12">
        <v>279.3</v>
      </c>
      <c r="K335" s="13">
        <v>0</v>
      </c>
      <c r="L335" s="12">
        <v>176.74</v>
      </c>
      <c r="M335" s="14">
        <f>ROUND(tblSprzedaz[[#This Row],[Ilość]]*tblSprzedaz[[#This Row],[Cena netto jednostkowa]]*(1-tblSprzedaz[[#This Row],[Rabat %]]),2)</f>
        <v>5306.7</v>
      </c>
      <c r="N335" s="14">
        <f>ROUND(tblSprzedaz[[#This Row],[Ilość]]*tblSprzedaz[[#This Row],[Koszt jednostkowy netto]],2)</f>
        <v>3358.06</v>
      </c>
      <c r="O335" s="14">
        <f>tblSprzedaz[[#This Row],[Przychód netto]]-tblSprzedaz[[#This Row],[Koszt całkowity netto]]</f>
        <v>1948.6399999999999</v>
      </c>
      <c r="P335" s="15">
        <f>IFERROR(tblSprzedaz[[#This Row],[Marża kwotowa]]/tblSprzedaz[[#This Row],[Przychód netto]],0)</f>
        <v>0.36720372359470105</v>
      </c>
      <c r="Q335" s="16">
        <f>YEAR(tblSprzedaz[[#This Row],[Data]])</f>
        <v>2025</v>
      </c>
      <c r="R335" s="16">
        <f>MONTH(tblSprzedaz[[#This Row],[Data]])</f>
        <v>4</v>
      </c>
      <c r="S335" s="9" t="str">
        <f>YEAR(tblSprzedaz[[#This Row],[Data]])&amp;"-"&amp;RIGHT("0"&amp;MONTH(tblSprzedaz[[#This Row],[Data]]),2)</f>
        <v>2025-04</v>
      </c>
    </row>
    <row r="336" spans="1:19" x14ac:dyDescent="0.25">
      <c r="A336" s="7" t="s">
        <v>839</v>
      </c>
      <c r="B336" s="10">
        <v>45752</v>
      </c>
      <c r="C336" s="7" t="s">
        <v>840</v>
      </c>
      <c r="D336" s="8" t="s">
        <v>138</v>
      </c>
      <c r="E336" s="8" t="s">
        <v>60</v>
      </c>
      <c r="F336" s="8" t="s">
        <v>33</v>
      </c>
      <c r="G336" s="8" t="s">
        <v>34</v>
      </c>
      <c r="H336" s="8" t="s">
        <v>44</v>
      </c>
      <c r="I336" s="11">
        <v>12</v>
      </c>
      <c r="J336" s="12">
        <v>455.4</v>
      </c>
      <c r="K336" s="13">
        <v>0.15</v>
      </c>
      <c r="L336" s="12">
        <v>307.39999999999998</v>
      </c>
      <c r="M336" s="14">
        <f>ROUND(tblSprzedaz[[#This Row],[Ilość]]*tblSprzedaz[[#This Row],[Cena netto jednostkowa]]*(1-tblSprzedaz[[#This Row],[Rabat %]]),2)</f>
        <v>4645.08</v>
      </c>
      <c r="N336" s="14">
        <f>ROUND(tblSprzedaz[[#This Row],[Ilość]]*tblSprzedaz[[#This Row],[Koszt jednostkowy netto]],2)</f>
        <v>3688.8</v>
      </c>
      <c r="O336" s="14">
        <f>tblSprzedaz[[#This Row],[Przychód netto]]-tblSprzedaz[[#This Row],[Koszt całkowity netto]]</f>
        <v>956.27999999999975</v>
      </c>
      <c r="P336" s="15">
        <f>IFERROR(tblSprzedaz[[#This Row],[Marża kwotowa]]/tblSprzedaz[[#This Row],[Przychód netto]],0)</f>
        <v>0.20586943604846414</v>
      </c>
      <c r="Q336" s="16">
        <f>YEAR(tblSprzedaz[[#This Row],[Data]])</f>
        <v>2025</v>
      </c>
      <c r="R336" s="16">
        <f>MONTH(tblSprzedaz[[#This Row],[Data]])</f>
        <v>4</v>
      </c>
      <c r="S336" s="9" t="str">
        <f>YEAR(tblSprzedaz[[#This Row],[Data]])&amp;"-"&amp;RIGHT("0"&amp;MONTH(tblSprzedaz[[#This Row],[Data]]),2)</f>
        <v>2025-04</v>
      </c>
    </row>
    <row r="337" spans="1:19" x14ac:dyDescent="0.25">
      <c r="A337" s="7" t="s">
        <v>841</v>
      </c>
      <c r="B337" s="10">
        <v>45752</v>
      </c>
      <c r="C337" s="7" t="s">
        <v>842</v>
      </c>
      <c r="D337" s="8" t="s">
        <v>95</v>
      </c>
      <c r="E337" s="8" t="s">
        <v>72</v>
      </c>
      <c r="F337" s="8" t="s">
        <v>37</v>
      </c>
      <c r="G337" s="8" t="s">
        <v>28</v>
      </c>
      <c r="H337" s="8" t="s">
        <v>38</v>
      </c>
      <c r="I337" s="11">
        <v>4</v>
      </c>
      <c r="J337" s="12">
        <v>94.05</v>
      </c>
      <c r="K337" s="13">
        <v>0.05</v>
      </c>
      <c r="L337" s="12">
        <v>71.180000000000007</v>
      </c>
      <c r="M337" s="14">
        <f>ROUND(tblSprzedaz[[#This Row],[Ilość]]*tblSprzedaz[[#This Row],[Cena netto jednostkowa]]*(1-tblSprzedaz[[#This Row],[Rabat %]]),2)</f>
        <v>357.39</v>
      </c>
      <c r="N337" s="14">
        <f>ROUND(tblSprzedaz[[#This Row],[Ilość]]*tblSprzedaz[[#This Row],[Koszt jednostkowy netto]],2)</f>
        <v>284.72000000000003</v>
      </c>
      <c r="O337" s="14">
        <f>tblSprzedaz[[#This Row],[Przychód netto]]-tblSprzedaz[[#This Row],[Koszt całkowity netto]]</f>
        <v>72.669999999999959</v>
      </c>
      <c r="P337" s="15">
        <f>IFERROR(tblSprzedaz[[#This Row],[Marża kwotowa]]/tblSprzedaz[[#This Row],[Przychód netto]],0)</f>
        <v>0.20333529197795114</v>
      </c>
      <c r="Q337" s="16">
        <f>YEAR(tblSprzedaz[[#This Row],[Data]])</f>
        <v>2025</v>
      </c>
      <c r="R337" s="16">
        <f>MONTH(tblSprzedaz[[#This Row],[Data]])</f>
        <v>4</v>
      </c>
      <c r="S337" s="9" t="str">
        <f>YEAR(tblSprzedaz[[#This Row],[Data]])&amp;"-"&amp;RIGHT("0"&amp;MONTH(tblSprzedaz[[#This Row],[Data]]),2)</f>
        <v>2025-04</v>
      </c>
    </row>
    <row r="338" spans="1:19" x14ac:dyDescent="0.25">
      <c r="A338" s="7" t="s">
        <v>843</v>
      </c>
      <c r="B338" s="10">
        <v>45753</v>
      </c>
      <c r="C338" s="7" t="s">
        <v>844</v>
      </c>
      <c r="D338" s="8" t="s">
        <v>88</v>
      </c>
      <c r="E338" s="8" t="s">
        <v>64</v>
      </c>
      <c r="F338" s="8" t="s">
        <v>33</v>
      </c>
      <c r="G338" s="8" t="s">
        <v>32</v>
      </c>
      <c r="H338" s="8" t="s">
        <v>42</v>
      </c>
      <c r="I338" s="11">
        <v>3</v>
      </c>
      <c r="J338" s="12">
        <v>768.2</v>
      </c>
      <c r="K338" s="13">
        <v>0</v>
      </c>
      <c r="L338" s="12">
        <v>503.14</v>
      </c>
      <c r="M338" s="14">
        <f>ROUND(tblSprzedaz[[#This Row],[Ilość]]*tblSprzedaz[[#This Row],[Cena netto jednostkowa]]*(1-tblSprzedaz[[#This Row],[Rabat %]]),2)</f>
        <v>2304.6</v>
      </c>
      <c r="N338" s="14">
        <f>ROUND(tblSprzedaz[[#This Row],[Ilość]]*tblSprzedaz[[#This Row],[Koszt jednostkowy netto]],2)</f>
        <v>1509.42</v>
      </c>
      <c r="O338" s="14">
        <f>tblSprzedaz[[#This Row],[Przychód netto]]-tblSprzedaz[[#This Row],[Koszt całkowity netto]]</f>
        <v>795.17999999999984</v>
      </c>
      <c r="P338" s="15">
        <f>IFERROR(tblSprzedaz[[#This Row],[Marża kwotowa]]/tblSprzedaz[[#This Row],[Przychód netto]],0)</f>
        <v>0.34504035407445971</v>
      </c>
      <c r="Q338" s="16">
        <f>YEAR(tblSprzedaz[[#This Row],[Data]])</f>
        <v>2025</v>
      </c>
      <c r="R338" s="16">
        <f>MONTH(tblSprzedaz[[#This Row],[Data]])</f>
        <v>4</v>
      </c>
      <c r="S338" s="9" t="str">
        <f>YEAR(tblSprzedaz[[#This Row],[Data]])&amp;"-"&amp;RIGHT("0"&amp;MONTH(tblSprzedaz[[#This Row],[Data]]),2)</f>
        <v>2025-04</v>
      </c>
    </row>
    <row r="339" spans="1:19" x14ac:dyDescent="0.25">
      <c r="A339" s="7" t="s">
        <v>845</v>
      </c>
      <c r="B339" s="10">
        <v>45753</v>
      </c>
      <c r="C339" s="7" t="s">
        <v>846</v>
      </c>
      <c r="D339" s="8" t="s">
        <v>83</v>
      </c>
      <c r="E339" s="8" t="s">
        <v>75</v>
      </c>
      <c r="F339" s="8" t="s">
        <v>37</v>
      </c>
      <c r="G339" s="8" t="s">
        <v>34</v>
      </c>
      <c r="H339" s="8" t="s">
        <v>44</v>
      </c>
      <c r="I339" s="11">
        <v>14</v>
      </c>
      <c r="J339" s="12">
        <v>142.5</v>
      </c>
      <c r="K339" s="13">
        <v>0</v>
      </c>
      <c r="L339" s="12">
        <v>111.3</v>
      </c>
      <c r="M339" s="14">
        <f>ROUND(tblSprzedaz[[#This Row],[Ilość]]*tblSprzedaz[[#This Row],[Cena netto jednostkowa]]*(1-tblSprzedaz[[#This Row],[Rabat %]]),2)</f>
        <v>1995</v>
      </c>
      <c r="N339" s="14">
        <f>ROUND(tblSprzedaz[[#This Row],[Ilość]]*tblSprzedaz[[#This Row],[Koszt jednostkowy netto]],2)</f>
        <v>1558.2</v>
      </c>
      <c r="O339" s="14">
        <f>tblSprzedaz[[#This Row],[Przychód netto]]-tblSprzedaz[[#This Row],[Koszt całkowity netto]]</f>
        <v>436.79999999999995</v>
      </c>
      <c r="P339" s="15">
        <f>IFERROR(tblSprzedaz[[#This Row],[Marża kwotowa]]/tblSprzedaz[[#This Row],[Przychód netto]],0)</f>
        <v>0.21894736842105261</v>
      </c>
      <c r="Q339" s="16">
        <f>YEAR(tblSprzedaz[[#This Row],[Data]])</f>
        <v>2025</v>
      </c>
      <c r="R339" s="16">
        <f>MONTH(tblSprzedaz[[#This Row],[Data]])</f>
        <v>4</v>
      </c>
      <c r="S339" s="9" t="str">
        <f>YEAR(tblSprzedaz[[#This Row],[Data]])&amp;"-"&amp;RIGHT("0"&amp;MONTH(tblSprzedaz[[#This Row],[Data]]),2)</f>
        <v>2025-04</v>
      </c>
    </row>
    <row r="340" spans="1:19" x14ac:dyDescent="0.25">
      <c r="A340" s="7" t="s">
        <v>847</v>
      </c>
      <c r="B340" s="10">
        <v>45754</v>
      </c>
      <c r="C340" s="7" t="s">
        <v>848</v>
      </c>
      <c r="D340" s="8" t="s">
        <v>101</v>
      </c>
      <c r="E340" s="8" t="s">
        <v>74</v>
      </c>
      <c r="F340" s="8" t="s">
        <v>37</v>
      </c>
      <c r="G340" s="8" t="s">
        <v>32</v>
      </c>
      <c r="H340" s="8" t="s">
        <v>43</v>
      </c>
      <c r="I340" s="11">
        <v>22</v>
      </c>
      <c r="J340" s="12">
        <v>126.35</v>
      </c>
      <c r="K340" s="13">
        <v>0.05</v>
      </c>
      <c r="L340" s="12">
        <v>97.39</v>
      </c>
      <c r="M340" s="14">
        <f>ROUND(tblSprzedaz[[#This Row],[Ilość]]*tblSprzedaz[[#This Row],[Cena netto jednostkowa]]*(1-tblSprzedaz[[#This Row],[Rabat %]]),2)</f>
        <v>2640.72</v>
      </c>
      <c r="N340" s="14">
        <f>ROUND(tblSprzedaz[[#This Row],[Ilość]]*tblSprzedaz[[#This Row],[Koszt jednostkowy netto]],2)</f>
        <v>2142.58</v>
      </c>
      <c r="O340" s="14">
        <f>tblSprzedaz[[#This Row],[Przychód netto]]-tblSprzedaz[[#This Row],[Koszt całkowity netto]]</f>
        <v>498.13999999999987</v>
      </c>
      <c r="P340" s="15">
        <f>IFERROR(tblSprzedaz[[#This Row],[Marża kwotowa]]/tblSprzedaz[[#This Row],[Przychód netto]],0)</f>
        <v>0.18863794722651395</v>
      </c>
      <c r="Q340" s="16">
        <f>YEAR(tblSprzedaz[[#This Row],[Data]])</f>
        <v>2025</v>
      </c>
      <c r="R340" s="16">
        <f>MONTH(tblSprzedaz[[#This Row],[Data]])</f>
        <v>4</v>
      </c>
      <c r="S340" s="9" t="str">
        <f>YEAR(tblSprzedaz[[#This Row],[Data]])&amp;"-"&amp;RIGHT("0"&amp;MONTH(tblSprzedaz[[#This Row],[Data]]),2)</f>
        <v>2025-04</v>
      </c>
    </row>
    <row r="341" spans="1:19" x14ac:dyDescent="0.25">
      <c r="A341" s="7" t="s">
        <v>849</v>
      </c>
      <c r="B341" s="10">
        <v>45754</v>
      </c>
      <c r="C341" s="7" t="s">
        <v>850</v>
      </c>
      <c r="D341" s="8" t="s">
        <v>98</v>
      </c>
      <c r="E341" s="8" t="s">
        <v>72</v>
      </c>
      <c r="F341" s="8" t="s">
        <v>37</v>
      </c>
      <c r="G341" s="8" t="s">
        <v>30</v>
      </c>
      <c r="H341" s="8" t="s">
        <v>41</v>
      </c>
      <c r="I341" s="11">
        <v>17</v>
      </c>
      <c r="J341" s="12">
        <v>94.05</v>
      </c>
      <c r="K341" s="13">
        <v>0.15</v>
      </c>
      <c r="L341" s="12">
        <v>74.489999999999995</v>
      </c>
      <c r="M341" s="14">
        <f>ROUND(tblSprzedaz[[#This Row],[Ilość]]*tblSprzedaz[[#This Row],[Cena netto jednostkowa]]*(1-tblSprzedaz[[#This Row],[Rabat %]]),2)</f>
        <v>1359.02</v>
      </c>
      <c r="N341" s="14">
        <f>ROUND(tblSprzedaz[[#This Row],[Ilość]]*tblSprzedaz[[#This Row],[Koszt jednostkowy netto]],2)</f>
        <v>1266.33</v>
      </c>
      <c r="O341" s="14">
        <f>tblSprzedaz[[#This Row],[Przychód netto]]-tblSprzedaz[[#This Row],[Koszt całkowity netto]]</f>
        <v>92.690000000000055</v>
      </c>
      <c r="P341" s="15">
        <f>IFERROR(tblSprzedaz[[#This Row],[Marża kwotowa]]/tblSprzedaz[[#This Row],[Przychód netto]],0)</f>
        <v>6.8203558446527687E-2</v>
      </c>
      <c r="Q341" s="16">
        <f>YEAR(tblSprzedaz[[#This Row],[Data]])</f>
        <v>2025</v>
      </c>
      <c r="R341" s="16">
        <f>MONTH(tblSprzedaz[[#This Row],[Data]])</f>
        <v>4</v>
      </c>
      <c r="S341" s="9" t="str">
        <f>YEAR(tblSprzedaz[[#This Row],[Data]])&amp;"-"&amp;RIGHT("0"&amp;MONTH(tblSprzedaz[[#This Row],[Data]]),2)</f>
        <v>2025-04</v>
      </c>
    </row>
    <row r="342" spans="1:19" x14ac:dyDescent="0.25">
      <c r="A342" s="7" t="s">
        <v>851</v>
      </c>
      <c r="B342" s="10">
        <v>45754</v>
      </c>
      <c r="C342" s="7" t="s">
        <v>852</v>
      </c>
      <c r="D342" s="8" t="s">
        <v>140</v>
      </c>
      <c r="E342" s="8" t="s">
        <v>76</v>
      </c>
      <c r="F342" s="8" t="s">
        <v>37</v>
      </c>
      <c r="G342" s="8" t="s">
        <v>36</v>
      </c>
      <c r="H342" s="8" t="s">
        <v>47</v>
      </c>
      <c r="I342" s="11">
        <v>6</v>
      </c>
      <c r="J342" s="12">
        <v>158.65</v>
      </c>
      <c r="K342" s="13">
        <v>0.1</v>
      </c>
      <c r="L342" s="12">
        <v>126.24</v>
      </c>
      <c r="M342" s="14">
        <f>ROUND(tblSprzedaz[[#This Row],[Ilość]]*tblSprzedaz[[#This Row],[Cena netto jednostkowa]]*(1-tblSprzedaz[[#This Row],[Rabat %]]),2)</f>
        <v>856.71</v>
      </c>
      <c r="N342" s="14">
        <f>ROUND(tblSprzedaz[[#This Row],[Ilość]]*tblSprzedaz[[#This Row],[Koszt jednostkowy netto]],2)</f>
        <v>757.44</v>
      </c>
      <c r="O342" s="14">
        <f>tblSprzedaz[[#This Row],[Przychód netto]]-tblSprzedaz[[#This Row],[Koszt całkowity netto]]</f>
        <v>99.269999999999982</v>
      </c>
      <c r="P342" s="15">
        <f>IFERROR(tblSprzedaz[[#This Row],[Marża kwotowa]]/tblSprzedaz[[#This Row],[Przychód netto]],0)</f>
        <v>0.11587351612564342</v>
      </c>
      <c r="Q342" s="16">
        <f>YEAR(tblSprzedaz[[#This Row],[Data]])</f>
        <v>2025</v>
      </c>
      <c r="R342" s="16">
        <f>MONTH(tblSprzedaz[[#This Row],[Data]])</f>
        <v>4</v>
      </c>
      <c r="S342" s="9" t="str">
        <f>YEAR(tblSprzedaz[[#This Row],[Data]])&amp;"-"&amp;RIGHT("0"&amp;MONTH(tblSprzedaz[[#This Row],[Data]]),2)</f>
        <v>2025-04</v>
      </c>
    </row>
    <row r="343" spans="1:19" x14ac:dyDescent="0.25">
      <c r="A343" s="7" t="s">
        <v>853</v>
      </c>
      <c r="B343" s="10">
        <v>45754</v>
      </c>
      <c r="C343" s="7" t="s">
        <v>854</v>
      </c>
      <c r="D343" s="8" t="s">
        <v>84</v>
      </c>
      <c r="E343" s="8" t="s">
        <v>52</v>
      </c>
      <c r="F343" s="8" t="s">
        <v>29</v>
      </c>
      <c r="G343" s="8" t="s">
        <v>32</v>
      </c>
      <c r="H343" s="8" t="s">
        <v>43</v>
      </c>
      <c r="I343" s="11">
        <v>21</v>
      </c>
      <c r="J343" s="12">
        <v>56.78</v>
      </c>
      <c r="K343" s="13">
        <v>0</v>
      </c>
      <c r="L343" s="12">
        <v>35.369999999999997</v>
      </c>
      <c r="M343" s="14">
        <f>ROUND(tblSprzedaz[[#This Row],[Ilość]]*tblSprzedaz[[#This Row],[Cena netto jednostkowa]]*(1-tblSprzedaz[[#This Row],[Rabat %]]),2)</f>
        <v>1192.3800000000001</v>
      </c>
      <c r="N343" s="14">
        <f>ROUND(tblSprzedaz[[#This Row],[Ilość]]*tblSprzedaz[[#This Row],[Koszt jednostkowy netto]],2)</f>
        <v>742.77</v>
      </c>
      <c r="O343" s="14">
        <f>tblSprzedaz[[#This Row],[Przychód netto]]-tblSprzedaz[[#This Row],[Koszt całkowity netto]]</f>
        <v>449.61000000000013</v>
      </c>
      <c r="P343" s="15">
        <f>IFERROR(tblSprzedaz[[#This Row],[Marża kwotowa]]/tblSprzedaz[[#This Row],[Przychód netto]],0)</f>
        <v>0.37706939063050376</v>
      </c>
      <c r="Q343" s="16">
        <f>YEAR(tblSprzedaz[[#This Row],[Data]])</f>
        <v>2025</v>
      </c>
      <c r="R343" s="16">
        <f>MONTH(tblSprzedaz[[#This Row],[Data]])</f>
        <v>4</v>
      </c>
      <c r="S343" s="9" t="str">
        <f>YEAR(tblSprzedaz[[#This Row],[Data]])&amp;"-"&amp;RIGHT("0"&amp;MONTH(tblSprzedaz[[#This Row],[Data]]),2)</f>
        <v>2025-04</v>
      </c>
    </row>
    <row r="344" spans="1:19" x14ac:dyDescent="0.25">
      <c r="A344" s="7" t="s">
        <v>855</v>
      </c>
      <c r="B344" s="10">
        <v>45754</v>
      </c>
      <c r="C344" s="7" t="s">
        <v>856</v>
      </c>
      <c r="D344" s="8" t="s">
        <v>124</v>
      </c>
      <c r="E344" s="8" t="s">
        <v>49</v>
      </c>
      <c r="F344" s="8" t="s">
        <v>29</v>
      </c>
      <c r="G344" s="8" t="s">
        <v>32</v>
      </c>
      <c r="H344" s="8" t="s">
        <v>42</v>
      </c>
      <c r="I344" s="11">
        <v>22</v>
      </c>
      <c r="J344" s="12">
        <v>39.44</v>
      </c>
      <c r="K344" s="13">
        <v>0.05</v>
      </c>
      <c r="L344" s="12">
        <v>23.87</v>
      </c>
      <c r="M344" s="14">
        <f>ROUND(tblSprzedaz[[#This Row],[Ilość]]*tblSprzedaz[[#This Row],[Cena netto jednostkowa]]*(1-tblSprzedaz[[#This Row],[Rabat %]]),2)</f>
        <v>824.3</v>
      </c>
      <c r="N344" s="14">
        <f>ROUND(tblSprzedaz[[#This Row],[Ilość]]*tblSprzedaz[[#This Row],[Koszt jednostkowy netto]],2)</f>
        <v>525.14</v>
      </c>
      <c r="O344" s="14">
        <f>tblSprzedaz[[#This Row],[Przychód netto]]-tblSprzedaz[[#This Row],[Koszt całkowity netto]]</f>
        <v>299.15999999999997</v>
      </c>
      <c r="P344" s="15">
        <f>IFERROR(tblSprzedaz[[#This Row],[Marża kwotowa]]/tblSprzedaz[[#This Row],[Przychód netto]],0)</f>
        <v>0.36292611913138417</v>
      </c>
      <c r="Q344" s="16">
        <f>YEAR(tblSprzedaz[[#This Row],[Data]])</f>
        <v>2025</v>
      </c>
      <c r="R344" s="16">
        <f>MONTH(tblSprzedaz[[#This Row],[Data]])</f>
        <v>4</v>
      </c>
      <c r="S344" s="9" t="str">
        <f>YEAR(tblSprzedaz[[#This Row],[Data]])&amp;"-"&amp;RIGHT("0"&amp;MONTH(tblSprzedaz[[#This Row],[Data]]),2)</f>
        <v>2025-04</v>
      </c>
    </row>
    <row r="345" spans="1:19" x14ac:dyDescent="0.25">
      <c r="A345" s="7" t="s">
        <v>857</v>
      </c>
      <c r="B345" s="10">
        <v>45754</v>
      </c>
      <c r="C345" s="7" t="s">
        <v>858</v>
      </c>
      <c r="D345" s="8" t="s">
        <v>86</v>
      </c>
      <c r="E345" s="8" t="s">
        <v>68</v>
      </c>
      <c r="F345" s="8" t="s">
        <v>35</v>
      </c>
      <c r="G345" s="8" t="s">
        <v>28</v>
      </c>
      <c r="H345" s="8" t="s">
        <v>38</v>
      </c>
      <c r="I345" s="11">
        <v>14</v>
      </c>
      <c r="J345" s="12">
        <v>90.44</v>
      </c>
      <c r="K345" s="13">
        <v>0</v>
      </c>
      <c r="L345" s="12">
        <v>67.89</v>
      </c>
      <c r="M345" s="14">
        <f>ROUND(tblSprzedaz[[#This Row],[Ilość]]*tblSprzedaz[[#This Row],[Cena netto jednostkowa]]*(1-tblSprzedaz[[#This Row],[Rabat %]]),2)</f>
        <v>1266.1600000000001</v>
      </c>
      <c r="N345" s="14">
        <f>ROUND(tblSprzedaz[[#This Row],[Ilość]]*tblSprzedaz[[#This Row],[Koszt jednostkowy netto]],2)</f>
        <v>950.46</v>
      </c>
      <c r="O345" s="14">
        <f>tblSprzedaz[[#This Row],[Przychód netto]]-tblSprzedaz[[#This Row],[Koszt całkowity netto]]</f>
        <v>315.70000000000005</v>
      </c>
      <c r="P345" s="15">
        <f>IFERROR(tblSprzedaz[[#This Row],[Marża kwotowa]]/tblSprzedaz[[#This Row],[Przychód netto]],0)</f>
        <v>0.24933657673595755</v>
      </c>
      <c r="Q345" s="16">
        <f>YEAR(tblSprzedaz[[#This Row],[Data]])</f>
        <v>2025</v>
      </c>
      <c r="R345" s="16">
        <f>MONTH(tblSprzedaz[[#This Row],[Data]])</f>
        <v>4</v>
      </c>
      <c r="S345" s="9" t="str">
        <f>YEAR(tblSprzedaz[[#This Row],[Data]])&amp;"-"&amp;RIGHT("0"&amp;MONTH(tblSprzedaz[[#This Row],[Data]]),2)</f>
        <v>2025-04</v>
      </c>
    </row>
    <row r="346" spans="1:19" x14ac:dyDescent="0.25">
      <c r="A346" s="7" t="s">
        <v>859</v>
      </c>
      <c r="B346" s="10">
        <v>45755</v>
      </c>
      <c r="C346" s="7" t="s">
        <v>860</v>
      </c>
      <c r="D346" s="8" t="s">
        <v>140</v>
      </c>
      <c r="E346" s="8" t="s">
        <v>71</v>
      </c>
      <c r="F346" s="8" t="s">
        <v>35</v>
      </c>
      <c r="G346" s="8" t="s">
        <v>28</v>
      </c>
      <c r="H346" s="8" t="s">
        <v>39</v>
      </c>
      <c r="I346" s="11">
        <v>16</v>
      </c>
      <c r="J346" s="12">
        <v>55.76</v>
      </c>
      <c r="K346" s="13">
        <v>0.15</v>
      </c>
      <c r="L346" s="12">
        <v>41.8</v>
      </c>
      <c r="M346" s="14">
        <f>ROUND(tblSprzedaz[[#This Row],[Ilość]]*tblSprzedaz[[#This Row],[Cena netto jednostkowa]]*(1-tblSprzedaz[[#This Row],[Rabat %]]),2)</f>
        <v>758.34</v>
      </c>
      <c r="N346" s="14">
        <f>ROUND(tblSprzedaz[[#This Row],[Ilość]]*tblSprzedaz[[#This Row],[Koszt jednostkowy netto]],2)</f>
        <v>668.8</v>
      </c>
      <c r="O346" s="14">
        <f>tblSprzedaz[[#This Row],[Przychód netto]]-tblSprzedaz[[#This Row],[Koszt całkowity netto]]</f>
        <v>89.540000000000077</v>
      </c>
      <c r="P346" s="15">
        <f>IFERROR(tblSprzedaz[[#This Row],[Marża kwotowa]]/tblSprzedaz[[#This Row],[Przychód netto]],0)</f>
        <v>0.11807368726428788</v>
      </c>
      <c r="Q346" s="16">
        <f>YEAR(tblSprzedaz[[#This Row],[Data]])</f>
        <v>2025</v>
      </c>
      <c r="R346" s="16">
        <f>MONTH(tblSprzedaz[[#This Row],[Data]])</f>
        <v>4</v>
      </c>
      <c r="S346" s="9" t="str">
        <f>YEAR(tblSprzedaz[[#This Row],[Data]])&amp;"-"&amp;RIGHT("0"&amp;MONTH(tblSprzedaz[[#This Row],[Data]]),2)</f>
        <v>2025-04</v>
      </c>
    </row>
    <row r="347" spans="1:19" x14ac:dyDescent="0.25">
      <c r="A347" s="7" t="s">
        <v>861</v>
      </c>
      <c r="B347" s="10">
        <v>45755</v>
      </c>
      <c r="C347" s="7" t="s">
        <v>862</v>
      </c>
      <c r="D347" s="8" t="s">
        <v>79</v>
      </c>
      <c r="E347" s="8" t="s">
        <v>69</v>
      </c>
      <c r="F347" s="8" t="s">
        <v>35</v>
      </c>
      <c r="G347" s="8" t="s">
        <v>28</v>
      </c>
      <c r="H347" s="8" t="s">
        <v>38</v>
      </c>
      <c r="I347" s="11">
        <v>13</v>
      </c>
      <c r="J347" s="12">
        <v>102</v>
      </c>
      <c r="K347" s="13">
        <v>0.15</v>
      </c>
      <c r="L347" s="12">
        <v>72.349999999999994</v>
      </c>
      <c r="M347" s="14">
        <f>ROUND(tblSprzedaz[[#This Row],[Ilość]]*tblSprzedaz[[#This Row],[Cena netto jednostkowa]]*(1-tblSprzedaz[[#This Row],[Rabat %]]),2)</f>
        <v>1127.0999999999999</v>
      </c>
      <c r="N347" s="14">
        <f>ROUND(tblSprzedaz[[#This Row],[Ilość]]*tblSprzedaz[[#This Row],[Koszt jednostkowy netto]],2)</f>
        <v>940.55</v>
      </c>
      <c r="O347" s="14">
        <f>tblSprzedaz[[#This Row],[Przychód netto]]-tblSprzedaz[[#This Row],[Koszt całkowity netto]]</f>
        <v>186.54999999999995</v>
      </c>
      <c r="P347" s="15">
        <f>IFERROR(tblSprzedaz[[#This Row],[Marża kwotowa]]/tblSprzedaz[[#This Row],[Przychód netto]],0)</f>
        <v>0.16551326412918105</v>
      </c>
      <c r="Q347" s="16">
        <f>YEAR(tblSprzedaz[[#This Row],[Data]])</f>
        <v>2025</v>
      </c>
      <c r="R347" s="16">
        <f>MONTH(tblSprzedaz[[#This Row],[Data]])</f>
        <v>4</v>
      </c>
      <c r="S347" s="9" t="str">
        <f>YEAR(tblSprzedaz[[#This Row],[Data]])&amp;"-"&amp;RIGHT("0"&amp;MONTH(tblSprzedaz[[#This Row],[Data]]),2)</f>
        <v>2025-04</v>
      </c>
    </row>
    <row r="348" spans="1:19" x14ac:dyDescent="0.25">
      <c r="A348" s="7" t="s">
        <v>863</v>
      </c>
      <c r="B348" s="10">
        <v>45755</v>
      </c>
      <c r="C348" s="7" t="s">
        <v>864</v>
      </c>
      <c r="D348" s="8" t="s">
        <v>150</v>
      </c>
      <c r="E348" s="8" t="s">
        <v>49</v>
      </c>
      <c r="F348" s="8" t="s">
        <v>29</v>
      </c>
      <c r="G348" s="8" t="s">
        <v>34</v>
      </c>
      <c r="H348" s="8" t="s">
        <v>45</v>
      </c>
      <c r="I348" s="11">
        <v>6</v>
      </c>
      <c r="J348" s="12">
        <v>39.44</v>
      </c>
      <c r="K348" s="13">
        <v>0</v>
      </c>
      <c r="L348" s="12">
        <v>22.55</v>
      </c>
      <c r="M348" s="14">
        <f>ROUND(tblSprzedaz[[#This Row],[Ilość]]*tblSprzedaz[[#This Row],[Cena netto jednostkowa]]*(1-tblSprzedaz[[#This Row],[Rabat %]]),2)</f>
        <v>236.64</v>
      </c>
      <c r="N348" s="14">
        <f>ROUND(tblSprzedaz[[#This Row],[Ilość]]*tblSprzedaz[[#This Row],[Koszt jednostkowy netto]],2)</f>
        <v>135.30000000000001</v>
      </c>
      <c r="O348" s="14">
        <f>tblSprzedaz[[#This Row],[Przychód netto]]-tblSprzedaz[[#This Row],[Koszt całkowity netto]]</f>
        <v>101.33999999999997</v>
      </c>
      <c r="P348" s="15">
        <f>IFERROR(tblSprzedaz[[#This Row],[Marża kwotowa]]/tblSprzedaz[[#This Row],[Przychód netto]],0)</f>
        <v>0.42824543610547661</v>
      </c>
      <c r="Q348" s="16">
        <f>YEAR(tblSprzedaz[[#This Row],[Data]])</f>
        <v>2025</v>
      </c>
      <c r="R348" s="16">
        <f>MONTH(tblSprzedaz[[#This Row],[Data]])</f>
        <v>4</v>
      </c>
      <c r="S348" s="9" t="str">
        <f>YEAR(tblSprzedaz[[#This Row],[Data]])&amp;"-"&amp;RIGHT("0"&amp;MONTH(tblSprzedaz[[#This Row],[Data]]),2)</f>
        <v>2025-04</v>
      </c>
    </row>
    <row r="349" spans="1:19" x14ac:dyDescent="0.25">
      <c r="A349" s="7" t="s">
        <v>865</v>
      </c>
      <c r="B349" s="10">
        <v>45755</v>
      </c>
      <c r="C349" s="7" t="s">
        <v>866</v>
      </c>
      <c r="D349" s="8" t="s">
        <v>141</v>
      </c>
      <c r="E349" s="8" t="s">
        <v>73</v>
      </c>
      <c r="F349" s="8" t="s">
        <v>37</v>
      </c>
      <c r="G349" s="8" t="s">
        <v>28</v>
      </c>
      <c r="H349" s="8" t="s">
        <v>38</v>
      </c>
      <c r="I349" s="11">
        <v>17</v>
      </c>
      <c r="J349" s="12">
        <v>110.2</v>
      </c>
      <c r="K349" s="13">
        <v>0.15</v>
      </c>
      <c r="L349" s="12">
        <v>84.67</v>
      </c>
      <c r="M349" s="14">
        <f>ROUND(tblSprzedaz[[#This Row],[Ilość]]*tblSprzedaz[[#This Row],[Cena netto jednostkowa]]*(1-tblSprzedaz[[#This Row],[Rabat %]]),2)</f>
        <v>1592.39</v>
      </c>
      <c r="N349" s="14">
        <f>ROUND(tblSprzedaz[[#This Row],[Ilość]]*tblSprzedaz[[#This Row],[Koszt jednostkowy netto]],2)</f>
        <v>1439.39</v>
      </c>
      <c r="O349" s="14">
        <f>tblSprzedaz[[#This Row],[Przychód netto]]-tblSprzedaz[[#This Row],[Koszt całkowity netto]]</f>
        <v>153</v>
      </c>
      <c r="P349" s="15">
        <f>IFERROR(tblSprzedaz[[#This Row],[Marża kwotowa]]/tblSprzedaz[[#This Row],[Przychód netto]],0)</f>
        <v>9.6081989964769937E-2</v>
      </c>
      <c r="Q349" s="16">
        <f>YEAR(tblSprzedaz[[#This Row],[Data]])</f>
        <v>2025</v>
      </c>
      <c r="R349" s="16">
        <f>MONTH(tblSprzedaz[[#This Row],[Data]])</f>
        <v>4</v>
      </c>
      <c r="S349" s="9" t="str">
        <f>YEAR(tblSprzedaz[[#This Row],[Data]])&amp;"-"&amp;RIGHT("0"&amp;MONTH(tblSprzedaz[[#This Row],[Data]]),2)</f>
        <v>2025-04</v>
      </c>
    </row>
    <row r="350" spans="1:19" x14ac:dyDescent="0.25">
      <c r="A350" s="7" t="s">
        <v>867</v>
      </c>
      <c r="B350" s="10">
        <v>45755</v>
      </c>
      <c r="C350" s="7" t="s">
        <v>868</v>
      </c>
      <c r="D350" s="8" t="s">
        <v>135</v>
      </c>
      <c r="E350" s="8" t="s">
        <v>68</v>
      </c>
      <c r="F350" s="8" t="s">
        <v>35</v>
      </c>
      <c r="G350" s="8" t="s">
        <v>32</v>
      </c>
      <c r="H350" s="8" t="s">
        <v>42</v>
      </c>
      <c r="I350" s="11">
        <v>11</v>
      </c>
      <c r="J350" s="12">
        <v>90.44</v>
      </c>
      <c r="K350" s="13">
        <v>0</v>
      </c>
      <c r="L350" s="12">
        <v>67.650000000000006</v>
      </c>
      <c r="M350" s="14">
        <f>ROUND(tblSprzedaz[[#This Row],[Ilość]]*tblSprzedaz[[#This Row],[Cena netto jednostkowa]]*(1-tblSprzedaz[[#This Row],[Rabat %]]),2)</f>
        <v>994.84</v>
      </c>
      <c r="N350" s="14">
        <f>ROUND(tblSprzedaz[[#This Row],[Ilość]]*tblSprzedaz[[#This Row],[Koszt jednostkowy netto]],2)</f>
        <v>744.15</v>
      </c>
      <c r="O350" s="14">
        <f>tblSprzedaz[[#This Row],[Przychód netto]]-tblSprzedaz[[#This Row],[Koszt całkowity netto]]</f>
        <v>250.69000000000005</v>
      </c>
      <c r="P350" s="15">
        <f>IFERROR(tblSprzedaz[[#This Row],[Marża kwotowa]]/tblSprzedaz[[#This Row],[Przychód netto]],0)</f>
        <v>0.25199026979212741</v>
      </c>
      <c r="Q350" s="16">
        <f>YEAR(tblSprzedaz[[#This Row],[Data]])</f>
        <v>2025</v>
      </c>
      <c r="R350" s="16">
        <f>MONTH(tblSprzedaz[[#This Row],[Data]])</f>
        <v>4</v>
      </c>
      <c r="S350" s="9" t="str">
        <f>YEAR(tblSprzedaz[[#This Row],[Data]])&amp;"-"&amp;RIGHT("0"&amp;MONTH(tblSprzedaz[[#This Row],[Data]]),2)</f>
        <v>2025-04</v>
      </c>
    </row>
    <row r="351" spans="1:19" x14ac:dyDescent="0.25">
      <c r="A351" s="7" t="s">
        <v>869</v>
      </c>
      <c r="B351" s="10">
        <v>45755</v>
      </c>
      <c r="C351" s="7" t="s">
        <v>870</v>
      </c>
      <c r="D351" s="8" t="s">
        <v>103</v>
      </c>
      <c r="E351" s="8" t="s">
        <v>51</v>
      </c>
      <c r="F351" s="8" t="s">
        <v>29</v>
      </c>
      <c r="G351" s="8" t="s">
        <v>34</v>
      </c>
      <c r="H351" s="8" t="s">
        <v>45</v>
      </c>
      <c r="I351" s="11">
        <v>11</v>
      </c>
      <c r="J351" s="12">
        <v>51</v>
      </c>
      <c r="K351" s="13">
        <v>0.15</v>
      </c>
      <c r="L351" s="12">
        <v>29.01</v>
      </c>
      <c r="M351" s="14">
        <f>ROUND(tblSprzedaz[[#This Row],[Ilość]]*tblSprzedaz[[#This Row],[Cena netto jednostkowa]]*(1-tblSprzedaz[[#This Row],[Rabat %]]),2)</f>
        <v>476.85</v>
      </c>
      <c r="N351" s="14">
        <f>ROUND(tblSprzedaz[[#This Row],[Ilość]]*tblSprzedaz[[#This Row],[Koszt jednostkowy netto]],2)</f>
        <v>319.11</v>
      </c>
      <c r="O351" s="14">
        <f>tblSprzedaz[[#This Row],[Przychód netto]]-tblSprzedaz[[#This Row],[Koszt całkowity netto]]</f>
        <v>157.74</v>
      </c>
      <c r="P351" s="15">
        <f>IFERROR(tblSprzedaz[[#This Row],[Marża kwotowa]]/tblSprzedaz[[#This Row],[Przychód netto]],0)</f>
        <v>0.33079584775086507</v>
      </c>
      <c r="Q351" s="16">
        <f>YEAR(tblSprzedaz[[#This Row],[Data]])</f>
        <v>2025</v>
      </c>
      <c r="R351" s="16">
        <f>MONTH(tblSprzedaz[[#This Row],[Data]])</f>
        <v>4</v>
      </c>
      <c r="S351" s="9" t="str">
        <f>YEAR(tblSprzedaz[[#This Row],[Data]])&amp;"-"&amp;RIGHT("0"&amp;MONTH(tblSprzedaz[[#This Row],[Data]]),2)</f>
        <v>2025-04</v>
      </c>
    </row>
    <row r="352" spans="1:19" x14ac:dyDescent="0.25">
      <c r="A352" s="7" t="s">
        <v>871</v>
      </c>
      <c r="B352" s="10">
        <v>45756</v>
      </c>
      <c r="C352" s="7" t="s">
        <v>872</v>
      </c>
      <c r="D352" s="8" t="s">
        <v>139</v>
      </c>
      <c r="E352" s="8" t="s">
        <v>68</v>
      </c>
      <c r="F352" s="8" t="s">
        <v>35</v>
      </c>
      <c r="G352" s="8" t="s">
        <v>28</v>
      </c>
      <c r="H352" s="8" t="s">
        <v>38</v>
      </c>
      <c r="I352" s="11">
        <v>4</v>
      </c>
      <c r="J352" s="12">
        <v>90.44</v>
      </c>
      <c r="K352" s="13">
        <v>0.05</v>
      </c>
      <c r="L352" s="12">
        <v>63.26</v>
      </c>
      <c r="M352" s="14">
        <f>ROUND(tblSprzedaz[[#This Row],[Ilość]]*tblSprzedaz[[#This Row],[Cena netto jednostkowa]]*(1-tblSprzedaz[[#This Row],[Rabat %]]),2)</f>
        <v>343.67</v>
      </c>
      <c r="N352" s="14">
        <f>ROUND(tblSprzedaz[[#This Row],[Ilość]]*tblSprzedaz[[#This Row],[Koszt jednostkowy netto]],2)</f>
        <v>253.04</v>
      </c>
      <c r="O352" s="14">
        <f>tblSprzedaz[[#This Row],[Przychód netto]]-tblSprzedaz[[#This Row],[Koszt całkowity netto]]</f>
        <v>90.630000000000024</v>
      </c>
      <c r="P352" s="15">
        <f>IFERROR(tblSprzedaz[[#This Row],[Marża kwotowa]]/tblSprzedaz[[#This Row],[Przychód netto]],0)</f>
        <v>0.2637122821311142</v>
      </c>
      <c r="Q352" s="16">
        <f>YEAR(tblSprzedaz[[#This Row],[Data]])</f>
        <v>2025</v>
      </c>
      <c r="R352" s="16">
        <f>MONTH(tblSprzedaz[[#This Row],[Data]])</f>
        <v>4</v>
      </c>
      <c r="S352" s="9" t="str">
        <f>YEAR(tblSprzedaz[[#This Row],[Data]])&amp;"-"&amp;RIGHT("0"&amp;MONTH(tblSprzedaz[[#This Row],[Data]]),2)</f>
        <v>2025-04</v>
      </c>
    </row>
    <row r="353" spans="1:19" x14ac:dyDescent="0.25">
      <c r="A353" s="7" t="s">
        <v>873</v>
      </c>
      <c r="B353" s="10">
        <v>45756</v>
      </c>
      <c r="C353" s="7" t="s">
        <v>874</v>
      </c>
      <c r="D353" s="8" t="s">
        <v>130</v>
      </c>
      <c r="E353" s="8" t="s">
        <v>65</v>
      </c>
      <c r="F353" s="8" t="s">
        <v>33</v>
      </c>
      <c r="G353" s="8" t="s">
        <v>36</v>
      </c>
      <c r="H353" s="8" t="s">
        <v>46</v>
      </c>
      <c r="I353" s="11">
        <v>16</v>
      </c>
      <c r="J353" s="12">
        <v>377.2</v>
      </c>
      <c r="K353" s="13">
        <v>0</v>
      </c>
      <c r="L353" s="12">
        <v>251.76</v>
      </c>
      <c r="M353" s="14">
        <f>ROUND(tblSprzedaz[[#This Row],[Ilość]]*tblSprzedaz[[#This Row],[Cena netto jednostkowa]]*(1-tblSprzedaz[[#This Row],[Rabat %]]),2)</f>
        <v>6035.2</v>
      </c>
      <c r="N353" s="14">
        <f>ROUND(tblSprzedaz[[#This Row],[Ilość]]*tblSprzedaz[[#This Row],[Koszt jednostkowy netto]],2)</f>
        <v>4028.16</v>
      </c>
      <c r="O353" s="14">
        <f>tblSprzedaz[[#This Row],[Przychód netto]]-tblSprzedaz[[#This Row],[Koszt całkowity netto]]</f>
        <v>2007.04</v>
      </c>
      <c r="P353" s="15">
        <f>IFERROR(tblSprzedaz[[#This Row],[Marża kwotowa]]/tblSprzedaz[[#This Row],[Przychód netto]],0)</f>
        <v>0.33255567338282077</v>
      </c>
      <c r="Q353" s="16">
        <f>YEAR(tblSprzedaz[[#This Row],[Data]])</f>
        <v>2025</v>
      </c>
      <c r="R353" s="16">
        <f>MONTH(tblSprzedaz[[#This Row],[Data]])</f>
        <v>4</v>
      </c>
      <c r="S353" s="9" t="str">
        <f>YEAR(tblSprzedaz[[#This Row],[Data]])&amp;"-"&amp;RIGHT("0"&amp;MONTH(tblSprzedaz[[#This Row],[Data]]),2)</f>
        <v>2025-04</v>
      </c>
    </row>
    <row r="354" spans="1:19" x14ac:dyDescent="0.25">
      <c r="A354" s="7" t="s">
        <v>875</v>
      </c>
      <c r="B354" s="10">
        <v>45756</v>
      </c>
      <c r="C354" s="7" t="s">
        <v>876</v>
      </c>
      <c r="D354" s="8" t="s">
        <v>107</v>
      </c>
      <c r="E354" s="8" t="s">
        <v>65</v>
      </c>
      <c r="F354" s="8" t="s">
        <v>33</v>
      </c>
      <c r="G354" s="8" t="s">
        <v>34</v>
      </c>
      <c r="H354" s="8" t="s">
        <v>44</v>
      </c>
      <c r="I354" s="11">
        <v>9</v>
      </c>
      <c r="J354" s="12">
        <v>377.2</v>
      </c>
      <c r="K354" s="13">
        <v>0</v>
      </c>
      <c r="L354" s="12">
        <v>246.4</v>
      </c>
      <c r="M354" s="14">
        <f>ROUND(tblSprzedaz[[#This Row],[Ilość]]*tblSprzedaz[[#This Row],[Cena netto jednostkowa]]*(1-tblSprzedaz[[#This Row],[Rabat %]]),2)</f>
        <v>3394.8</v>
      </c>
      <c r="N354" s="14">
        <f>ROUND(tblSprzedaz[[#This Row],[Ilość]]*tblSprzedaz[[#This Row],[Koszt jednostkowy netto]],2)</f>
        <v>2217.6</v>
      </c>
      <c r="O354" s="14">
        <f>tblSprzedaz[[#This Row],[Przychód netto]]-tblSprzedaz[[#This Row],[Koszt całkowity netto]]</f>
        <v>1177.2000000000003</v>
      </c>
      <c r="P354" s="15">
        <f>IFERROR(tblSprzedaz[[#This Row],[Marża kwotowa]]/tblSprzedaz[[#This Row],[Przychód netto]],0)</f>
        <v>0.34676564156945922</v>
      </c>
      <c r="Q354" s="16">
        <f>YEAR(tblSprzedaz[[#This Row],[Data]])</f>
        <v>2025</v>
      </c>
      <c r="R354" s="16">
        <f>MONTH(tblSprzedaz[[#This Row],[Data]])</f>
        <v>4</v>
      </c>
      <c r="S354" s="9" t="str">
        <f>YEAR(tblSprzedaz[[#This Row],[Data]])&amp;"-"&amp;RIGHT("0"&amp;MONTH(tblSprzedaz[[#This Row],[Data]]),2)</f>
        <v>2025-04</v>
      </c>
    </row>
    <row r="355" spans="1:19" x14ac:dyDescent="0.25">
      <c r="A355" s="7" t="s">
        <v>877</v>
      </c>
      <c r="B355" s="10">
        <v>45756</v>
      </c>
      <c r="C355" s="7" t="s">
        <v>878</v>
      </c>
      <c r="D355" s="8" t="s">
        <v>138</v>
      </c>
      <c r="E355" s="8" t="s">
        <v>56</v>
      </c>
      <c r="F355" s="8" t="s">
        <v>31</v>
      </c>
      <c r="G355" s="8" t="s">
        <v>28</v>
      </c>
      <c r="H355" s="8" t="s">
        <v>38</v>
      </c>
      <c r="I355" s="11">
        <v>18</v>
      </c>
      <c r="J355" s="12">
        <v>279.3</v>
      </c>
      <c r="K355" s="13">
        <v>0.05</v>
      </c>
      <c r="L355" s="12">
        <v>187.62</v>
      </c>
      <c r="M355" s="14">
        <f>ROUND(tblSprzedaz[[#This Row],[Ilość]]*tblSprzedaz[[#This Row],[Cena netto jednostkowa]]*(1-tblSprzedaz[[#This Row],[Rabat %]]),2)</f>
        <v>4776.03</v>
      </c>
      <c r="N355" s="14">
        <f>ROUND(tblSprzedaz[[#This Row],[Ilość]]*tblSprzedaz[[#This Row],[Koszt jednostkowy netto]],2)</f>
        <v>3377.16</v>
      </c>
      <c r="O355" s="14">
        <f>tblSprzedaz[[#This Row],[Przychód netto]]-tblSprzedaz[[#This Row],[Koszt całkowity netto]]</f>
        <v>1398.87</v>
      </c>
      <c r="P355" s="15">
        <f>IFERROR(tblSprzedaz[[#This Row],[Marża kwotowa]]/tblSprzedaz[[#This Row],[Przychód netto]],0)</f>
        <v>0.29289388885748202</v>
      </c>
      <c r="Q355" s="16">
        <f>YEAR(tblSprzedaz[[#This Row],[Data]])</f>
        <v>2025</v>
      </c>
      <c r="R355" s="16">
        <f>MONTH(tblSprzedaz[[#This Row],[Data]])</f>
        <v>4</v>
      </c>
      <c r="S355" s="9" t="str">
        <f>YEAR(tblSprzedaz[[#This Row],[Data]])&amp;"-"&amp;RIGHT("0"&amp;MONTH(tblSprzedaz[[#This Row],[Data]]),2)</f>
        <v>2025-04</v>
      </c>
    </row>
    <row r="356" spans="1:19" x14ac:dyDescent="0.25">
      <c r="A356" s="7" t="s">
        <v>879</v>
      </c>
      <c r="B356" s="10">
        <v>45756</v>
      </c>
      <c r="C356" s="7" t="s">
        <v>880</v>
      </c>
      <c r="D356" s="8" t="s">
        <v>120</v>
      </c>
      <c r="E356" s="8" t="s">
        <v>72</v>
      </c>
      <c r="F356" s="8" t="s">
        <v>37</v>
      </c>
      <c r="G356" s="8" t="s">
        <v>32</v>
      </c>
      <c r="H356" s="8" t="s">
        <v>43</v>
      </c>
      <c r="I356" s="11">
        <v>5</v>
      </c>
      <c r="J356" s="12">
        <v>94.05</v>
      </c>
      <c r="K356" s="13">
        <v>0.05</v>
      </c>
      <c r="L356" s="12">
        <v>73.709999999999994</v>
      </c>
      <c r="M356" s="14">
        <f>ROUND(tblSprzedaz[[#This Row],[Ilość]]*tblSprzedaz[[#This Row],[Cena netto jednostkowa]]*(1-tblSprzedaz[[#This Row],[Rabat %]]),2)</f>
        <v>446.74</v>
      </c>
      <c r="N356" s="14">
        <f>ROUND(tblSprzedaz[[#This Row],[Ilość]]*tblSprzedaz[[#This Row],[Koszt jednostkowy netto]],2)</f>
        <v>368.55</v>
      </c>
      <c r="O356" s="14">
        <f>tblSprzedaz[[#This Row],[Przychód netto]]-tblSprzedaz[[#This Row],[Koszt całkowity netto]]</f>
        <v>78.19</v>
      </c>
      <c r="P356" s="15">
        <f>IFERROR(tblSprzedaz[[#This Row],[Marża kwotowa]]/tblSprzedaz[[#This Row],[Przychód netto]],0)</f>
        <v>0.17502350360388591</v>
      </c>
      <c r="Q356" s="16">
        <f>YEAR(tblSprzedaz[[#This Row],[Data]])</f>
        <v>2025</v>
      </c>
      <c r="R356" s="16">
        <f>MONTH(tblSprzedaz[[#This Row],[Data]])</f>
        <v>4</v>
      </c>
      <c r="S356" s="9" t="str">
        <f>YEAR(tblSprzedaz[[#This Row],[Data]])&amp;"-"&amp;RIGHT("0"&amp;MONTH(tblSprzedaz[[#This Row],[Data]]),2)</f>
        <v>2025-04</v>
      </c>
    </row>
    <row r="357" spans="1:19" x14ac:dyDescent="0.25">
      <c r="A357" s="7" t="s">
        <v>881</v>
      </c>
      <c r="B357" s="10">
        <v>45757</v>
      </c>
      <c r="C357" s="7" t="s">
        <v>882</v>
      </c>
      <c r="D357" s="8" t="s">
        <v>112</v>
      </c>
      <c r="E357" s="8" t="s">
        <v>74</v>
      </c>
      <c r="F357" s="8" t="s">
        <v>37</v>
      </c>
      <c r="G357" s="8" t="s">
        <v>28</v>
      </c>
      <c r="H357" s="8" t="s">
        <v>38</v>
      </c>
      <c r="I357" s="11">
        <v>8</v>
      </c>
      <c r="J357" s="12">
        <v>126.35</v>
      </c>
      <c r="K357" s="13">
        <v>0.05</v>
      </c>
      <c r="L357" s="12">
        <v>94.78</v>
      </c>
      <c r="M357" s="14">
        <f>ROUND(tblSprzedaz[[#This Row],[Ilość]]*tblSprzedaz[[#This Row],[Cena netto jednostkowa]]*(1-tblSprzedaz[[#This Row],[Rabat %]]),2)</f>
        <v>960.26</v>
      </c>
      <c r="N357" s="14">
        <f>ROUND(tblSprzedaz[[#This Row],[Ilość]]*tblSprzedaz[[#This Row],[Koszt jednostkowy netto]],2)</f>
        <v>758.24</v>
      </c>
      <c r="O357" s="14">
        <f>tblSprzedaz[[#This Row],[Przychód netto]]-tblSprzedaz[[#This Row],[Koszt całkowity netto]]</f>
        <v>202.01999999999998</v>
      </c>
      <c r="P357" s="15">
        <f>IFERROR(tblSprzedaz[[#This Row],[Marża kwotowa]]/tblSprzedaz[[#This Row],[Przychód netto]],0)</f>
        <v>0.21038052194197404</v>
      </c>
      <c r="Q357" s="16">
        <f>YEAR(tblSprzedaz[[#This Row],[Data]])</f>
        <v>2025</v>
      </c>
      <c r="R357" s="16">
        <f>MONTH(tblSprzedaz[[#This Row],[Data]])</f>
        <v>4</v>
      </c>
      <c r="S357" s="9" t="str">
        <f>YEAR(tblSprzedaz[[#This Row],[Data]])&amp;"-"&amp;RIGHT("0"&amp;MONTH(tblSprzedaz[[#This Row],[Data]]),2)</f>
        <v>2025-04</v>
      </c>
    </row>
    <row r="358" spans="1:19" x14ac:dyDescent="0.25">
      <c r="A358" s="7" t="s">
        <v>883</v>
      </c>
      <c r="B358" s="10">
        <v>45757</v>
      </c>
      <c r="C358" s="7" t="s">
        <v>884</v>
      </c>
      <c r="D358" s="8" t="s">
        <v>80</v>
      </c>
      <c r="E358" s="8" t="s">
        <v>75</v>
      </c>
      <c r="F358" s="8" t="s">
        <v>37</v>
      </c>
      <c r="G358" s="8" t="s">
        <v>34</v>
      </c>
      <c r="H358" s="8" t="s">
        <v>44</v>
      </c>
      <c r="I358" s="11">
        <v>7</v>
      </c>
      <c r="J358" s="12">
        <v>142.5</v>
      </c>
      <c r="K358" s="13">
        <v>0.15</v>
      </c>
      <c r="L358" s="12">
        <v>112.78</v>
      </c>
      <c r="M358" s="14">
        <f>ROUND(tblSprzedaz[[#This Row],[Ilość]]*tblSprzedaz[[#This Row],[Cena netto jednostkowa]]*(1-tblSprzedaz[[#This Row],[Rabat %]]),2)</f>
        <v>847.88</v>
      </c>
      <c r="N358" s="14">
        <f>ROUND(tblSprzedaz[[#This Row],[Ilość]]*tblSprzedaz[[#This Row],[Koszt jednostkowy netto]],2)</f>
        <v>789.46</v>
      </c>
      <c r="O358" s="14">
        <f>tblSprzedaz[[#This Row],[Przychód netto]]-tblSprzedaz[[#This Row],[Koszt całkowity netto]]</f>
        <v>58.419999999999959</v>
      </c>
      <c r="P358" s="15">
        <f>IFERROR(tblSprzedaz[[#This Row],[Marża kwotowa]]/tblSprzedaz[[#This Row],[Przychód netto]],0)</f>
        <v>6.890125961220922E-2</v>
      </c>
      <c r="Q358" s="16">
        <f>YEAR(tblSprzedaz[[#This Row],[Data]])</f>
        <v>2025</v>
      </c>
      <c r="R358" s="16">
        <f>MONTH(tblSprzedaz[[#This Row],[Data]])</f>
        <v>4</v>
      </c>
      <c r="S358" s="9" t="str">
        <f>YEAR(tblSprzedaz[[#This Row],[Data]])&amp;"-"&amp;RIGHT("0"&amp;MONTH(tblSprzedaz[[#This Row],[Data]]),2)</f>
        <v>2025-04</v>
      </c>
    </row>
    <row r="359" spans="1:19" x14ac:dyDescent="0.25">
      <c r="A359" s="7" t="s">
        <v>885</v>
      </c>
      <c r="B359" s="10">
        <v>45757</v>
      </c>
      <c r="C359" s="7" t="s">
        <v>886</v>
      </c>
      <c r="D359" s="8" t="s">
        <v>123</v>
      </c>
      <c r="E359" s="8" t="s">
        <v>58</v>
      </c>
      <c r="F359" s="8" t="s">
        <v>31</v>
      </c>
      <c r="G359" s="8" t="s">
        <v>36</v>
      </c>
      <c r="H359" s="8" t="s">
        <v>47</v>
      </c>
      <c r="I359" s="11">
        <v>12</v>
      </c>
      <c r="J359" s="12">
        <v>350.7</v>
      </c>
      <c r="K359" s="13">
        <v>0.15</v>
      </c>
      <c r="L359" s="12">
        <v>232.01</v>
      </c>
      <c r="M359" s="14">
        <f>ROUND(tblSprzedaz[[#This Row],[Ilość]]*tblSprzedaz[[#This Row],[Cena netto jednostkowa]]*(1-tblSprzedaz[[#This Row],[Rabat %]]),2)</f>
        <v>3577.14</v>
      </c>
      <c r="N359" s="14">
        <f>ROUND(tblSprzedaz[[#This Row],[Ilość]]*tblSprzedaz[[#This Row],[Koszt jednostkowy netto]],2)</f>
        <v>2784.12</v>
      </c>
      <c r="O359" s="14">
        <f>tblSprzedaz[[#This Row],[Przychód netto]]-tblSprzedaz[[#This Row],[Koszt całkowity netto]]</f>
        <v>793.02</v>
      </c>
      <c r="P359" s="15">
        <f>IFERROR(tblSprzedaz[[#This Row],[Marża kwotowa]]/tblSprzedaz[[#This Row],[Przychód netto]],0)</f>
        <v>0.22169107163823615</v>
      </c>
      <c r="Q359" s="16">
        <f>YEAR(tblSprzedaz[[#This Row],[Data]])</f>
        <v>2025</v>
      </c>
      <c r="R359" s="16">
        <f>MONTH(tblSprzedaz[[#This Row],[Data]])</f>
        <v>4</v>
      </c>
      <c r="S359" s="9" t="str">
        <f>YEAR(tblSprzedaz[[#This Row],[Data]])&amp;"-"&amp;RIGHT("0"&amp;MONTH(tblSprzedaz[[#This Row],[Data]]),2)</f>
        <v>2025-04</v>
      </c>
    </row>
    <row r="360" spans="1:19" x14ac:dyDescent="0.25">
      <c r="A360" s="7" t="s">
        <v>887</v>
      </c>
      <c r="B360" s="10">
        <v>45758</v>
      </c>
      <c r="C360" s="7" t="s">
        <v>888</v>
      </c>
      <c r="D360" s="8" t="s">
        <v>142</v>
      </c>
      <c r="E360" s="8" t="s">
        <v>74</v>
      </c>
      <c r="F360" s="8" t="s">
        <v>37</v>
      </c>
      <c r="G360" s="8" t="s">
        <v>34</v>
      </c>
      <c r="H360" s="8" t="s">
        <v>44</v>
      </c>
      <c r="I360" s="11">
        <v>5</v>
      </c>
      <c r="J360" s="12">
        <v>126.35</v>
      </c>
      <c r="K360" s="13">
        <v>0.05</v>
      </c>
      <c r="L360" s="12">
        <v>93.72</v>
      </c>
      <c r="M360" s="14">
        <f>ROUND(tblSprzedaz[[#This Row],[Ilość]]*tblSprzedaz[[#This Row],[Cena netto jednostkowa]]*(1-tblSprzedaz[[#This Row],[Rabat %]]),2)</f>
        <v>600.16</v>
      </c>
      <c r="N360" s="14">
        <f>ROUND(tblSprzedaz[[#This Row],[Ilość]]*tblSprzedaz[[#This Row],[Koszt jednostkowy netto]],2)</f>
        <v>468.6</v>
      </c>
      <c r="O360" s="14">
        <f>tblSprzedaz[[#This Row],[Przychód netto]]-tblSprzedaz[[#This Row],[Koszt całkowity netto]]</f>
        <v>131.55999999999995</v>
      </c>
      <c r="P360" s="15">
        <f>IFERROR(tblSprzedaz[[#This Row],[Marża kwotowa]]/tblSprzedaz[[#This Row],[Przychód netto]],0)</f>
        <v>0.21920821114369493</v>
      </c>
      <c r="Q360" s="16">
        <f>YEAR(tblSprzedaz[[#This Row],[Data]])</f>
        <v>2025</v>
      </c>
      <c r="R360" s="16">
        <f>MONTH(tblSprzedaz[[#This Row],[Data]])</f>
        <v>4</v>
      </c>
      <c r="S360" s="9" t="str">
        <f>YEAR(tblSprzedaz[[#This Row],[Data]])&amp;"-"&amp;RIGHT("0"&amp;MONTH(tblSprzedaz[[#This Row],[Data]]),2)</f>
        <v>2025-04</v>
      </c>
    </row>
    <row r="361" spans="1:19" x14ac:dyDescent="0.25">
      <c r="A361" s="7" t="s">
        <v>889</v>
      </c>
      <c r="B361" s="10">
        <v>45758</v>
      </c>
      <c r="C361" s="7" t="s">
        <v>890</v>
      </c>
      <c r="D361" s="8" t="s">
        <v>129</v>
      </c>
      <c r="E361" s="8" t="s">
        <v>61</v>
      </c>
      <c r="F361" s="8" t="s">
        <v>33</v>
      </c>
      <c r="G361" s="8" t="s">
        <v>36</v>
      </c>
      <c r="H361" s="8" t="s">
        <v>46</v>
      </c>
      <c r="I361" s="11">
        <v>6</v>
      </c>
      <c r="J361" s="12">
        <v>533.6</v>
      </c>
      <c r="K361" s="13">
        <v>0</v>
      </c>
      <c r="L361" s="12">
        <v>357.32</v>
      </c>
      <c r="M361" s="14">
        <f>ROUND(tblSprzedaz[[#This Row],[Ilość]]*tblSprzedaz[[#This Row],[Cena netto jednostkowa]]*(1-tblSprzedaz[[#This Row],[Rabat %]]),2)</f>
        <v>3201.6</v>
      </c>
      <c r="N361" s="14">
        <f>ROUND(tblSprzedaz[[#This Row],[Ilość]]*tblSprzedaz[[#This Row],[Koszt jednostkowy netto]],2)</f>
        <v>2143.92</v>
      </c>
      <c r="O361" s="14">
        <f>tblSprzedaz[[#This Row],[Przychód netto]]-tblSprzedaz[[#This Row],[Koszt całkowity netto]]</f>
        <v>1057.6799999999998</v>
      </c>
      <c r="P361" s="15">
        <f>IFERROR(tblSprzedaz[[#This Row],[Marża kwotowa]]/tblSprzedaz[[#This Row],[Przychód netto]],0)</f>
        <v>0.33035982008995496</v>
      </c>
      <c r="Q361" s="16">
        <f>YEAR(tblSprzedaz[[#This Row],[Data]])</f>
        <v>2025</v>
      </c>
      <c r="R361" s="16">
        <f>MONTH(tblSprzedaz[[#This Row],[Data]])</f>
        <v>4</v>
      </c>
      <c r="S361" s="9" t="str">
        <f>YEAR(tblSprzedaz[[#This Row],[Data]])&amp;"-"&amp;RIGHT("0"&amp;MONTH(tblSprzedaz[[#This Row],[Data]]),2)</f>
        <v>2025-04</v>
      </c>
    </row>
    <row r="362" spans="1:19" x14ac:dyDescent="0.25">
      <c r="A362" s="7" t="s">
        <v>891</v>
      </c>
      <c r="B362" s="10">
        <v>45758</v>
      </c>
      <c r="C362" s="7" t="s">
        <v>892</v>
      </c>
      <c r="D362" s="8" t="s">
        <v>143</v>
      </c>
      <c r="E362" s="8" t="s">
        <v>77</v>
      </c>
      <c r="F362" s="8" t="s">
        <v>37</v>
      </c>
      <c r="G362" s="8" t="s">
        <v>32</v>
      </c>
      <c r="H362" s="8" t="s">
        <v>42</v>
      </c>
      <c r="I362" s="11">
        <v>8</v>
      </c>
      <c r="J362" s="12">
        <v>77.900000000000006</v>
      </c>
      <c r="K362" s="13">
        <v>0.1</v>
      </c>
      <c r="L362" s="12">
        <v>61.74</v>
      </c>
      <c r="M362" s="14">
        <f>ROUND(tblSprzedaz[[#This Row],[Ilość]]*tblSprzedaz[[#This Row],[Cena netto jednostkowa]]*(1-tblSprzedaz[[#This Row],[Rabat %]]),2)</f>
        <v>560.88</v>
      </c>
      <c r="N362" s="14">
        <f>ROUND(tblSprzedaz[[#This Row],[Ilość]]*tblSprzedaz[[#This Row],[Koszt jednostkowy netto]],2)</f>
        <v>493.92</v>
      </c>
      <c r="O362" s="14">
        <f>tblSprzedaz[[#This Row],[Przychód netto]]-tblSprzedaz[[#This Row],[Koszt całkowity netto]]</f>
        <v>66.95999999999998</v>
      </c>
      <c r="P362" s="15">
        <f>IFERROR(tblSprzedaz[[#This Row],[Marża kwotowa]]/tblSprzedaz[[#This Row],[Przychód netto]],0)</f>
        <v>0.11938382541720151</v>
      </c>
      <c r="Q362" s="16">
        <f>YEAR(tblSprzedaz[[#This Row],[Data]])</f>
        <v>2025</v>
      </c>
      <c r="R362" s="16">
        <f>MONTH(tblSprzedaz[[#This Row],[Data]])</f>
        <v>4</v>
      </c>
      <c r="S362" s="9" t="str">
        <f>YEAR(tblSprzedaz[[#This Row],[Data]])&amp;"-"&amp;RIGHT("0"&amp;MONTH(tblSprzedaz[[#This Row],[Data]]),2)</f>
        <v>2025-04</v>
      </c>
    </row>
    <row r="363" spans="1:19" x14ac:dyDescent="0.25">
      <c r="A363" s="7" t="s">
        <v>893</v>
      </c>
      <c r="B363" s="10">
        <v>45758</v>
      </c>
      <c r="C363" s="7" t="s">
        <v>894</v>
      </c>
      <c r="D363" s="8" t="s">
        <v>78</v>
      </c>
      <c r="E363" s="8" t="s">
        <v>73</v>
      </c>
      <c r="F363" s="8" t="s">
        <v>37</v>
      </c>
      <c r="G363" s="8" t="s">
        <v>34</v>
      </c>
      <c r="H363" s="8" t="s">
        <v>44</v>
      </c>
      <c r="I363" s="11">
        <v>1</v>
      </c>
      <c r="J363" s="12">
        <v>110.2</v>
      </c>
      <c r="K363" s="13">
        <v>0</v>
      </c>
      <c r="L363" s="12">
        <v>86</v>
      </c>
      <c r="M363" s="14">
        <f>ROUND(tblSprzedaz[[#This Row],[Ilość]]*tblSprzedaz[[#This Row],[Cena netto jednostkowa]]*(1-tblSprzedaz[[#This Row],[Rabat %]]),2)</f>
        <v>110.2</v>
      </c>
      <c r="N363" s="14">
        <f>ROUND(tblSprzedaz[[#This Row],[Ilość]]*tblSprzedaz[[#This Row],[Koszt jednostkowy netto]],2)</f>
        <v>86</v>
      </c>
      <c r="O363" s="14">
        <f>tblSprzedaz[[#This Row],[Przychód netto]]-tblSprzedaz[[#This Row],[Koszt całkowity netto]]</f>
        <v>24.200000000000003</v>
      </c>
      <c r="P363" s="15">
        <f>IFERROR(tblSprzedaz[[#This Row],[Marża kwotowa]]/tblSprzedaz[[#This Row],[Przychód netto]],0)</f>
        <v>0.21960072595281308</v>
      </c>
      <c r="Q363" s="16">
        <f>YEAR(tblSprzedaz[[#This Row],[Data]])</f>
        <v>2025</v>
      </c>
      <c r="R363" s="16">
        <f>MONTH(tblSprzedaz[[#This Row],[Data]])</f>
        <v>4</v>
      </c>
      <c r="S363" s="9" t="str">
        <f>YEAR(tblSprzedaz[[#This Row],[Data]])&amp;"-"&amp;RIGHT("0"&amp;MONTH(tblSprzedaz[[#This Row],[Data]]),2)</f>
        <v>2025-04</v>
      </c>
    </row>
    <row r="364" spans="1:19" x14ac:dyDescent="0.25">
      <c r="A364" s="7" t="s">
        <v>895</v>
      </c>
      <c r="B364" s="10">
        <v>45758</v>
      </c>
      <c r="C364" s="7" t="s">
        <v>896</v>
      </c>
      <c r="D364" s="8" t="s">
        <v>95</v>
      </c>
      <c r="E364" s="8" t="s">
        <v>60</v>
      </c>
      <c r="F364" s="8" t="s">
        <v>33</v>
      </c>
      <c r="G364" s="8" t="s">
        <v>30</v>
      </c>
      <c r="H364" s="8" t="s">
        <v>40</v>
      </c>
      <c r="I364" s="11">
        <v>1</v>
      </c>
      <c r="J364" s="12">
        <v>455.4</v>
      </c>
      <c r="K364" s="13">
        <v>0.05</v>
      </c>
      <c r="L364" s="12">
        <v>317.77</v>
      </c>
      <c r="M364" s="14">
        <f>ROUND(tblSprzedaz[[#This Row],[Ilość]]*tblSprzedaz[[#This Row],[Cena netto jednostkowa]]*(1-tblSprzedaz[[#This Row],[Rabat %]]),2)</f>
        <v>432.63</v>
      </c>
      <c r="N364" s="14">
        <f>ROUND(tblSprzedaz[[#This Row],[Ilość]]*tblSprzedaz[[#This Row],[Koszt jednostkowy netto]],2)</f>
        <v>317.77</v>
      </c>
      <c r="O364" s="14">
        <f>tblSprzedaz[[#This Row],[Przychód netto]]-tblSprzedaz[[#This Row],[Koszt całkowity netto]]</f>
        <v>114.86000000000001</v>
      </c>
      <c r="P364" s="15">
        <f>IFERROR(tblSprzedaz[[#This Row],[Marża kwotowa]]/tblSprzedaz[[#This Row],[Przychód netto]],0)</f>
        <v>0.26549245313547376</v>
      </c>
      <c r="Q364" s="16">
        <f>YEAR(tblSprzedaz[[#This Row],[Data]])</f>
        <v>2025</v>
      </c>
      <c r="R364" s="16">
        <f>MONTH(tblSprzedaz[[#This Row],[Data]])</f>
        <v>4</v>
      </c>
      <c r="S364" s="9" t="str">
        <f>YEAR(tblSprzedaz[[#This Row],[Data]])&amp;"-"&amp;RIGHT("0"&amp;MONTH(tblSprzedaz[[#This Row],[Data]]),2)</f>
        <v>2025-04</v>
      </c>
    </row>
    <row r="365" spans="1:19" x14ac:dyDescent="0.25">
      <c r="A365" s="7" t="s">
        <v>897</v>
      </c>
      <c r="B365" s="10">
        <v>45759</v>
      </c>
      <c r="C365" s="7" t="s">
        <v>898</v>
      </c>
      <c r="D365" s="8" t="s">
        <v>80</v>
      </c>
      <c r="E365" s="8" t="s">
        <v>67</v>
      </c>
      <c r="F365" s="8" t="s">
        <v>35</v>
      </c>
      <c r="G365" s="8" t="s">
        <v>28</v>
      </c>
      <c r="H365" s="8" t="s">
        <v>38</v>
      </c>
      <c r="I365" s="11">
        <v>9</v>
      </c>
      <c r="J365" s="12">
        <v>78.88</v>
      </c>
      <c r="K365" s="13">
        <v>0</v>
      </c>
      <c r="L365" s="12">
        <v>59.49</v>
      </c>
      <c r="M365" s="14">
        <f>ROUND(tblSprzedaz[[#This Row],[Ilość]]*tblSprzedaz[[#This Row],[Cena netto jednostkowa]]*(1-tblSprzedaz[[#This Row],[Rabat %]]),2)</f>
        <v>709.92</v>
      </c>
      <c r="N365" s="14">
        <f>ROUND(tblSprzedaz[[#This Row],[Ilość]]*tblSprzedaz[[#This Row],[Koszt jednostkowy netto]],2)</f>
        <v>535.41</v>
      </c>
      <c r="O365" s="14">
        <f>tblSprzedaz[[#This Row],[Przychód netto]]-tblSprzedaz[[#This Row],[Koszt całkowity netto]]</f>
        <v>174.51</v>
      </c>
      <c r="P365" s="15">
        <f>IFERROR(tblSprzedaz[[#This Row],[Marża kwotowa]]/tblSprzedaz[[#This Row],[Przychód netto]],0)</f>
        <v>0.24581643002028397</v>
      </c>
      <c r="Q365" s="16">
        <f>YEAR(tblSprzedaz[[#This Row],[Data]])</f>
        <v>2025</v>
      </c>
      <c r="R365" s="16">
        <f>MONTH(tblSprzedaz[[#This Row],[Data]])</f>
        <v>4</v>
      </c>
      <c r="S365" s="9" t="str">
        <f>YEAR(tblSprzedaz[[#This Row],[Data]])&amp;"-"&amp;RIGHT("0"&amp;MONTH(tblSprzedaz[[#This Row],[Data]]),2)</f>
        <v>2025-04</v>
      </c>
    </row>
    <row r="366" spans="1:19" x14ac:dyDescent="0.25">
      <c r="A366" s="7" t="s">
        <v>899</v>
      </c>
      <c r="B366" s="10">
        <v>45759</v>
      </c>
      <c r="C366" s="7" t="s">
        <v>900</v>
      </c>
      <c r="D366" s="8" t="s">
        <v>121</v>
      </c>
      <c r="E366" s="8" t="s">
        <v>68</v>
      </c>
      <c r="F366" s="8" t="s">
        <v>35</v>
      </c>
      <c r="G366" s="8" t="s">
        <v>36</v>
      </c>
      <c r="H366" s="8" t="s">
        <v>47</v>
      </c>
      <c r="I366" s="11">
        <v>19</v>
      </c>
      <c r="J366" s="12">
        <v>90.44</v>
      </c>
      <c r="K366" s="13">
        <v>0.05</v>
      </c>
      <c r="L366" s="12">
        <v>68.73</v>
      </c>
      <c r="M366" s="14">
        <f>ROUND(tblSprzedaz[[#This Row],[Ilość]]*tblSprzedaz[[#This Row],[Cena netto jednostkowa]]*(1-tblSprzedaz[[#This Row],[Rabat %]]),2)</f>
        <v>1632.44</v>
      </c>
      <c r="N366" s="14">
        <f>ROUND(tblSprzedaz[[#This Row],[Ilość]]*tblSprzedaz[[#This Row],[Koszt jednostkowy netto]],2)</f>
        <v>1305.8699999999999</v>
      </c>
      <c r="O366" s="14">
        <f>tblSprzedaz[[#This Row],[Przychód netto]]-tblSprzedaz[[#This Row],[Koszt całkowity netto]]</f>
        <v>326.57000000000016</v>
      </c>
      <c r="P366" s="15">
        <f>IFERROR(tblSprzedaz[[#This Row],[Marża kwotowa]]/tblSprzedaz[[#This Row],[Przychód netto]],0)</f>
        <v>0.20005023155521806</v>
      </c>
      <c r="Q366" s="16">
        <f>YEAR(tblSprzedaz[[#This Row],[Data]])</f>
        <v>2025</v>
      </c>
      <c r="R366" s="16">
        <f>MONTH(tblSprzedaz[[#This Row],[Data]])</f>
        <v>4</v>
      </c>
      <c r="S366" s="9" t="str">
        <f>YEAR(tblSprzedaz[[#This Row],[Data]])&amp;"-"&amp;RIGHT("0"&amp;MONTH(tblSprzedaz[[#This Row],[Data]]),2)</f>
        <v>2025-04</v>
      </c>
    </row>
    <row r="367" spans="1:19" x14ac:dyDescent="0.25">
      <c r="A367" s="7" t="s">
        <v>901</v>
      </c>
      <c r="B367" s="10">
        <v>45760</v>
      </c>
      <c r="C367" s="7" t="s">
        <v>902</v>
      </c>
      <c r="D367" s="8" t="s">
        <v>85</v>
      </c>
      <c r="E367" s="8" t="s">
        <v>54</v>
      </c>
      <c r="F367" s="8" t="s">
        <v>31</v>
      </c>
      <c r="G367" s="8" t="s">
        <v>34</v>
      </c>
      <c r="H367" s="8" t="s">
        <v>44</v>
      </c>
      <c r="I367" s="11">
        <v>12</v>
      </c>
      <c r="J367" s="12">
        <v>207.9</v>
      </c>
      <c r="K367" s="13">
        <v>0.1</v>
      </c>
      <c r="L367" s="12">
        <v>129.49</v>
      </c>
      <c r="M367" s="14">
        <f>ROUND(tblSprzedaz[[#This Row],[Ilość]]*tblSprzedaz[[#This Row],[Cena netto jednostkowa]]*(1-tblSprzedaz[[#This Row],[Rabat %]]),2)</f>
        <v>2245.3200000000002</v>
      </c>
      <c r="N367" s="14">
        <f>ROUND(tblSprzedaz[[#This Row],[Ilość]]*tblSprzedaz[[#This Row],[Koszt jednostkowy netto]],2)</f>
        <v>1553.88</v>
      </c>
      <c r="O367" s="14">
        <f>tblSprzedaz[[#This Row],[Przychód netto]]-tblSprzedaz[[#This Row],[Koszt całkowity netto]]</f>
        <v>691.44</v>
      </c>
      <c r="P367" s="15">
        <f>IFERROR(tblSprzedaz[[#This Row],[Marża kwotowa]]/tblSprzedaz[[#This Row],[Przychód netto]],0)</f>
        <v>0.30794719683608573</v>
      </c>
      <c r="Q367" s="16">
        <f>YEAR(tblSprzedaz[[#This Row],[Data]])</f>
        <v>2025</v>
      </c>
      <c r="R367" s="16">
        <f>MONTH(tblSprzedaz[[#This Row],[Data]])</f>
        <v>4</v>
      </c>
      <c r="S367" s="9" t="str">
        <f>YEAR(tblSprzedaz[[#This Row],[Data]])&amp;"-"&amp;RIGHT("0"&amp;MONTH(tblSprzedaz[[#This Row],[Data]]),2)</f>
        <v>2025-04</v>
      </c>
    </row>
    <row r="368" spans="1:19" x14ac:dyDescent="0.25">
      <c r="A368" s="7" t="s">
        <v>903</v>
      </c>
      <c r="B368" s="10">
        <v>45760</v>
      </c>
      <c r="C368" s="7" t="s">
        <v>904</v>
      </c>
      <c r="D368" s="8" t="s">
        <v>93</v>
      </c>
      <c r="E368" s="8" t="s">
        <v>59</v>
      </c>
      <c r="F368" s="8" t="s">
        <v>31</v>
      </c>
      <c r="G368" s="8" t="s">
        <v>34</v>
      </c>
      <c r="H368" s="8" t="s">
        <v>45</v>
      </c>
      <c r="I368" s="11">
        <v>5</v>
      </c>
      <c r="J368" s="12">
        <v>172.2</v>
      </c>
      <c r="K368" s="13">
        <v>0.05</v>
      </c>
      <c r="L368" s="12">
        <v>113.64</v>
      </c>
      <c r="M368" s="14">
        <f>ROUND(tblSprzedaz[[#This Row],[Ilość]]*tblSprzedaz[[#This Row],[Cena netto jednostkowa]]*(1-tblSprzedaz[[#This Row],[Rabat %]]),2)</f>
        <v>817.95</v>
      </c>
      <c r="N368" s="14">
        <f>ROUND(tblSprzedaz[[#This Row],[Ilość]]*tblSprzedaz[[#This Row],[Koszt jednostkowy netto]],2)</f>
        <v>568.20000000000005</v>
      </c>
      <c r="O368" s="14">
        <f>tblSprzedaz[[#This Row],[Przychód netto]]-tblSprzedaz[[#This Row],[Koszt całkowity netto]]</f>
        <v>249.75</v>
      </c>
      <c r="P368" s="15">
        <f>IFERROR(tblSprzedaz[[#This Row],[Marża kwotowa]]/tblSprzedaz[[#This Row],[Przychód netto]],0)</f>
        <v>0.30533651201173662</v>
      </c>
      <c r="Q368" s="16">
        <f>YEAR(tblSprzedaz[[#This Row],[Data]])</f>
        <v>2025</v>
      </c>
      <c r="R368" s="16">
        <f>MONTH(tblSprzedaz[[#This Row],[Data]])</f>
        <v>4</v>
      </c>
      <c r="S368" s="9" t="str">
        <f>YEAR(tblSprzedaz[[#This Row],[Data]])&amp;"-"&amp;RIGHT("0"&amp;MONTH(tblSprzedaz[[#This Row],[Data]]),2)</f>
        <v>2025-04</v>
      </c>
    </row>
    <row r="369" spans="1:19" x14ac:dyDescent="0.25">
      <c r="A369" s="7" t="s">
        <v>905</v>
      </c>
      <c r="B369" s="10">
        <v>45761</v>
      </c>
      <c r="C369" s="7" t="s">
        <v>906</v>
      </c>
      <c r="D369" s="8" t="s">
        <v>85</v>
      </c>
      <c r="E369" s="8" t="s">
        <v>60</v>
      </c>
      <c r="F369" s="8" t="s">
        <v>33</v>
      </c>
      <c r="G369" s="8" t="s">
        <v>28</v>
      </c>
      <c r="H369" s="8" t="s">
        <v>39</v>
      </c>
      <c r="I369" s="11">
        <v>7</v>
      </c>
      <c r="J369" s="12">
        <v>455.4</v>
      </c>
      <c r="K369" s="13">
        <v>0.1</v>
      </c>
      <c r="L369" s="12">
        <v>304.06</v>
      </c>
      <c r="M369" s="14">
        <f>ROUND(tblSprzedaz[[#This Row],[Ilość]]*tblSprzedaz[[#This Row],[Cena netto jednostkowa]]*(1-tblSprzedaz[[#This Row],[Rabat %]]),2)</f>
        <v>2869.02</v>
      </c>
      <c r="N369" s="14">
        <f>ROUND(tblSprzedaz[[#This Row],[Ilość]]*tblSprzedaz[[#This Row],[Koszt jednostkowy netto]],2)</f>
        <v>2128.42</v>
      </c>
      <c r="O369" s="14">
        <f>tblSprzedaz[[#This Row],[Przychód netto]]-tblSprzedaz[[#This Row],[Koszt całkowity netto]]</f>
        <v>740.59999999999991</v>
      </c>
      <c r="P369" s="15">
        <f>IFERROR(tblSprzedaz[[#This Row],[Marża kwotowa]]/tblSprzedaz[[#This Row],[Przychód netto]],0)</f>
        <v>0.25813692480359146</v>
      </c>
      <c r="Q369" s="16">
        <f>YEAR(tblSprzedaz[[#This Row],[Data]])</f>
        <v>2025</v>
      </c>
      <c r="R369" s="16">
        <f>MONTH(tblSprzedaz[[#This Row],[Data]])</f>
        <v>4</v>
      </c>
      <c r="S369" s="9" t="str">
        <f>YEAR(tblSprzedaz[[#This Row],[Data]])&amp;"-"&amp;RIGHT("0"&amp;MONTH(tblSprzedaz[[#This Row],[Data]]),2)</f>
        <v>2025-04</v>
      </c>
    </row>
    <row r="370" spans="1:19" x14ac:dyDescent="0.25">
      <c r="A370" s="7" t="s">
        <v>907</v>
      </c>
      <c r="B370" s="10">
        <v>45761</v>
      </c>
      <c r="C370" s="7" t="s">
        <v>908</v>
      </c>
      <c r="D370" s="8" t="s">
        <v>142</v>
      </c>
      <c r="E370" s="8" t="s">
        <v>53</v>
      </c>
      <c r="F370" s="8" t="s">
        <v>29</v>
      </c>
      <c r="G370" s="8" t="s">
        <v>30</v>
      </c>
      <c r="H370" s="8" t="s">
        <v>41</v>
      </c>
      <c r="I370" s="11">
        <v>17</v>
      </c>
      <c r="J370" s="12">
        <v>27.88</v>
      </c>
      <c r="K370" s="13">
        <v>0</v>
      </c>
      <c r="L370" s="12">
        <v>17.22</v>
      </c>
      <c r="M370" s="14">
        <f>ROUND(tblSprzedaz[[#This Row],[Ilość]]*tblSprzedaz[[#This Row],[Cena netto jednostkowa]]*(1-tblSprzedaz[[#This Row],[Rabat %]]),2)</f>
        <v>473.96</v>
      </c>
      <c r="N370" s="14">
        <f>ROUND(tblSprzedaz[[#This Row],[Ilość]]*tblSprzedaz[[#This Row],[Koszt jednostkowy netto]],2)</f>
        <v>292.74</v>
      </c>
      <c r="O370" s="14">
        <f>tblSprzedaz[[#This Row],[Przychód netto]]-tblSprzedaz[[#This Row],[Koszt całkowity netto]]</f>
        <v>181.21999999999997</v>
      </c>
      <c r="P370" s="15">
        <f>IFERROR(tblSprzedaz[[#This Row],[Marża kwotowa]]/tblSprzedaz[[#This Row],[Przychód netto]],0)</f>
        <v>0.38235294117647056</v>
      </c>
      <c r="Q370" s="16">
        <f>YEAR(tblSprzedaz[[#This Row],[Data]])</f>
        <v>2025</v>
      </c>
      <c r="R370" s="16">
        <f>MONTH(tblSprzedaz[[#This Row],[Data]])</f>
        <v>4</v>
      </c>
      <c r="S370" s="9" t="str">
        <f>YEAR(tblSprzedaz[[#This Row],[Data]])&amp;"-"&amp;RIGHT("0"&amp;MONTH(tblSprzedaz[[#This Row],[Data]]),2)</f>
        <v>2025-04</v>
      </c>
    </row>
    <row r="371" spans="1:19" x14ac:dyDescent="0.25">
      <c r="A371" s="7" t="s">
        <v>909</v>
      </c>
      <c r="B371" s="10">
        <v>45761</v>
      </c>
      <c r="C371" s="7" t="s">
        <v>910</v>
      </c>
      <c r="D371" s="8" t="s">
        <v>144</v>
      </c>
      <c r="E371" s="8" t="s">
        <v>51</v>
      </c>
      <c r="F371" s="8" t="s">
        <v>29</v>
      </c>
      <c r="G371" s="8" t="s">
        <v>28</v>
      </c>
      <c r="H371" s="8" t="s">
        <v>38</v>
      </c>
      <c r="I371" s="11">
        <v>9</v>
      </c>
      <c r="J371" s="12">
        <v>51</v>
      </c>
      <c r="K371" s="13">
        <v>0</v>
      </c>
      <c r="L371" s="12">
        <v>31.54</v>
      </c>
      <c r="M371" s="14">
        <f>ROUND(tblSprzedaz[[#This Row],[Ilość]]*tblSprzedaz[[#This Row],[Cena netto jednostkowa]]*(1-tblSprzedaz[[#This Row],[Rabat %]]),2)</f>
        <v>459</v>
      </c>
      <c r="N371" s="14">
        <f>ROUND(tblSprzedaz[[#This Row],[Ilość]]*tblSprzedaz[[#This Row],[Koszt jednostkowy netto]],2)</f>
        <v>283.86</v>
      </c>
      <c r="O371" s="14">
        <f>tblSprzedaz[[#This Row],[Przychód netto]]-tblSprzedaz[[#This Row],[Koszt całkowity netto]]</f>
        <v>175.14</v>
      </c>
      <c r="P371" s="15">
        <f>IFERROR(tblSprzedaz[[#This Row],[Marża kwotowa]]/tblSprzedaz[[#This Row],[Przychód netto]],0)</f>
        <v>0.38156862745098036</v>
      </c>
      <c r="Q371" s="16">
        <f>YEAR(tblSprzedaz[[#This Row],[Data]])</f>
        <v>2025</v>
      </c>
      <c r="R371" s="16">
        <f>MONTH(tblSprzedaz[[#This Row],[Data]])</f>
        <v>4</v>
      </c>
      <c r="S371" s="9" t="str">
        <f>YEAR(tblSprzedaz[[#This Row],[Data]])&amp;"-"&amp;RIGHT("0"&amp;MONTH(tblSprzedaz[[#This Row],[Data]]),2)</f>
        <v>2025-04</v>
      </c>
    </row>
    <row r="372" spans="1:19" x14ac:dyDescent="0.25">
      <c r="A372" s="7" t="s">
        <v>911</v>
      </c>
      <c r="B372" s="10">
        <v>45762</v>
      </c>
      <c r="C372" s="7" t="s">
        <v>912</v>
      </c>
      <c r="D372" s="8" t="s">
        <v>106</v>
      </c>
      <c r="E372" s="8" t="s">
        <v>52</v>
      </c>
      <c r="F372" s="8" t="s">
        <v>29</v>
      </c>
      <c r="G372" s="8" t="s">
        <v>34</v>
      </c>
      <c r="H372" s="8" t="s">
        <v>44</v>
      </c>
      <c r="I372" s="11">
        <v>3</v>
      </c>
      <c r="J372" s="12">
        <v>56.78</v>
      </c>
      <c r="K372" s="13">
        <v>0</v>
      </c>
      <c r="L372" s="12">
        <v>35.130000000000003</v>
      </c>
      <c r="M372" s="14">
        <f>ROUND(tblSprzedaz[[#This Row],[Ilość]]*tblSprzedaz[[#This Row],[Cena netto jednostkowa]]*(1-tblSprzedaz[[#This Row],[Rabat %]]),2)</f>
        <v>170.34</v>
      </c>
      <c r="N372" s="14">
        <f>ROUND(tblSprzedaz[[#This Row],[Ilość]]*tblSprzedaz[[#This Row],[Koszt jednostkowy netto]],2)</f>
        <v>105.39</v>
      </c>
      <c r="O372" s="14">
        <f>tblSprzedaz[[#This Row],[Przychód netto]]-tblSprzedaz[[#This Row],[Koszt całkowity netto]]</f>
        <v>64.95</v>
      </c>
      <c r="P372" s="15">
        <f>IFERROR(tblSprzedaz[[#This Row],[Marża kwotowa]]/tblSprzedaz[[#This Row],[Przychód netto]],0)</f>
        <v>0.38129623106727722</v>
      </c>
      <c r="Q372" s="16">
        <f>YEAR(tblSprzedaz[[#This Row],[Data]])</f>
        <v>2025</v>
      </c>
      <c r="R372" s="16">
        <f>MONTH(tblSprzedaz[[#This Row],[Data]])</f>
        <v>4</v>
      </c>
      <c r="S372" s="9" t="str">
        <f>YEAR(tblSprzedaz[[#This Row],[Data]])&amp;"-"&amp;RIGHT("0"&amp;MONTH(tblSprzedaz[[#This Row],[Data]]),2)</f>
        <v>2025-04</v>
      </c>
    </row>
    <row r="373" spans="1:19" x14ac:dyDescent="0.25">
      <c r="A373" s="7" t="s">
        <v>913</v>
      </c>
      <c r="B373" s="10">
        <v>45762</v>
      </c>
      <c r="C373" s="7" t="s">
        <v>914</v>
      </c>
      <c r="D373" s="8" t="s">
        <v>86</v>
      </c>
      <c r="E373" s="8" t="s">
        <v>64</v>
      </c>
      <c r="F373" s="8" t="s">
        <v>33</v>
      </c>
      <c r="G373" s="8" t="s">
        <v>28</v>
      </c>
      <c r="H373" s="8" t="s">
        <v>38</v>
      </c>
      <c r="I373" s="11">
        <v>5</v>
      </c>
      <c r="J373" s="12">
        <v>768.2</v>
      </c>
      <c r="K373" s="13">
        <v>0.05</v>
      </c>
      <c r="L373" s="12">
        <v>499</v>
      </c>
      <c r="M373" s="14">
        <f>ROUND(tblSprzedaz[[#This Row],[Ilość]]*tblSprzedaz[[#This Row],[Cena netto jednostkowa]]*(1-tblSprzedaz[[#This Row],[Rabat %]]),2)</f>
        <v>3648.95</v>
      </c>
      <c r="N373" s="14">
        <f>ROUND(tblSprzedaz[[#This Row],[Ilość]]*tblSprzedaz[[#This Row],[Koszt jednostkowy netto]],2)</f>
        <v>2495</v>
      </c>
      <c r="O373" s="14">
        <f>tblSprzedaz[[#This Row],[Przychód netto]]-tblSprzedaz[[#This Row],[Koszt całkowity netto]]</f>
        <v>1153.9499999999998</v>
      </c>
      <c r="P373" s="15">
        <f>IFERROR(tblSprzedaz[[#This Row],[Marża kwotowa]]/tblSprzedaz[[#This Row],[Przychód netto]],0)</f>
        <v>0.31624165855931152</v>
      </c>
      <c r="Q373" s="16">
        <f>YEAR(tblSprzedaz[[#This Row],[Data]])</f>
        <v>2025</v>
      </c>
      <c r="R373" s="16">
        <f>MONTH(tblSprzedaz[[#This Row],[Data]])</f>
        <v>4</v>
      </c>
      <c r="S373" s="9" t="str">
        <f>YEAR(tblSprzedaz[[#This Row],[Data]])&amp;"-"&amp;RIGHT("0"&amp;MONTH(tblSprzedaz[[#This Row],[Data]]),2)</f>
        <v>2025-04</v>
      </c>
    </row>
    <row r="374" spans="1:19" x14ac:dyDescent="0.25">
      <c r="A374" s="7" t="s">
        <v>915</v>
      </c>
      <c r="B374" s="10">
        <v>45762</v>
      </c>
      <c r="C374" s="7" t="s">
        <v>916</v>
      </c>
      <c r="D374" s="8" t="s">
        <v>149</v>
      </c>
      <c r="E374" s="8" t="s">
        <v>71</v>
      </c>
      <c r="F374" s="8" t="s">
        <v>35</v>
      </c>
      <c r="G374" s="8" t="s">
        <v>34</v>
      </c>
      <c r="H374" s="8" t="s">
        <v>44</v>
      </c>
      <c r="I374" s="11">
        <v>5</v>
      </c>
      <c r="J374" s="12">
        <v>55.76</v>
      </c>
      <c r="K374" s="13">
        <v>0.05</v>
      </c>
      <c r="L374" s="12">
        <v>38.21</v>
      </c>
      <c r="M374" s="14">
        <f>ROUND(tblSprzedaz[[#This Row],[Ilość]]*tblSprzedaz[[#This Row],[Cena netto jednostkowa]]*(1-tblSprzedaz[[#This Row],[Rabat %]]),2)</f>
        <v>264.86</v>
      </c>
      <c r="N374" s="14">
        <f>ROUND(tblSprzedaz[[#This Row],[Ilość]]*tblSprzedaz[[#This Row],[Koszt jednostkowy netto]],2)</f>
        <v>191.05</v>
      </c>
      <c r="O374" s="14">
        <f>tblSprzedaz[[#This Row],[Przychód netto]]-tblSprzedaz[[#This Row],[Koszt całkowity netto]]</f>
        <v>73.81</v>
      </c>
      <c r="P374" s="15">
        <f>IFERROR(tblSprzedaz[[#This Row],[Marża kwotowa]]/tblSprzedaz[[#This Row],[Przychód netto]],0)</f>
        <v>0.27867552669334744</v>
      </c>
      <c r="Q374" s="16">
        <f>YEAR(tblSprzedaz[[#This Row],[Data]])</f>
        <v>2025</v>
      </c>
      <c r="R374" s="16">
        <f>MONTH(tblSprzedaz[[#This Row],[Data]])</f>
        <v>4</v>
      </c>
      <c r="S374" s="9" t="str">
        <f>YEAR(tblSprzedaz[[#This Row],[Data]])&amp;"-"&amp;RIGHT("0"&amp;MONTH(tblSprzedaz[[#This Row],[Data]]),2)</f>
        <v>2025-04</v>
      </c>
    </row>
    <row r="375" spans="1:19" x14ac:dyDescent="0.25">
      <c r="A375" s="7" t="s">
        <v>917</v>
      </c>
      <c r="B375" s="10">
        <v>45762</v>
      </c>
      <c r="C375" s="7" t="s">
        <v>918</v>
      </c>
      <c r="D375" s="8" t="s">
        <v>137</v>
      </c>
      <c r="E375" s="8" t="s">
        <v>74</v>
      </c>
      <c r="F375" s="8" t="s">
        <v>37</v>
      </c>
      <c r="G375" s="8" t="s">
        <v>28</v>
      </c>
      <c r="H375" s="8" t="s">
        <v>39</v>
      </c>
      <c r="I375" s="11">
        <v>18</v>
      </c>
      <c r="J375" s="12">
        <v>126.35</v>
      </c>
      <c r="K375" s="13">
        <v>0.1</v>
      </c>
      <c r="L375" s="12">
        <v>98.88</v>
      </c>
      <c r="M375" s="14">
        <f>ROUND(tblSprzedaz[[#This Row],[Ilość]]*tblSprzedaz[[#This Row],[Cena netto jednostkowa]]*(1-tblSprzedaz[[#This Row],[Rabat %]]),2)</f>
        <v>2046.87</v>
      </c>
      <c r="N375" s="14">
        <f>ROUND(tblSprzedaz[[#This Row],[Ilość]]*tblSprzedaz[[#This Row],[Koszt jednostkowy netto]],2)</f>
        <v>1779.84</v>
      </c>
      <c r="O375" s="14">
        <f>tblSprzedaz[[#This Row],[Przychód netto]]-tblSprzedaz[[#This Row],[Koszt całkowity netto]]</f>
        <v>267.02999999999997</v>
      </c>
      <c r="P375" s="15">
        <f>IFERROR(tblSprzedaz[[#This Row],[Marża kwotowa]]/tblSprzedaz[[#This Row],[Przychód netto]],0)</f>
        <v>0.1304577232555072</v>
      </c>
      <c r="Q375" s="16">
        <f>YEAR(tblSprzedaz[[#This Row],[Data]])</f>
        <v>2025</v>
      </c>
      <c r="R375" s="16">
        <f>MONTH(tblSprzedaz[[#This Row],[Data]])</f>
        <v>4</v>
      </c>
      <c r="S375" s="9" t="str">
        <f>YEAR(tblSprzedaz[[#This Row],[Data]])&amp;"-"&amp;RIGHT("0"&amp;MONTH(tblSprzedaz[[#This Row],[Data]]),2)</f>
        <v>2025-04</v>
      </c>
    </row>
    <row r="376" spans="1:19" x14ac:dyDescent="0.25">
      <c r="A376" s="7" t="s">
        <v>919</v>
      </c>
      <c r="B376" s="10">
        <v>45762</v>
      </c>
      <c r="C376" s="7" t="s">
        <v>920</v>
      </c>
      <c r="D376" s="8" t="s">
        <v>91</v>
      </c>
      <c r="E376" s="8" t="s">
        <v>55</v>
      </c>
      <c r="F376" s="8" t="s">
        <v>31</v>
      </c>
      <c r="G376" s="8" t="s">
        <v>28</v>
      </c>
      <c r="H376" s="8" t="s">
        <v>38</v>
      </c>
      <c r="I376" s="11">
        <v>11</v>
      </c>
      <c r="J376" s="12">
        <v>243.6</v>
      </c>
      <c r="K376" s="13">
        <v>0.1</v>
      </c>
      <c r="L376" s="12">
        <v>154.85</v>
      </c>
      <c r="M376" s="14">
        <f>ROUND(tblSprzedaz[[#This Row],[Ilość]]*tblSprzedaz[[#This Row],[Cena netto jednostkowa]]*(1-tblSprzedaz[[#This Row],[Rabat %]]),2)</f>
        <v>2411.64</v>
      </c>
      <c r="N376" s="14">
        <f>ROUND(tblSprzedaz[[#This Row],[Ilość]]*tblSprzedaz[[#This Row],[Koszt jednostkowy netto]],2)</f>
        <v>1703.35</v>
      </c>
      <c r="O376" s="14">
        <f>tblSprzedaz[[#This Row],[Przychód netto]]-tblSprzedaz[[#This Row],[Koszt całkowity netto]]</f>
        <v>708.29</v>
      </c>
      <c r="P376" s="15">
        <f>IFERROR(tblSprzedaz[[#This Row],[Marża kwotowa]]/tblSprzedaz[[#This Row],[Przychód netto]],0)</f>
        <v>0.29369640576537126</v>
      </c>
      <c r="Q376" s="16">
        <f>YEAR(tblSprzedaz[[#This Row],[Data]])</f>
        <v>2025</v>
      </c>
      <c r="R376" s="16">
        <f>MONTH(tblSprzedaz[[#This Row],[Data]])</f>
        <v>4</v>
      </c>
      <c r="S376" s="9" t="str">
        <f>YEAR(tblSprzedaz[[#This Row],[Data]])&amp;"-"&amp;RIGHT("0"&amp;MONTH(tblSprzedaz[[#This Row],[Data]]),2)</f>
        <v>2025-04</v>
      </c>
    </row>
    <row r="377" spans="1:19" x14ac:dyDescent="0.25">
      <c r="A377" s="7" t="s">
        <v>921</v>
      </c>
      <c r="B377" s="10">
        <v>45763</v>
      </c>
      <c r="C377" s="7" t="s">
        <v>922</v>
      </c>
      <c r="D377" s="8" t="s">
        <v>97</v>
      </c>
      <c r="E377" s="8" t="s">
        <v>49</v>
      </c>
      <c r="F377" s="8" t="s">
        <v>29</v>
      </c>
      <c r="G377" s="8" t="s">
        <v>34</v>
      </c>
      <c r="H377" s="8" t="s">
        <v>45</v>
      </c>
      <c r="I377" s="11">
        <v>11</v>
      </c>
      <c r="J377" s="12">
        <v>39.44</v>
      </c>
      <c r="K377" s="13">
        <v>0</v>
      </c>
      <c r="L377" s="12">
        <v>22.35</v>
      </c>
      <c r="M377" s="14">
        <f>ROUND(tblSprzedaz[[#This Row],[Ilość]]*tblSprzedaz[[#This Row],[Cena netto jednostkowa]]*(1-tblSprzedaz[[#This Row],[Rabat %]]),2)</f>
        <v>433.84</v>
      </c>
      <c r="N377" s="14">
        <f>ROUND(tblSprzedaz[[#This Row],[Ilość]]*tblSprzedaz[[#This Row],[Koszt jednostkowy netto]],2)</f>
        <v>245.85</v>
      </c>
      <c r="O377" s="14">
        <f>tblSprzedaz[[#This Row],[Przychód netto]]-tblSprzedaz[[#This Row],[Koszt całkowity netto]]</f>
        <v>187.98999999999998</v>
      </c>
      <c r="P377" s="15">
        <f>IFERROR(tblSprzedaz[[#This Row],[Marża kwotowa]]/tblSprzedaz[[#This Row],[Przychód netto]],0)</f>
        <v>0.43331643002028397</v>
      </c>
      <c r="Q377" s="16">
        <f>YEAR(tblSprzedaz[[#This Row],[Data]])</f>
        <v>2025</v>
      </c>
      <c r="R377" s="16">
        <f>MONTH(tblSprzedaz[[#This Row],[Data]])</f>
        <v>4</v>
      </c>
      <c r="S377" s="9" t="str">
        <f>YEAR(tblSprzedaz[[#This Row],[Data]])&amp;"-"&amp;RIGHT("0"&amp;MONTH(tblSprzedaz[[#This Row],[Data]]),2)</f>
        <v>2025-04</v>
      </c>
    </row>
    <row r="378" spans="1:19" x14ac:dyDescent="0.25">
      <c r="A378" s="7" t="s">
        <v>923</v>
      </c>
      <c r="B378" s="10">
        <v>45763</v>
      </c>
      <c r="C378" s="7" t="s">
        <v>924</v>
      </c>
      <c r="D378" s="8" t="s">
        <v>115</v>
      </c>
      <c r="E378" s="8" t="s">
        <v>49</v>
      </c>
      <c r="F378" s="8" t="s">
        <v>29</v>
      </c>
      <c r="G378" s="8" t="s">
        <v>34</v>
      </c>
      <c r="H378" s="8" t="s">
        <v>45</v>
      </c>
      <c r="I378" s="11">
        <v>15</v>
      </c>
      <c r="J378" s="12">
        <v>39.44</v>
      </c>
      <c r="K378" s="13">
        <v>0.1</v>
      </c>
      <c r="L378" s="12">
        <v>24.31</v>
      </c>
      <c r="M378" s="14">
        <f>ROUND(tblSprzedaz[[#This Row],[Ilość]]*tblSprzedaz[[#This Row],[Cena netto jednostkowa]]*(1-tblSprzedaz[[#This Row],[Rabat %]]),2)</f>
        <v>532.44000000000005</v>
      </c>
      <c r="N378" s="14">
        <f>ROUND(tblSprzedaz[[#This Row],[Ilość]]*tblSprzedaz[[#This Row],[Koszt jednostkowy netto]],2)</f>
        <v>364.65</v>
      </c>
      <c r="O378" s="14">
        <f>tblSprzedaz[[#This Row],[Przychód netto]]-tblSprzedaz[[#This Row],[Koszt całkowity netto]]</f>
        <v>167.79000000000008</v>
      </c>
      <c r="P378" s="15">
        <f>IFERROR(tblSprzedaz[[#This Row],[Marża kwotowa]]/tblSprzedaz[[#This Row],[Przychód netto]],0)</f>
        <v>0.31513409961685834</v>
      </c>
      <c r="Q378" s="16">
        <f>YEAR(tblSprzedaz[[#This Row],[Data]])</f>
        <v>2025</v>
      </c>
      <c r="R378" s="16">
        <f>MONTH(tblSprzedaz[[#This Row],[Data]])</f>
        <v>4</v>
      </c>
      <c r="S378" s="9" t="str">
        <f>YEAR(tblSprzedaz[[#This Row],[Data]])&amp;"-"&amp;RIGHT("0"&amp;MONTH(tblSprzedaz[[#This Row],[Data]]),2)</f>
        <v>2025-04</v>
      </c>
    </row>
    <row r="379" spans="1:19" x14ac:dyDescent="0.25">
      <c r="A379" s="7" t="s">
        <v>925</v>
      </c>
      <c r="B379" s="10">
        <v>45763</v>
      </c>
      <c r="C379" s="7" t="s">
        <v>926</v>
      </c>
      <c r="D379" s="8" t="s">
        <v>146</v>
      </c>
      <c r="E379" s="8" t="s">
        <v>63</v>
      </c>
      <c r="F379" s="8" t="s">
        <v>33</v>
      </c>
      <c r="G379" s="8" t="s">
        <v>28</v>
      </c>
      <c r="H379" s="8" t="s">
        <v>39</v>
      </c>
      <c r="I379" s="11">
        <v>3</v>
      </c>
      <c r="J379" s="12">
        <v>690</v>
      </c>
      <c r="K379" s="13">
        <v>0</v>
      </c>
      <c r="L379" s="12">
        <v>451.47</v>
      </c>
      <c r="M379" s="14">
        <f>ROUND(tblSprzedaz[[#This Row],[Ilość]]*tblSprzedaz[[#This Row],[Cena netto jednostkowa]]*(1-tblSprzedaz[[#This Row],[Rabat %]]),2)</f>
        <v>2070</v>
      </c>
      <c r="N379" s="14">
        <f>ROUND(tblSprzedaz[[#This Row],[Ilość]]*tblSprzedaz[[#This Row],[Koszt jednostkowy netto]],2)</f>
        <v>1354.41</v>
      </c>
      <c r="O379" s="14">
        <f>tblSprzedaz[[#This Row],[Przychód netto]]-tblSprzedaz[[#This Row],[Koszt całkowity netto]]</f>
        <v>715.58999999999992</v>
      </c>
      <c r="P379" s="15">
        <f>IFERROR(tblSprzedaz[[#This Row],[Marża kwotowa]]/tblSprzedaz[[#This Row],[Przychód netto]],0)</f>
        <v>0.34569565217391302</v>
      </c>
      <c r="Q379" s="16">
        <f>YEAR(tblSprzedaz[[#This Row],[Data]])</f>
        <v>2025</v>
      </c>
      <c r="R379" s="16">
        <f>MONTH(tblSprzedaz[[#This Row],[Data]])</f>
        <v>4</v>
      </c>
      <c r="S379" s="9" t="str">
        <f>YEAR(tblSprzedaz[[#This Row],[Data]])&amp;"-"&amp;RIGHT("0"&amp;MONTH(tblSprzedaz[[#This Row],[Data]]),2)</f>
        <v>2025-04</v>
      </c>
    </row>
    <row r="380" spans="1:19" x14ac:dyDescent="0.25">
      <c r="A380" s="7" t="s">
        <v>927</v>
      </c>
      <c r="B380" s="10">
        <v>45763</v>
      </c>
      <c r="C380" s="7" t="s">
        <v>928</v>
      </c>
      <c r="D380" s="8" t="s">
        <v>115</v>
      </c>
      <c r="E380" s="8" t="s">
        <v>72</v>
      </c>
      <c r="F380" s="8" t="s">
        <v>37</v>
      </c>
      <c r="G380" s="8" t="s">
        <v>34</v>
      </c>
      <c r="H380" s="8" t="s">
        <v>44</v>
      </c>
      <c r="I380" s="11">
        <v>11</v>
      </c>
      <c r="J380" s="12">
        <v>94.05</v>
      </c>
      <c r="K380" s="13">
        <v>0.05</v>
      </c>
      <c r="L380" s="12">
        <v>71.45</v>
      </c>
      <c r="M380" s="14">
        <f>ROUND(tblSprzedaz[[#This Row],[Ilość]]*tblSprzedaz[[#This Row],[Cena netto jednostkowa]]*(1-tblSprzedaz[[#This Row],[Rabat %]]),2)</f>
        <v>982.82</v>
      </c>
      <c r="N380" s="14">
        <f>ROUND(tblSprzedaz[[#This Row],[Ilość]]*tblSprzedaz[[#This Row],[Koszt jednostkowy netto]],2)</f>
        <v>785.95</v>
      </c>
      <c r="O380" s="14">
        <f>tblSprzedaz[[#This Row],[Przychód netto]]-tblSprzedaz[[#This Row],[Koszt całkowity netto]]</f>
        <v>196.87</v>
      </c>
      <c r="P380" s="15">
        <f>IFERROR(tblSprzedaz[[#This Row],[Marża kwotowa]]/tblSprzedaz[[#This Row],[Przychód netto]],0)</f>
        <v>0.20031134897539732</v>
      </c>
      <c r="Q380" s="16">
        <f>YEAR(tblSprzedaz[[#This Row],[Data]])</f>
        <v>2025</v>
      </c>
      <c r="R380" s="16">
        <f>MONTH(tblSprzedaz[[#This Row],[Data]])</f>
        <v>4</v>
      </c>
      <c r="S380" s="9" t="str">
        <f>YEAR(tblSprzedaz[[#This Row],[Data]])&amp;"-"&amp;RIGHT("0"&amp;MONTH(tblSprzedaz[[#This Row],[Data]]),2)</f>
        <v>2025-04</v>
      </c>
    </row>
    <row r="381" spans="1:19" x14ac:dyDescent="0.25">
      <c r="A381" s="7" t="s">
        <v>929</v>
      </c>
      <c r="B381" s="10">
        <v>45764</v>
      </c>
      <c r="C381" s="7" t="s">
        <v>930</v>
      </c>
      <c r="D381" s="8" t="s">
        <v>124</v>
      </c>
      <c r="E381" s="8" t="s">
        <v>51</v>
      </c>
      <c r="F381" s="8" t="s">
        <v>29</v>
      </c>
      <c r="G381" s="8" t="s">
        <v>36</v>
      </c>
      <c r="H381" s="8" t="s">
        <v>46</v>
      </c>
      <c r="I381" s="11">
        <v>19</v>
      </c>
      <c r="J381" s="12">
        <v>51</v>
      </c>
      <c r="K381" s="13">
        <v>0.05</v>
      </c>
      <c r="L381" s="12">
        <v>28.71</v>
      </c>
      <c r="M381" s="14">
        <f>ROUND(tblSprzedaz[[#This Row],[Ilość]]*tblSprzedaz[[#This Row],[Cena netto jednostkowa]]*(1-tblSprzedaz[[#This Row],[Rabat %]]),2)</f>
        <v>920.55</v>
      </c>
      <c r="N381" s="14">
        <f>ROUND(tblSprzedaz[[#This Row],[Ilość]]*tblSprzedaz[[#This Row],[Koszt jednostkowy netto]],2)</f>
        <v>545.49</v>
      </c>
      <c r="O381" s="14">
        <f>tblSprzedaz[[#This Row],[Przychód netto]]-tblSprzedaz[[#This Row],[Koszt całkowity netto]]</f>
        <v>375.05999999999995</v>
      </c>
      <c r="P381" s="15">
        <f>IFERROR(tblSprzedaz[[#This Row],[Marża kwotowa]]/tblSprzedaz[[#This Row],[Przychód netto]],0)</f>
        <v>0.40743034055727551</v>
      </c>
      <c r="Q381" s="16">
        <f>YEAR(tblSprzedaz[[#This Row],[Data]])</f>
        <v>2025</v>
      </c>
      <c r="R381" s="16">
        <f>MONTH(tblSprzedaz[[#This Row],[Data]])</f>
        <v>4</v>
      </c>
      <c r="S381" s="9" t="str">
        <f>YEAR(tblSprzedaz[[#This Row],[Data]])&amp;"-"&amp;RIGHT("0"&amp;MONTH(tblSprzedaz[[#This Row],[Data]]),2)</f>
        <v>2025-04</v>
      </c>
    </row>
    <row r="382" spans="1:19" x14ac:dyDescent="0.25">
      <c r="A382" s="7" t="s">
        <v>931</v>
      </c>
      <c r="B382" s="10">
        <v>45764</v>
      </c>
      <c r="C382" s="7" t="s">
        <v>932</v>
      </c>
      <c r="D382" s="8" t="s">
        <v>124</v>
      </c>
      <c r="E382" s="8" t="s">
        <v>56</v>
      </c>
      <c r="F382" s="8" t="s">
        <v>31</v>
      </c>
      <c r="G382" s="8" t="s">
        <v>30</v>
      </c>
      <c r="H382" s="8" t="s">
        <v>40</v>
      </c>
      <c r="I382" s="11">
        <v>9</v>
      </c>
      <c r="J382" s="12">
        <v>279.3</v>
      </c>
      <c r="K382" s="13">
        <v>0</v>
      </c>
      <c r="L382" s="12">
        <v>187.53</v>
      </c>
      <c r="M382" s="14">
        <f>ROUND(tblSprzedaz[[#This Row],[Ilość]]*tblSprzedaz[[#This Row],[Cena netto jednostkowa]]*(1-tblSprzedaz[[#This Row],[Rabat %]]),2)</f>
        <v>2513.6999999999998</v>
      </c>
      <c r="N382" s="14">
        <f>ROUND(tblSprzedaz[[#This Row],[Ilość]]*tblSprzedaz[[#This Row],[Koszt jednostkowy netto]],2)</f>
        <v>1687.77</v>
      </c>
      <c r="O382" s="14">
        <f>tblSprzedaz[[#This Row],[Przychód netto]]-tblSprzedaz[[#This Row],[Koszt całkowity netto]]</f>
        <v>825.92999999999984</v>
      </c>
      <c r="P382" s="15">
        <f>IFERROR(tblSprzedaz[[#This Row],[Marża kwotowa]]/tblSprzedaz[[#This Row],[Przychód netto]],0)</f>
        <v>0.32857142857142851</v>
      </c>
      <c r="Q382" s="16">
        <f>YEAR(tblSprzedaz[[#This Row],[Data]])</f>
        <v>2025</v>
      </c>
      <c r="R382" s="16">
        <f>MONTH(tblSprzedaz[[#This Row],[Data]])</f>
        <v>4</v>
      </c>
      <c r="S382" s="9" t="str">
        <f>YEAR(tblSprzedaz[[#This Row],[Data]])&amp;"-"&amp;RIGHT("0"&amp;MONTH(tblSprzedaz[[#This Row],[Data]]),2)</f>
        <v>2025-04</v>
      </c>
    </row>
    <row r="383" spans="1:19" x14ac:dyDescent="0.25">
      <c r="A383" s="7" t="s">
        <v>933</v>
      </c>
      <c r="B383" s="10">
        <v>45764</v>
      </c>
      <c r="C383" s="7" t="s">
        <v>934</v>
      </c>
      <c r="D383" s="8" t="s">
        <v>146</v>
      </c>
      <c r="E383" s="8" t="s">
        <v>51</v>
      </c>
      <c r="F383" s="8" t="s">
        <v>29</v>
      </c>
      <c r="G383" s="8" t="s">
        <v>30</v>
      </c>
      <c r="H383" s="8" t="s">
        <v>40</v>
      </c>
      <c r="I383" s="11">
        <v>16</v>
      </c>
      <c r="J383" s="12">
        <v>51</v>
      </c>
      <c r="K383" s="13">
        <v>0.05</v>
      </c>
      <c r="L383" s="12">
        <v>28.65</v>
      </c>
      <c r="M383" s="14">
        <f>ROUND(tblSprzedaz[[#This Row],[Ilość]]*tblSprzedaz[[#This Row],[Cena netto jednostkowa]]*(1-tblSprzedaz[[#This Row],[Rabat %]]),2)</f>
        <v>775.2</v>
      </c>
      <c r="N383" s="14">
        <f>ROUND(tblSprzedaz[[#This Row],[Ilość]]*tblSprzedaz[[#This Row],[Koszt jednostkowy netto]],2)</f>
        <v>458.4</v>
      </c>
      <c r="O383" s="14">
        <f>tblSprzedaz[[#This Row],[Przychód netto]]-tblSprzedaz[[#This Row],[Koszt całkowity netto]]</f>
        <v>316.80000000000007</v>
      </c>
      <c r="P383" s="15">
        <f>IFERROR(tblSprzedaz[[#This Row],[Marża kwotowa]]/tblSprzedaz[[#This Row],[Przychód netto]],0)</f>
        <v>0.40866873065015485</v>
      </c>
      <c r="Q383" s="16">
        <f>YEAR(tblSprzedaz[[#This Row],[Data]])</f>
        <v>2025</v>
      </c>
      <c r="R383" s="16">
        <f>MONTH(tblSprzedaz[[#This Row],[Data]])</f>
        <v>4</v>
      </c>
      <c r="S383" s="9" t="str">
        <f>YEAR(tblSprzedaz[[#This Row],[Data]])&amp;"-"&amp;RIGHT("0"&amp;MONTH(tblSprzedaz[[#This Row],[Data]]),2)</f>
        <v>2025-04</v>
      </c>
    </row>
    <row r="384" spans="1:19" x14ac:dyDescent="0.25">
      <c r="A384" s="7" t="s">
        <v>935</v>
      </c>
      <c r="B384" s="10">
        <v>45764</v>
      </c>
      <c r="C384" s="7" t="s">
        <v>936</v>
      </c>
      <c r="D384" s="8" t="s">
        <v>119</v>
      </c>
      <c r="E384" s="8" t="s">
        <v>52</v>
      </c>
      <c r="F384" s="8" t="s">
        <v>29</v>
      </c>
      <c r="G384" s="8" t="s">
        <v>28</v>
      </c>
      <c r="H384" s="8" t="s">
        <v>38</v>
      </c>
      <c r="I384" s="11">
        <v>4</v>
      </c>
      <c r="J384" s="12">
        <v>56.78</v>
      </c>
      <c r="K384" s="13">
        <v>0</v>
      </c>
      <c r="L384" s="12">
        <v>31.81</v>
      </c>
      <c r="M384" s="14">
        <f>ROUND(tblSprzedaz[[#This Row],[Ilość]]*tblSprzedaz[[#This Row],[Cena netto jednostkowa]]*(1-tblSprzedaz[[#This Row],[Rabat %]]),2)</f>
        <v>227.12</v>
      </c>
      <c r="N384" s="14">
        <f>ROUND(tblSprzedaz[[#This Row],[Ilość]]*tblSprzedaz[[#This Row],[Koszt jednostkowy netto]],2)</f>
        <v>127.24</v>
      </c>
      <c r="O384" s="14">
        <f>tblSprzedaz[[#This Row],[Przychód netto]]-tblSprzedaz[[#This Row],[Koszt całkowity netto]]</f>
        <v>99.88000000000001</v>
      </c>
      <c r="P384" s="15">
        <f>IFERROR(tblSprzedaz[[#This Row],[Marża kwotowa]]/tblSprzedaz[[#This Row],[Przychód netto]],0)</f>
        <v>0.4397675237759775</v>
      </c>
      <c r="Q384" s="16">
        <f>YEAR(tblSprzedaz[[#This Row],[Data]])</f>
        <v>2025</v>
      </c>
      <c r="R384" s="16">
        <f>MONTH(tblSprzedaz[[#This Row],[Data]])</f>
        <v>4</v>
      </c>
      <c r="S384" s="9" t="str">
        <f>YEAR(tblSprzedaz[[#This Row],[Data]])&amp;"-"&amp;RIGHT("0"&amp;MONTH(tblSprzedaz[[#This Row],[Data]]),2)</f>
        <v>2025-04</v>
      </c>
    </row>
    <row r="385" spans="1:19" x14ac:dyDescent="0.25">
      <c r="A385" s="7" t="s">
        <v>937</v>
      </c>
      <c r="B385" s="10">
        <v>45764</v>
      </c>
      <c r="C385" s="7" t="s">
        <v>938</v>
      </c>
      <c r="D385" s="8" t="s">
        <v>93</v>
      </c>
      <c r="E385" s="8" t="s">
        <v>54</v>
      </c>
      <c r="F385" s="8" t="s">
        <v>31</v>
      </c>
      <c r="G385" s="8" t="s">
        <v>28</v>
      </c>
      <c r="H385" s="8" t="s">
        <v>38</v>
      </c>
      <c r="I385" s="11">
        <v>12</v>
      </c>
      <c r="J385" s="12">
        <v>207.9</v>
      </c>
      <c r="K385" s="13">
        <v>0</v>
      </c>
      <c r="L385" s="12">
        <v>125.77</v>
      </c>
      <c r="M385" s="14">
        <f>ROUND(tblSprzedaz[[#This Row],[Ilość]]*tblSprzedaz[[#This Row],[Cena netto jednostkowa]]*(1-tblSprzedaz[[#This Row],[Rabat %]]),2)</f>
        <v>2494.8000000000002</v>
      </c>
      <c r="N385" s="14">
        <f>ROUND(tblSprzedaz[[#This Row],[Ilość]]*tblSprzedaz[[#This Row],[Koszt jednostkowy netto]],2)</f>
        <v>1509.24</v>
      </c>
      <c r="O385" s="14">
        <f>tblSprzedaz[[#This Row],[Przychód netto]]-tblSprzedaz[[#This Row],[Koszt całkowity netto]]</f>
        <v>985.56000000000017</v>
      </c>
      <c r="P385" s="15">
        <f>IFERROR(tblSprzedaz[[#This Row],[Marża kwotowa]]/tblSprzedaz[[#This Row],[Przychód netto]],0)</f>
        <v>0.39504569504569509</v>
      </c>
      <c r="Q385" s="16">
        <f>YEAR(tblSprzedaz[[#This Row],[Data]])</f>
        <v>2025</v>
      </c>
      <c r="R385" s="16">
        <f>MONTH(tblSprzedaz[[#This Row],[Data]])</f>
        <v>4</v>
      </c>
      <c r="S385" s="9" t="str">
        <f>YEAR(tblSprzedaz[[#This Row],[Data]])&amp;"-"&amp;RIGHT("0"&amp;MONTH(tblSprzedaz[[#This Row],[Data]]),2)</f>
        <v>2025-04</v>
      </c>
    </row>
    <row r="386" spans="1:19" x14ac:dyDescent="0.25">
      <c r="A386" s="7" t="s">
        <v>939</v>
      </c>
      <c r="B386" s="10">
        <v>45765</v>
      </c>
      <c r="C386" s="7" t="s">
        <v>940</v>
      </c>
      <c r="D386" s="8" t="s">
        <v>103</v>
      </c>
      <c r="E386" s="8" t="s">
        <v>73</v>
      </c>
      <c r="F386" s="8" t="s">
        <v>37</v>
      </c>
      <c r="G386" s="8" t="s">
        <v>30</v>
      </c>
      <c r="H386" s="8" t="s">
        <v>40</v>
      </c>
      <c r="I386" s="11">
        <v>16</v>
      </c>
      <c r="J386" s="12">
        <v>110.2</v>
      </c>
      <c r="K386" s="13">
        <v>0</v>
      </c>
      <c r="L386" s="12">
        <v>82.5</v>
      </c>
      <c r="M386" s="14">
        <f>ROUND(tblSprzedaz[[#This Row],[Ilość]]*tblSprzedaz[[#This Row],[Cena netto jednostkowa]]*(1-tblSprzedaz[[#This Row],[Rabat %]]),2)</f>
        <v>1763.2</v>
      </c>
      <c r="N386" s="14">
        <f>ROUND(tblSprzedaz[[#This Row],[Ilość]]*tblSprzedaz[[#This Row],[Koszt jednostkowy netto]],2)</f>
        <v>1320</v>
      </c>
      <c r="O386" s="14">
        <f>tblSprzedaz[[#This Row],[Przychód netto]]-tblSprzedaz[[#This Row],[Koszt całkowity netto]]</f>
        <v>443.20000000000005</v>
      </c>
      <c r="P386" s="15">
        <f>IFERROR(tblSprzedaz[[#This Row],[Marża kwotowa]]/tblSprzedaz[[#This Row],[Przychód netto]],0)</f>
        <v>0.25136116152450094</v>
      </c>
      <c r="Q386" s="16">
        <f>YEAR(tblSprzedaz[[#This Row],[Data]])</f>
        <v>2025</v>
      </c>
      <c r="R386" s="16">
        <f>MONTH(tblSprzedaz[[#This Row],[Data]])</f>
        <v>4</v>
      </c>
      <c r="S386" s="9" t="str">
        <f>YEAR(tblSprzedaz[[#This Row],[Data]])&amp;"-"&amp;RIGHT("0"&amp;MONTH(tblSprzedaz[[#This Row],[Data]]),2)</f>
        <v>2025-04</v>
      </c>
    </row>
    <row r="387" spans="1:19" x14ac:dyDescent="0.25">
      <c r="A387" s="7" t="s">
        <v>941</v>
      </c>
      <c r="B387" s="10">
        <v>45765</v>
      </c>
      <c r="C387" s="7" t="s">
        <v>942</v>
      </c>
      <c r="D387" s="8" t="s">
        <v>140</v>
      </c>
      <c r="E387" s="8" t="s">
        <v>63</v>
      </c>
      <c r="F387" s="8" t="s">
        <v>33</v>
      </c>
      <c r="G387" s="8" t="s">
        <v>28</v>
      </c>
      <c r="H387" s="8" t="s">
        <v>38</v>
      </c>
      <c r="I387" s="11">
        <v>13</v>
      </c>
      <c r="J387" s="12">
        <v>690</v>
      </c>
      <c r="K387" s="13">
        <v>0.15</v>
      </c>
      <c r="L387" s="12">
        <v>443.78</v>
      </c>
      <c r="M387" s="14">
        <f>ROUND(tblSprzedaz[[#This Row],[Ilość]]*tblSprzedaz[[#This Row],[Cena netto jednostkowa]]*(1-tblSprzedaz[[#This Row],[Rabat %]]),2)</f>
        <v>7624.5</v>
      </c>
      <c r="N387" s="14">
        <f>ROUND(tblSprzedaz[[#This Row],[Ilość]]*tblSprzedaz[[#This Row],[Koszt jednostkowy netto]],2)</f>
        <v>5769.14</v>
      </c>
      <c r="O387" s="14">
        <f>tblSprzedaz[[#This Row],[Przychód netto]]-tblSprzedaz[[#This Row],[Koszt całkowity netto]]</f>
        <v>1855.3599999999997</v>
      </c>
      <c r="P387" s="15">
        <f>IFERROR(tblSprzedaz[[#This Row],[Marża kwotowa]]/tblSprzedaz[[#This Row],[Przychód netto]],0)</f>
        <v>0.2433418584825234</v>
      </c>
      <c r="Q387" s="16">
        <f>YEAR(tblSprzedaz[[#This Row],[Data]])</f>
        <v>2025</v>
      </c>
      <c r="R387" s="16">
        <f>MONTH(tblSprzedaz[[#This Row],[Data]])</f>
        <v>4</v>
      </c>
      <c r="S387" s="9" t="str">
        <f>YEAR(tblSprzedaz[[#This Row],[Data]])&amp;"-"&amp;RIGHT("0"&amp;MONTH(tblSprzedaz[[#This Row],[Data]]),2)</f>
        <v>2025-04</v>
      </c>
    </row>
    <row r="388" spans="1:19" x14ac:dyDescent="0.25">
      <c r="A388" s="7" t="s">
        <v>943</v>
      </c>
      <c r="B388" s="10">
        <v>45765</v>
      </c>
      <c r="C388" s="7" t="s">
        <v>944</v>
      </c>
      <c r="D388" s="8" t="s">
        <v>129</v>
      </c>
      <c r="E388" s="8" t="s">
        <v>48</v>
      </c>
      <c r="F388" s="8" t="s">
        <v>29</v>
      </c>
      <c r="G388" s="8" t="s">
        <v>28</v>
      </c>
      <c r="H388" s="8" t="s">
        <v>38</v>
      </c>
      <c r="I388" s="11">
        <v>15</v>
      </c>
      <c r="J388" s="12">
        <v>33.659999999999997</v>
      </c>
      <c r="K388" s="13">
        <v>0.15</v>
      </c>
      <c r="L388" s="12">
        <v>21.13</v>
      </c>
      <c r="M388" s="14">
        <f>ROUND(tblSprzedaz[[#This Row],[Ilość]]*tblSprzedaz[[#This Row],[Cena netto jednostkowa]]*(1-tblSprzedaz[[#This Row],[Rabat %]]),2)</f>
        <v>429.17</v>
      </c>
      <c r="N388" s="14">
        <f>ROUND(tblSprzedaz[[#This Row],[Ilość]]*tblSprzedaz[[#This Row],[Koszt jednostkowy netto]],2)</f>
        <v>316.95</v>
      </c>
      <c r="O388" s="14">
        <f>tblSprzedaz[[#This Row],[Przychód netto]]-tblSprzedaz[[#This Row],[Koszt całkowity netto]]</f>
        <v>112.22000000000003</v>
      </c>
      <c r="P388" s="15">
        <f>IFERROR(tblSprzedaz[[#This Row],[Marża kwotowa]]/tblSprzedaz[[#This Row],[Przychód netto]],0)</f>
        <v>0.26148146422163715</v>
      </c>
      <c r="Q388" s="16">
        <f>YEAR(tblSprzedaz[[#This Row],[Data]])</f>
        <v>2025</v>
      </c>
      <c r="R388" s="16">
        <f>MONTH(tblSprzedaz[[#This Row],[Data]])</f>
        <v>4</v>
      </c>
      <c r="S388" s="9" t="str">
        <f>YEAR(tblSprzedaz[[#This Row],[Data]])&amp;"-"&amp;RIGHT("0"&amp;MONTH(tblSprzedaz[[#This Row],[Data]]),2)</f>
        <v>2025-04</v>
      </c>
    </row>
    <row r="389" spans="1:19" x14ac:dyDescent="0.25">
      <c r="A389" s="7" t="s">
        <v>945</v>
      </c>
      <c r="B389" s="10">
        <v>45765</v>
      </c>
      <c r="C389" s="7" t="s">
        <v>946</v>
      </c>
      <c r="D389" s="8" t="s">
        <v>86</v>
      </c>
      <c r="E389" s="8" t="s">
        <v>55</v>
      </c>
      <c r="F389" s="8" t="s">
        <v>31</v>
      </c>
      <c r="G389" s="8" t="s">
        <v>28</v>
      </c>
      <c r="H389" s="8" t="s">
        <v>38</v>
      </c>
      <c r="I389" s="11">
        <v>17</v>
      </c>
      <c r="J389" s="12">
        <v>243.6</v>
      </c>
      <c r="K389" s="13">
        <v>0.15</v>
      </c>
      <c r="L389" s="12">
        <v>159.54</v>
      </c>
      <c r="M389" s="14">
        <f>ROUND(tblSprzedaz[[#This Row],[Ilość]]*tblSprzedaz[[#This Row],[Cena netto jednostkowa]]*(1-tblSprzedaz[[#This Row],[Rabat %]]),2)</f>
        <v>3520.02</v>
      </c>
      <c r="N389" s="14">
        <f>ROUND(tblSprzedaz[[#This Row],[Ilość]]*tblSprzedaz[[#This Row],[Koszt jednostkowy netto]],2)</f>
        <v>2712.18</v>
      </c>
      <c r="O389" s="14">
        <f>tblSprzedaz[[#This Row],[Przychód netto]]-tblSprzedaz[[#This Row],[Koszt całkowity netto]]</f>
        <v>807.84000000000015</v>
      </c>
      <c r="P389" s="15">
        <f>IFERROR(tblSprzedaz[[#This Row],[Marża kwotowa]]/tblSprzedaz[[#This Row],[Przychód netto]],0)</f>
        <v>0.22949869603013623</v>
      </c>
      <c r="Q389" s="16">
        <f>YEAR(tblSprzedaz[[#This Row],[Data]])</f>
        <v>2025</v>
      </c>
      <c r="R389" s="16">
        <f>MONTH(tblSprzedaz[[#This Row],[Data]])</f>
        <v>4</v>
      </c>
      <c r="S389" s="9" t="str">
        <f>YEAR(tblSprzedaz[[#This Row],[Data]])&amp;"-"&amp;RIGHT("0"&amp;MONTH(tblSprzedaz[[#This Row],[Data]]),2)</f>
        <v>2025-04</v>
      </c>
    </row>
    <row r="390" spans="1:19" x14ac:dyDescent="0.25">
      <c r="A390" s="7" t="s">
        <v>947</v>
      </c>
      <c r="B390" s="10">
        <v>45766</v>
      </c>
      <c r="C390" s="7" t="s">
        <v>948</v>
      </c>
      <c r="D390" s="8" t="s">
        <v>121</v>
      </c>
      <c r="E390" s="8" t="s">
        <v>48</v>
      </c>
      <c r="F390" s="8" t="s">
        <v>29</v>
      </c>
      <c r="G390" s="8" t="s">
        <v>32</v>
      </c>
      <c r="H390" s="8" t="s">
        <v>42</v>
      </c>
      <c r="I390" s="11">
        <v>7</v>
      </c>
      <c r="J390" s="12">
        <v>33.659999999999997</v>
      </c>
      <c r="K390" s="13">
        <v>0.1</v>
      </c>
      <c r="L390" s="12">
        <v>19.420000000000002</v>
      </c>
      <c r="M390" s="14">
        <f>ROUND(tblSprzedaz[[#This Row],[Ilość]]*tblSprzedaz[[#This Row],[Cena netto jednostkowa]]*(1-tblSprzedaz[[#This Row],[Rabat %]]),2)</f>
        <v>212.06</v>
      </c>
      <c r="N390" s="14">
        <f>ROUND(tblSprzedaz[[#This Row],[Ilość]]*tblSprzedaz[[#This Row],[Koszt jednostkowy netto]],2)</f>
        <v>135.94</v>
      </c>
      <c r="O390" s="14">
        <f>tblSprzedaz[[#This Row],[Przychód netto]]-tblSprzedaz[[#This Row],[Koszt całkowity netto]]</f>
        <v>76.12</v>
      </c>
      <c r="P390" s="15">
        <f>IFERROR(tblSprzedaz[[#This Row],[Marża kwotowa]]/tblSprzedaz[[#This Row],[Przychód netto]],0)</f>
        <v>0.35895501273224562</v>
      </c>
      <c r="Q390" s="16">
        <f>YEAR(tblSprzedaz[[#This Row],[Data]])</f>
        <v>2025</v>
      </c>
      <c r="R390" s="16">
        <f>MONTH(tblSprzedaz[[#This Row],[Data]])</f>
        <v>4</v>
      </c>
      <c r="S390" s="9" t="str">
        <f>YEAR(tblSprzedaz[[#This Row],[Data]])&amp;"-"&amp;RIGHT("0"&amp;MONTH(tblSprzedaz[[#This Row],[Data]]),2)</f>
        <v>2025-04</v>
      </c>
    </row>
    <row r="391" spans="1:19" x14ac:dyDescent="0.25">
      <c r="A391" s="7" t="s">
        <v>949</v>
      </c>
      <c r="B391" s="10">
        <v>45766</v>
      </c>
      <c r="C391" s="7" t="s">
        <v>950</v>
      </c>
      <c r="D391" s="8" t="s">
        <v>121</v>
      </c>
      <c r="E391" s="8" t="s">
        <v>52</v>
      </c>
      <c r="F391" s="8" t="s">
        <v>29</v>
      </c>
      <c r="G391" s="8" t="s">
        <v>30</v>
      </c>
      <c r="H391" s="8" t="s">
        <v>40</v>
      </c>
      <c r="I391" s="11">
        <v>9</v>
      </c>
      <c r="J391" s="12">
        <v>56.78</v>
      </c>
      <c r="K391" s="13">
        <v>0.1</v>
      </c>
      <c r="L391" s="12">
        <v>33.25</v>
      </c>
      <c r="M391" s="14">
        <f>ROUND(tblSprzedaz[[#This Row],[Ilość]]*tblSprzedaz[[#This Row],[Cena netto jednostkowa]]*(1-tblSprzedaz[[#This Row],[Rabat %]]),2)</f>
        <v>459.92</v>
      </c>
      <c r="N391" s="14">
        <f>ROUND(tblSprzedaz[[#This Row],[Ilość]]*tblSprzedaz[[#This Row],[Koszt jednostkowy netto]],2)</f>
        <v>299.25</v>
      </c>
      <c r="O391" s="14">
        <f>tblSprzedaz[[#This Row],[Przychód netto]]-tblSprzedaz[[#This Row],[Koszt całkowity netto]]</f>
        <v>160.67000000000002</v>
      </c>
      <c r="P391" s="15">
        <f>IFERROR(tblSprzedaz[[#This Row],[Marża kwotowa]]/tblSprzedaz[[#This Row],[Przychód netto]],0)</f>
        <v>0.3493433640633154</v>
      </c>
      <c r="Q391" s="16">
        <f>YEAR(tblSprzedaz[[#This Row],[Data]])</f>
        <v>2025</v>
      </c>
      <c r="R391" s="16">
        <f>MONTH(tblSprzedaz[[#This Row],[Data]])</f>
        <v>4</v>
      </c>
      <c r="S391" s="9" t="str">
        <f>YEAR(tblSprzedaz[[#This Row],[Data]])&amp;"-"&amp;RIGHT("0"&amp;MONTH(tblSprzedaz[[#This Row],[Data]]),2)</f>
        <v>2025-04</v>
      </c>
    </row>
    <row r="392" spans="1:19" x14ac:dyDescent="0.25">
      <c r="A392" s="7" t="s">
        <v>951</v>
      </c>
      <c r="B392" s="10">
        <v>45767</v>
      </c>
      <c r="C392" s="7" t="s">
        <v>952</v>
      </c>
      <c r="D392" s="8" t="s">
        <v>121</v>
      </c>
      <c r="E392" s="8" t="s">
        <v>55</v>
      </c>
      <c r="F392" s="8" t="s">
        <v>31</v>
      </c>
      <c r="G392" s="8" t="s">
        <v>30</v>
      </c>
      <c r="H392" s="8" t="s">
        <v>40</v>
      </c>
      <c r="I392" s="11">
        <v>15</v>
      </c>
      <c r="J392" s="12">
        <v>243.6</v>
      </c>
      <c r="K392" s="13">
        <v>0.05</v>
      </c>
      <c r="L392" s="12">
        <v>156.56</v>
      </c>
      <c r="M392" s="14">
        <f>ROUND(tblSprzedaz[[#This Row],[Ilość]]*tblSprzedaz[[#This Row],[Cena netto jednostkowa]]*(1-tblSprzedaz[[#This Row],[Rabat %]]),2)</f>
        <v>3471.3</v>
      </c>
      <c r="N392" s="14">
        <f>ROUND(tblSprzedaz[[#This Row],[Ilość]]*tblSprzedaz[[#This Row],[Koszt jednostkowy netto]],2)</f>
        <v>2348.4</v>
      </c>
      <c r="O392" s="14">
        <f>tblSprzedaz[[#This Row],[Przychód netto]]-tblSprzedaz[[#This Row],[Koszt całkowity netto]]</f>
        <v>1122.9000000000001</v>
      </c>
      <c r="P392" s="15">
        <f>IFERROR(tblSprzedaz[[#This Row],[Marża kwotowa]]/tblSprzedaz[[#This Row],[Przychód netto]],0)</f>
        <v>0.32348111658456485</v>
      </c>
      <c r="Q392" s="16">
        <f>YEAR(tblSprzedaz[[#This Row],[Data]])</f>
        <v>2025</v>
      </c>
      <c r="R392" s="16">
        <f>MONTH(tblSprzedaz[[#This Row],[Data]])</f>
        <v>4</v>
      </c>
      <c r="S392" s="9" t="str">
        <f>YEAR(tblSprzedaz[[#This Row],[Data]])&amp;"-"&amp;RIGHT("0"&amp;MONTH(tblSprzedaz[[#This Row],[Data]]),2)</f>
        <v>2025-04</v>
      </c>
    </row>
    <row r="393" spans="1:19" x14ac:dyDescent="0.25">
      <c r="A393" s="7" t="s">
        <v>953</v>
      </c>
      <c r="B393" s="10">
        <v>45768</v>
      </c>
      <c r="C393" s="7" t="s">
        <v>954</v>
      </c>
      <c r="D393" s="8" t="s">
        <v>140</v>
      </c>
      <c r="E393" s="8" t="s">
        <v>65</v>
      </c>
      <c r="F393" s="8" t="s">
        <v>33</v>
      </c>
      <c r="G393" s="8" t="s">
        <v>30</v>
      </c>
      <c r="H393" s="8" t="s">
        <v>41</v>
      </c>
      <c r="I393" s="11">
        <v>17</v>
      </c>
      <c r="J393" s="12">
        <v>377.2</v>
      </c>
      <c r="K393" s="13">
        <v>0.05</v>
      </c>
      <c r="L393" s="12">
        <v>267.45999999999998</v>
      </c>
      <c r="M393" s="14">
        <f>ROUND(tblSprzedaz[[#This Row],[Ilość]]*tblSprzedaz[[#This Row],[Cena netto jednostkowa]]*(1-tblSprzedaz[[#This Row],[Rabat %]]),2)</f>
        <v>6091.78</v>
      </c>
      <c r="N393" s="14">
        <f>ROUND(tblSprzedaz[[#This Row],[Ilość]]*tblSprzedaz[[#This Row],[Koszt jednostkowy netto]],2)</f>
        <v>4546.82</v>
      </c>
      <c r="O393" s="14">
        <f>tblSprzedaz[[#This Row],[Przychód netto]]-tblSprzedaz[[#This Row],[Koszt całkowity netto]]</f>
        <v>1544.96</v>
      </c>
      <c r="P393" s="15">
        <f>IFERROR(tblSprzedaz[[#This Row],[Marża kwotowa]]/tblSprzedaz[[#This Row],[Przychód netto]],0)</f>
        <v>0.25361388625327902</v>
      </c>
      <c r="Q393" s="16">
        <f>YEAR(tblSprzedaz[[#This Row],[Data]])</f>
        <v>2025</v>
      </c>
      <c r="R393" s="16">
        <f>MONTH(tblSprzedaz[[#This Row],[Data]])</f>
        <v>4</v>
      </c>
      <c r="S393" s="9" t="str">
        <f>YEAR(tblSprzedaz[[#This Row],[Data]])&amp;"-"&amp;RIGHT("0"&amp;MONTH(tblSprzedaz[[#This Row],[Data]]),2)</f>
        <v>2025-04</v>
      </c>
    </row>
    <row r="394" spans="1:19" x14ac:dyDescent="0.25">
      <c r="A394" s="7" t="s">
        <v>955</v>
      </c>
      <c r="B394" s="10">
        <v>45768</v>
      </c>
      <c r="C394" s="7" t="s">
        <v>956</v>
      </c>
      <c r="D394" s="8" t="s">
        <v>105</v>
      </c>
      <c r="E394" s="8" t="s">
        <v>77</v>
      </c>
      <c r="F394" s="8" t="s">
        <v>37</v>
      </c>
      <c r="G394" s="8" t="s">
        <v>36</v>
      </c>
      <c r="H394" s="8" t="s">
        <v>47</v>
      </c>
      <c r="I394" s="11">
        <v>12</v>
      </c>
      <c r="J394" s="12">
        <v>77.900000000000006</v>
      </c>
      <c r="K394" s="13">
        <v>0</v>
      </c>
      <c r="L394" s="12">
        <v>59.35</v>
      </c>
      <c r="M394" s="14">
        <f>ROUND(tblSprzedaz[[#This Row],[Ilość]]*tblSprzedaz[[#This Row],[Cena netto jednostkowa]]*(1-tblSprzedaz[[#This Row],[Rabat %]]),2)</f>
        <v>934.8</v>
      </c>
      <c r="N394" s="14">
        <f>ROUND(tblSprzedaz[[#This Row],[Ilość]]*tblSprzedaz[[#This Row],[Koszt jednostkowy netto]],2)</f>
        <v>712.2</v>
      </c>
      <c r="O394" s="14">
        <f>tblSprzedaz[[#This Row],[Przychód netto]]-tblSprzedaz[[#This Row],[Koszt całkowity netto]]</f>
        <v>222.59999999999991</v>
      </c>
      <c r="P394" s="15">
        <f>IFERROR(tblSprzedaz[[#This Row],[Marża kwotowa]]/tblSprzedaz[[#This Row],[Przychód netto]],0)</f>
        <v>0.23812580231065461</v>
      </c>
      <c r="Q394" s="16">
        <f>YEAR(tblSprzedaz[[#This Row],[Data]])</f>
        <v>2025</v>
      </c>
      <c r="R394" s="16">
        <f>MONTH(tblSprzedaz[[#This Row],[Data]])</f>
        <v>4</v>
      </c>
      <c r="S394" s="9" t="str">
        <f>YEAR(tblSprzedaz[[#This Row],[Data]])&amp;"-"&amp;RIGHT("0"&amp;MONTH(tblSprzedaz[[#This Row],[Data]]),2)</f>
        <v>2025-04</v>
      </c>
    </row>
    <row r="395" spans="1:19" x14ac:dyDescent="0.25">
      <c r="A395" s="7" t="s">
        <v>957</v>
      </c>
      <c r="B395" s="10">
        <v>45768</v>
      </c>
      <c r="C395" s="7" t="s">
        <v>958</v>
      </c>
      <c r="D395" s="8" t="s">
        <v>100</v>
      </c>
      <c r="E395" s="8" t="s">
        <v>73</v>
      </c>
      <c r="F395" s="8" t="s">
        <v>37</v>
      </c>
      <c r="G395" s="8" t="s">
        <v>28</v>
      </c>
      <c r="H395" s="8" t="s">
        <v>39</v>
      </c>
      <c r="I395" s="11">
        <v>18</v>
      </c>
      <c r="J395" s="12">
        <v>110.2</v>
      </c>
      <c r="K395" s="13">
        <v>0.15</v>
      </c>
      <c r="L395" s="12">
        <v>81.069999999999993</v>
      </c>
      <c r="M395" s="14">
        <f>ROUND(tblSprzedaz[[#This Row],[Ilość]]*tblSprzedaz[[#This Row],[Cena netto jednostkowa]]*(1-tblSprzedaz[[#This Row],[Rabat %]]),2)</f>
        <v>1686.06</v>
      </c>
      <c r="N395" s="14">
        <f>ROUND(tblSprzedaz[[#This Row],[Ilość]]*tblSprzedaz[[#This Row],[Koszt jednostkowy netto]],2)</f>
        <v>1459.26</v>
      </c>
      <c r="O395" s="14">
        <f>tblSprzedaz[[#This Row],[Przychód netto]]-tblSprzedaz[[#This Row],[Koszt całkowity netto]]</f>
        <v>226.79999999999995</v>
      </c>
      <c r="P395" s="15">
        <f>IFERROR(tblSprzedaz[[#This Row],[Marża kwotowa]]/tblSprzedaz[[#This Row],[Przychód netto]],0)</f>
        <v>0.1345147859506779</v>
      </c>
      <c r="Q395" s="16">
        <f>YEAR(tblSprzedaz[[#This Row],[Data]])</f>
        <v>2025</v>
      </c>
      <c r="R395" s="16">
        <f>MONTH(tblSprzedaz[[#This Row],[Data]])</f>
        <v>4</v>
      </c>
      <c r="S395" s="9" t="str">
        <f>YEAR(tblSprzedaz[[#This Row],[Data]])&amp;"-"&amp;RIGHT("0"&amp;MONTH(tblSprzedaz[[#This Row],[Data]]),2)</f>
        <v>2025-04</v>
      </c>
    </row>
    <row r="396" spans="1:19" x14ac:dyDescent="0.25">
      <c r="A396" s="7" t="s">
        <v>959</v>
      </c>
      <c r="B396" s="10">
        <v>45768</v>
      </c>
      <c r="C396" s="7" t="s">
        <v>960</v>
      </c>
      <c r="D396" s="8" t="s">
        <v>113</v>
      </c>
      <c r="E396" s="8" t="s">
        <v>51</v>
      </c>
      <c r="F396" s="8" t="s">
        <v>29</v>
      </c>
      <c r="G396" s="8" t="s">
        <v>34</v>
      </c>
      <c r="H396" s="8" t="s">
        <v>45</v>
      </c>
      <c r="I396" s="11">
        <v>4</v>
      </c>
      <c r="J396" s="12">
        <v>51</v>
      </c>
      <c r="K396" s="13">
        <v>0.1</v>
      </c>
      <c r="L396" s="12">
        <v>28.4</v>
      </c>
      <c r="M396" s="14">
        <f>ROUND(tblSprzedaz[[#This Row],[Ilość]]*tblSprzedaz[[#This Row],[Cena netto jednostkowa]]*(1-tblSprzedaz[[#This Row],[Rabat %]]),2)</f>
        <v>183.6</v>
      </c>
      <c r="N396" s="14">
        <f>ROUND(tblSprzedaz[[#This Row],[Ilość]]*tblSprzedaz[[#This Row],[Koszt jednostkowy netto]],2)</f>
        <v>113.6</v>
      </c>
      <c r="O396" s="14">
        <f>tblSprzedaz[[#This Row],[Przychód netto]]-tblSprzedaz[[#This Row],[Koszt całkowity netto]]</f>
        <v>70</v>
      </c>
      <c r="P396" s="15">
        <f>IFERROR(tblSprzedaz[[#This Row],[Marża kwotowa]]/tblSprzedaz[[#This Row],[Przychód netto]],0)</f>
        <v>0.38126361655773422</v>
      </c>
      <c r="Q396" s="16">
        <f>YEAR(tblSprzedaz[[#This Row],[Data]])</f>
        <v>2025</v>
      </c>
      <c r="R396" s="16">
        <f>MONTH(tblSprzedaz[[#This Row],[Data]])</f>
        <v>4</v>
      </c>
      <c r="S396" s="9" t="str">
        <f>YEAR(tblSprzedaz[[#This Row],[Data]])&amp;"-"&amp;RIGHT("0"&amp;MONTH(tblSprzedaz[[#This Row],[Data]]),2)</f>
        <v>2025-04</v>
      </c>
    </row>
    <row r="397" spans="1:19" x14ac:dyDescent="0.25">
      <c r="A397" s="7" t="s">
        <v>961</v>
      </c>
      <c r="B397" s="10">
        <v>45769</v>
      </c>
      <c r="C397" s="7" t="s">
        <v>962</v>
      </c>
      <c r="D397" s="8" t="s">
        <v>88</v>
      </c>
      <c r="E397" s="8" t="s">
        <v>56</v>
      </c>
      <c r="F397" s="8" t="s">
        <v>31</v>
      </c>
      <c r="G397" s="8" t="s">
        <v>28</v>
      </c>
      <c r="H397" s="8" t="s">
        <v>38</v>
      </c>
      <c r="I397" s="11">
        <v>13</v>
      </c>
      <c r="J397" s="12">
        <v>279.3</v>
      </c>
      <c r="K397" s="13">
        <v>0</v>
      </c>
      <c r="L397" s="12">
        <v>186.68</v>
      </c>
      <c r="M397" s="14">
        <f>ROUND(tblSprzedaz[[#This Row],[Ilość]]*tblSprzedaz[[#This Row],[Cena netto jednostkowa]]*(1-tblSprzedaz[[#This Row],[Rabat %]]),2)</f>
        <v>3630.9</v>
      </c>
      <c r="N397" s="14">
        <f>ROUND(tblSprzedaz[[#This Row],[Ilość]]*tblSprzedaz[[#This Row],[Koszt jednostkowy netto]],2)</f>
        <v>2426.84</v>
      </c>
      <c r="O397" s="14">
        <f>tblSprzedaz[[#This Row],[Przychód netto]]-tblSprzedaz[[#This Row],[Koszt całkowity netto]]</f>
        <v>1204.06</v>
      </c>
      <c r="P397" s="15">
        <f>IFERROR(tblSprzedaz[[#This Row],[Marża kwotowa]]/tblSprzedaz[[#This Row],[Przychód netto]],0)</f>
        <v>0.33161475116362332</v>
      </c>
      <c r="Q397" s="16">
        <f>YEAR(tblSprzedaz[[#This Row],[Data]])</f>
        <v>2025</v>
      </c>
      <c r="R397" s="16">
        <f>MONTH(tblSprzedaz[[#This Row],[Data]])</f>
        <v>4</v>
      </c>
      <c r="S397" s="9" t="str">
        <f>YEAR(tblSprzedaz[[#This Row],[Data]])&amp;"-"&amp;RIGHT("0"&amp;MONTH(tblSprzedaz[[#This Row],[Data]]),2)</f>
        <v>2025-04</v>
      </c>
    </row>
    <row r="398" spans="1:19" x14ac:dyDescent="0.25">
      <c r="A398" s="7" t="s">
        <v>963</v>
      </c>
      <c r="B398" s="10">
        <v>45769</v>
      </c>
      <c r="C398" s="7" t="s">
        <v>964</v>
      </c>
      <c r="D398" s="8" t="s">
        <v>139</v>
      </c>
      <c r="E398" s="8" t="s">
        <v>54</v>
      </c>
      <c r="F398" s="8" t="s">
        <v>31</v>
      </c>
      <c r="G398" s="8" t="s">
        <v>28</v>
      </c>
      <c r="H398" s="8" t="s">
        <v>38</v>
      </c>
      <c r="I398" s="11">
        <v>12</v>
      </c>
      <c r="J398" s="12">
        <v>207.9</v>
      </c>
      <c r="K398" s="13">
        <v>0</v>
      </c>
      <c r="L398" s="12">
        <v>138.97999999999999</v>
      </c>
      <c r="M398" s="14">
        <f>ROUND(tblSprzedaz[[#This Row],[Ilość]]*tblSprzedaz[[#This Row],[Cena netto jednostkowa]]*(1-tblSprzedaz[[#This Row],[Rabat %]]),2)</f>
        <v>2494.8000000000002</v>
      </c>
      <c r="N398" s="14">
        <f>ROUND(tblSprzedaz[[#This Row],[Ilość]]*tblSprzedaz[[#This Row],[Koszt jednostkowy netto]],2)</f>
        <v>1667.76</v>
      </c>
      <c r="O398" s="14">
        <f>tblSprzedaz[[#This Row],[Przychód netto]]-tblSprzedaz[[#This Row],[Koszt całkowity netto]]</f>
        <v>827.04000000000019</v>
      </c>
      <c r="P398" s="15">
        <f>IFERROR(tblSprzedaz[[#This Row],[Marża kwotowa]]/tblSprzedaz[[#This Row],[Przychód netto]],0)</f>
        <v>0.33150553150553158</v>
      </c>
      <c r="Q398" s="16">
        <f>YEAR(tblSprzedaz[[#This Row],[Data]])</f>
        <v>2025</v>
      </c>
      <c r="R398" s="16">
        <f>MONTH(tblSprzedaz[[#This Row],[Data]])</f>
        <v>4</v>
      </c>
      <c r="S398" s="9" t="str">
        <f>YEAR(tblSprzedaz[[#This Row],[Data]])&amp;"-"&amp;RIGHT("0"&amp;MONTH(tblSprzedaz[[#This Row],[Data]]),2)</f>
        <v>2025-04</v>
      </c>
    </row>
    <row r="399" spans="1:19" x14ac:dyDescent="0.25">
      <c r="A399" s="7" t="s">
        <v>965</v>
      </c>
      <c r="B399" s="10">
        <v>45769</v>
      </c>
      <c r="C399" s="7" t="s">
        <v>966</v>
      </c>
      <c r="D399" s="8" t="s">
        <v>138</v>
      </c>
      <c r="E399" s="8" t="s">
        <v>63</v>
      </c>
      <c r="F399" s="8" t="s">
        <v>33</v>
      </c>
      <c r="G399" s="8" t="s">
        <v>36</v>
      </c>
      <c r="H399" s="8" t="s">
        <v>46</v>
      </c>
      <c r="I399" s="11">
        <v>12</v>
      </c>
      <c r="J399" s="12">
        <v>690</v>
      </c>
      <c r="K399" s="13">
        <v>0.15</v>
      </c>
      <c r="L399" s="12">
        <v>471.1</v>
      </c>
      <c r="M399" s="14">
        <f>ROUND(tblSprzedaz[[#This Row],[Ilość]]*tblSprzedaz[[#This Row],[Cena netto jednostkowa]]*(1-tblSprzedaz[[#This Row],[Rabat %]]),2)</f>
        <v>7038</v>
      </c>
      <c r="N399" s="14">
        <f>ROUND(tblSprzedaz[[#This Row],[Ilość]]*tblSprzedaz[[#This Row],[Koszt jednostkowy netto]],2)</f>
        <v>5653.2</v>
      </c>
      <c r="O399" s="14">
        <f>tblSprzedaz[[#This Row],[Przychód netto]]-tblSprzedaz[[#This Row],[Koszt całkowity netto]]</f>
        <v>1384.8000000000002</v>
      </c>
      <c r="P399" s="15">
        <f>IFERROR(tblSprzedaz[[#This Row],[Marża kwotowa]]/tblSprzedaz[[#This Row],[Przychód netto]],0)</f>
        <v>0.19676044330775791</v>
      </c>
      <c r="Q399" s="16">
        <f>YEAR(tblSprzedaz[[#This Row],[Data]])</f>
        <v>2025</v>
      </c>
      <c r="R399" s="16">
        <f>MONTH(tblSprzedaz[[#This Row],[Data]])</f>
        <v>4</v>
      </c>
      <c r="S399" s="9" t="str">
        <f>YEAR(tblSprzedaz[[#This Row],[Data]])&amp;"-"&amp;RIGHT("0"&amp;MONTH(tblSprzedaz[[#This Row],[Data]]),2)</f>
        <v>2025-04</v>
      </c>
    </row>
    <row r="400" spans="1:19" x14ac:dyDescent="0.25">
      <c r="A400" s="7" t="s">
        <v>967</v>
      </c>
      <c r="B400" s="10">
        <v>45769</v>
      </c>
      <c r="C400" s="7" t="s">
        <v>968</v>
      </c>
      <c r="D400" s="8" t="s">
        <v>98</v>
      </c>
      <c r="E400" s="8" t="s">
        <v>77</v>
      </c>
      <c r="F400" s="8" t="s">
        <v>37</v>
      </c>
      <c r="G400" s="8" t="s">
        <v>32</v>
      </c>
      <c r="H400" s="8" t="s">
        <v>43</v>
      </c>
      <c r="I400" s="11">
        <v>5</v>
      </c>
      <c r="J400" s="12">
        <v>77.900000000000006</v>
      </c>
      <c r="K400" s="13">
        <v>0.1</v>
      </c>
      <c r="L400" s="12">
        <v>62.02</v>
      </c>
      <c r="M400" s="14">
        <f>ROUND(tblSprzedaz[[#This Row],[Ilość]]*tblSprzedaz[[#This Row],[Cena netto jednostkowa]]*(1-tblSprzedaz[[#This Row],[Rabat %]]),2)</f>
        <v>350.55</v>
      </c>
      <c r="N400" s="14">
        <f>ROUND(tblSprzedaz[[#This Row],[Ilość]]*tblSprzedaz[[#This Row],[Koszt jednostkowy netto]],2)</f>
        <v>310.10000000000002</v>
      </c>
      <c r="O400" s="14">
        <f>tblSprzedaz[[#This Row],[Przychód netto]]-tblSprzedaz[[#This Row],[Koszt całkowity netto]]</f>
        <v>40.449999999999989</v>
      </c>
      <c r="P400" s="15">
        <f>IFERROR(tblSprzedaz[[#This Row],[Marża kwotowa]]/tblSprzedaz[[#This Row],[Przychód netto]],0)</f>
        <v>0.11539010126943371</v>
      </c>
      <c r="Q400" s="16">
        <f>YEAR(tblSprzedaz[[#This Row],[Data]])</f>
        <v>2025</v>
      </c>
      <c r="R400" s="16">
        <f>MONTH(tblSprzedaz[[#This Row],[Data]])</f>
        <v>4</v>
      </c>
      <c r="S400" s="9" t="str">
        <f>YEAR(tblSprzedaz[[#This Row],[Data]])&amp;"-"&amp;RIGHT("0"&amp;MONTH(tblSprzedaz[[#This Row],[Data]]),2)</f>
        <v>2025-04</v>
      </c>
    </row>
    <row r="401" spans="1:19" x14ac:dyDescent="0.25">
      <c r="A401" s="7" t="s">
        <v>969</v>
      </c>
      <c r="B401" s="10">
        <v>45769</v>
      </c>
      <c r="C401" s="7" t="s">
        <v>970</v>
      </c>
      <c r="D401" s="8" t="s">
        <v>152</v>
      </c>
      <c r="E401" s="8" t="s">
        <v>71</v>
      </c>
      <c r="F401" s="8" t="s">
        <v>35</v>
      </c>
      <c r="G401" s="8" t="s">
        <v>32</v>
      </c>
      <c r="H401" s="8" t="s">
        <v>42</v>
      </c>
      <c r="I401" s="11">
        <v>14</v>
      </c>
      <c r="J401" s="12">
        <v>55.76</v>
      </c>
      <c r="K401" s="13">
        <v>0</v>
      </c>
      <c r="L401" s="12">
        <v>40.19</v>
      </c>
      <c r="M401" s="14">
        <f>ROUND(tblSprzedaz[[#This Row],[Ilość]]*tblSprzedaz[[#This Row],[Cena netto jednostkowa]]*(1-tblSprzedaz[[#This Row],[Rabat %]]),2)</f>
        <v>780.64</v>
      </c>
      <c r="N401" s="14">
        <f>ROUND(tblSprzedaz[[#This Row],[Ilość]]*tblSprzedaz[[#This Row],[Koszt jednostkowy netto]],2)</f>
        <v>562.66</v>
      </c>
      <c r="O401" s="14">
        <f>tblSprzedaz[[#This Row],[Przychód netto]]-tblSprzedaz[[#This Row],[Koszt całkowity netto]]</f>
        <v>217.98000000000002</v>
      </c>
      <c r="P401" s="15">
        <f>IFERROR(tblSprzedaz[[#This Row],[Marża kwotowa]]/tblSprzedaz[[#This Row],[Przychód netto]],0)</f>
        <v>0.27923242467718795</v>
      </c>
      <c r="Q401" s="16">
        <f>YEAR(tblSprzedaz[[#This Row],[Data]])</f>
        <v>2025</v>
      </c>
      <c r="R401" s="16">
        <f>MONTH(tblSprzedaz[[#This Row],[Data]])</f>
        <v>4</v>
      </c>
      <c r="S401" s="9" t="str">
        <f>YEAR(tblSprzedaz[[#This Row],[Data]])&amp;"-"&amp;RIGHT("0"&amp;MONTH(tblSprzedaz[[#This Row],[Data]]),2)</f>
        <v>2025-04</v>
      </c>
    </row>
    <row r="402" spans="1:19" x14ac:dyDescent="0.25">
      <c r="A402" s="7" t="s">
        <v>971</v>
      </c>
      <c r="B402" s="10">
        <v>45770</v>
      </c>
      <c r="C402" s="7" t="s">
        <v>972</v>
      </c>
      <c r="D402" s="8" t="s">
        <v>110</v>
      </c>
      <c r="E402" s="8" t="s">
        <v>64</v>
      </c>
      <c r="F402" s="8" t="s">
        <v>33</v>
      </c>
      <c r="G402" s="8" t="s">
        <v>30</v>
      </c>
      <c r="H402" s="8" t="s">
        <v>41</v>
      </c>
      <c r="I402" s="11">
        <v>2</v>
      </c>
      <c r="J402" s="12">
        <v>768.2</v>
      </c>
      <c r="K402" s="13">
        <v>0.1</v>
      </c>
      <c r="L402" s="12">
        <v>542.23</v>
      </c>
      <c r="M402" s="14">
        <f>ROUND(tblSprzedaz[[#This Row],[Ilość]]*tblSprzedaz[[#This Row],[Cena netto jednostkowa]]*(1-tblSprzedaz[[#This Row],[Rabat %]]),2)</f>
        <v>1382.76</v>
      </c>
      <c r="N402" s="14">
        <f>ROUND(tblSprzedaz[[#This Row],[Ilość]]*tblSprzedaz[[#This Row],[Koszt jednostkowy netto]],2)</f>
        <v>1084.46</v>
      </c>
      <c r="O402" s="14">
        <f>tblSprzedaz[[#This Row],[Przychód netto]]-tblSprzedaz[[#This Row],[Koszt całkowity netto]]</f>
        <v>298.29999999999995</v>
      </c>
      <c r="P402" s="15">
        <f>IFERROR(tblSprzedaz[[#This Row],[Marża kwotowa]]/tblSprzedaz[[#This Row],[Przychód netto]],0)</f>
        <v>0.21572796436113278</v>
      </c>
      <c r="Q402" s="16">
        <f>YEAR(tblSprzedaz[[#This Row],[Data]])</f>
        <v>2025</v>
      </c>
      <c r="R402" s="16">
        <f>MONTH(tblSprzedaz[[#This Row],[Data]])</f>
        <v>4</v>
      </c>
      <c r="S402" s="9" t="str">
        <f>YEAR(tblSprzedaz[[#This Row],[Data]])&amp;"-"&amp;RIGHT("0"&amp;MONTH(tblSprzedaz[[#This Row],[Data]]),2)</f>
        <v>2025-04</v>
      </c>
    </row>
    <row r="403" spans="1:19" x14ac:dyDescent="0.25">
      <c r="A403" s="7" t="s">
        <v>973</v>
      </c>
      <c r="B403" s="10">
        <v>45770</v>
      </c>
      <c r="C403" s="7" t="s">
        <v>974</v>
      </c>
      <c r="D403" s="8" t="s">
        <v>78</v>
      </c>
      <c r="E403" s="8" t="s">
        <v>56</v>
      </c>
      <c r="F403" s="8" t="s">
        <v>31</v>
      </c>
      <c r="G403" s="8" t="s">
        <v>32</v>
      </c>
      <c r="H403" s="8" t="s">
        <v>43</v>
      </c>
      <c r="I403" s="11">
        <v>14</v>
      </c>
      <c r="J403" s="12">
        <v>279.3</v>
      </c>
      <c r="K403" s="13">
        <v>0</v>
      </c>
      <c r="L403" s="12">
        <v>168.2</v>
      </c>
      <c r="M403" s="14">
        <f>ROUND(tblSprzedaz[[#This Row],[Ilość]]*tblSprzedaz[[#This Row],[Cena netto jednostkowa]]*(1-tblSprzedaz[[#This Row],[Rabat %]]),2)</f>
        <v>3910.2</v>
      </c>
      <c r="N403" s="14">
        <f>ROUND(tblSprzedaz[[#This Row],[Ilość]]*tblSprzedaz[[#This Row],[Koszt jednostkowy netto]],2)</f>
        <v>2354.8000000000002</v>
      </c>
      <c r="O403" s="14">
        <f>tblSprzedaz[[#This Row],[Przychód netto]]-tblSprzedaz[[#This Row],[Koszt całkowity netto]]</f>
        <v>1555.3999999999996</v>
      </c>
      <c r="P403" s="15">
        <f>IFERROR(tblSprzedaz[[#This Row],[Marża kwotowa]]/tblSprzedaz[[#This Row],[Przychód netto]],0)</f>
        <v>0.39778016469745786</v>
      </c>
      <c r="Q403" s="16">
        <f>YEAR(tblSprzedaz[[#This Row],[Data]])</f>
        <v>2025</v>
      </c>
      <c r="R403" s="16">
        <f>MONTH(tblSprzedaz[[#This Row],[Data]])</f>
        <v>4</v>
      </c>
      <c r="S403" s="9" t="str">
        <f>YEAR(tblSprzedaz[[#This Row],[Data]])&amp;"-"&amp;RIGHT("0"&amp;MONTH(tblSprzedaz[[#This Row],[Data]]),2)</f>
        <v>2025-04</v>
      </c>
    </row>
    <row r="404" spans="1:19" x14ac:dyDescent="0.25">
      <c r="A404" s="7" t="s">
        <v>975</v>
      </c>
      <c r="B404" s="10">
        <v>45770</v>
      </c>
      <c r="C404" s="7" t="s">
        <v>976</v>
      </c>
      <c r="D404" s="8" t="s">
        <v>82</v>
      </c>
      <c r="E404" s="8" t="s">
        <v>66</v>
      </c>
      <c r="F404" s="8" t="s">
        <v>35</v>
      </c>
      <c r="G404" s="8" t="s">
        <v>30</v>
      </c>
      <c r="H404" s="8" t="s">
        <v>40</v>
      </c>
      <c r="I404" s="11">
        <v>6</v>
      </c>
      <c r="J404" s="12">
        <v>67.319999999999993</v>
      </c>
      <c r="K404" s="13">
        <v>0.05</v>
      </c>
      <c r="L404" s="12">
        <v>50.7</v>
      </c>
      <c r="M404" s="14">
        <f>ROUND(tblSprzedaz[[#This Row],[Ilość]]*tblSprzedaz[[#This Row],[Cena netto jednostkowa]]*(1-tblSprzedaz[[#This Row],[Rabat %]]),2)</f>
        <v>383.72</v>
      </c>
      <c r="N404" s="14">
        <f>ROUND(tblSprzedaz[[#This Row],[Ilość]]*tblSprzedaz[[#This Row],[Koszt jednostkowy netto]],2)</f>
        <v>304.2</v>
      </c>
      <c r="O404" s="14">
        <f>tblSprzedaz[[#This Row],[Przychód netto]]-tblSprzedaz[[#This Row],[Koszt całkowity netto]]</f>
        <v>79.520000000000039</v>
      </c>
      <c r="P404" s="15">
        <f>IFERROR(tblSprzedaz[[#This Row],[Marża kwotowa]]/tblSprzedaz[[#This Row],[Przychód netto]],0)</f>
        <v>0.20723444178046502</v>
      </c>
      <c r="Q404" s="16">
        <f>YEAR(tblSprzedaz[[#This Row],[Data]])</f>
        <v>2025</v>
      </c>
      <c r="R404" s="16">
        <f>MONTH(tblSprzedaz[[#This Row],[Data]])</f>
        <v>4</v>
      </c>
      <c r="S404" s="9" t="str">
        <f>YEAR(tblSprzedaz[[#This Row],[Data]])&amp;"-"&amp;RIGHT("0"&amp;MONTH(tblSprzedaz[[#This Row],[Data]]),2)</f>
        <v>2025-04</v>
      </c>
    </row>
    <row r="405" spans="1:19" x14ac:dyDescent="0.25">
      <c r="A405" s="7" t="s">
        <v>977</v>
      </c>
      <c r="B405" s="10">
        <v>45770</v>
      </c>
      <c r="C405" s="7" t="s">
        <v>978</v>
      </c>
      <c r="D405" s="8" t="s">
        <v>97</v>
      </c>
      <c r="E405" s="8" t="s">
        <v>61</v>
      </c>
      <c r="F405" s="8" t="s">
        <v>33</v>
      </c>
      <c r="G405" s="8" t="s">
        <v>32</v>
      </c>
      <c r="H405" s="8" t="s">
        <v>43</v>
      </c>
      <c r="I405" s="11">
        <v>20</v>
      </c>
      <c r="J405" s="12">
        <v>533.6</v>
      </c>
      <c r="K405" s="13">
        <v>0.15</v>
      </c>
      <c r="L405" s="12">
        <v>365.86</v>
      </c>
      <c r="M405" s="14">
        <f>ROUND(tblSprzedaz[[#This Row],[Ilość]]*tblSprzedaz[[#This Row],[Cena netto jednostkowa]]*(1-tblSprzedaz[[#This Row],[Rabat %]]),2)</f>
        <v>9071.2000000000007</v>
      </c>
      <c r="N405" s="14">
        <f>ROUND(tblSprzedaz[[#This Row],[Ilość]]*tblSprzedaz[[#This Row],[Koszt jednostkowy netto]],2)</f>
        <v>7317.2</v>
      </c>
      <c r="O405" s="14">
        <f>tblSprzedaz[[#This Row],[Przychód netto]]-tblSprzedaz[[#This Row],[Koszt całkowity netto]]</f>
        <v>1754.0000000000009</v>
      </c>
      <c r="P405" s="15">
        <f>IFERROR(tblSprzedaz[[#This Row],[Marża kwotowa]]/tblSprzedaz[[#This Row],[Przychód netto]],0)</f>
        <v>0.19335920275156548</v>
      </c>
      <c r="Q405" s="16">
        <f>YEAR(tblSprzedaz[[#This Row],[Data]])</f>
        <v>2025</v>
      </c>
      <c r="R405" s="16">
        <f>MONTH(tblSprzedaz[[#This Row],[Data]])</f>
        <v>4</v>
      </c>
      <c r="S405" s="9" t="str">
        <f>YEAR(tblSprzedaz[[#This Row],[Data]])&amp;"-"&amp;RIGHT("0"&amp;MONTH(tblSprzedaz[[#This Row],[Data]]),2)</f>
        <v>2025-04</v>
      </c>
    </row>
    <row r="406" spans="1:19" x14ac:dyDescent="0.25">
      <c r="A406" s="7" t="s">
        <v>979</v>
      </c>
      <c r="B406" s="10">
        <v>45771</v>
      </c>
      <c r="C406" s="7" t="s">
        <v>980</v>
      </c>
      <c r="D406" s="8" t="s">
        <v>109</v>
      </c>
      <c r="E406" s="8" t="s">
        <v>48</v>
      </c>
      <c r="F406" s="8" t="s">
        <v>29</v>
      </c>
      <c r="G406" s="8" t="s">
        <v>36</v>
      </c>
      <c r="H406" s="8" t="s">
        <v>46</v>
      </c>
      <c r="I406" s="11">
        <v>14</v>
      </c>
      <c r="J406" s="12">
        <v>33.659999999999997</v>
      </c>
      <c r="K406" s="13">
        <v>0.1</v>
      </c>
      <c r="L406" s="12">
        <v>20.84</v>
      </c>
      <c r="M406" s="14">
        <f>ROUND(tblSprzedaz[[#This Row],[Ilość]]*tblSprzedaz[[#This Row],[Cena netto jednostkowa]]*(1-tblSprzedaz[[#This Row],[Rabat %]]),2)</f>
        <v>424.12</v>
      </c>
      <c r="N406" s="14">
        <f>ROUND(tblSprzedaz[[#This Row],[Ilość]]*tblSprzedaz[[#This Row],[Koszt jednostkowy netto]],2)</f>
        <v>291.76</v>
      </c>
      <c r="O406" s="14">
        <f>tblSprzedaz[[#This Row],[Przychód netto]]-tblSprzedaz[[#This Row],[Koszt całkowity netto]]</f>
        <v>132.36000000000001</v>
      </c>
      <c r="P406" s="15">
        <f>IFERROR(tblSprzedaz[[#This Row],[Marża kwotowa]]/tblSprzedaz[[#This Row],[Przychód netto]],0)</f>
        <v>0.31208148637178162</v>
      </c>
      <c r="Q406" s="16">
        <f>YEAR(tblSprzedaz[[#This Row],[Data]])</f>
        <v>2025</v>
      </c>
      <c r="R406" s="16">
        <f>MONTH(tblSprzedaz[[#This Row],[Data]])</f>
        <v>4</v>
      </c>
      <c r="S406" s="9" t="str">
        <f>YEAR(tblSprzedaz[[#This Row],[Data]])&amp;"-"&amp;RIGHT("0"&amp;MONTH(tblSprzedaz[[#This Row],[Data]]),2)</f>
        <v>2025-04</v>
      </c>
    </row>
    <row r="407" spans="1:19" x14ac:dyDescent="0.25">
      <c r="A407" s="7" t="s">
        <v>981</v>
      </c>
      <c r="B407" s="10">
        <v>45771</v>
      </c>
      <c r="C407" s="7" t="s">
        <v>982</v>
      </c>
      <c r="D407" s="8" t="s">
        <v>129</v>
      </c>
      <c r="E407" s="8" t="s">
        <v>64</v>
      </c>
      <c r="F407" s="8" t="s">
        <v>33</v>
      </c>
      <c r="G407" s="8" t="s">
        <v>34</v>
      </c>
      <c r="H407" s="8" t="s">
        <v>44</v>
      </c>
      <c r="I407" s="11">
        <v>12</v>
      </c>
      <c r="J407" s="12">
        <v>768.2</v>
      </c>
      <c r="K407" s="13">
        <v>0.05</v>
      </c>
      <c r="L407" s="12">
        <v>551.41999999999996</v>
      </c>
      <c r="M407" s="14">
        <f>ROUND(tblSprzedaz[[#This Row],[Ilość]]*tblSprzedaz[[#This Row],[Cena netto jednostkowa]]*(1-tblSprzedaz[[#This Row],[Rabat %]]),2)</f>
        <v>8757.48</v>
      </c>
      <c r="N407" s="14">
        <f>ROUND(tblSprzedaz[[#This Row],[Ilość]]*tblSprzedaz[[#This Row],[Koszt jednostkowy netto]],2)</f>
        <v>6617.04</v>
      </c>
      <c r="O407" s="14">
        <f>tblSprzedaz[[#This Row],[Przychód netto]]-tblSprzedaz[[#This Row],[Koszt całkowity netto]]</f>
        <v>2140.4399999999996</v>
      </c>
      <c r="P407" s="15">
        <f>IFERROR(tblSprzedaz[[#This Row],[Marża kwotowa]]/tblSprzedaz[[#This Row],[Przychód netto]],0)</f>
        <v>0.24441277627810737</v>
      </c>
      <c r="Q407" s="16">
        <f>YEAR(tblSprzedaz[[#This Row],[Data]])</f>
        <v>2025</v>
      </c>
      <c r="R407" s="16">
        <f>MONTH(tblSprzedaz[[#This Row],[Data]])</f>
        <v>4</v>
      </c>
      <c r="S407" s="9" t="str">
        <f>YEAR(tblSprzedaz[[#This Row],[Data]])&amp;"-"&amp;RIGHT("0"&amp;MONTH(tblSprzedaz[[#This Row],[Data]]),2)</f>
        <v>2025-04</v>
      </c>
    </row>
    <row r="408" spans="1:19" x14ac:dyDescent="0.25">
      <c r="A408" s="7" t="s">
        <v>983</v>
      </c>
      <c r="B408" s="10">
        <v>45771</v>
      </c>
      <c r="C408" s="7" t="s">
        <v>984</v>
      </c>
      <c r="D408" s="8" t="s">
        <v>142</v>
      </c>
      <c r="E408" s="8" t="s">
        <v>56</v>
      </c>
      <c r="F408" s="8" t="s">
        <v>31</v>
      </c>
      <c r="G408" s="8" t="s">
        <v>32</v>
      </c>
      <c r="H408" s="8" t="s">
        <v>43</v>
      </c>
      <c r="I408" s="11">
        <v>20</v>
      </c>
      <c r="J408" s="12">
        <v>279.3</v>
      </c>
      <c r="K408" s="13">
        <v>0.15</v>
      </c>
      <c r="L408" s="12">
        <v>187.11</v>
      </c>
      <c r="M408" s="14">
        <f>ROUND(tblSprzedaz[[#This Row],[Ilość]]*tblSprzedaz[[#This Row],[Cena netto jednostkowa]]*(1-tblSprzedaz[[#This Row],[Rabat %]]),2)</f>
        <v>4748.1000000000004</v>
      </c>
      <c r="N408" s="14">
        <f>ROUND(tblSprzedaz[[#This Row],[Ilość]]*tblSprzedaz[[#This Row],[Koszt jednostkowy netto]],2)</f>
        <v>3742.2</v>
      </c>
      <c r="O408" s="14">
        <f>tblSprzedaz[[#This Row],[Przychód netto]]-tblSprzedaz[[#This Row],[Koszt całkowity netto]]</f>
        <v>1005.9000000000005</v>
      </c>
      <c r="P408" s="15">
        <f>IFERROR(tblSprzedaz[[#This Row],[Marża kwotowa]]/tblSprzedaz[[#This Row],[Przychód netto]],0)</f>
        <v>0.21185316231755871</v>
      </c>
      <c r="Q408" s="16">
        <f>YEAR(tblSprzedaz[[#This Row],[Data]])</f>
        <v>2025</v>
      </c>
      <c r="R408" s="16">
        <f>MONTH(tblSprzedaz[[#This Row],[Data]])</f>
        <v>4</v>
      </c>
      <c r="S408" s="9" t="str">
        <f>YEAR(tblSprzedaz[[#This Row],[Data]])&amp;"-"&amp;RIGHT("0"&amp;MONTH(tblSprzedaz[[#This Row],[Data]]),2)</f>
        <v>2025-04</v>
      </c>
    </row>
    <row r="409" spans="1:19" x14ac:dyDescent="0.25">
      <c r="A409" s="7" t="s">
        <v>985</v>
      </c>
      <c r="B409" s="10">
        <v>45771</v>
      </c>
      <c r="C409" s="7" t="s">
        <v>986</v>
      </c>
      <c r="D409" s="8" t="s">
        <v>132</v>
      </c>
      <c r="E409" s="8" t="s">
        <v>61</v>
      </c>
      <c r="F409" s="8" t="s">
        <v>33</v>
      </c>
      <c r="G409" s="8" t="s">
        <v>28</v>
      </c>
      <c r="H409" s="8" t="s">
        <v>38</v>
      </c>
      <c r="I409" s="11">
        <v>17</v>
      </c>
      <c r="J409" s="12">
        <v>533.6</v>
      </c>
      <c r="K409" s="13">
        <v>0.05</v>
      </c>
      <c r="L409" s="12">
        <v>369.95</v>
      </c>
      <c r="M409" s="14">
        <f>ROUND(tblSprzedaz[[#This Row],[Ilość]]*tblSprzedaz[[#This Row],[Cena netto jednostkowa]]*(1-tblSprzedaz[[#This Row],[Rabat %]]),2)</f>
        <v>8617.64</v>
      </c>
      <c r="N409" s="14">
        <f>ROUND(tblSprzedaz[[#This Row],[Ilość]]*tblSprzedaz[[#This Row],[Koszt jednostkowy netto]],2)</f>
        <v>6289.15</v>
      </c>
      <c r="O409" s="14">
        <f>tblSprzedaz[[#This Row],[Przychód netto]]-tblSprzedaz[[#This Row],[Koszt całkowity netto]]</f>
        <v>2328.4899999999998</v>
      </c>
      <c r="P409" s="15">
        <f>IFERROR(tblSprzedaz[[#This Row],[Marża kwotowa]]/tblSprzedaz[[#This Row],[Przychód netto]],0)</f>
        <v>0.27020042610273809</v>
      </c>
      <c r="Q409" s="16">
        <f>YEAR(tblSprzedaz[[#This Row],[Data]])</f>
        <v>2025</v>
      </c>
      <c r="R409" s="16">
        <f>MONTH(tblSprzedaz[[#This Row],[Data]])</f>
        <v>4</v>
      </c>
      <c r="S409" s="9" t="str">
        <f>YEAR(tblSprzedaz[[#This Row],[Data]])&amp;"-"&amp;RIGHT("0"&amp;MONTH(tblSprzedaz[[#This Row],[Data]]),2)</f>
        <v>2025-04</v>
      </c>
    </row>
    <row r="410" spans="1:19" x14ac:dyDescent="0.25">
      <c r="A410" s="7" t="s">
        <v>987</v>
      </c>
      <c r="B410" s="10">
        <v>45771</v>
      </c>
      <c r="C410" s="7" t="s">
        <v>988</v>
      </c>
      <c r="D410" s="8" t="s">
        <v>97</v>
      </c>
      <c r="E410" s="8" t="s">
        <v>58</v>
      </c>
      <c r="F410" s="8" t="s">
        <v>31</v>
      </c>
      <c r="G410" s="8" t="s">
        <v>28</v>
      </c>
      <c r="H410" s="8" t="s">
        <v>38</v>
      </c>
      <c r="I410" s="11">
        <v>7</v>
      </c>
      <c r="J410" s="12">
        <v>350.7</v>
      </c>
      <c r="K410" s="13">
        <v>0.05</v>
      </c>
      <c r="L410" s="12">
        <v>211.42</v>
      </c>
      <c r="M410" s="14">
        <f>ROUND(tblSprzedaz[[#This Row],[Ilość]]*tblSprzedaz[[#This Row],[Cena netto jednostkowa]]*(1-tblSprzedaz[[#This Row],[Rabat %]]),2)</f>
        <v>2332.16</v>
      </c>
      <c r="N410" s="14">
        <f>ROUND(tblSprzedaz[[#This Row],[Ilość]]*tblSprzedaz[[#This Row],[Koszt jednostkowy netto]],2)</f>
        <v>1479.94</v>
      </c>
      <c r="O410" s="14">
        <f>tblSprzedaz[[#This Row],[Przychód netto]]-tblSprzedaz[[#This Row],[Koszt całkowity netto]]</f>
        <v>852.2199999999998</v>
      </c>
      <c r="P410" s="15">
        <f>IFERROR(tblSprzedaz[[#This Row],[Marża kwotowa]]/tblSprzedaz[[#This Row],[Przychód netto]],0)</f>
        <v>0.36542089736553229</v>
      </c>
      <c r="Q410" s="16">
        <f>YEAR(tblSprzedaz[[#This Row],[Data]])</f>
        <v>2025</v>
      </c>
      <c r="R410" s="16">
        <f>MONTH(tblSprzedaz[[#This Row],[Data]])</f>
        <v>4</v>
      </c>
      <c r="S410" s="9" t="str">
        <f>YEAR(tblSprzedaz[[#This Row],[Data]])&amp;"-"&amp;RIGHT("0"&amp;MONTH(tblSprzedaz[[#This Row],[Data]]),2)</f>
        <v>2025-04</v>
      </c>
    </row>
    <row r="411" spans="1:19" x14ac:dyDescent="0.25">
      <c r="A411" s="7" t="s">
        <v>989</v>
      </c>
      <c r="B411" s="10">
        <v>45771</v>
      </c>
      <c r="C411" s="7" t="s">
        <v>990</v>
      </c>
      <c r="D411" s="8" t="s">
        <v>113</v>
      </c>
      <c r="E411" s="8" t="s">
        <v>72</v>
      </c>
      <c r="F411" s="8" t="s">
        <v>37</v>
      </c>
      <c r="G411" s="8" t="s">
        <v>28</v>
      </c>
      <c r="H411" s="8" t="s">
        <v>39</v>
      </c>
      <c r="I411" s="11">
        <v>9</v>
      </c>
      <c r="J411" s="12">
        <v>94.05</v>
      </c>
      <c r="K411" s="13">
        <v>0</v>
      </c>
      <c r="L411" s="12">
        <v>73.5</v>
      </c>
      <c r="M411" s="14">
        <f>ROUND(tblSprzedaz[[#This Row],[Ilość]]*tblSprzedaz[[#This Row],[Cena netto jednostkowa]]*(1-tblSprzedaz[[#This Row],[Rabat %]]),2)</f>
        <v>846.45</v>
      </c>
      <c r="N411" s="14">
        <f>ROUND(tblSprzedaz[[#This Row],[Ilość]]*tblSprzedaz[[#This Row],[Koszt jednostkowy netto]],2)</f>
        <v>661.5</v>
      </c>
      <c r="O411" s="14">
        <f>tblSprzedaz[[#This Row],[Przychód netto]]-tblSprzedaz[[#This Row],[Koszt całkowity netto]]</f>
        <v>184.95000000000005</v>
      </c>
      <c r="P411" s="15">
        <f>IFERROR(tblSprzedaz[[#This Row],[Marża kwotowa]]/tblSprzedaz[[#This Row],[Przychód netto]],0)</f>
        <v>0.21850079744816592</v>
      </c>
      <c r="Q411" s="16">
        <f>YEAR(tblSprzedaz[[#This Row],[Data]])</f>
        <v>2025</v>
      </c>
      <c r="R411" s="16">
        <f>MONTH(tblSprzedaz[[#This Row],[Data]])</f>
        <v>4</v>
      </c>
      <c r="S411" s="9" t="str">
        <f>YEAR(tblSprzedaz[[#This Row],[Data]])&amp;"-"&amp;RIGHT("0"&amp;MONTH(tblSprzedaz[[#This Row],[Data]]),2)</f>
        <v>2025-04</v>
      </c>
    </row>
    <row r="412" spans="1:19" x14ac:dyDescent="0.25">
      <c r="A412" s="7" t="s">
        <v>991</v>
      </c>
      <c r="B412" s="10">
        <v>45771</v>
      </c>
      <c r="C412" s="7" t="s">
        <v>992</v>
      </c>
      <c r="D412" s="8" t="s">
        <v>125</v>
      </c>
      <c r="E412" s="8" t="s">
        <v>63</v>
      </c>
      <c r="F412" s="8" t="s">
        <v>33</v>
      </c>
      <c r="G412" s="8" t="s">
        <v>34</v>
      </c>
      <c r="H412" s="8" t="s">
        <v>45</v>
      </c>
      <c r="I412" s="11">
        <v>6</v>
      </c>
      <c r="J412" s="12">
        <v>690</v>
      </c>
      <c r="K412" s="13">
        <v>0.15</v>
      </c>
      <c r="L412" s="12">
        <v>447.26</v>
      </c>
      <c r="M412" s="14">
        <f>ROUND(tblSprzedaz[[#This Row],[Ilość]]*tblSprzedaz[[#This Row],[Cena netto jednostkowa]]*(1-tblSprzedaz[[#This Row],[Rabat %]]),2)</f>
        <v>3519</v>
      </c>
      <c r="N412" s="14">
        <f>ROUND(tblSprzedaz[[#This Row],[Ilość]]*tblSprzedaz[[#This Row],[Koszt jednostkowy netto]],2)</f>
        <v>2683.56</v>
      </c>
      <c r="O412" s="14">
        <f>tblSprzedaz[[#This Row],[Przychód netto]]-tblSprzedaz[[#This Row],[Koszt całkowity netto]]</f>
        <v>835.44</v>
      </c>
      <c r="P412" s="15">
        <f>IFERROR(tblSprzedaz[[#This Row],[Marża kwotowa]]/tblSprzedaz[[#This Row],[Przychód netto]],0)</f>
        <v>0.23740835464620633</v>
      </c>
      <c r="Q412" s="16">
        <f>YEAR(tblSprzedaz[[#This Row],[Data]])</f>
        <v>2025</v>
      </c>
      <c r="R412" s="16">
        <f>MONTH(tblSprzedaz[[#This Row],[Data]])</f>
        <v>4</v>
      </c>
      <c r="S412" s="9" t="str">
        <f>YEAR(tblSprzedaz[[#This Row],[Data]])&amp;"-"&amp;RIGHT("0"&amp;MONTH(tblSprzedaz[[#This Row],[Data]]),2)</f>
        <v>2025-04</v>
      </c>
    </row>
    <row r="413" spans="1:19" x14ac:dyDescent="0.25">
      <c r="A413" s="7" t="s">
        <v>993</v>
      </c>
      <c r="B413" s="10">
        <v>45772</v>
      </c>
      <c r="C413" s="7" t="s">
        <v>994</v>
      </c>
      <c r="D413" s="8" t="s">
        <v>102</v>
      </c>
      <c r="E413" s="8" t="s">
        <v>60</v>
      </c>
      <c r="F413" s="8" t="s">
        <v>33</v>
      </c>
      <c r="G413" s="8" t="s">
        <v>36</v>
      </c>
      <c r="H413" s="8" t="s">
        <v>46</v>
      </c>
      <c r="I413" s="11">
        <v>10</v>
      </c>
      <c r="J413" s="12">
        <v>455.4</v>
      </c>
      <c r="K413" s="13">
        <v>0</v>
      </c>
      <c r="L413" s="12">
        <v>319.27999999999997</v>
      </c>
      <c r="M413" s="14">
        <f>ROUND(tblSprzedaz[[#This Row],[Ilość]]*tblSprzedaz[[#This Row],[Cena netto jednostkowa]]*(1-tblSprzedaz[[#This Row],[Rabat %]]),2)</f>
        <v>4554</v>
      </c>
      <c r="N413" s="14">
        <f>ROUND(tblSprzedaz[[#This Row],[Ilość]]*tblSprzedaz[[#This Row],[Koszt jednostkowy netto]],2)</f>
        <v>3192.8</v>
      </c>
      <c r="O413" s="14">
        <f>tblSprzedaz[[#This Row],[Przychód netto]]-tblSprzedaz[[#This Row],[Koszt całkowity netto]]</f>
        <v>1361.1999999999998</v>
      </c>
      <c r="P413" s="15">
        <f>IFERROR(tblSprzedaz[[#This Row],[Marża kwotowa]]/tblSprzedaz[[#This Row],[Przychód netto]],0)</f>
        <v>0.29890206411945536</v>
      </c>
      <c r="Q413" s="16">
        <f>YEAR(tblSprzedaz[[#This Row],[Data]])</f>
        <v>2025</v>
      </c>
      <c r="R413" s="16">
        <f>MONTH(tblSprzedaz[[#This Row],[Data]])</f>
        <v>4</v>
      </c>
      <c r="S413" s="9" t="str">
        <f>YEAR(tblSprzedaz[[#This Row],[Data]])&amp;"-"&amp;RIGHT("0"&amp;MONTH(tblSprzedaz[[#This Row],[Data]]),2)</f>
        <v>2025-04</v>
      </c>
    </row>
    <row r="414" spans="1:19" x14ac:dyDescent="0.25">
      <c r="A414" s="7" t="s">
        <v>995</v>
      </c>
      <c r="B414" s="10">
        <v>45772</v>
      </c>
      <c r="C414" s="7" t="s">
        <v>996</v>
      </c>
      <c r="D414" s="8" t="s">
        <v>148</v>
      </c>
      <c r="E414" s="8" t="s">
        <v>63</v>
      </c>
      <c r="F414" s="8" t="s">
        <v>33</v>
      </c>
      <c r="G414" s="8" t="s">
        <v>30</v>
      </c>
      <c r="H414" s="8" t="s">
        <v>41</v>
      </c>
      <c r="I414" s="11">
        <v>12</v>
      </c>
      <c r="J414" s="12">
        <v>690</v>
      </c>
      <c r="K414" s="13">
        <v>0.05</v>
      </c>
      <c r="L414" s="12">
        <v>443.49</v>
      </c>
      <c r="M414" s="14">
        <f>ROUND(tblSprzedaz[[#This Row],[Ilość]]*tblSprzedaz[[#This Row],[Cena netto jednostkowa]]*(1-tblSprzedaz[[#This Row],[Rabat %]]),2)</f>
        <v>7866</v>
      </c>
      <c r="N414" s="14">
        <f>ROUND(tblSprzedaz[[#This Row],[Ilość]]*tblSprzedaz[[#This Row],[Koszt jednostkowy netto]],2)</f>
        <v>5321.88</v>
      </c>
      <c r="O414" s="14">
        <f>tblSprzedaz[[#This Row],[Przychód netto]]-tblSprzedaz[[#This Row],[Koszt całkowity netto]]</f>
        <v>2544.12</v>
      </c>
      <c r="P414" s="15">
        <f>IFERROR(tblSprzedaz[[#This Row],[Marża kwotowa]]/tblSprzedaz[[#This Row],[Przychód netto]],0)</f>
        <v>0.3234324942791762</v>
      </c>
      <c r="Q414" s="16">
        <f>YEAR(tblSprzedaz[[#This Row],[Data]])</f>
        <v>2025</v>
      </c>
      <c r="R414" s="16">
        <f>MONTH(tblSprzedaz[[#This Row],[Data]])</f>
        <v>4</v>
      </c>
      <c r="S414" s="9" t="str">
        <f>YEAR(tblSprzedaz[[#This Row],[Data]])&amp;"-"&amp;RIGHT("0"&amp;MONTH(tblSprzedaz[[#This Row],[Data]]),2)</f>
        <v>2025-04</v>
      </c>
    </row>
    <row r="415" spans="1:19" x14ac:dyDescent="0.25">
      <c r="A415" s="7" t="s">
        <v>997</v>
      </c>
      <c r="B415" s="10">
        <v>45772</v>
      </c>
      <c r="C415" s="7" t="s">
        <v>998</v>
      </c>
      <c r="D415" s="8" t="s">
        <v>80</v>
      </c>
      <c r="E415" s="8" t="s">
        <v>57</v>
      </c>
      <c r="F415" s="8" t="s">
        <v>31</v>
      </c>
      <c r="G415" s="8" t="s">
        <v>32</v>
      </c>
      <c r="H415" s="8" t="s">
        <v>42</v>
      </c>
      <c r="I415" s="11">
        <v>17</v>
      </c>
      <c r="J415" s="12">
        <v>315</v>
      </c>
      <c r="K415" s="13">
        <v>0</v>
      </c>
      <c r="L415" s="12">
        <v>197.91</v>
      </c>
      <c r="M415" s="14">
        <f>ROUND(tblSprzedaz[[#This Row],[Ilość]]*tblSprzedaz[[#This Row],[Cena netto jednostkowa]]*(1-tblSprzedaz[[#This Row],[Rabat %]]),2)</f>
        <v>5355</v>
      </c>
      <c r="N415" s="14">
        <f>ROUND(tblSprzedaz[[#This Row],[Ilość]]*tblSprzedaz[[#This Row],[Koszt jednostkowy netto]],2)</f>
        <v>3364.47</v>
      </c>
      <c r="O415" s="14">
        <f>tblSprzedaz[[#This Row],[Przychód netto]]-tblSprzedaz[[#This Row],[Koszt całkowity netto]]</f>
        <v>1990.5300000000002</v>
      </c>
      <c r="P415" s="15">
        <f>IFERROR(tblSprzedaz[[#This Row],[Marża kwotowa]]/tblSprzedaz[[#This Row],[Przychód netto]],0)</f>
        <v>0.37171428571428577</v>
      </c>
      <c r="Q415" s="16">
        <f>YEAR(tblSprzedaz[[#This Row],[Data]])</f>
        <v>2025</v>
      </c>
      <c r="R415" s="16">
        <f>MONTH(tblSprzedaz[[#This Row],[Data]])</f>
        <v>4</v>
      </c>
      <c r="S415" s="9" t="str">
        <f>YEAR(tblSprzedaz[[#This Row],[Data]])&amp;"-"&amp;RIGHT("0"&amp;MONTH(tblSprzedaz[[#This Row],[Data]]),2)</f>
        <v>2025-04</v>
      </c>
    </row>
    <row r="416" spans="1:19" x14ac:dyDescent="0.25">
      <c r="A416" s="7" t="s">
        <v>999</v>
      </c>
      <c r="B416" s="10">
        <v>45772</v>
      </c>
      <c r="C416" s="7" t="s">
        <v>1000</v>
      </c>
      <c r="D416" s="8" t="s">
        <v>114</v>
      </c>
      <c r="E416" s="8" t="s">
        <v>61</v>
      </c>
      <c r="F416" s="8" t="s">
        <v>33</v>
      </c>
      <c r="G416" s="8" t="s">
        <v>32</v>
      </c>
      <c r="H416" s="8" t="s">
        <v>43</v>
      </c>
      <c r="I416" s="11">
        <v>8</v>
      </c>
      <c r="J416" s="12">
        <v>533.6</v>
      </c>
      <c r="K416" s="13">
        <v>0.1</v>
      </c>
      <c r="L416" s="12">
        <v>345.66</v>
      </c>
      <c r="M416" s="14">
        <f>ROUND(tblSprzedaz[[#This Row],[Ilość]]*tblSprzedaz[[#This Row],[Cena netto jednostkowa]]*(1-tblSprzedaz[[#This Row],[Rabat %]]),2)</f>
        <v>3841.92</v>
      </c>
      <c r="N416" s="14">
        <f>ROUND(tblSprzedaz[[#This Row],[Ilość]]*tblSprzedaz[[#This Row],[Koszt jednostkowy netto]],2)</f>
        <v>2765.28</v>
      </c>
      <c r="O416" s="14">
        <f>tblSprzedaz[[#This Row],[Przychód netto]]-tblSprzedaz[[#This Row],[Koszt całkowity netto]]</f>
        <v>1076.6399999999999</v>
      </c>
      <c r="P416" s="15">
        <f>IFERROR(tblSprzedaz[[#This Row],[Marża kwotowa]]/tblSprzedaz[[#This Row],[Przychód netto]],0)</f>
        <v>0.28023488255872059</v>
      </c>
      <c r="Q416" s="16">
        <f>YEAR(tblSprzedaz[[#This Row],[Data]])</f>
        <v>2025</v>
      </c>
      <c r="R416" s="16">
        <f>MONTH(tblSprzedaz[[#This Row],[Data]])</f>
        <v>4</v>
      </c>
      <c r="S416" s="9" t="str">
        <f>YEAR(tblSprzedaz[[#This Row],[Data]])&amp;"-"&amp;RIGHT("0"&amp;MONTH(tblSprzedaz[[#This Row],[Data]]),2)</f>
        <v>2025-04</v>
      </c>
    </row>
    <row r="417" spans="1:19" x14ac:dyDescent="0.25">
      <c r="A417" s="7" t="s">
        <v>1001</v>
      </c>
      <c r="B417" s="10">
        <v>45772</v>
      </c>
      <c r="C417" s="7" t="s">
        <v>1002</v>
      </c>
      <c r="D417" s="8" t="s">
        <v>97</v>
      </c>
      <c r="E417" s="8" t="s">
        <v>76</v>
      </c>
      <c r="F417" s="8" t="s">
        <v>37</v>
      </c>
      <c r="G417" s="8" t="s">
        <v>30</v>
      </c>
      <c r="H417" s="8" t="s">
        <v>41</v>
      </c>
      <c r="I417" s="11">
        <v>22</v>
      </c>
      <c r="J417" s="12">
        <v>158.65</v>
      </c>
      <c r="K417" s="13">
        <v>0.15</v>
      </c>
      <c r="L417" s="12">
        <v>117.41</v>
      </c>
      <c r="M417" s="14">
        <f>ROUND(tblSprzedaz[[#This Row],[Ilość]]*tblSprzedaz[[#This Row],[Cena netto jednostkowa]]*(1-tblSprzedaz[[#This Row],[Rabat %]]),2)</f>
        <v>2966.76</v>
      </c>
      <c r="N417" s="14">
        <f>ROUND(tblSprzedaz[[#This Row],[Ilość]]*tblSprzedaz[[#This Row],[Koszt jednostkowy netto]],2)</f>
        <v>2583.02</v>
      </c>
      <c r="O417" s="14">
        <f>tblSprzedaz[[#This Row],[Przychód netto]]-tblSprzedaz[[#This Row],[Koszt całkowity netto]]</f>
        <v>383.74000000000024</v>
      </c>
      <c r="P417" s="15">
        <f>IFERROR(tblSprzedaz[[#This Row],[Marża kwotowa]]/tblSprzedaz[[#This Row],[Przychód netto]],0)</f>
        <v>0.1293464924698999</v>
      </c>
      <c r="Q417" s="16">
        <f>YEAR(tblSprzedaz[[#This Row],[Data]])</f>
        <v>2025</v>
      </c>
      <c r="R417" s="16">
        <f>MONTH(tblSprzedaz[[#This Row],[Data]])</f>
        <v>4</v>
      </c>
      <c r="S417" s="9" t="str">
        <f>YEAR(tblSprzedaz[[#This Row],[Data]])&amp;"-"&amp;RIGHT("0"&amp;MONTH(tblSprzedaz[[#This Row],[Data]]),2)</f>
        <v>2025-04</v>
      </c>
    </row>
    <row r="418" spans="1:19" x14ac:dyDescent="0.25">
      <c r="A418" s="7" t="s">
        <v>1003</v>
      </c>
      <c r="B418" s="10">
        <v>45772</v>
      </c>
      <c r="C418" s="7" t="s">
        <v>1004</v>
      </c>
      <c r="D418" s="8" t="s">
        <v>93</v>
      </c>
      <c r="E418" s="8" t="s">
        <v>62</v>
      </c>
      <c r="F418" s="8" t="s">
        <v>33</v>
      </c>
      <c r="G418" s="8" t="s">
        <v>30</v>
      </c>
      <c r="H418" s="8" t="s">
        <v>40</v>
      </c>
      <c r="I418" s="11">
        <v>12</v>
      </c>
      <c r="J418" s="12">
        <v>611.79999999999995</v>
      </c>
      <c r="K418" s="13">
        <v>0.15</v>
      </c>
      <c r="L418" s="12">
        <v>396.06</v>
      </c>
      <c r="M418" s="14">
        <f>ROUND(tblSprzedaz[[#This Row],[Ilość]]*tblSprzedaz[[#This Row],[Cena netto jednostkowa]]*(1-tblSprzedaz[[#This Row],[Rabat %]]),2)</f>
        <v>6240.36</v>
      </c>
      <c r="N418" s="14">
        <f>ROUND(tblSprzedaz[[#This Row],[Ilość]]*tblSprzedaz[[#This Row],[Koszt jednostkowy netto]],2)</f>
        <v>4752.72</v>
      </c>
      <c r="O418" s="14">
        <f>tblSprzedaz[[#This Row],[Przychód netto]]-tblSprzedaz[[#This Row],[Koszt całkowity netto]]</f>
        <v>1487.6399999999994</v>
      </c>
      <c r="P418" s="15">
        <f>IFERROR(tblSprzedaz[[#This Row],[Marża kwotowa]]/tblSprzedaz[[#This Row],[Przychód netto]],0)</f>
        <v>0.23839009287925689</v>
      </c>
      <c r="Q418" s="16">
        <f>YEAR(tblSprzedaz[[#This Row],[Data]])</f>
        <v>2025</v>
      </c>
      <c r="R418" s="16">
        <f>MONTH(tblSprzedaz[[#This Row],[Data]])</f>
        <v>4</v>
      </c>
      <c r="S418" s="9" t="str">
        <f>YEAR(tblSprzedaz[[#This Row],[Data]])&amp;"-"&amp;RIGHT("0"&amp;MONTH(tblSprzedaz[[#This Row],[Data]]),2)</f>
        <v>2025-04</v>
      </c>
    </row>
    <row r="419" spans="1:19" x14ac:dyDescent="0.25">
      <c r="A419" s="7" t="s">
        <v>1005</v>
      </c>
      <c r="B419" s="10">
        <v>45773</v>
      </c>
      <c r="C419" s="7" t="s">
        <v>1006</v>
      </c>
      <c r="D419" s="8" t="s">
        <v>80</v>
      </c>
      <c r="E419" s="8" t="s">
        <v>53</v>
      </c>
      <c r="F419" s="8" t="s">
        <v>29</v>
      </c>
      <c r="G419" s="8" t="s">
        <v>34</v>
      </c>
      <c r="H419" s="8" t="s">
        <v>45</v>
      </c>
      <c r="I419" s="11">
        <v>2</v>
      </c>
      <c r="J419" s="12">
        <v>27.88</v>
      </c>
      <c r="K419" s="13">
        <v>0.1</v>
      </c>
      <c r="L419" s="12">
        <v>17.239999999999998</v>
      </c>
      <c r="M419" s="14">
        <f>ROUND(tblSprzedaz[[#This Row],[Ilość]]*tblSprzedaz[[#This Row],[Cena netto jednostkowa]]*(1-tblSprzedaz[[#This Row],[Rabat %]]),2)</f>
        <v>50.18</v>
      </c>
      <c r="N419" s="14">
        <f>ROUND(tblSprzedaz[[#This Row],[Ilość]]*tblSprzedaz[[#This Row],[Koszt jednostkowy netto]],2)</f>
        <v>34.479999999999997</v>
      </c>
      <c r="O419" s="14">
        <f>tblSprzedaz[[#This Row],[Przychód netto]]-tblSprzedaz[[#This Row],[Koszt całkowity netto]]</f>
        <v>15.700000000000003</v>
      </c>
      <c r="P419" s="15">
        <f>IFERROR(tblSprzedaz[[#This Row],[Marża kwotowa]]/tblSprzedaz[[#This Row],[Przychód netto]],0)</f>
        <v>0.3128736548425668</v>
      </c>
      <c r="Q419" s="16">
        <f>YEAR(tblSprzedaz[[#This Row],[Data]])</f>
        <v>2025</v>
      </c>
      <c r="R419" s="16">
        <f>MONTH(tblSprzedaz[[#This Row],[Data]])</f>
        <v>4</v>
      </c>
      <c r="S419" s="9" t="str">
        <f>YEAR(tblSprzedaz[[#This Row],[Data]])&amp;"-"&amp;RIGHT("0"&amp;MONTH(tblSprzedaz[[#This Row],[Data]]),2)</f>
        <v>2025-04</v>
      </c>
    </row>
    <row r="420" spans="1:19" x14ac:dyDescent="0.25">
      <c r="A420" s="7" t="s">
        <v>1007</v>
      </c>
      <c r="B420" s="10">
        <v>45773</v>
      </c>
      <c r="C420" s="7" t="s">
        <v>1008</v>
      </c>
      <c r="D420" s="8" t="s">
        <v>147</v>
      </c>
      <c r="E420" s="8" t="s">
        <v>53</v>
      </c>
      <c r="F420" s="8" t="s">
        <v>29</v>
      </c>
      <c r="G420" s="8" t="s">
        <v>30</v>
      </c>
      <c r="H420" s="8" t="s">
        <v>41</v>
      </c>
      <c r="I420" s="11">
        <v>20</v>
      </c>
      <c r="J420" s="12">
        <v>27.88</v>
      </c>
      <c r="K420" s="13">
        <v>0.15</v>
      </c>
      <c r="L420" s="12">
        <v>17.260000000000002</v>
      </c>
      <c r="M420" s="14">
        <f>ROUND(tblSprzedaz[[#This Row],[Ilość]]*tblSprzedaz[[#This Row],[Cena netto jednostkowa]]*(1-tblSprzedaz[[#This Row],[Rabat %]]),2)</f>
        <v>473.96</v>
      </c>
      <c r="N420" s="14">
        <f>ROUND(tblSprzedaz[[#This Row],[Ilość]]*tblSprzedaz[[#This Row],[Koszt jednostkowy netto]],2)</f>
        <v>345.2</v>
      </c>
      <c r="O420" s="14">
        <f>tblSprzedaz[[#This Row],[Przychód netto]]-tblSprzedaz[[#This Row],[Koszt całkowity netto]]</f>
        <v>128.76</v>
      </c>
      <c r="P420" s="15">
        <f>IFERROR(tblSprzedaz[[#This Row],[Marża kwotowa]]/tblSprzedaz[[#This Row],[Przychód netto]],0)</f>
        <v>0.27166849523166509</v>
      </c>
      <c r="Q420" s="16">
        <f>YEAR(tblSprzedaz[[#This Row],[Data]])</f>
        <v>2025</v>
      </c>
      <c r="R420" s="16">
        <f>MONTH(tblSprzedaz[[#This Row],[Data]])</f>
        <v>4</v>
      </c>
      <c r="S420" s="9" t="str">
        <f>YEAR(tblSprzedaz[[#This Row],[Data]])&amp;"-"&amp;RIGHT("0"&amp;MONTH(tblSprzedaz[[#This Row],[Data]]),2)</f>
        <v>2025-04</v>
      </c>
    </row>
    <row r="421" spans="1:19" x14ac:dyDescent="0.25">
      <c r="A421" s="7" t="s">
        <v>1009</v>
      </c>
      <c r="B421" s="10">
        <v>45774</v>
      </c>
      <c r="C421" s="7" t="s">
        <v>1010</v>
      </c>
      <c r="D421" s="8" t="s">
        <v>79</v>
      </c>
      <c r="E421" s="8" t="s">
        <v>69</v>
      </c>
      <c r="F421" s="8" t="s">
        <v>35</v>
      </c>
      <c r="G421" s="8" t="s">
        <v>28</v>
      </c>
      <c r="H421" s="8" t="s">
        <v>38</v>
      </c>
      <c r="I421" s="11">
        <v>2</v>
      </c>
      <c r="J421" s="12">
        <v>102</v>
      </c>
      <c r="K421" s="13">
        <v>0.1</v>
      </c>
      <c r="L421" s="12">
        <v>71.58</v>
      </c>
      <c r="M421" s="14">
        <f>ROUND(tblSprzedaz[[#This Row],[Ilość]]*tblSprzedaz[[#This Row],[Cena netto jednostkowa]]*(1-tblSprzedaz[[#This Row],[Rabat %]]),2)</f>
        <v>183.6</v>
      </c>
      <c r="N421" s="14">
        <f>ROUND(tblSprzedaz[[#This Row],[Ilość]]*tblSprzedaz[[#This Row],[Koszt jednostkowy netto]],2)</f>
        <v>143.16</v>
      </c>
      <c r="O421" s="14">
        <f>tblSprzedaz[[#This Row],[Przychód netto]]-tblSprzedaz[[#This Row],[Koszt całkowity netto]]</f>
        <v>40.44</v>
      </c>
      <c r="P421" s="15">
        <f>IFERROR(tblSprzedaz[[#This Row],[Marża kwotowa]]/tblSprzedaz[[#This Row],[Przychód netto]],0)</f>
        <v>0.22026143790849673</v>
      </c>
      <c r="Q421" s="16">
        <f>YEAR(tblSprzedaz[[#This Row],[Data]])</f>
        <v>2025</v>
      </c>
      <c r="R421" s="16">
        <f>MONTH(tblSprzedaz[[#This Row],[Data]])</f>
        <v>4</v>
      </c>
      <c r="S421" s="9" t="str">
        <f>YEAR(tblSprzedaz[[#This Row],[Data]])&amp;"-"&amp;RIGHT("0"&amp;MONTH(tblSprzedaz[[#This Row],[Data]]),2)</f>
        <v>2025-04</v>
      </c>
    </row>
    <row r="422" spans="1:19" x14ac:dyDescent="0.25">
      <c r="A422" s="7" t="s">
        <v>1011</v>
      </c>
      <c r="B422" s="10">
        <v>45775</v>
      </c>
      <c r="C422" s="7" t="s">
        <v>1012</v>
      </c>
      <c r="D422" s="8" t="s">
        <v>117</v>
      </c>
      <c r="E422" s="8" t="s">
        <v>59</v>
      </c>
      <c r="F422" s="8" t="s">
        <v>31</v>
      </c>
      <c r="G422" s="8" t="s">
        <v>30</v>
      </c>
      <c r="H422" s="8" t="s">
        <v>41</v>
      </c>
      <c r="I422" s="11">
        <v>11</v>
      </c>
      <c r="J422" s="12">
        <v>172.2</v>
      </c>
      <c r="K422" s="13">
        <v>0</v>
      </c>
      <c r="L422" s="12">
        <v>111.79</v>
      </c>
      <c r="M422" s="14">
        <f>ROUND(tblSprzedaz[[#This Row],[Ilość]]*tblSprzedaz[[#This Row],[Cena netto jednostkowa]]*(1-tblSprzedaz[[#This Row],[Rabat %]]),2)</f>
        <v>1894.2</v>
      </c>
      <c r="N422" s="14">
        <f>ROUND(tblSprzedaz[[#This Row],[Ilość]]*tblSprzedaz[[#This Row],[Koszt jednostkowy netto]],2)</f>
        <v>1229.69</v>
      </c>
      <c r="O422" s="14">
        <f>tblSprzedaz[[#This Row],[Przychód netto]]-tblSprzedaz[[#This Row],[Koszt całkowity netto]]</f>
        <v>664.51</v>
      </c>
      <c r="P422" s="15">
        <f>IFERROR(tblSprzedaz[[#This Row],[Marża kwotowa]]/tblSprzedaz[[#This Row],[Przychód netto]],0)</f>
        <v>0.35081300813008126</v>
      </c>
      <c r="Q422" s="16">
        <f>YEAR(tblSprzedaz[[#This Row],[Data]])</f>
        <v>2025</v>
      </c>
      <c r="R422" s="16">
        <f>MONTH(tblSprzedaz[[#This Row],[Data]])</f>
        <v>4</v>
      </c>
      <c r="S422" s="9" t="str">
        <f>YEAR(tblSprzedaz[[#This Row],[Data]])&amp;"-"&amp;RIGHT("0"&amp;MONTH(tblSprzedaz[[#This Row],[Data]]),2)</f>
        <v>2025-04</v>
      </c>
    </row>
    <row r="423" spans="1:19" x14ac:dyDescent="0.25">
      <c r="A423" s="7" t="s">
        <v>1013</v>
      </c>
      <c r="B423" s="10">
        <v>45775</v>
      </c>
      <c r="C423" s="7" t="s">
        <v>1014</v>
      </c>
      <c r="D423" s="8" t="s">
        <v>134</v>
      </c>
      <c r="E423" s="8" t="s">
        <v>57</v>
      </c>
      <c r="F423" s="8" t="s">
        <v>31</v>
      </c>
      <c r="G423" s="8" t="s">
        <v>32</v>
      </c>
      <c r="H423" s="8" t="s">
        <v>43</v>
      </c>
      <c r="I423" s="11">
        <v>10</v>
      </c>
      <c r="J423" s="12">
        <v>315</v>
      </c>
      <c r="K423" s="13">
        <v>0.1</v>
      </c>
      <c r="L423" s="12">
        <v>205.32</v>
      </c>
      <c r="M423" s="14">
        <f>ROUND(tblSprzedaz[[#This Row],[Ilość]]*tblSprzedaz[[#This Row],[Cena netto jednostkowa]]*(1-tblSprzedaz[[#This Row],[Rabat %]]),2)</f>
        <v>2835</v>
      </c>
      <c r="N423" s="14">
        <f>ROUND(tblSprzedaz[[#This Row],[Ilość]]*tblSprzedaz[[#This Row],[Koszt jednostkowy netto]],2)</f>
        <v>2053.1999999999998</v>
      </c>
      <c r="O423" s="14">
        <f>tblSprzedaz[[#This Row],[Przychód netto]]-tblSprzedaz[[#This Row],[Koszt całkowity netto]]</f>
        <v>781.80000000000018</v>
      </c>
      <c r="P423" s="15">
        <f>IFERROR(tblSprzedaz[[#This Row],[Marża kwotowa]]/tblSprzedaz[[#This Row],[Przychód netto]],0)</f>
        <v>0.27576719576719583</v>
      </c>
      <c r="Q423" s="16">
        <f>YEAR(tblSprzedaz[[#This Row],[Data]])</f>
        <v>2025</v>
      </c>
      <c r="R423" s="16">
        <f>MONTH(tblSprzedaz[[#This Row],[Data]])</f>
        <v>4</v>
      </c>
      <c r="S423" s="9" t="str">
        <f>YEAR(tblSprzedaz[[#This Row],[Data]])&amp;"-"&amp;RIGHT("0"&amp;MONTH(tblSprzedaz[[#This Row],[Data]]),2)</f>
        <v>2025-04</v>
      </c>
    </row>
    <row r="424" spans="1:19" x14ac:dyDescent="0.25">
      <c r="A424" s="7" t="s">
        <v>1015</v>
      </c>
      <c r="B424" s="10">
        <v>45775</v>
      </c>
      <c r="C424" s="7" t="s">
        <v>1016</v>
      </c>
      <c r="D424" s="8" t="s">
        <v>145</v>
      </c>
      <c r="E424" s="8" t="s">
        <v>64</v>
      </c>
      <c r="F424" s="8" t="s">
        <v>33</v>
      </c>
      <c r="G424" s="8" t="s">
        <v>30</v>
      </c>
      <c r="H424" s="8" t="s">
        <v>41</v>
      </c>
      <c r="I424" s="11">
        <v>5</v>
      </c>
      <c r="J424" s="12">
        <v>768.2</v>
      </c>
      <c r="K424" s="13">
        <v>0</v>
      </c>
      <c r="L424" s="12">
        <v>493.24</v>
      </c>
      <c r="M424" s="14">
        <f>ROUND(tblSprzedaz[[#This Row],[Ilość]]*tblSprzedaz[[#This Row],[Cena netto jednostkowa]]*(1-tblSprzedaz[[#This Row],[Rabat %]]),2)</f>
        <v>3841</v>
      </c>
      <c r="N424" s="14">
        <f>ROUND(tblSprzedaz[[#This Row],[Ilość]]*tblSprzedaz[[#This Row],[Koszt jednostkowy netto]],2)</f>
        <v>2466.1999999999998</v>
      </c>
      <c r="O424" s="14">
        <f>tblSprzedaz[[#This Row],[Przychód netto]]-tblSprzedaz[[#This Row],[Koszt całkowity netto]]</f>
        <v>1374.8000000000002</v>
      </c>
      <c r="P424" s="15">
        <f>IFERROR(tblSprzedaz[[#This Row],[Marża kwotowa]]/tblSprzedaz[[#This Row],[Przychód netto]],0)</f>
        <v>0.35792762301483994</v>
      </c>
      <c r="Q424" s="16">
        <f>YEAR(tblSprzedaz[[#This Row],[Data]])</f>
        <v>2025</v>
      </c>
      <c r="R424" s="16">
        <f>MONTH(tblSprzedaz[[#This Row],[Data]])</f>
        <v>4</v>
      </c>
      <c r="S424" s="9" t="str">
        <f>YEAR(tblSprzedaz[[#This Row],[Data]])&amp;"-"&amp;RIGHT("0"&amp;MONTH(tblSprzedaz[[#This Row],[Data]]),2)</f>
        <v>2025-04</v>
      </c>
    </row>
    <row r="425" spans="1:19" x14ac:dyDescent="0.25">
      <c r="A425" s="7" t="s">
        <v>1017</v>
      </c>
      <c r="B425" s="10">
        <v>45776</v>
      </c>
      <c r="C425" s="7" t="s">
        <v>1018</v>
      </c>
      <c r="D425" s="8" t="s">
        <v>106</v>
      </c>
      <c r="E425" s="8" t="s">
        <v>55</v>
      </c>
      <c r="F425" s="8" t="s">
        <v>31</v>
      </c>
      <c r="G425" s="8" t="s">
        <v>30</v>
      </c>
      <c r="H425" s="8" t="s">
        <v>40</v>
      </c>
      <c r="I425" s="11">
        <v>1</v>
      </c>
      <c r="J425" s="12">
        <v>243.6</v>
      </c>
      <c r="K425" s="13">
        <v>0.1</v>
      </c>
      <c r="L425" s="12">
        <v>162.37</v>
      </c>
      <c r="M425" s="14">
        <f>ROUND(tblSprzedaz[[#This Row],[Ilość]]*tblSprzedaz[[#This Row],[Cena netto jednostkowa]]*(1-tblSprzedaz[[#This Row],[Rabat %]]),2)</f>
        <v>219.24</v>
      </c>
      <c r="N425" s="14">
        <f>ROUND(tblSprzedaz[[#This Row],[Ilość]]*tblSprzedaz[[#This Row],[Koszt jednostkowy netto]],2)</f>
        <v>162.37</v>
      </c>
      <c r="O425" s="14">
        <f>tblSprzedaz[[#This Row],[Przychód netto]]-tblSprzedaz[[#This Row],[Koszt całkowity netto]]</f>
        <v>56.870000000000005</v>
      </c>
      <c r="P425" s="15">
        <f>IFERROR(tblSprzedaz[[#This Row],[Marża kwotowa]]/tblSprzedaz[[#This Row],[Przychód netto]],0)</f>
        <v>0.25939609560299215</v>
      </c>
      <c r="Q425" s="16">
        <f>YEAR(tblSprzedaz[[#This Row],[Data]])</f>
        <v>2025</v>
      </c>
      <c r="R425" s="16">
        <f>MONTH(tblSprzedaz[[#This Row],[Data]])</f>
        <v>4</v>
      </c>
      <c r="S425" s="9" t="str">
        <f>YEAR(tblSprzedaz[[#This Row],[Data]])&amp;"-"&amp;RIGHT("0"&amp;MONTH(tblSprzedaz[[#This Row],[Data]]),2)</f>
        <v>2025-04</v>
      </c>
    </row>
    <row r="426" spans="1:19" x14ac:dyDescent="0.25">
      <c r="A426" s="7" t="s">
        <v>1019</v>
      </c>
      <c r="B426" s="10">
        <v>45776</v>
      </c>
      <c r="C426" s="7" t="s">
        <v>1020</v>
      </c>
      <c r="D426" s="8" t="s">
        <v>149</v>
      </c>
      <c r="E426" s="8" t="s">
        <v>48</v>
      </c>
      <c r="F426" s="8" t="s">
        <v>29</v>
      </c>
      <c r="G426" s="8" t="s">
        <v>30</v>
      </c>
      <c r="H426" s="8" t="s">
        <v>40</v>
      </c>
      <c r="I426" s="11">
        <v>18</v>
      </c>
      <c r="J426" s="12">
        <v>33.659999999999997</v>
      </c>
      <c r="K426" s="13">
        <v>0.15</v>
      </c>
      <c r="L426" s="12">
        <v>20.37</v>
      </c>
      <c r="M426" s="14">
        <f>ROUND(tblSprzedaz[[#This Row],[Ilość]]*tblSprzedaz[[#This Row],[Cena netto jednostkowa]]*(1-tblSprzedaz[[#This Row],[Rabat %]]),2)</f>
        <v>515</v>
      </c>
      <c r="N426" s="14">
        <f>ROUND(tblSprzedaz[[#This Row],[Ilość]]*tblSprzedaz[[#This Row],[Koszt jednostkowy netto]],2)</f>
        <v>366.66</v>
      </c>
      <c r="O426" s="14">
        <f>tblSprzedaz[[#This Row],[Przychód netto]]-tblSprzedaz[[#This Row],[Koszt całkowity netto]]</f>
        <v>148.33999999999997</v>
      </c>
      <c r="P426" s="15">
        <f>IFERROR(tblSprzedaz[[#This Row],[Marża kwotowa]]/tblSprzedaz[[#This Row],[Przychód netto]],0)</f>
        <v>0.28803883495145627</v>
      </c>
      <c r="Q426" s="16">
        <f>YEAR(tblSprzedaz[[#This Row],[Data]])</f>
        <v>2025</v>
      </c>
      <c r="R426" s="16">
        <f>MONTH(tblSprzedaz[[#This Row],[Data]])</f>
        <v>4</v>
      </c>
      <c r="S426" s="9" t="str">
        <f>YEAR(tblSprzedaz[[#This Row],[Data]])&amp;"-"&amp;RIGHT("0"&amp;MONTH(tblSprzedaz[[#This Row],[Data]]),2)</f>
        <v>2025-04</v>
      </c>
    </row>
    <row r="427" spans="1:19" x14ac:dyDescent="0.25">
      <c r="A427" s="7" t="s">
        <v>1021</v>
      </c>
      <c r="B427" s="10">
        <v>45776</v>
      </c>
      <c r="C427" s="7" t="s">
        <v>1022</v>
      </c>
      <c r="D427" s="8" t="s">
        <v>79</v>
      </c>
      <c r="E427" s="8" t="s">
        <v>48</v>
      </c>
      <c r="F427" s="8" t="s">
        <v>29</v>
      </c>
      <c r="G427" s="8" t="s">
        <v>28</v>
      </c>
      <c r="H427" s="8" t="s">
        <v>38</v>
      </c>
      <c r="I427" s="11">
        <v>18</v>
      </c>
      <c r="J427" s="12">
        <v>33.659999999999997</v>
      </c>
      <c r="K427" s="13">
        <v>0.05</v>
      </c>
      <c r="L427" s="12">
        <v>19.260000000000002</v>
      </c>
      <c r="M427" s="14">
        <f>ROUND(tblSprzedaz[[#This Row],[Ilość]]*tblSprzedaz[[#This Row],[Cena netto jednostkowa]]*(1-tblSprzedaz[[#This Row],[Rabat %]]),2)</f>
        <v>575.59</v>
      </c>
      <c r="N427" s="14">
        <f>ROUND(tblSprzedaz[[#This Row],[Ilość]]*tblSprzedaz[[#This Row],[Koszt jednostkowy netto]],2)</f>
        <v>346.68</v>
      </c>
      <c r="O427" s="14">
        <f>tblSprzedaz[[#This Row],[Przychód netto]]-tblSprzedaz[[#This Row],[Koszt całkowity netto]]</f>
        <v>228.91000000000003</v>
      </c>
      <c r="P427" s="15">
        <f>IFERROR(tblSprzedaz[[#This Row],[Marża kwotowa]]/tblSprzedaz[[#This Row],[Przychód netto]],0)</f>
        <v>0.39769627686373982</v>
      </c>
      <c r="Q427" s="16">
        <f>YEAR(tblSprzedaz[[#This Row],[Data]])</f>
        <v>2025</v>
      </c>
      <c r="R427" s="16">
        <f>MONTH(tblSprzedaz[[#This Row],[Data]])</f>
        <v>4</v>
      </c>
      <c r="S427" s="9" t="str">
        <f>YEAR(tblSprzedaz[[#This Row],[Data]])&amp;"-"&amp;RIGHT("0"&amp;MONTH(tblSprzedaz[[#This Row],[Data]]),2)</f>
        <v>2025-04</v>
      </c>
    </row>
    <row r="428" spans="1:19" x14ac:dyDescent="0.25">
      <c r="A428" s="7" t="s">
        <v>1023</v>
      </c>
      <c r="B428" s="10">
        <v>45776</v>
      </c>
      <c r="C428" s="7" t="s">
        <v>1024</v>
      </c>
      <c r="D428" s="8" t="s">
        <v>120</v>
      </c>
      <c r="E428" s="8" t="s">
        <v>63</v>
      </c>
      <c r="F428" s="8" t="s">
        <v>33</v>
      </c>
      <c r="G428" s="8" t="s">
        <v>36</v>
      </c>
      <c r="H428" s="8" t="s">
        <v>46</v>
      </c>
      <c r="I428" s="11">
        <v>10</v>
      </c>
      <c r="J428" s="12">
        <v>690</v>
      </c>
      <c r="K428" s="13">
        <v>0</v>
      </c>
      <c r="L428" s="12">
        <v>444.74</v>
      </c>
      <c r="M428" s="14">
        <f>ROUND(tblSprzedaz[[#This Row],[Ilość]]*tblSprzedaz[[#This Row],[Cena netto jednostkowa]]*(1-tblSprzedaz[[#This Row],[Rabat %]]),2)</f>
        <v>6900</v>
      </c>
      <c r="N428" s="14">
        <f>ROUND(tblSprzedaz[[#This Row],[Ilość]]*tblSprzedaz[[#This Row],[Koszt jednostkowy netto]],2)</f>
        <v>4447.3999999999996</v>
      </c>
      <c r="O428" s="14">
        <f>tblSprzedaz[[#This Row],[Przychód netto]]-tblSprzedaz[[#This Row],[Koszt całkowity netto]]</f>
        <v>2452.6000000000004</v>
      </c>
      <c r="P428" s="15">
        <f>IFERROR(tblSprzedaz[[#This Row],[Marża kwotowa]]/tblSprzedaz[[#This Row],[Przychód netto]],0)</f>
        <v>0.35544927536231891</v>
      </c>
      <c r="Q428" s="16">
        <f>YEAR(tblSprzedaz[[#This Row],[Data]])</f>
        <v>2025</v>
      </c>
      <c r="R428" s="16">
        <f>MONTH(tblSprzedaz[[#This Row],[Data]])</f>
        <v>4</v>
      </c>
      <c r="S428" s="9" t="str">
        <f>YEAR(tblSprzedaz[[#This Row],[Data]])&amp;"-"&amp;RIGHT("0"&amp;MONTH(tblSprzedaz[[#This Row],[Data]]),2)</f>
        <v>2025-04</v>
      </c>
    </row>
    <row r="429" spans="1:19" x14ac:dyDescent="0.25">
      <c r="A429" s="7" t="s">
        <v>1025</v>
      </c>
      <c r="B429" s="10">
        <v>45776</v>
      </c>
      <c r="C429" s="7" t="s">
        <v>1026</v>
      </c>
      <c r="D429" s="8" t="s">
        <v>118</v>
      </c>
      <c r="E429" s="8" t="s">
        <v>65</v>
      </c>
      <c r="F429" s="8" t="s">
        <v>33</v>
      </c>
      <c r="G429" s="8" t="s">
        <v>28</v>
      </c>
      <c r="H429" s="8" t="s">
        <v>38</v>
      </c>
      <c r="I429" s="11">
        <v>9</v>
      </c>
      <c r="J429" s="12">
        <v>377.2</v>
      </c>
      <c r="K429" s="13">
        <v>0.15</v>
      </c>
      <c r="L429" s="12">
        <v>247.65</v>
      </c>
      <c r="M429" s="14">
        <f>ROUND(tblSprzedaz[[#This Row],[Ilość]]*tblSprzedaz[[#This Row],[Cena netto jednostkowa]]*(1-tblSprzedaz[[#This Row],[Rabat %]]),2)</f>
        <v>2885.58</v>
      </c>
      <c r="N429" s="14">
        <f>ROUND(tblSprzedaz[[#This Row],[Ilość]]*tblSprzedaz[[#This Row],[Koszt jednostkowy netto]],2)</f>
        <v>2228.85</v>
      </c>
      <c r="O429" s="14">
        <f>tblSprzedaz[[#This Row],[Przychód netto]]-tblSprzedaz[[#This Row],[Koszt całkowity netto]]</f>
        <v>656.73</v>
      </c>
      <c r="P429" s="15">
        <f>IFERROR(tblSprzedaz[[#This Row],[Marża kwotowa]]/tblSprzedaz[[#This Row],[Przychód netto]],0)</f>
        <v>0.22759029380575138</v>
      </c>
      <c r="Q429" s="16">
        <f>YEAR(tblSprzedaz[[#This Row],[Data]])</f>
        <v>2025</v>
      </c>
      <c r="R429" s="16">
        <f>MONTH(tblSprzedaz[[#This Row],[Data]])</f>
        <v>4</v>
      </c>
      <c r="S429" s="9" t="str">
        <f>YEAR(tblSprzedaz[[#This Row],[Data]])&amp;"-"&amp;RIGHT("0"&amp;MONTH(tblSprzedaz[[#This Row],[Data]]),2)</f>
        <v>2025-04</v>
      </c>
    </row>
    <row r="430" spans="1:19" x14ac:dyDescent="0.25">
      <c r="A430" s="7" t="s">
        <v>1027</v>
      </c>
      <c r="B430" s="10">
        <v>45777</v>
      </c>
      <c r="C430" s="7" t="s">
        <v>1028</v>
      </c>
      <c r="D430" s="8" t="s">
        <v>120</v>
      </c>
      <c r="E430" s="8" t="s">
        <v>68</v>
      </c>
      <c r="F430" s="8" t="s">
        <v>35</v>
      </c>
      <c r="G430" s="8" t="s">
        <v>28</v>
      </c>
      <c r="H430" s="8" t="s">
        <v>38</v>
      </c>
      <c r="I430" s="11">
        <v>8</v>
      </c>
      <c r="J430" s="12">
        <v>90.44</v>
      </c>
      <c r="K430" s="13">
        <v>0.05</v>
      </c>
      <c r="L430" s="12">
        <v>68.260000000000005</v>
      </c>
      <c r="M430" s="14">
        <f>ROUND(tblSprzedaz[[#This Row],[Ilość]]*tblSprzedaz[[#This Row],[Cena netto jednostkowa]]*(1-tblSprzedaz[[#This Row],[Rabat %]]),2)</f>
        <v>687.34</v>
      </c>
      <c r="N430" s="14">
        <f>ROUND(tblSprzedaz[[#This Row],[Ilość]]*tblSprzedaz[[#This Row],[Koszt jednostkowy netto]],2)</f>
        <v>546.08000000000004</v>
      </c>
      <c r="O430" s="14">
        <f>tblSprzedaz[[#This Row],[Przychód netto]]-tblSprzedaz[[#This Row],[Koszt całkowity netto]]</f>
        <v>141.26</v>
      </c>
      <c r="P430" s="15">
        <f>IFERROR(tblSprzedaz[[#This Row],[Marża kwotowa]]/tblSprzedaz[[#This Row],[Przychód netto]],0)</f>
        <v>0.20551692030145194</v>
      </c>
      <c r="Q430" s="16">
        <f>YEAR(tblSprzedaz[[#This Row],[Data]])</f>
        <v>2025</v>
      </c>
      <c r="R430" s="16">
        <f>MONTH(tblSprzedaz[[#This Row],[Data]])</f>
        <v>4</v>
      </c>
      <c r="S430" s="9" t="str">
        <f>YEAR(tblSprzedaz[[#This Row],[Data]])&amp;"-"&amp;RIGHT("0"&amp;MONTH(tblSprzedaz[[#This Row],[Data]]),2)</f>
        <v>2025-04</v>
      </c>
    </row>
    <row r="431" spans="1:19" x14ac:dyDescent="0.25">
      <c r="A431" s="7" t="s">
        <v>1029</v>
      </c>
      <c r="B431" s="10">
        <v>45777</v>
      </c>
      <c r="C431" s="7" t="s">
        <v>1030</v>
      </c>
      <c r="D431" s="8" t="s">
        <v>109</v>
      </c>
      <c r="E431" s="8" t="s">
        <v>71</v>
      </c>
      <c r="F431" s="8" t="s">
        <v>35</v>
      </c>
      <c r="G431" s="8" t="s">
        <v>30</v>
      </c>
      <c r="H431" s="8" t="s">
        <v>41</v>
      </c>
      <c r="I431" s="11">
        <v>13</v>
      </c>
      <c r="J431" s="12">
        <v>55.76</v>
      </c>
      <c r="K431" s="13">
        <v>0</v>
      </c>
      <c r="L431" s="12">
        <v>39.69</v>
      </c>
      <c r="M431" s="14">
        <f>ROUND(tblSprzedaz[[#This Row],[Ilość]]*tblSprzedaz[[#This Row],[Cena netto jednostkowa]]*(1-tblSprzedaz[[#This Row],[Rabat %]]),2)</f>
        <v>724.88</v>
      </c>
      <c r="N431" s="14">
        <f>ROUND(tblSprzedaz[[#This Row],[Ilość]]*tblSprzedaz[[#This Row],[Koszt jednostkowy netto]],2)</f>
        <v>515.97</v>
      </c>
      <c r="O431" s="14">
        <f>tblSprzedaz[[#This Row],[Przychód netto]]-tblSprzedaz[[#This Row],[Koszt całkowity netto]]</f>
        <v>208.90999999999997</v>
      </c>
      <c r="P431" s="15">
        <f>IFERROR(tblSprzedaz[[#This Row],[Marża kwotowa]]/tblSprzedaz[[#This Row],[Przychód netto]],0)</f>
        <v>0.28819942611190813</v>
      </c>
      <c r="Q431" s="16">
        <f>YEAR(tblSprzedaz[[#This Row],[Data]])</f>
        <v>2025</v>
      </c>
      <c r="R431" s="16">
        <f>MONTH(tblSprzedaz[[#This Row],[Data]])</f>
        <v>4</v>
      </c>
      <c r="S431" s="9" t="str">
        <f>YEAR(tblSprzedaz[[#This Row],[Data]])&amp;"-"&amp;RIGHT("0"&amp;MONTH(tblSprzedaz[[#This Row],[Data]]),2)</f>
        <v>2025-04</v>
      </c>
    </row>
    <row r="432" spans="1:19" x14ac:dyDescent="0.25">
      <c r="A432" s="7" t="s">
        <v>1031</v>
      </c>
      <c r="B432" s="10">
        <v>45777</v>
      </c>
      <c r="C432" s="7" t="s">
        <v>1032</v>
      </c>
      <c r="D432" s="8" t="s">
        <v>143</v>
      </c>
      <c r="E432" s="8" t="s">
        <v>71</v>
      </c>
      <c r="F432" s="8" t="s">
        <v>35</v>
      </c>
      <c r="G432" s="8" t="s">
        <v>34</v>
      </c>
      <c r="H432" s="8" t="s">
        <v>44</v>
      </c>
      <c r="I432" s="11">
        <v>10</v>
      </c>
      <c r="J432" s="12">
        <v>55.76</v>
      </c>
      <c r="K432" s="13">
        <v>0</v>
      </c>
      <c r="L432" s="12">
        <v>42.12</v>
      </c>
      <c r="M432" s="14">
        <f>ROUND(tblSprzedaz[[#This Row],[Ilość]]*tblSprzedaz[[#This Row],[Cena netto jednostkowa]]*(1-tblSprzedaz[[#This Row],[Rabat %]]),2)</f>
        <v>557.6</v>
      </c>
      <c r="N432" s="14">
        <f>ROUND(tblSprzedaz[[#This Row],[Ilość]]*tblSprzedaz[[#This Row],[Koszt jednostkowy netto]],2)</f>
        <v>421.2</v>
      </c>
      <c r="O432" s="14">
        <f>tblSprzedaz[[#This Row],[Przychód netto]]-tblSprzedaz[[#This Row],[Koszt całkowity netto]]</f>
        <v>136.40000000000003</v>
      </c>
      <c r="P432" s="15">
        <f>IFERROR(tblSprzedaz[[#This Row],[Marża kwotowa]]/tblSprzedaz[[#This Row],[Przychód netto]],0)</f>
        <v>0.24461979913916793</v>
      </c>
      <c r="Q432" s="16">
        <f>YEAR(tblSprzedaz[[#This Row],[Data]])</f>
        <v>2025</v>
      </c>
      <c r="R432" s="16">
        <f>MONTH(tblSprzedaz[[#This Row],[Data]])</f>
        <v>4</v>
      </c>
      <c r="S432" s="9" t="str">
        <f>YEAR(tblSprzedaz[[#This Row],[Data]])&amp;"-"&amp;RIGHT("0"&amp;MONTH(tblSprzedaz[[#This Row],[Data]]),2)</f>
        <v>2025-04</v>
      </c>
    </row>
    <row r="433" spans="1:19" x14ac:dyDescent="0.25">
      <c r="A433" s="7" t="s">
        <v>1033</v>
      </c>
      <c r="B433" s="10">
        <v>45777</v>
      </c>
      <c r="C433" s="7" t="s">
        <v>1034</v>
      </c>
      <c r="D433" s="8" t="s">
        <v>122</v>
      </c>
      <c r="E433" s="8" t="s">
        <v>63</v>
      </c>
      <c r="F433" s="8" t="s">
        <v>33</v>
      </c>
      <c r="G433" s="8" t="s">
        <v>36</v>
      </c>
      <c r="H433" s="8" t="s">
        <v>46</v>
      </c>
      <c r="I433" s="11">
        <v>11</v>
      </c>
      <c r="J433" s="12">
        <v>690</v>
      </c>
      <c r="K433" s="13">
        <v>0</v>
      </c>
      <c r="L433" s="12">
        <v>443.99</v>
      </c>
      <c r="M433" s="14">
        <f>ROUND(tblSprzedaz[[#This Row],[Ilość]]*tblSprzedaz[[#This Row],[Cena netto jednostkowa]]*(1-tblSprzedaz[[#This Row],[Rabat %]]),2)</f>
        <v>7590</v>
      </c>
      <c r="N433" s="14">
        <f>ROUND(tblSprzedaz[[#This Row],[Ilość]]*tblSprzedaz[[#This Row],[Koszt jednostkowy netto]],2)</f>
        <v>4883.8900000000003</v>
      </c>
      <c r="O433" s="14">
        <f>tblSprzedaz[[#This Row],[Przychód netto]]-tblSprzedaz[[#This Row],[Koszt całkowity netto]]</f>
        <v>2706.1099999999997</v>
      </c>
      <c r="P433" s="15">
        <f>IFERROR(tblSprzedaz[[#This Row],[Marża kwotowa]]/tblSprzedaz[[#This Row],[Przychód netto]],0)</f>
        <v>0.35653623188405792</v>
      </c>
      <c r="Q433" s="16">
        <f>YEAR(tblSprzedaz[[#This Row],[Data]])</f>
        <v>2025</v>
      </c>
      <c r="R433" s="16">
        <f>MONTH(tblSprzedaz[[#This Row],[Data]])</f>
        <v>4</v>
      </c>
      <c r="S433" s="9" t="str">
        <f>YEAR(tblSprzedaz[[#This Row],[Data]])&amp;"-"&amp;RIGHT("0"&amp;MONTH(tblSprzedaz[[#This Row],[Data]]),2)</f>
        <v>2025-04</v>
      </c>
    </row>
    <row r="434" spans="1:19" x14ac:dyDescent="0.25">
      <c r="A434" s="7" t="s">
        <v>1035</v>
      </c>
      <c r="B434" s="10">
        <v>45777</v>
      </c>
      <c r="C434" s="7" t="s">
        <v>1036</v>
      </c>
      <c r="D434" s="8" t="s">
        <v>90</v>
      </c>
      <c r="E434" s="8" t="s">
        <v>69</v>
      </c>
      <c r="F434" s="8" t="s">
        <v>35</v>
      </c>
      <c r="G434" s="8" t="s">
        <v>34</v>
      </c>
      <c r="H434" s="8" t="s">
        <v>44</v>
      </c>
      <c r="I434" s="11">
        <v>2</v>
      </c>
      <c r="J434" s="12">
        <v>102</v>
      </c>
      <c r="K434" s="13">
        <v>0</v>
      </c>
      <c r="L434" s="12">
        <v>75.33</v>
      </c>
      <c r="M434" s="14">
        <f>ROUND(tblSprzedaz[[#This Row],[Ilość]]*tblSprzedaz[[#This Row],[Cena netto jednostkowa]]*(1-tblSprzedaz[[#This Row],[Rabat %]]),2)</f>
        <v>204</v>
      </c>
      <c r="N434" s="14">
        <f>ROUND(tblSprzedaz[[#This Row],[Ilość]]*tblSprzedaz[[#This Row],[Koszt jednostkowy netto]],2)</f>
        <v>150.66</v>
      </c>
      <c r="O434" s="14">
        <f>tblSprzedaz[[#This Row],[Przychód netto]]-tblSprzedaz[[#This Row],[Koszt całkowity netto]]</f>
        <v>53.34</v>
      </c>
      <c r="P434" s="15">
        <f>IFERROR(tblSprzedaz[[#This Row],[Marża kwotowa]]/tblSprzedaz[[#This Row],[Przychód netto]],0)</f>
        <v>0.26147058823529412</v>
      </c>
      <c r="Q434" s="16">
        <f>YEAR(tblSprzedaz[[#This Row],[Data]])</f>
        <v>2025</v>
      </c>
      <c r="R434" s="16">
        <f>MONTH(tblSprzedaz[[#This Row],[Data]])</f>
        <v>4</v>
      </c>
      <c r="S434" s="9" t="str">
        <f>YEAR(tblSprzedaz[[#This Row],[Data]])&amp;"-"&amp;RIGHT("0"&amp;MONTH(tblSprzedaz[[#This Row],[Data]]),2)</f>
        <v>2025-04</v>
      </c>
    </row>
    <row r="435" spans="1:19" x14ac:dyDescent="0.25">
      <c r="A435" s="7" t="s">
        <v>1037</v>
      </c>
      <c r="B435" s="10">
        <v>45777</v>
      </c>
      <c r="C435" s="7" t="s">
        <v>1038</v>
      </c>
      <c r="D435" s="8" t="s">
        <v>136</v>
      </c>
      <c r="E435" s="8" t="s">
        <v>74</v>
      </c>
      <c r="F435" s="8" t="s">
        <v>37</v>
      </c>
      <c r="G435" s="8" t="s">
        <v>36</v>
      </c>
      <c r="H435" s="8" t="s">
        <v>46</v>
      </c>
      <c r="I435" s="11">
        <v>15</v>
      </c>
      <c r="J435" s="12">
        <v>126.35</v>
      </c>
      <c r="K435" s="13">
        <v>0</v>
      </c>
      <c r="L435" s="12">
        <v>101.25</v>
      </c>
      <c r="M435" s="14">
        <f>ROUND(tblSprzedaz[[#This Row],[Ilość]]*tblSprzedaz[[#This Row],[Cena netto jednostkowa]]*(1-tblSprzedaz[[#This Row],[Rabat %]]),2)</f>
        <v>1895.25</v>
      </c>
      <c r="N435" s="14">
        <f>ROUND(tblSprzedaz[[#This Row],[Ilość]]*tblSprzedaz[[#This Row],[Koszt jednostkowy netto]],2)</f>
        <v>1518.75</v>
      </c>
      <c r="O435" s="14">
        <f>tblSprzedaz[[#This Row],[Przychód netto]]-tblSprzedaz[[#This Row],[Koszt całkowity netto]]</f>
        <v>376.5</v>
      </c>
      <c r="P435" s="15">
        <f>IFERROR(tblSprzedaz[[#This Row],[Marża kwotowa]]/tblSprzedaz[[#This Row],[Przychód netto]],0)</f>
        <v>0.19865453106450337</v>
      </c>
      <c r="Q435" s="16">
        <f>YEAR(tblSprzedaz[[#This Row],[Data]])</f>
        <v>2025</v>
      </c>
      <c r="R435" s="16">
        <f>MONTH(tblSprzedaz[[#This Row],[Data]])</f>
        <v>4</v>
      </c>
      <c r="S435" s="9" t="str">
        <f>YEAR(tblSprzedaz[[#This Row],[Data]])&amp;"-"&amp;RIGHT("0"&amp;MONTH(tblSprzedaz[[#This Row],[Data]]),2)</f>
        <v>2025-04</v>
      </c>
    </row>
    <row r="436" spans="1:19" x14ac:dyDescent="0.25">
      <c r="A436" s="7" t="s">
        <v>1039</v>
      </c>
      <c r="B436" s="10">
        <v>45778</v>
      </c>
      <c r="C436" s="7" t="s">
        <v>1040</v>
      </c>
      <c r="D436" s="8" t="s">
        <v>98</v>
      </c>
      <c r="E436" s="8" t="s">
        <v>77</v>
      </c>
      <c r="F436" s="8" t="s">
        <v>37</v>
      </c>
      <c r="G436" s="8" t="s">
        <v>34</v>
      </c>
      <c r="H436" s="8" t="s">
        <v>45</v>
      </c>
      <c r="I436" s="11">
        <v>6</v>
      </c>
      <c r="J436" s="12">
        <v>77.900000000000006</v>
      </c>
      <c r="K436" s="13">
        <v>0.15</v>
      </c>
      <c r="L436" s="12">
        <v>60.61</v>
      </c>
      <c r="M436" s="14">
        <f>ROUND(tblSprzedaz[[#This Row],[Ilość]]*tblSprzedaz[[#This Row],[Cena netto jednostkowa]]*(1-tblSprzedaz[[#This Row],[Rabat %]]),2)</f>
        <v>397.29</v>
      </c>
      <c r="N436" s="14">
        <f>ROUND(tblSprzedaz[[#This Row],[Ilość]]*tblSprzedaz[[#This Row],[Koszt jednostkowy netto]],2)</f>
        <v>363.66</v>
      </c>
      <c r="O436" s="14">
        <f>tblSprzedaz[[#This Row],[Przychód netto]]-tblSprzedaz[[#This Row],[Koszt całkowity netto]]</f>
        <v>33.629999999999995</v>
      </c>
      <c r="P436" s="15">
        <f>IFERROR(tblSprzedaz[[#This Row],[Marża kwotowa]]/tblSprzedaz[[#This Row],[Przychód netto]],0)</f>
        <v>8.4648493543758946E-2</v>
      </c>
      <c r="Q436" s="16">
        <f>YEAR(tblSprzedaz[[#This Row],[Data]])</f>
        <v>2025</v>
      </c>
      <c r="R436" s="16">
        <f>MONTH(tblSprzedaz[[#This Row],[Data]])</f>
        <v>5</v>
      </c>
      <c r="S436" s="9" t="str">
        <f>YEAR(tblSprzedaz[[#This Row],[Data]])&amp;"-"&amp;RIGHT("0"&amp;MONTH(tblSprzedaz[[#This Row],[Data]]),2)</f>
        <v>2025-05</v>
      </c>
    </row>
    <row r="437" spans="1:19" x14ac:dyDescent="0.25">
      <c r="A437" s="7" t="s">
        <v>1041</v>
      </c>
      <c r="B437" s="10">
        <v>45778</v>
      </c>
      <c r="C437" s="7" t="s">
        <v>1042</v>
      </c>
      <c r="D437" s="8" t="s">
        <v>95</v>
      </c>
      <c r="E437" s="8" t="s">
        <v>72</v>
      </c>
      <c r="F437" s="8" t="s">
        <v>37</v>
      </c>
      <c r="G437" s="8" t="s">
        <v>34</v>
      </c>
      <c r="H437" s="8" t="s">
        <v>45</v>
      </c>
      <c r="I437" s="11">
        <v>8</v>
      </c>
      <c r="J437" s="12">
        <v>94.05</v>
      </c>
      <c r="K437" s="13">
        <v>0</v>
      </c>
      <c r="L437" s="12">
        <v>69.12</v>
      </c>
      <c r="M437" s="14">
        <f>ROUND(tblSprzedaz[[#This Row],[Ilość]]*tblSprzedaz[[#This Row],[Cena netto jednostkowa]]*(1-tblSprzedaz[[#This Row],[Rabat %]]),2)</f>
        <v>752.4</v>
      </c>
      <c r="N437" s="14">
        <f>ROUND(tblSprzedaz[[#This Row],[Ilość]]*tblSprzedaz[[#This Row],[Koszt jednostkowy netto]],2)</f>
        <v>552.96</v>
      </c>
      <c r="O437" s="14">
        <f>tblSprzedaz[[#This Row],[Przychód netto]]-tblSprzedaz[[#This Row],[Koszt całkowity netto]]</f>
        <v>199.43999999999994</v>
      </c>
      <c r="P437" s="15">
        <f>IFERROR(tblSprzedaz[[#This Row],[Marża kwotowa]]/tblSprzedaz[[#This Row],[Przychód netto]],0)</f>
        <v>0.26507177033492818</v>
      </c>
      <c r="Q437" s="16">
        <f>YEAR(tblSprzedaz[[#This Row],[Data]])</f>
        <v>2025</v>
      </c>
      <c r="R437" s="16">
        <f>MONTH(tblSprzedaz[[#This Row],[Data]])</f>
        <v>5</v>
      </c>
      <c r="S437" s="9" t="str">
        <f>YEAR(tblSprzedaz[[#This Row],[Data]])&amp;"-"&amp;RIGHT("0"&amp;MONTH(tblSprzedaz[[#This Row],[Data]]),2)</f>
        <v>2025-05</v>
      </c>
    </row>
    <row r="438" spans="1:19" x14ac:dyDescent="0.25">
      <c r="A438" s="7" t="s">
        <v>1043</v>
      </c>
      <c r="B438" s="10">
        <v>45778</v>
      </c>
      <c r="C438" s="7" t="s">
        <v>1044</v>
      </c>
      <c r="D438" s="8" t="s">
        <v>83</v>
      </c>
      <c r="E438" s="8" t="s">
        <v>68</v>
      </c>
      <c r="F438" s="8" t="s">
        <v>35</v>
      </c>
      <c r="G438" s="8" t="s">
        <v>34</v>
      </c>
      <c r="H438" s="8" t="s">
        <v>45</v>
      </c>
      <c r="I438" s="11">
        <v>8</v>
      </c>
      <c r="J438" s="12">
        <v>90.44</v>
      </c>
      <c r="K438" s="13">
        <v>0</v>
      </c>
      <c r="L438" s="12">
        <v>62.86</v>
      </c>
      <c r="M438" s="14">
        <f>ROUND(tblSprzedaz[[#This Row],[Ilość]]*tblSprzedaz[[#This Row],[Cena netto jednostkowa]]*(1-tblSprzedaz[[#This Row],[Rabat %]]),2)</f>
        <v>723.52</v>
      </c>
      <c r="N438" s="14">
        <f>ROUND(tblSprzedaz[[#This Row],[Ilość]]*tblSprzedaz[[#This Row],[Koszt jednostkowy netto]],2)</f>
        <v>502.88</v>
      </c>
      <c r="O438" s="14">
        <f>tblSprzedaz[[#This Row],[Przychód netto]]-tblSprzedaz[[#This Row],[Koszt całkowity netto]]</f>
        <v>220.64</v>
      </c>
      <c r="P438" s="15">
        <f>IFERROR(tblSprzedaz[[#This Row],[Marża kwotowa]]/tblSprzedaz[[#This Row],[Przychód netto]],0)</f>
        <v>0.304953560371517</v>
      </c>
      <c r="Q438" s="16">
        <f>YEAR(tblSprzedaz[[#This Row],[Data]])</f>
        <v>2025</v>
      </c>
      <c r="R438" s="16">
        <f>MONTH(tblSprzedaz[[#This Row],[Data]])</f>
        <v>5</v>
      </c>
      <c r="S438" s="9" t="str">
        <f>YEAR(tblSprzedaz[[#This Row],[Data]])&amp;"-"&amp;RIGHT("0"&amp;MONTH(tblSprzedaz[[#This Row],[Data]]),2)</f>
        <v>2025-05</v>
      </c>
    </row>
    <row r="439" spans="1:19" x14ac:dyDescent="0.25">
      <c r="A439" s="7" t="s">
        <v>1045</v>
      </c>
      <c r="B439" s="10">
        <v>45778</v>
      </c>
      <c r="C439" s="7" t="s">
        <v>1046</v>
      </c>
      <c r="D439" s="8" t="s">
        <v>151</v>
      </c>
      <c r="E439" s="8" t="s">
        <v>58</v>
      </c>
      <c r="F439" s="8" t="s">
        <v>31</v>
      </c>
      <c r="G439" s="8" t="s">
        <v>34</v>
      </c>
      <c r="H439" s="8" t="s">
        <v>45</v>
      </c>
      <c r="I439" s="11">
        <v>13</v>
      </c>
      <c r="J439" s="12">
        <v>350.7</v>
      </c>
      <c r="K439" s="13">
        <v>0.1</v>
      </c>
      <c r="L439" s="12">
        <v>231.06</v>
      </c>
      <c r="M439" s="14">
        <f>ROUND(tblSprzedaz[[#This Row],[Ilość]]*tblSprzedaz[[#This Row],[Cena netto jednostkowa]]*(1-tblSprzedaz[[#This Row],[Rabat %]]),2)</f>
        <v>4103.1899999999996</v>
      </c>
      <c r="N439" s="14">
        <f>ROUND(tblSprzedaz[[#This Row],[Ilość]]*tblSprzedaz[[#This Row],[Koszt jednostkowy netto]],2)</f>
        <v>3003.78</v>
      </c>
      <c r="O439" s="14">
        <f>tblSprzedaz[[#This Row],[Przychód netto]]-tblSprzedaz[[#This Row],[Koszt całkowity netto]]</f>
        <v>1099.4099999999994</v>
      </c>
      <c r="P439" s="15">
        <f>IFERROR(tblSprzedaz[[#This Row],[Marża kwotowa]]/tblSprzedaz[[#This Row],[Przychód netto]],0)</f>
        <v>0.26794030985647738</v>
      </c>
      <c r="Q439" s="16">
        <f>YEAR(tblSprzedaz[[#This Row],[Data]])</f>
        <v>2025</v>
      </c>
      <c r="R439" s="16">
        <f>MONTH(tblSprzedaz[[#This Row],[Data]])</f>
        <v>5</v>
      </c>
      <c r="S439" s="9" t="str">
        <f>YEAR(tblSprzedaz[[#This Row],[Data]])&amp;"-"&amp;RIGHT("0"&amp;MONTH(tblSprzedaz[[#This Row],[Data]]),2)</f>
        <v>2025-05</v>
      </c>
    </row>
    <row r="440" spans="1:19" x14ac:dyDescent="0.25">
      <c r="A440" s="7" t="s">
        <v>1047</v>
      </c>
      <c r="B440" s="10">
        <v>45778</v>
      </c>
      <c r="C440" s="7" t="s">
        <v>1048</v>
      </c>
      <c r="D440" s="8" t="s">
        <v>140</v>
      </c>
      <c r="E440" s="8" t="s">
        <v>77</v>
      </c>
      <c r="F440" s="8" t="s">
        <v>37</v>
      </c>
      <c r="G440" s="8" t="s">
        <v>30</v>
      </c>
      <c r="H440" s="8" t="s">
        <v>41</v>
      </c>
      <c r="I440" s="11">
        <v>17</v>
      </c>
      <c r="J440" s="12">
        <v>77.900000000000006</v>
      </c>
      <c r="K440" s="13">
        <v>0.1</v>
      </c>
      <c r="L440" s="12">
        <v>62.88</v>
      </c>
      <c r="M440" s="14">
        <f>ROUND(tblSprzedaz[[#This Row],[Ilość]]*tblSprzedaz[[#This Row],[Cena netto jednostkowa]]*(1-tblSprzedaz[[#This Row],[Rabat %]]),2)</f>
        <v>1191.8699999999999</v>
      </c>
      <c r="N440" s="14">
        <f>ROUND(tblSprzedaz[[#This Row],[Ilość]]*tblSprzedaz[[#This Row],[Koszt jednostkowy netto]],2)</f>
        <v>1068.96</v>
      </c>
      <c r="O440" s="14">
        <f>tblSprzedaz[[#This Row],[Przychód netto]]-tblSprzedaz[[#This Row],[Koszt całkowity netto]]</f>
        <v>122.90999999999985</v>
      </c>
      <c r="P440" s="15">
        <f>IFERROR(tblSprzedaz[[#This Row],[Marża kwotowa]]/tblSprzedaz[[#This Row],[Przychód netto]],0)</f>
        <v>0.10312366281557542</v>
      </c>
      <c r="Q440" s="16">
        <f>YEAR(tblSprzedaz[[#This Row],[Data]])</f>
        <v>2025</v>
      </c>
      <c r="R440" s="16">
        <f>MONTH(tblSprzedaz[[#This Row],[Data]])</f>
        <v>5</v>
      </c>
      <c r="S440" s="9" t="str">
        <f>YEAR(tblSprzedaz[[#This Row],[Data]])&amp;"-"&amp;RIGHT("0"&amp;MONTH(tblSprzedaz[[#This Row],[Data]]),2)</f>
        <v>2025-05</v>
      </c>
    </row>
    <row r="441" spans="1:19" x14ac:dyDescent="0.25">
      <c r="A441" s="7" t="s">
        <v>1049</v>
      </c>
      <c r="B441" s="10">
        <v>45778</v>
      </c>
      <c r="C441" s="7" t="s">
        <v>1050</v>
      </c>
      <c r="D441" s="8" t="s">
        <v>95</v>
      </c>
      <c r="E441" s="8" t="s">
        <v>64</v>
      </c>
      <c r="F441" s="8" t="s">
        <v>33</v>
      </c>
      <c r="G441" s="8" t="s">
        <v>28</v>
      </c>
      <c r="H441" s="8" t="s">
        <v>38</v>
      </c>
      <c r="I441" s="11">
        <v>6</v>
      </c>
      <c r="J441" s="12">
        <v>768.2</v>
      </c>
      <c r="K441" s="13">
        <v>0.05</v>
      </c>
      <c r="L441" s="12">
        <v>512.1</v>
      </c>
      <c r="M441" s="14">
        <f>ROUND(tblSprzedaz[[#This Row],[Ilość]]*tblSprzedaz[[#This Row],[Cena netto jednostkowa]]*(1-tblSprzedaz[[#This Row],[Rabat %]]),2)</f>
        <v>4378.74</v>
      </c>
      <c r="N441" s="14">
        <f>ROUND(tblSprzedaz[[#This Row],[Ilość]]*tblSprzedaz[[#This Row],[Koszt jednostkowy netto]],2)</f>
        <v>3072.6</v>
      </c>
      <c r="O441" s="14">
        <f>tblSprzedaz[[#This Row],[Przychód netto]]-tblSprzedaz[[#This Row],[Koszt całkowity netto]]</f>
        <v>1306.1399999999999</v>
      </c>
      <c r="P441" s="15">
        <f>IFERROR(tblSprzedaz[[#This Row],[Marża kwotowa]]/tblSprzedaz[[#This Row],[Przychód netto]],0)</f>
        <v>0.29829128927499693</v>
      </c>
      <c r="Q441" s="16">
        <f>YEAR(tblSprzedaz[[#This Row],[Data]])</f>
        <v>2025</v>
      </c>
      <c r="R441" s="16">
        <f>MONTH(tblSprzedaz[[#This Row],[Data]])</f>
        <v>5</v>
      </c>
      <c r="S441" s="9" t="str">
        <f>YEAR(tblSprzedaz[[#This Row],[Data]])&amp;"-"&amp;RIGHT("0"&amp;MONTH(tblSprzedaz[[#This Row],[Data]]),2)</f>
        <v>2025-05</v>
      </c>
    </row>
    <row r="442" spans="1:19" x14ac:dyDescent="0.25">
      <c r="A442" s="7" t="s">
        <v>1051</v>
      </c>
      <c r="B442" s="10">
        <v>45779</v>
      </c>
      <c r="C442" s="7" t="s">
        <v>1052</v>
      </c>
      <c r="D442" s="8" t="s">
        <v>120</v>
      </c>
      <c r="E442" s="8" t="s">
        <v>77</v>
      </c>
      <c r="F442" s="8" t="s">
        <v>37</v>
      </c>
      <c r="G442" s="8" t="s">
        <v>32</v>
      </c>
      <c r="H442" s="8" t="s">
        <v>42</v>
      </c>
      <c r="I442" s="11">
        <v>16</v>
      </c>
      <c r="J442" s="12">
        <v>77.900000000000006</v>
      </c>
      <c r="K442" s="13">
        <v>0</v>
      </c>
      <c r="L442" s="12">
        <v>57.48</v>
      </c>
      <c r="M442" s="14">
        <f>ROUND(tblSprzedaz[[#This Row],[Ilość]]*tblSprzedaz[[#This Row],[Cena netto jednostkowa]]*(1-tblSprzedaz[[#This Row],[Rabat %]]),2)</f>
        <v>1246.4000000000001</v>
      </c>
      <c r="N442" s="14">
        <f>ROUND(tblSprzedaz[[#This Row],[Ilość]]*tblSprzedaz[[#This Row],[Koszt jednostkowy netto]],2)</f>
        <v>919.68</v>
      </c>
      <c r="O442" s="14">
        <f>tblSprzedaz[[#This Row],[Przychód netto]]-tblSprzedaz[[#This Row],[Koszt całkowity netto]]</f>
        <v>326.72000000000014</v>
      </c>
      <c r="P442" s="15">
        <f>IFERROR(tblSprzedaz[[#This Row],[Marża kwotowa]]/tblSprzedaz[[#This Row],[Przychód netto]],0)</f>
        <v>0.26213093709884477</v>
      </c>
      <c r="Q442" s="16">
        <f>YEAR(tblSprzedaz[[#This Row],[Data]])</f>
        <v>2025</v>
      </c>
      <c r="R442" s="16">
        <f>MONTH(tblSprzedaz[[#This Row],[Data]])</f>
        <v>5</v>
      </c>
      <c r="S442" s="9" t="str">
        <f>YEAR(tblSprzedaz[[#This Row],[Data]])&amp;"-"&amp;RIGHT("0"&amp;MONTH(tblSprzedaz[[#This Row],[Data]]),2)</f>
        <v>2025-05</v>
      </c>
    </row>
    <row r="443" spans="1:19" x14ac:dyDescent="0.25">
      <c r="A443" s="7" t="s">
        <v>1053</v>
      </c>
      <c r="B443" s="10">
        <v>45779</v>
      </c>
      <c r="C443" s="7" t="s">
        <v>1054</v>
      </c>
      <c r="D443" s="8" t="s">
        <v>99</v>
      </c>
      <c r="E443" s="8" t="s">
        <v>73</v>
      </c>
      <c r="F443" s="8" t="s">
        <v>37</v>
      </c>
      <c r="G443" s="8" t="s">
        <v>28</v>
      </c>
      <c r="H443" s="8" t="s">
        <v>39</v>
      </c>
      <c r="I443" s="11">
        <v>11</v>
      </c>
      <c r="J443" s="12">
        <v>110.2</v>
      </c>
      <c r="K443" s="13">
        <v>0</v>
      </c>
      <c r="L443" s="12">
        <v>87.37</v>
      </c>
      <c r="M443" s="14">
        <f>ROUND(tblSprzedaz[[#This Row],[Ilość]]*tblSprzedaz[[#This Row],[Cena netto jednostkowa]]*(1-tblSprzedaz[[#This Row],[Rabat %]]),2)</f>
        <v>1212.2</v>
      </c>
      <c r="N443" s="14">
        <f>ROUND(tblSprzedaz[[#This Row],[Ilość]]*tblSprzedaz[[#This Row],[Koszt jednostkowy netto]],2)</f>
        <v>961.07</v>
      </c>
      <c r="O443" s="14">
        <f>tblSprzedaz[[#This Row],[Przychód netto]]-tblSprzedaz[[#This Row],[Koszt całkowity netto]]</f>
        <v>251.13</v>
      </c>
      <c r="P443" s="15">
        <f>IFERROR(tblSprzedaz[[#This Row],[Marża kwotowa]]/tblSprzedaz[[#This Row],[Przychód netto]],0)</f>
        <v>0.2071687840290381</v>
      </c>
      <c r="Q443" s="16">
        <f>YEAR(tblSprzedaz[[#This Row],[Data]])</f>
        <v>2025</v>
      </c>
      <c r="R443" s="16">
        <f>MONTH(tblSprzedaz[[#This Row],[Data]])</f>
        <v>5</v>
      </c>
      <c r="S443" s="9" t="str">
        <f>YEAR(tblSprzedaz[[#This Row],[Data]])&amp;"-"&amp;RIGHT("0"&amp;MONTH(tblSprzedaz[[#This Row],[Data]]),2)</f>
        <v>2025-05</v>
      </c>
    </row>
    <row r="444" spans="1:19" x14ac:dyDescent="0.25">
      <c r="A444" s="7" t="s">
        <v>1055</v>
      </c>
      <c r="B444" s="10">
        <v>45779</v>
      </c>
      <c r="C444" s="7" t="s">
        <v>1056</v>
      </c>
      <c r="D444" s="8" t="s">
        <v>101</v>
      </c>
      <c r="E444" s="8" t="s">
        <v>51</v>
      </c>
      <c r="F444" s="8" t="s">
        <v>29</v>
      </c>
      <c r="G444" s="8" t="s">
        <v>32</v>
      </c>
      <c r="H444" s="8" t="s">
        <v>43</v>
      </c>
      <c r="I444" s="11">
        <v>4</v>
      </c>
      <c r="J444" s="12">
        <v>51</v>
      </c>
      <c r="K444" s="13">
        <v>0.05</v>
      </c>
      <c r="L444" s="12">
        <v>31.1</v>
      </c>
      <c r="M444" s="14">
        <f>ROUND(tblSprzedaz[[#This Row],[Ilość]]*tblSprzedaz[[#This Row],[Cena netto jednostkowa]]*(1-tblSprzedaz[[#This Row],[Rabat %]]),2)</f>
        <v>193.8</v>
      </c>
      <c r="N444" s="14">
        <f>ROUND(tblSprzedaz[[#This Row],[Ilość]]*tblSprzedaz[[#This Row],[Koszt jednostkowy netto]],2)</f>
        <v>124.4</v>
      </c>
      <c r="O444" s="14">
        <f>tblSprzedaz[[#This Row],[Przychód netto]]-tblSprzedaz[[#This Row],[Koszt całkowity netto]]</f>
        <v>69.400000000000006</v>
      </c>
      <c r="P444" s="15">
        <f>IFERROR(tblSprzedaz[[#This Row],[Marża kwotowa]]/tblSprzedaz[[#This Row],[Przychód netto]],0)</f>
        <v>0.35810113519091846</v>
      </c>
      <c r="Q444" s="16">
        <f>YEAR(tblSprzedaz[[#This Row],[Data]])</f>
        <v>2025</v>
      </c>
      <c r="R444" s="16">
        <f>MONTH(tblSprzedaz[[#This Row],[Data]])</f>
        <v>5</v>
      </c>
      <c r="S444" s="9" t="str">
        <f>YEAR(tblSprzedaz[[#This Row],[Data]])&amp;"-"&amp;RIGHT("0"&amp;MONTH(tblSprzedaz[[#This Row],[Data]]),2)</f>
        <v>2025-05</v>
      </c>
    </row>
    <row r="445" spans="1:19" x14ac:dyDescent="0.25">
      <c r="A445" s="7" t="s">
        <v>1057</v>
      </c>
      <c r="B445" s="10">
        <v>45779</v>
      </c>
      <c r="C445" s="7" t="s">
        <v>1058</v>
      </c>
      <c r="D445" s="8" t="s">
        <v>100</v>
      </c>
      <c r="E445" s="8" t="s">
        <v>65</v>
      </c>
      <c r="F445" s="8" t="s">
        <v>33</v>
      </c>
      <c r="G445" s="8" t="s">
        <v>36</v>
      </c>
      <c r="H445" s="8" t="s">
        <v>47</v>
      </c>
      <c r="I445" s="11">
        <v>16</v>
      </c>
      <c r="J445" s="12">
        <v>377.2</v>
      </c>
      <c r="K445" s="13">
        <v>0.15</v>
      </c>
      <c r="L445" s="12">
        <v>266.29000000000002</v>
      </c>
      <c r="M445" s="14">
        <f>ROUND(tblSprzedaz[[#This Row],[Ilość]]*tblSprzedaz[[#This Row],[Cena netto jednostkowa]]*(1-tblSprzedaz[[#This Row],[Rabat %]]),2)</f>
        <v>5129.92</v>
      </c>
      <c r="N445" s="14">
        <f>ROUND(tblSprzedaz[[#This Row],[Ilość]]*tblSprzedaz[[#This Row],[Koszt jednostkowy netto]],2)</f>
        <v>4260.6400000000003</v>
      </c>
      <c r="O445" s="14">
        <f>tblSprzedaz[[#This Row],[Przychód netto]]-tblSprzedaz[[#This Row],[Koszt całkowity netto]]</f>
        <v>869.27999999999975</v>
      </c>
      <c r="P445" s="15">
        <f>IFERROR(tblSprzedaz[[#This Row],[Marża kwotowa]]/tblSprzedaz[[#This Row],[Przychód netto]],0)</f>
        <v>0.16945293493855648</v>
      </c>
      <c r="Q445" s="16">
        <f>YEAR(tblSprzedaz[[#This Row],[Data]])</f>
        <v>2025</v>
      </c>
      <c r="R445" s="16">
        <f>MONTH(tblSprzedaz[[#This Row],[Data]])</f>
        <v>5</v>
      </c>
      <c r="S445" s="9" t="str">
        <f>YEAR(tblSprzedaz[[#This Row],[Data]])&amp;"-"&amp;RIGHT("0"&amp;MONTH(tblSprzedaz[[#This Row],[Data]]),2)</f>
        <v>2025-05</v>
      </c>
    </row>
    <row r="446" spans="1:19" x14ac:dyDescent="0.25">
      <c r="A446" s="7" t="s">
        <v>1059</v>
      </c>
      <c r="B446" s="10">
        <v>45780</v>
      </c>
      <c r="C446" s="7" t="s">
        <v>1060</v>
      </c>
      <c r="D446" s="8" t="s">
        <v>78</v>
      </c>
      <c r="E446" s="8" t="s">
        <v>65</v>
      </c>
      <c r="F446" s="8" t="s">
        <v>33</v>
      </c>
      <c r="G446" s="8" t="s">
        <v>34</v>
      </c>
      <c r="H446" s="8" t="s">
        <v>44</v>
      </c>
      <c r="I446" s="11">
        <v>8</v>
      </c>
      <c r="J446" s="12">
        <v>377.2</v>
      </c>
      <c r="K446" s="13">
        <v>0.15</v>
      </c>
      <c r="L446" s="12">
        <v>253.12</v>
      </c>
      <c r="M446" s="14">
        <f>ROUND(tblSprzedaz[[#This Row],[Ilość]]*tblSprzedaz[[#This Row],[Cena netto jednostkowa]]*(1-tblSprzedaz[[#This Row],[Rabat %]]),2)</f>
        <v>2564.96</v>
      </c>
      <c r="N446" s="14">
        <f>ROUND(tblSprzedaz[[#This Row],[Ilość]]*tblSprzedaz[[#This Row],[Koszt jednostkowy netto]],2)</f>
        <v>2024.96</v>
      </c>
      <c r="O446" s="14">
        <f>tblSprzedaz[[#This Row],[Przychód netto]]-tblSprzedaz[[#This Row],[Koszt całkowity netto]]</f>
        <v>540</v>
      </c>
      <c r="P446" s="15">
        <f>IFERROR(tblSprzedaz[[#This Row],[Marża kwotowa]]/tblSprzedaz[[#This Row],[Przychód netto]],0)</f>
        <v>0.21052959890212714</v>
      </c>
      <c r="Q446" s="16">
        <f>YEAR(tblSprzedaz[[#This Row],[Data]])</f>
        <v>2025</v>
      </c>
      <c r="R446" s="16">
        <f>MONTH(tblSprzedaz[[#This Row],[Data]])</f>
        <v>5</v>
      </c>
      <c r="S446" s="9" t="str">
        <f>YEAR(tblSprzedaz[[#This Row],[Data]])&amp;"-"&amp;RIGHT("0"&amp;MONTH(tblSprzedaz[[#This Row],[Data]]),2)</f>
        <v>2025-05</v>
      </c>
    </row>
    <row r="447" spans="1:19" x14ac:dyDescent="0.25">
      <c r="A447" s="7" t="s">
        <v>1061</v>
      </c>
      <c r="B447" s="10">
        <v>45780</v>
      </c>
      <c r="C447" s="7" t="s">
        <v>1062</v>
      </c>
      <c r="D447" s="8" t="s">
        <v>139</v>
      </c>
      <c r="E447" s="8" t="s">
        <v>77</v>
      </c>
      <c r="F447" s="8" t="s">
        <v>37</v>
      </c>
      <c r="G447" s="8" t="s">
        <v>30</v>
      </c>
      <c r="H447" s="8" t="s">
        <v>40</v>
      </c>
      <c r="I447" s="11">
        <v>13</v>
      </c>
      <c r="J447" s="12">
        <v>77.900000000000006</v>
      </c>
      <c r="K447" s="13">
        <v>0.15</v>
      </c>
      <c r="L447" s="12">
        <v>57.42</v>
      </c>
      <c r="M447" s="14">
        <f>ROUND(tblSprzedaz[[#This Row],[Ilość]]*tblSprzedaz[[#This Row],[Cena netto jednostkowa]]*(1-tblSprzedaz[[#This Row],[Rabat %]]),2)</f>
        <v>860.8</v>
      </c>
      <c r="N447" s="14">
        <f>ROUND(tblSprzedaz[[#This Row],[Ilość]]*tblSprzedaz[[#This Row],[Koszt jednostkowy netto]],2)</f>
        <v>746.46</v>
      </c>
      <c r="O447" s="14">
        <f>tblSprzedaz[[#This Row],[Przychód netto]]-tblSprzedaz[[#This Row],[Koszt całkowity netto]]</f>
        <v>114.33999999999992</v>
      </c>
      <c r="P447" s="15">
        <f>IFERROR(tblSprzedaz[[#This Row],[Marża kwotowa]]/tblSprzedaz[[#This Row],[Przychód netto]],0)</f>
        <v>0.13282992565055754</v>
      </c>
      <c r="Q447" s="16">
        <f>YEAR(tblSprzedaz[[#This Row],[Data]])</f>
        <v>2025</v>
      </c>
      <c r="R447" s="16">
        <f>MONTH(tblSprzedaz[[#This Row],[Data]])</f>
        <v>5</v>
      </c>
      <c r="S447" s="9" t="str">
        <f>YEAR(tblSprzedaz[[#This Row],[Data]])&amp;"-"&amp;RIGHT("0"&amp;MONTH(tblSprzedaz[[#This Row],[Data]]),2)</f>
        <v>2025-05</v>
      </c>
    </row>
    <row r="448" spans="1:19" x14ac:dyDescent="0.25">
      <c r="A448" s="7" t="s">
        <v>1063</v>
      </c>
      <c r="B448" s="10">
        <v>45781</v>
      </c>
      <c r="C448" s="7" t="s">
        <v>1064</v>
      </c>
      <c r="D448" s="8" t="s">
        <v>140</v>
      </c>
      <c r="E448" s="8" t="s">
        <v>73</v>
      </c>
      <c r="F448" s="8" t="s">
        <v>37</v>
      </c>
      <c r="G448" s="8" t="s">
        <v>34</v>
      </c>
      <c r="H448" s="8" t="s">
        <v>44</v>
      </c>
      <c r="I448" s="11">
        <v>8</v>
      </c>
      <c r="J448" s="12">
        <v>110.2</v>
      </c>
      <c r="K448" s="13">
        <v>0.15</v>
      </c>
      <c r="L448" s="12">
        <v>81.48</v>
      </c>
      <c r="M448" s="14">
        <f>ROUND(tblSprzedaz[[#This Row],[Ilość]]*tblSprzedaz[[#This Row],[Cena netto jednostkowa]]*(1-tblSprzedaz[[#This Row],[Rabat %]]),2)</f>
        <v>749.36</v>
      </c>
      <c r="N448" s="14">
        <f>ROUND(tblSprzedaz[[#This Row],[Ilość]]*tblSprzedaz[[#This Row],[Koszt jednostkowy netto]],2)</f>
        <v>651.84</v>
      </c>
      <c r="O448" s="14">
        <f>tblSprzedaz[[#This Row],[Przychód netto]]-tblSprzedaz[[#This Row],[Koszt całkowity netto]]</f>
        <v>97.519999999999982</v>
      </c>
      <c r="P448" s="15">
        <f>IFERROR(tblSprzedaz[[#This Row],[Marża kwotowa]]/tblSprzedaz[[#This Row],[Przychód netto]],0)</f>
        <v>0.13013771751894948</v>
      </c>
      <c r="Q448" s="16">
        <f>YEAR(tblSprzedaz[[#This Row],[Data]])</f>
        <v>2025</v>
      </c>
      <c r="R448" s="16">
        <f>MONTH(tblSprzedaz[[#This Row],[Data]])</f>
        <v>5</v>
      </c>
      <c r="S448" s="9" t="str">
        <f>YEAR(tblSprzedaz[[#This Row],[Data]])&amp;"-"&amp;RIGHT("0"&amp;MONTH(tblSprzedaz[[#This Row],[Data]]),2)</f>
        <v>2025-05</v>
      </c>
    </row>
    <row r="449" spans="1:19" x14ac:dyDescent="0.25">
      <c r="A449" s="7" t="s">
        <v>1065</v>
      </c>
      <c r="B449" s="10">
        <v>45782</v>
      </c>
      <c r="C449" s="7" t="s">
        <v>1066</v>
      </c>
      <c r="D449" s="8" t="s">
        <v>144</v>
      </c>
      <c r="E449" s="8" t="s">
        <v>59</v>
      </c>
      <c r="F449" s="8" t="s">
        <v>31</v>
      </c>
      <c r="G449" s="8" t="s">
        <v>30</v>
      </c>
      <c r="H449" s="8" t="s">
        <v>40</v>
      </c>
      <c r="I449" s="11">
        <v>3</v>
      </c>
      <c r="J449" s="12">
        <v>172.2</v>
      </c>
      <c r="K449" s="13">
        <v>0</v>
      </c>
      <c r="L449" s="12">
        <v>103.6</v>
      </c>
      <c r="M449" s="14">
        <f>ROUND(tblSprzedaz[[#This Row],[Ilość]]*tblSprzedaz[[#This Row],[Cena netto jednostkowa]]*(1-tblSprzedaz[[#This Row],[Rabat %]]),2)</f>
        <v>516.6</v>
      </c>
      <c r="N449" s="14">
        <f>ROUND(tblSprzedaz[[#This Row],[Ilość]]*tblSprzedaz[[#This Row],[Koszt jednostkowy netto]],2)</f>
        <v>310.8</v>
      </c>
      <c r="O449" s="14">
        <f>tblSprzedaz[[#This Row],[Przychód netto]]-tblSprzedaz[[#This Row],[Koszt całkowity netto]]</f>
        <v>205.8</v>
      </c>
      <c r="P449" s="15">
        <f>IFERROR(tblSprzedaz[[#This Row],[Marża kwotowa]]/tblSprzedaz[[#This Row],[Przychód netto]],0)</f>
        <v>0.3983739837398374</v>
      </c>
      <c r="Q449" s="16">
        <f>YEAR(tblSprzedaz[[#This Row],[Data]])</f>
        <v>2025</v>
      </c>
      <c r="R449" s="16">
        <f>MONTH(tblSprzedaz[[#This Row],[Data]])</f>
        <v>5</v>
      </c>
      <c r="S449" s="9" t="str">
        <f>YEAR(tblSprzedaz[[#This Row],[Data]])&amp;"-"&amp;RIGHT("0"&amp;MONTH(tblSprzedaz[[#This Row],[Data]]),2)</f>
        <v>2025-05</v>
      </c>
    </row>
    <row r="450" spans="1:19" x14ac:dyDescent="0.25">
      <c r="A450" s="7" t="s">
        <v>1067</v>
      </c>
      <c r="B450" s="10">
        <v>45782</v>
      </c>
      <c r="C450" s="7" t="s">
        <v>1068</v>
      </c>
      <c r="D450" s="8" t="s">
        <v>83</v>
      </c>
      <c r="E450" s="8" t="s">
        <v>75</v>
      </c>
      <c r="F450" s="8" t="s">
        <v>37</v>
      </c>
      <c r="G450" s="8" t="s">
        <v>32</v>
      </c>
      <c r="H450" s="8" t="s">
        <v>42</v>
      </c>
      <c r="I450" s="11">
        <v>1</v>
      </c>
      <c r="J450" s="12">
        <v>142.5</v>
      </c>
      <c r="K450" s="13">
        <v>0</v>
      </c>
      <c r="L450" s="12">
        <v>114.47</v>
      </c>
      <c r="M450" s="14">
        <f>ROUND(tblSprzedaz[[#This Row],[Ilość]]*tblSprzedaz[[#This Row],[Cena netto jednostkowa]]*(1-tblSprzedaz[[#This Row],[Rabat %]]),2)</f>
        <v>142.5</v>
      </c>
      <c r="N450" s="14">
        <f>ROUND(tblSprzedaz[[#This Row],[Ilość]]*tblSprzedaz[[#This Row],[Koszt jednostkowy netto]],2)</f>
        <v>114.47</v>
      </c>
      <c r="O450" s="14">
        <f>tblSprzedaz[[#This Row],[Przychód netto]]-tblSprzedaz[[#This Row],[Koszt całkowity netto]]</f>
        <v>28.03</v>
      </c>
      <c r="P450" s="15">
        <f>IFERROR(tblSprzedaz[[#This Row],[Marża kwotowa]]/tblSprzedaz[[#This Row],[Przychód netto]],0)</f>
        <v>0.19670175438596493</v>
      </c>
      <c r="Q450" s="16">
        <f>YEAR(tblSprzedaz[[#This Row],[Data]])</f>
        <v>2025</v>
      </c>
      <c r="R450" s="16">
        <f>MONTH(tblSprzedaz[[#This Row],[Data]])</f>
        <v>5</v>
      </c>
      <c r="S450" s="9" t="str">
        <f>YEAR(tblSprzedaz[[#This Row],[Data]])&amp;"-"&amp;RIGHT("0"&amp;MONTH(tblSprzedaz[[#This Row],[Data]]),2)</f>
        <v>2025-05</v>
      </c>
    </row>
    <row r="451" spans="1:19" x14ac:dyDescent="0.25">
      <c r="A451" s="7" t="s">
        <v>1069</v>
      </c>
      <c r="B451" s="10">
        <v>45782</v>
      </c>
      <c r="C451" s="7" t="s">
        <v>1070</v>
      </c>
      <c r="D451" s="8" t="s">
        <v>141</v>
      </c>
      <c r="E451" s="8" t="s">
        <v>74</v>
      </c>
      <c r="F451" s="8" t="s">
        <v>37</v>
      </c>
      <c r="G451" s="8" t="s">
        <v>30</v>
      </c>
      <c r="H451" s="8" t="s">
        <v>41</v>
      </c>
      <c r="I451" s="11">
        <v>7</v>
      </c>
      <c r="J451" s="12">
        <v>126.35</v>
      </c>
      <c r="K451" s="13">
        <v>0</v>
      </c>
      <c r="L451" s="12">
        <v>99.11</v>
      </c>
      <c r="M451" s="14">
        <f>ROUND(tblSprzedaz[[#This Row],[Ilość]]*tblSprzedaz[[#This Row],[Cena netto jednostkowa]]*(1-tblSprzedaz[[#This Row],[Rabat %]]),2)</f>
        <v>884.45</v>
      </c>
      <c r="N451" s="14">
        <f>ROUND(tblSprzedaz[[#This Row],[Ilość]]*tblSprzedaz[[#This Row],[Koszt jednostkowy netto]],2)</f>
        <v>693.77</v>
      </c>
      <c r="O451" s="14">
        <f>tblSprzedaz[[#This Row],[Przychód netto]]-tblSprzedaz[[#This Row],[Koszt całkowity netto]]</f>
        <v>190.68000000000006</v>
      </c>
      <c r="P451" s="15">
        <f>IFERROR(tblSprzedaz[[#This Row],[Marża kwotowa]]/tblSprzedaz[[#This Row],[Przychód netto]],0)</f>
        <v>0.21559161060546109</v>
      </c>
      <c r="Q451" s="16">
        <f>YEAR(tblSprzedaz[[#This Row],[Data]])</f>
        <v>2025</v>
      </c>
      <c r="R451" s="16">
        <f>MONTH(tblSprzedaz[[#This Row],[Data]])</f>
        <v>5</v>
      </c>
      <c r="S451" s="9" t="str">
        <f>YEAR(tblSprzedaz[[#This Row],[Data]])&amp;"-"&amp;RIGHT("0"&amp;MONTH(tblSprzedaz[[#This Row],[Data]]),2)</f>
        <v>2025-05</v>
      </c>
    </row>
    <row r="452" spans="1:19" x14ac:dyDescent="0.25">
      <c r="A452" s="7" t="s">
        <v>1071</v>
      </c>
      <c r="B452" s="10">
        <v>45782</v>
      </c>
      <c r="C452" s="7" t="s">
        <v>1072</v>
      </c>
      <c r="D452" s="8" t="s">
        <v>90</v>
      </c>
      <c r="E452" s="8" t="s">
        <v>67</v>
      </c>
      <c r="F452" s="8" t="s">
        <v>35</v>
      </c>
      <c r="G452" s="8" t="s">
        <v>30</v>
      </c>
      <c r="H452" s="8" t="s">
        <v>41</v>
      </c>
      <c r="I452" s="11">
        <v>6</v>
      </c>
      <c r="J452" s="12">
        <v>78.88</v>
      </c>
      <c r="K452" s="13">
        <v>0</v>
      </c>
      <c r="L452" s="12">
        <v>59.27</v>
      </c>
      <c r="M452" s="14">
        <f>ROUND(tblSprzedaz[[#This Row],[Ilość]]*tblSprzedaz[[#This Row],[Cena netto jednostkowa]]*(1-tblSprzedaz[[#This Row],[Rabat %]]),2)</f>
        <v>473.28</v>
      </c>
      <c r="N452" s="14">
        <f>ROUND(tblSprzedaz[[#This Row],[Ilość]]*tblSprzedaz[[#This Row],[Koszt jednostkowy netto]],2)</f>
        <v>355.62</v>
      </c>
      <c r="O452" s="14">
        <f>tblSprzedaz[[#This Row],[Przychód netto]]-tblSprzedaz[[#This Row],[Koszt całkowity netto]]</f>
        <v>117.65999999999997</v>
      </c>
      <c r="P452" s="15">
        <f>IFERROR(tblSprzedaz[[#This Row],[Marża kwotowa]]/tblSprzedaz[[#This Row],[Przychód netto]],0)</f>
        <v>0.24860547667342794</v>
      </c>
      <c r="Q452" s="16">
        <f>YEAR(tblSprzedaz[[#This Row],[Data]])</f>
        <v>2025</v>
      </c>
      <c r="R452" s="16">
        <f>MONTH(tblSprzedaz[[#This Row],[Data]])</f>
        <v>5</v>
      </c>
      <c r="S452" s="9" t="str">
        <f>YEAR(tblSprzedaz[[#This Row],[Data]])&amp;"-"&amp;RIGHT("0"&amp;MONTH(tblSprzedaz[[#This Row],[Data]]),2)</f>
        <v>2025-05</v>
      </c>
    </row>
    <row r="453" spans="1:19" x14ac:dyDescent="0.25">
      <c r="A453" s="7" t="s">
        <v>1073</v>
      </c>
      <c r="B453" s="10">
        <v>45783</v>
      </c>
      <c r="C453" s="7" t="s">
        <v>1074</v>
      </c>
      <c r="D453" s="8" t="s">
        <v>126</v>
      </c>
      <c r="E453" s="8" t="s">
        <v>63</v>
      </c>
      <c r="F453" s="8" t="s">
        <v>33</v>
      </c>
      <c r="G453" s="8" t="s">
        <v>36</v>
      </c>
      <c r="H453" s="8" t="s">
        <v>46</v>
      </c>
      <c r="I453" s="11">
        <v>3</v>
      </c>
      <c r="J453" s="12">
        <v>690</v>
      </c>
      <c r="K453" s="13">
        <v>0</v>
      </c>
      <c r="L453" s="12">
        <v>481.1</v>
      </c>
      <c r="M453" s="14">
        <f>ROUND(tblSprzedaz[[#This Row],[Ilość]]*tblSprzedaz[[#This Row],[Cena netto jednostkowa]]*(1-tblSprzedaz[[#This Row],[Rabat %]]),2)</f>
        <v>2070</v>
      </c>
      <c r="N453" s="14">
        <f>ROUND(tblSprzedaz[[#This Row],[Ilość]]*tblSprzedaz[[#This Row],[Koszt jednostkowy netto]],2)</f>
        <v>1443.3</v>
      </c>
      <c r="O453" s="14">
        <f>tblSprzedaz[[#This Row],[Przychód netto]]-tblSprzedaz[[#This Row],[Koszt całkowity netto]]</f>
        <v>626.70000000000005</v>
      </c>
      <c r="P453" s="15">
        <f>IFERROR(tblSprzedaz[[#This Row],[Marża kwotowa]]/tblSprzedaz[[#This Row],[Przychód netto]],0)</f>
        <v>0.30275362318840582</v>
      </c>
      <c r="Q453" s="16">
        <f>YEAR(tblSprzedaz[[#This Row],[Data]])</f>
        <v>2025</v>
      </c>
      <c r="R453" s="16">
        <f>MONTH(tblSprzedaz[[#This Row],[Data]])</f>
        <v>5</v>
      </c>
      <c r="S453" s="9" t="str">
        <f>YEAR(tblSprzedaz[[#This Row],[Data]])&amp;"-"&amp;RIGHT("0"&amp;MONTH(tblSprzedaz[[#This Row],[Data]]),2)</f>
        <v>2025-05</v>
      </c>
    </row>
    <row r="454" spans="1:19" x14ac:dyDescent="0.25">
      <c r="A454" s="7" t="s">
        <v>1075</v>
      </c>
      <c r="B454" s="10">
        <v>45783</v>
      </c>
      <c r="C454" s="7" t="s">
        <v>1076</v>
      </c>
      <c r="D454" s="8" t="s">
        <v>100</v>
      </c>
      <c r="E454" s="8" t="s">
        <v>52</v>
      </c>
      <c r="F454" s="8" t="s">
        <v>29</v>
      </c>
      <c r="G454" s="8" t="s">
        <v>30</v>
      </c>
      <c r="H454" s="8" t="s">
        <v>40</v>
      </c>
      <c r="I454" s="11">
        <v>3</v>
      </c>
      <c r="J454" s="12">
        <v>56.78</v>
      </c>
      <c r="K454" s="13">
        <v>0</v>
      </c>
      <c r="L454" s="12">
        <v>32.04</v>
      </c>
      <c r="M454" s="14">
        <f>ROUND(tblSprzedaz[[#This Row],[Ilość]]*tblSprzedaz[[#This Row],[Cena netto jednostkowa]]*(1-tblSprzedaz[[#This Row],[Rabat %]]),2)</f>
        <v>170.34</v>
      </c>
      <c r="N454" s="14">
        <f>ROUND(tblSprzedaz[[#This Row],[Ilość]]*tblSprzedaz[[#This Row],[Koszt jednostkowy netto]],2)</f>
        <v>96.12</v>
      </c>
      <c r="O454" s="14">
        <f>tblSprzedaz[[#This Row],[Przychód netto]]-tblSprzedaz[[#This Row],[Koszt całkowity netto]]</f>
        <v>74.22</v>
      </c>
      <c r="P454" s="15">
        <f>IFERROR(tblSprzedaz[[#This Row],[Marża kwotowa]]/tblSprzedaz[[#This Row],[Przychód netto]],0)</f>
        <v>0.43571680169073618</v>
      </c>
      <c r="Q454" s="16">
        <f>YEAR(tblSprzedaz[[#This Row],[Data]])</f>
        <v>2025</v>
      </c>
      <c r="R454" s="16">
        <f>MONTH(tblSprzedaz[[#This Row],[Data]])</f>
        <v>5</v>
      </c>
      <c r="S454" s="9" t="str">
        <f>YEAR(tblSprzedaz[[#This Row],[Data]])&amp;"-"&amp;RIGHT("0"&amp;MONTH(tblSprzedaz[[#This Row],[Data]]),2)</f>
        <v>2025-05</v>
      </c>
    </row>
    <row r="455" spans="1:19" x14ac:dyDescent="0.25">
      <c r="A455" s="7" t="s">
        <v>1077</v>
      </c>
      <c r="B455" s="10">
        <v>45783</v>
      </c>
      <c r="C455" s="7" t="s">
        <v>1078</v>
      </c>
      <c r="D455" s="8" t="s">
        <v>129</v>
      </c>
      <c r="E455" s="8" t="s">
        <v>77</v>
      </c>
      <c r="F455" s="8" t="s">
        <v>37</v>
      </c>
      <c r="G455" s="8" t="s">
        <v>36</v>
      </c>
      <c r="H455" s="8" t="s">
        <v>46</v>
      </c>
      <c r="I455" s="11">
        <v>7</v>
      </c>
      <c r="J455" s="12">
        <v>77.900000000000006</v>
      </c>
      <c r="K455" s="13">
        <v>0.1</v>
      </c>
      <c r="L455" s="12">
        <v>61.56</v>
      </c>
      <c r="M455" s="14">
        <f>ROUND(tblSprzedaz[[#This Row],[Ilość]]*tblSprzedaz[[#This Row],[Cena netto jednostkowa]]*(1-tblSprzedaz[[#This Row],[Rabat %]]),2)</f>
        <v>490.77</v>
      </c>
      <c r="N455" s="14">
        <f>ROUND(tblSprzedaz[[#This Row],[Ilość]]*tblSprzedaz[[#This Row],[Koszt jednostkowy netto]],2)</f>
        <v>430.92</v>
      </c>
      <c r="O455" s="14">
        <f>tblSprzedaz[[#This Row],[Przychód netto]]-tblSprzedaz[[#This Row],[Koszt całkowity netto]]</f>
        <v>59.849999999999966</v>
      </c>
      <c r="P455" s="15">
        <f>IFERROR(tblSprzedaz[[#This Row],[Marża kwotowa]]/tblSprzedaz[[#This Row],[Przychód netto]],0)</f>
        <v>0.12195121951219506</v>
      </c>
      <c r="Q455" s="16">
        <f>YEAR(tblSprzedaz[[#This Row],[Data]])</f>
        <v>2025</v>
      </c>
      <c r="R455" s="16">
        <f>MONTH(tblSprzedaz[[#This Row],[Data]])</f>
        <v>5</v>
      </c>
      <c r="S455" s="9" t="str">
        <f>YEAR(tblSprzedaz[[#This Row],[Data]])&amp;"-"&amp;RIGHT("0"&amp;MONTH(tblSprzedaz[[#This Row],[Data]]),2)</f>
        <v>2025-05</v>
      </c>
    </row>
    <row r="456" spans="1:19" x14ac:dyDescent="0.25">
      <c r="A456" s="7" t="s">
        <v>1079</v>
      </c>
      <c r="B456" s="10">
        <v>45783</v>
      </c>
      <c r="C456" s="7" t="s">
        <v>1080</v>
      </c>
      <c r="D456" s="8" t="s">
        <v>123</v>
      </c>
      <c r="E456" s="8" t="s">
        <v>63</v>
      </c>
      <c r="F456" s="8" t="s">
        <v>33</v>
      </c>
      <c r="G456" s="8" t="s">
        <v>36</v>
      </c>
      <c r="H456" s="8" t="s">
        <v>46</v>
      </c>
      <c r="I456" s="11">
        <v>18</v>
      </c>
      <c r="J456" s="12">
        <v>690</v>
      </c>
      <c r="K456" s="13">
        <v>0</v>
      </c>
      <c r="L456" s="12">
        <v>458.39</v>
      </c>
      <c r="M456" s="14">
        <f>ROUND(tblSprzedaz[[#This Row],[Ilość]]*tblSprzedaz[[#This Row],[Cena netto jednostkowa]]*(1-tblSprzedaz[[#This Row],[Rabat %]]),2)</f>
        <v>12420</v>
      </c>
      <c r="N456" s="14">
        <f>ROUND(tblSprzedaz[[#This Row],[Ilość]]*tblSprzedaz[[#This Row],[Koszt jednostkowy netto]],2)</f>
        <v>8251.02</v>
      </c>
      <c r="O456" s="14">
        <f>tblSprzedaz[[#This Row],[Przychód netto]]-tblSprzedaz[[#This Row],[Koszt całkowity netto]]</f>
        <v>4168.9799999999996</v>
      </c>
      <c r="P456" s="15">
        <f>IFERROR(tblSprzedaz[[#This Row],[Marża kwotowa]]/tblSprzedaz[[#This Row],[Przychód netto]],0)</f>
        <v>0.33566666666666661</v>
      </c>
      <c r="Q456" s="16">
        <f>YEAR(tblSprzedaz[[#This Row],[Data]])</f>
        <v>2025</v>
      </c>
      <c r="R456" s="16">
        <f>MONTH(tblSprzedaz[[#This Row],[Data]])</f>
        <v>5</v>
      </c>
      <c r="S456" s="9" t="str">
        <f>YEAR(tblSprzedaz[[#This Row],[Data]])&amp;"-"&amp;RIGHT("0"&amp;MONTH(tblSprzedaz[[#This Row],[Data]]),2)</f>
        <v>2025-05</v>
      </c>
    </row>
    <row r="457" spans="1:19" x14ac:dyDescent="0.25">
      <c r="A457" s="7" t="s">
        <v>1081</v>
      </c>
      <c r="B457" s="10">
        <v>45784</v>
      </c>
      <c r="C457" s="7" t="s">
        <v>1082</v>
      </c>
      <c r="D457" s="8" t="s">
        <v>86</v>
      </c>
      <c r="E457" s="8" t="s">
        <v>65</v>
      </c>
      <c r="F457" s="8" t="s">
        <v>33</v>
      </c>
      <c r="G457" s="8" t="s">
        <v>36</v>
      </c>
      <c r="H457" s="8" t="s">
        <v>46</v>
      </c>
      <c r="I457" s="11">
        <v>4</v>
      </c>
      <c r="J457" s="12">
        <v>377.2</v>
      </c>
      <c r="K457" s="13">
        <v>0.05</v>
      </c>
      <c r="L457" s="12">
        <v>271.23</v>
      </c>
      <c r="M457" s="14">
        <f>ROUND(tblSprzedaz[[#This Row],[Ilość]]*tblSprzedaz[[#This Row],[Cena netto jednostkowa]]*(1-tblSprzedaz[[#This Row],[Rabat %]]),2)</f>
        <v>1433.36</v>
      </c>
      <c r="N457" s="14">
        <f>ROUND(tblSprzedaz[[#This Row],[Ilość]]*tblSprzedaz[[#This Row],[Koszt jednostkowy netto]],2)</f>
        <v>1084.92</v>
      </c>
      <c r="O457" s="14">
        <f>tblSprzedaz[[#This Row],[Przychód netto]]-tblSprzedaz[[#This Row],[Koszt całkowity netto]]</f>
        <v>348.43999999999983</v>
      </c>
      <c r="P457" s="15">
        <f>IFERROR(tblSprzedaz[[#This Row],[Marża kwotowa]]/tblSprzedaz[[#This Row],[Przychód netto]],0)</f>
        <v>0.24309315175531607</v>
      </c>
      <c r="Q457" s="16">
        <f>YEAR(tblSprzedaz[[#This Row],[Data]])</f>
        <v>2025</v>
      </c>
      <c r="R457" s="16">
        <f>MONTH(tblSprzedaz[[#This Row],[Data]])</f>
        <v>5</v>
      </c>
      <c r="S457" s="9" t="str">
        <f>YEAR(tblSprzedaz[[#This Row],[Data]])&amp;"-"&amp;RIGHT("0"&amp;MONTH(tblSprzedaz[[#This Row],[Data]]),2)</f>
        <v>2025-05</v>
      </c>
    </row>
    <row r="458" spans="1:19" x14ac:dyDescent="0.25">
      <c r="A458" s="7" t="s">
        <v>1083</v>
      </c>
      <c r="B458" s="10">
        <v>45784</v>
      </c>
      <c r="C458" s="7" t="s">
        <v>1084</v>
      </c>
      <c r="D458" s="8" t="s">
        <v>80</v>
      </c>
      <c r="E458" s="8" t="s">
        <v>63</v>
      </c>
      <c r="F458" s="8" t="s">
        <v>33</v>
      </c>
      <c r="G458" s="8" t="s">
        <v>32</v>
      </c>
      <c r="H458" s="8" t="s">
        <v>43</v>
      </c>
      <c r="I458" s="11">
        <v>19</v>
      </c>
      <c r="J458" s="12">
        <v>690</v>
      </c>
      <c r="K458" s="13">
        <v>0</v>
      </c>
      <c r="L458" s="12">
        <v>478.2</v>
      </c>
      <c r="M458" s="14">
        <f>ROUND(tblSprzedaz[[#This Row],[Ilość]]*tblSprzedaz[[#This Row],[Cena netto jednostkowa]]*(1-tblSprzedaz[[#This Row],[Rabat %]]),2)</f>
        <v>13110</v>
      </c>
      <c r="N458" s="14">
        <f>ROUND(tblSprzedaz[[#This Row],[Ilość]]*tblSprzedaz[[#This Row],[Koszt jednostkowy netto]],2)</f>
        <v>9085.7999999999993</v>
      </c>
      <c r="O458" s="14">
        <f>tblSprzedaz[[#This Row],[Przychód netto]]-tblSprzedaz[[#This Row],[Koszt całkowity netto]]</f>
        <v>4024.2000000000007</v>
      </c>
      <c r="P458" s="15">
        <f>IFERROR(tblSprzedaz[[#This Row],[Marża kwotowa]]/tblSprzedaz[[#This Row],[Przychód netto]],0)</f>
        <v>0.30695652173913052</v>
      </c>
      <c r="Q458" s="16">
        <f>YEAR(tblSprzedaz[[#This Row],[Data]])</f>
        <v>2025</v>
      </c>
      <c r="R458" s="16">
        <f>MONTH(tblSprzedaz[[#This Row],[Data]])</f>
        <v>5</v>
      </c>
      <c r="S458" s="9" t="str">
        <f>YEAR(tblSprzedaz[[#This Row],[Data]])&amp;"-"&amp;RIGHT("0"&amp;MONTH(tblSprzedaz[[#This Row],[Data]]),2)</f>
        <v>2025-05</v>
      </c>
    </row>
    <row r="459" spans="1:19" x14ac:dyDescent="0.25">
      <c r="A459" s="7" t="s">
        <v>1085</v>
      </c>
      <c r="B459" s="10">
        <v>45784</v>
      </c>
      <c r="C459" s="7" t="s">
        <v>1086</v>
      </c>
      <c r="D459" s="8" t="s">
        <v>90</v>
      </c>
      <c r="E459" s="8" t="s">
        <v>75</v>
      </c>
      <c r="F459" s="8" t="s">
        <v>37</v>
      </c>
      <c r="G459" s="8" t="s">
        <v>28</v>
      </c>
      <c r="H459" s="8" t="s">
        <v>38</v>
      </c>
      <c r="I459" s="11">
        <v>12</v>
      </c>
      <c r="J459" s="12">
        <v>142.5</v>
      </c>
      <c r="K459" s="13">
        <v>0</v>
      </c>
      <c r="L459" s="12">
        <v>113.87</v>
      </c>
      <c r="M459" s="14">
        <f>ROUND(tblSprzedaz[[#This Row],[Ilość]]*tblSprzedaz[[#This Row],[Cena netto jednostkowa]]*(1-tblSprzedaz[[#This Row],[Rabat %]]),2)</f>
        <v>1710</v>
      </c>
      <c r="N459" s="14">
        <f>ROUND(tblSprzedaz[[#This Row],[Ilość]]*tblSprzedaz[[#This Row],[Koszt jednostkowy netto]],2)</f>
        <v>1366.44</v>
      </c>
      <c r="O459" s="14">
        <f>tblSprzedaz[[#This Row],[Przychód netto]]-tblSprzedaz[[#This Row],[Koszt całkowity netto]]</f>
        <v>343.55999999999995</v>
      </c>
      <c r="P459" s="15">
        <f>IFERROR(tblSprzedaz[[#This Row],[Marża kwotowa]]/tblSprzedaz[[#This Row],[Przychód netto]],0)</f>
        <v>0.20091228070175435</v>
      </c>
      <c r="Q459" s="16">
        <f>YEAR(tblSprzedaz[[#This Row],[Data]])</f>
        <v>2025</v>
      </c>
      <c r="R459" s="16">
        <f>MONTH(tblSprzedaz[[#This Row],[Data]])</f>
        <v>5</v>
      </c>
      <c r="S459" s="9" t="str">
        <f>YEAR(tblSprzedaz[[#This Row],[Data]])&amp;"-"&amp;RIGHT("0"&amp;MONTH(tblSprzedaz[[#This Row],[Data]]),2)</f>
        <v>2025-05</v>
      </c>
    </row>
    <row r="460" spans="1:19" x14ac:dyDescent="0.25">
      <c r="A460" s="7" t="s">
        <v>1087</v>
      </c>
      <c r="B460" s="10">
        <v>45784</v>
      </c>
      <c r="C460" s="7" t="s">
        <v>1088</v>
      </c>
      <c r="D460" s="8" t="s">
        <v>108</v>
      </c>
      <c r="E460" s="8" t="s">
        <v>57</v>
      </c>
      <c r="F460" s="8" t="s">
        <v>31</v>
      </c>
      <c r="G460" s="8" t="s">
        <v>34</v>
      </c>
      <c r="H460" s="8" t="s">
        <v>45</v>
      </c>
      <c r="I460" s="11">
        <v>5</v>
      </c>
      <c r="J460" s="12">
        <v>315</v>
      </c>
      <c r="K460" s="13">
        <v>0</v>
      </c>
      <c r="L460" s="12">
        <v>212.3</v>
      </c>
      <c r="M460" s="14">
        <f>ROUND(tblSprzedaz[[#This Row],[Ilość]]*tblSprzedaz[[#This Row],[Cena netto jednostkowa]]*(1-tblSprzedaz[[#This Row],[Rabat %]]),2)</f>
        <v>1575</v>
      </c>
      <c r="N460" s="14">
        <f>ROUND(tblSprzedaz[[#This Row],[Ilość]]*tblSprzedaz[[#This Row],[Koszt jednostkowy netto]],2)</f>
        <v>1061.5</v>
      </c>
      <c r="O460" s="14">
        <f>tblSprzedaz[[#This Row],[Przychód netto]]-tblSprzedaz[[#This Row],[Koszt całkowity netto]]</f>
        <v>513.5</v>
      </c>
      <c r="P460" s="15">
        <f>IFERROR(tblSprzedaz[[#This Row],[Marża kwotowa]]/tblSprzedaz[[#This Row],[Przychód netto]],0)</f>
        <v>0.32603174603174601</v>
      </c>
      <c r="Q460" s="16">
        <f>YEAR(tblSprzedaz[[#This Row],[Data]])</f>
        <v>2025</v>
      </c>
      <c r="R460" s="16">
        <f>MONTH(tblSprzedaz[[#This Row],[Data]])</f>
        <v>5</v>
      </c>
      <c r="S460" s="9" t="str">
        <f>YEAR(tblSprzedaz[[#This Row],[Data]])&amp;"-"&amp;RIGHT("0"&amp;MONTH(tblSprzedaz[[#This Row],[Data]]),2)</f>
        <v>2025-05</v>
      </c>
    </row>
    <row r="461" spans="1:19" x14ac:dyDescent="0.25">
      <c r="A461" s="7" t="s">
        <v>1089</v>
      </c>
      <c r="B461" s="10">
        <v>45784</v>
      </c>
      <c r="C461" s="7" t="s">
        <v>1090</v>
      </c>
      <c r="D461" s="8" t="s">
        <v>138</v>
      </c>
      <c r="E461" s="8" t="s">
        <v>62</v>
      </c>
      <c r="F461" s="8" t="s">
        <v>33</v>
      </c>
      <c r="G461" s="8" t="s">
        <v>34</v>
      </c>
      <c r="H461" s="8" t="s">
        <v>44</v>
      </c>
      <c r="I461" s="11">
        <v>3</v>
      </c>
      <c r="J461" s="12">
        <v>611.79999999999995</v>
      </c>
      <c r="K461" s="13">
        <v>0.15</v>
      </c>
      <c r="L461" s="12">
        <v>434.01</v>
      </c>
      <c r="M461" s="14">
        <f>ROUND(tblSprzedaz[[#This Row],[Ilość]]*tblSprzedaz[[#This Row],[Cena netto jednostkowa]]*(1-tblSprzedaz[[#This Row],[Rabat %]]),2)</f>
        <v>1560.09</v>
      </c>
      <c r="N461" s="14">
        <f>ROUND(tblSprzedaz[[#This Row],[Ilość]]*tblSprzedaz[[#This Row],[Koszt jednostkowy netto]],2)</f>
        <v>1302.03</v>
      </c>
      <c r="O461" s="14">
        <f>tblSprzedaz[[#This Row],[Przychód netto]]-tblSprzedaz[[#This Row],[Koszt całkowity netto]]</f>
        <v>258.05999999999995</v>
      </c>
      <c r="P461" s="15">
        <f>IFERROR(tblSprzedaz[[#This Row],[Marża kwotowa]]/tblSprzedaz[[#This Row],[Przychód netto]],0)</f>
        <v>0.16541353383458643</v>
      </c>
      <c r="Q461" s="16">
        <f>YEAR(tblSprzedaz[[#This Row],[Data]])</f>
        <v>2025</v>
      </c>
      <c r="R461" s="16">
        <f>MONTH(tblSprzedaz[[#This Row],[Data]])</f>
        <v>5</v>
      </c>
      <c r="S461" s="9" t="str">
        <f>YEAR(tblSprzedaz[[#This Row],[Data]])&amp;"-"&amp;RIGHT("0"&amp;MONTH(tblSprzedaz[[#This Row],[Data]]),2)</f>
        <v>2025-05</v>
      </c>
    </row>
    <row r="462" spans="1:19" x14ac:dyDescent="0.25">
      <c r="A462" s="7" t="s">
        <v>1091</v>
      </c>
      <c r="B462" s="10">
        <v>45784</v>
      </c>
      <c r="C462" s="7" t="s">
        <v>1092</v>
      </c>
      <c r="D462" s="8" t="s">
        <v>102</v>
      </c>
      <c r="E462" s="8" t="s">
        <v>53</v>
      </c>
      <c r="F462" s="8" t="s">
        <v>29</v>
      </c>
      <c r="G462" s="8" t="s">
        <v>28</v>
      </c>
      <c r="H462" s="8" t="s">
        <v>39</v>
      </c>
      <c r="I462" s="11">
        <v>17</v>
      </c>
      <c r="J462" s="12">
        <v>27.88</v>
      </c>
      <c r="K462" s="13">
        <v>0.15</v>
      </c>
      <c r="L462" s="12">
        <v>16.11</v>
      </c>
      <c r="M462" s="14">
        <f>ROUND(tblSprzedaz[[#This Row],[Ilość]]*tblSprzedaz[[#This Row],[Cena netto jednostkowa]]*(1-tblSprzedaz[[#This Row],[Rabat %]]),2)</f>
        <v>402.87</v>
      </c>
      <c r="N462" s="14">
        <f>ROUND(tblSprzedaz[[#This Row],[Ilość]]*tblSprzedaz[[#This Row],[Koszt jednostkowy netto]],2)</f>
        <v>273.87</v>
      </c>
      <c r="O462" s="14">
        <f>tblSprzedaz[[#This Row],[Przychód netto]]-tblSprzedaz[[#This Row],[Koszt całkowity netto]]</f>
        <v>129</v>
      </c>
      <c r="P462" s="15">
        <f>IFERROR(tblSprzedaz[[#This Row],[Marża kwotowa]]/tblSprzedaz[[#This Row],[Przychód netto]],0)</f>
        <v>0.32020254672723208</v>
      </c>
      <c r="Q462" s="16">
        <f>YEAR(tblSprzedaz[[#This Row],[Data]])</f>
        <v>2025</v>
      </c>
      <c r="R462" s="16">
        <f>MONTH(tblSprzedaz[[#This Row],[Data]])</f>
        <v>5</v>
      </c>
      <c r="S462" s="9" t="str">
        <f>YEAR(tblSprzedaz[[#This Row],[Data]])&amp;"-"&amp;RIGHT("0"&amp;MONTH(tblSprzedaz[[#This Row],[Data]]),2)</f>
        <v>2025-05</v>
      </c>
    </row>
    <row r="463" spans="1:19" x14ac:dyDescent="0.25">
      <c r="A463" s="7" t="s">
        <v>1093</v>
      </c>
      <c r="B463" s="10">
        <v>45785</v>
      </c>
      <c r="C463" s="7" t="s">
        <v>1094</v>
      </c>
      <c r="D463" s="8" t="s">
        <v>114</v>
      </c>
      <c r="E463" s="8" t="s">
        <v>57</v>
      </c>
      <c r="F463" s="8" t="s">
        <v>31</v>
      </c>
      <c r="G463" s="8" t="s">
        <v>28</v>
      </c>
      <c r="H463" s="8" t="s">
        <v>38</v>
      </c>
      <c r="I463" s="11">
        <v>19</v>
      </c>
      <c r="J463" s="12">
        <v>315</v>
      </c>
      <c r="K463" s="13">
        <v>0.05</v>
      </c>
      <c r="L463" s="12">
        <v>198.16</v>
      </c>
      <c r="M463" s="14">
        <f>ROUND(tblSprzedaz[[#This Row],[Ilość]]*tblSprzedaz[[#This Row],[Cena netto jednostkowa]]*(1-tblSprzedaz[[#This Row],[Rabat %]]),2)</f>
        <v>5685.75</v>
      </c>
      <c r="N463" s="14">
        <f>ROUND(tblSprzedaz[[#This Row],[Ilość]]*tblSprzedaz[[#This Row],[Koszt jednostkowy netto]],2)</f>
        <v>3765.04</v>
      </c>
      <c r="O463" s="14">
        <f>tblSprzedaz[[#This Row],[Przychód netto]]-tblSprzedaz[[#This Row],[Koszt całkowity netto]]</f>
        <v>1920.71</v>
      </c>
      <c r="P463" s="15">
        <f>IFERROR(tblSprzedaz[[#This Row],[Marża kwotowa]]/tblSprzedaz[[#This Row],[Przychód netto]],0)</f>
        <v>0.3378111946532999</v>
      </c>
      <c r="Q463" s="16">
        <f>YEAR(tblSprzedaz[[#This Row],[Data]])</f>
        <v>2025</v>
      </c>
      <c r="R463" s="16">
        <f>MONTH(tblSprzedaz[[#This Row],[Data]])</f>
        <v>5</v>
      </c>
      <c r="S463" s="9" t="str">
        <f>YEAR(tblSprzedaz[[#This Row],[Data]])&amp;"-"&amp;RIGHT("0"&amp;MONTH(tblSprzedaz[[#This Row],[Data]]),2)</f>
        <v>2025-05</v>
      </c>
    </row>
    <row r="464" spans="1:19" x14ac:dyDescent="0.25">
      <c r="A464" s="7" t="s">
        <v>1095</v>
      </c>
      <c r="B464" s="10">
        <v>45785</v>
      </c>
      <c r="C464" s="7" t="s">
        <v>1096</v>
      </c>
      <c r="D464" s="8" t="s">
        <v>78</v>
      </c>
      <c r="E464" s="8" t="s">
        <v>52</v>
      </c>
      <c r="F464" s="8" t="s">
        <v>29</v>
      </c>
      <c r="G464" s="8" t="s">
        <v>32</v>
      </c>
      <c r="H464" s="8" t="s">
        <v>43</v>
      </c>
      <c r="I464" s="11">
        <v>24</v>
      </c>
      <c r="J464" s="12">
        <v>56.78</v>
      </c>
      <c r="K464" s="13">
        <v>0.15</v>
      </c>
      <c r="L464" s="12">
        <v>33.81</v>
      </c>
      <c r="M464" s="14">
        <f>ROUND(tblSprzedaz[[#This Row],[Ilość]]*tblSprzedaz[[#This Row],[Cena netto jednostkowa]]*(1-tblSprzedaz[[#This Row],[Rabat %]]),2)</f>
        <v>1158.31</v>
      </c>
      <c r="N464" s="14">
        <f>ROUND(tblSprzedaz[[#This Row],[Ilość]]*tblSprzedaz[[#This Row],[Koszt jednostkowy netto]],2)</f>
        <v>811.44</v>
      </c>
      <c r="O464" s="14">
        <f>tblSprzedaz[[#This Row],[Przychód netto]]-tblSprzedaz[[#This Row],[Koszt całkowity netto]]</f>
        <v>346.86999999999989</v>
      </c>
      <c r="P464" s="15">
        <f>IFERROR(tblSprzedaz[[#This Row],[Marża kwotowa]]/tblSprzedaz[[#This Row],[Przychód netto]],0)</f>
        <v>0.29946214743894112</v>
      </c>
      <c r="Q464" s="16">
        <f>YEAR(tblSprzedaz[[#This Row],[Data]])</f>
        <v>2025</v>
      </c>
      <c r="R464" s="16">
        <f>MONTH(tblSprzedaz[[#This Row],[Data]])</f>
        <v>5</v>
      </c>
      <c r="S464" s="9" t="str">
        <f>YEAR(tblSprzedaz[[#This Row],[Data]])&amp;"-"&amp;RIGHT("0"&amp;MONTH(tblSprzedaz[[#This Row],[Data]]),2)</f>
        <v>2025-05</v>
      </c>
    </row>
    <row r="465" spans="1:19" x14ac:dyDescent="0.25">
      <c r="A465" s="7" t="s">
        <v>1097</v>
      </c>
      <c r="B465" s="10">
        <v>45785</v>
      </c>
      <c r="C465" s="7" t="s">
        <v>1098</v>
      </c>
      <c r="D465" s="8" t="s">
        <v>105</v>
      </c>
      <c r="E465" s="8" t="s">
        <v>61</v>
      </c>
      <c r="F465" s="8" t="s">
        <v>33</v>
      </c>
      <c r="G465" s="8" t="s">
        <v>32</v>
      </c>
      <c r="H465" s="8" t="s">
        <v>43</v>
      </c>
      <c r="I465" s="11">
        <v>24</v>
      </c>
      <c r="J465" s="12">
        <v>533.6</v>
      </c>
      <c r="K465" s="13">
        <v>0.05</v>
      </c>
      <c r="L465" s="12">
        <v>366.31</v>
      </c>
      <c r="M465" s="14">
        <f>ROUND(tblSprzedaz[[#This Row],[Ilość]]*tblSprzedaz[[#This Row],[Cena netto jednostkowa]]*(1-tblSprzedaz[[#This Row],[Rabat %]]),2)</f>
        <v>12166.08</v>
      </c>
      <c r="N465" s="14">
        <f>ROUND(tblSprzedaz[[#This Row],[Ilość]]*tblSprzedaz[[#This Row],[Koszt jednostkowy netto]],2)</f>
        <v>8791.44</v>
      </c>
      <c r="O465" s="14">
        <f>tblSprzedaz[[#This Row],[Przychód netto]]-tblSprzedaz[[#This Row],[Koszt całkowity netto]]</f>
        <v>3374.6399999999994</v>
      </c>
      <c r="P465" s="15">
        <f>IFERROR(tblSprzedaz[[#This Row],[Marża kwotowa]]/tblSprzedaz[[#This Row],[Przychód netto]],0)</f>
        <v>0.27738104631894572</v>
      </c>
      <c r="Q465" s="16">
        <f>YEAR(tblSprzedaz[[#This Row],[Data]])</f>
        <v>2025</v>
      </c>
      <c r="R465" s="16">
        <f>MONTH(tblSprzedaz[[#This Row],[Data]])</f>
        <v>5</v>
      </c>
      <c r="S465" s="9" t="str">
        <f>YEAR(tblSprzedaz[[#This Row],[Data]])&amp;"-"&amp;RIGHT("0"&amp;MONTH(tblSprzedaz[[#This Row],[Data]]),2)</f>
        <v>2025-05</v>
      </c>
    </row>
    <row r="466" spans="1:19" x14ac:dyDescent="0.25">
      <c r="A466" s="7" t="s">
        <v>1099</v>
      </c>
      <c r="B466" s="10">
        <v>45785</v>
      </c>
      <c r="C466" s="7" t="s">
        <v>1100</v>
      </c>
      <c r="D466" s="8" t="s">
        <v>128</v>
      </c>
      <c r="E466" s="8" t="s">
        <v>69</v>
      </c>
      <c r="F466" s="8" t="s">
        <v>35</v>
      </c>
      <c r="G466" s="8" t="s">
        <v>36</v>
      </c>
      <c r="H466" s="8" t="s">
        <v>46</v>
      </c>
      <c r="I466" s="11">
        <v>7</v>
      </c>
      <c r="J466" s="12">
        <v>102</v>
      </c>
      <c r="K466" s="13">
        <v>0</v>
      </c>
      <c r="L466" s="12">
        <v>70.38</v>
      </c>
      <c r="M466" s="14">
        <f>ROUND(tblSprzedaz[[#This Row],[Ilość]]*tblSprzedaz[[#This Row],[Cena netto jednostkowa]]*(1-tblSprzedaz[[#This Row],[Rabat %]]),2)</f>
        <v>714</v>
      </c>
      <c r="N466" s="14">
        <f>ROUND(tblSprzedaz[[#This Row],[Ilość]]*tblSprzedaz[[#This Row],[Koszt jednostkowy netto]],2)</f>
        <v>492.66</v>
      </c>
      <c r="O466" s="14">
        <f>tblSprzedaz[[#This Row],[Przychód netto]]-tblSprzedaz[[#This Row],[Koszt całkowity netto]]</f>
        <v>221.33999999999997</v>
      </c>
      <c r="P466" s="15">
        <f>IFERROR(tblSprzedaz[[#This Row],[Marża kwotowa]]/tblSprzedaz[[#This Row],[Przychód netto]],0)</f>
        <v>0.30999999999999994</v>
      </c>
      <c r="Q466" s="16">
        <f>YEAR(tblSprzedaz[[#This Row],[Data]])</f>
        <v>2025</v>
      </c>
      <c r="R466" s="16">
        <f>MONTH(tblSprzedaz[[#This Row],[Data]])</f>
        <v>5</v>
      </c>
      <c r="S466" s="9" t="str">
        <f>YEAR(tblSprzedaz[[#This Row],[Data]])&amp;"-"&amp;RIGHT("0"&amp;MONTH(tblSprzedaz[[#This Row],[Data]]),2)</f>
        <v>2025-05</v>
      </c>
    </row>
    <row r="467" spans="1:19" x14ac:dyDescent="0.25">
      <c r="A467" s="7" t="s">
        <v>1101</v>
      </c>
      <c r="B467" s="10">
        <v>45785</v>
      </c>
      <c r="C467" s="7" t="s">
        <v>1102</v>
      </c>
      <c r="D467" s="8" t="s">
        <v>94</v>
      </c>
      <c r="E467" s="8" t="s">
        <v>64</v>
      </c>
      <c r="F467" s="8" t="s">
        <v>33</v>
      </c>
      <c r="G467" s="8" t="s">
        <v>34</v>
      </c>
      <c r="H467" s="8" t="s">
        <v>44</v>
      </c>
      <c r="I467" s="11">
        <v>16</v>
      </c>
      <c r="J467" s="12">
        <v>768.2</v>
      </c>
      <c r="K467" s="13">
        <v>0</v>
      </c>
      <c r="L467" s="12">
        <v>520.04999999999995</v>
      </c>
      <c r="M467" s="14">
        <f>ROUND(tblSprzedaz[[#This Row],[Ilość]]*tblSprzedaz[[#This Row],[Cena netto jednostkowa]]*(1-tblSprzedaz[[#This Row],[Rabat %]]),2)</f>
        <v>12291.2</v>
      </c>
      <c r="N467" s="14">
        <f>ROUND(tblSprzedaz[[#This Row],[Ilość]]*tblSprzedaz[[#This Row],[Koszt jednostkowy netto]],2)</f>
        <v>8320.7999999999993</v>
      </c>
      <c r="O467" s="14">
        <f>tblSprzedaz[[#This Row],[Przychód netto]]-tblSprzedaz[[#This Row],[Koszt całkowity netto]]</f>
        <v>3970.4000000000015</v>
      </c>
      <c r="P467" s="15">
        <f>IFERROR(tblSprzedaz[[#This Row],[Marża kwotowa]]/tblSprzedaz[[#This Row],[Przychód netto]],0)</f>
        <v>0.32302785732882072</v>
      </c>
      <c r="Q467" s="16">
        <f>YEAR(tblSprzedaz[[#This Row],[Data]])</f>
        <v>2025</v>
      </c>
      <c r="R467" s="16">
        <f>MONTH(tblSprzedaz[[#This Row],[Data]])</f>
        <v>5</v>
      </c>
      <c r="S467" s="9" t="str">
        <f>YEAR(tblSprzedaz[[#This Row],[Data]])&amp;"-"&amp;RIGHT("0"&amp;MONTH(tblSprzedaz[[#This Row],[Data]]),2)</f>
        <v>2025-05</v>
      </c>
    </row>
    <row r="468" spans="1:19" x14ac:dyDescent="0.25">
      <c r="A468" s="7" t="s">
        <v>1103</v>
      </c>
      <c r="B468" s="10">
        <v>45786</v>
      </c>
      <c r="C468" s="7" t="s">
        <v>1104</v>
      </c>
      <c r="D468" s="8" t="s">
        <v>106</v>
      </c>
      <c r="E468" s="8" t="s">
        <v>76</v>
      </c>
      <c r="F468" s="8" t="s">
        <v>37</v>
      </c>
      <c r="G468" s="8" t="s">
        <v>30</v>
      </c>
      <c r="H468" s="8" t="s">
        <v>41</v>
      </c>
      <c r="I468" s="11">
        <v>24</v>
      </c>
      <c r="J468" s="12">
        <v>158.65</v>
      </c>
      <c r="K468" s="13">
        <v>0.05</v>
      </c>
      <c r="L468" s="12">
        <v>120.37</v>
      </c>
      <c r="M468" s="14">
        <f>ROUND(tblSprzedaz[[#This Row],[Ilość]]*tblSprzedaz[[#This Row],[Cena netto jednostkowa]]*(1-tblSprzedaz[[#This Row],[Rabat %]]),2)</f>
        <v>3617.22</v>
      </c>
      <c r="N468" s="14">
        <f>ROUND(tblSprzedaz[[#This Row],[Ilość]]*tblSprzedaz[[#This Row],[Koszt jednostkowy netto]],2)</f>
        <v>2888.88</v>
      </c>
      <c r="O468" s="14">
        <f>tblSprzedaz[[#This Row],[Przychód netto]]-tblSprzedaz[[#This Row],[Koszt całkowity netto]]</f>
        <v>728.33999999999969</v>
      </c>
      <c r="P468" s="15">
        <f>IFERROR(tblSprzedaz[[#This Row],[Marża kwotowa]]/tblSprzedaz[[#This Row],[Przychód netto]],0)</f>
        <v>0.20135352563570913</v>
      </c>
      <c r="Q468" s="16">
        <f>YEAR(tblSprzedaz[[#This Row],[Data]])</f>
        <v>2025</v>
      </c>
      <c r="R468" s="16">
        <f>MONTH(tblSprzedaz[[#This Row],[Data]])</f>
        <v>5</v>
      </c>
      <c r="S468" s="9" t="str">
        <f>YEAR(tblSprzedaz[[#This Row],[Data]])&amp;"-"&amp;RIGHT("0"&amp;MONTH(tblSprzedaz[[#This Row],[Data]]),2)</f>
        <v>2025-05</v>
      </c>
    </row>
    <row r="469" spans="1:19" x14ac:dyDescent="0.25">
      <c r="A469" s="7" t="s">
        <v>1105</v>
      </c>
      <c r="B469" s="10">
        <v>45786</v>
      </c>
      <c r="C469" s="7" t="s">
        <v>1106</v>
      </c>
      <c r="D469" s="8" t="s">
        <v>146</v>
      </c>
      <c r="E469" s="8" t="s">
        <v>68</v>
      </c>
      <c r="F469" s="8" t="s">
        <v>35</v>
      </c>
      <c r="G469" s="8" t="s">
        <v>28</v>
      </c>
      <c r="H469" s="8" t="s">
        <v>39</v>
      </c>
      <c r="I469" s="11">
        <v>12</v>
      </c>
      <c r="J469" s="12">
        <v>90.44</v>
      </c>
      <c r="K469" s="13">
        <v>0</v>
      </c>
      <c r="L469" s="12">
        <v>68.77</v>
      </c>
      <c r="M469" s="14">
        <f>ROUND(tblSprzedaz[[#This Row],[Ilość]]*tblSprzedaz[[#This Row],[Cena netto jednostkowa]]*(1-tblSprzedaz[[#This Row],[Rabat %]]),2)</f>
        <v>1085.28</v>
      </c>
      <c r="N469" s="14">
        <f>ROUND(tblSprzedaz[[#This Row],[Ilość]]*tblSprzedaz[[#This Row],[Koszt jednostkowy netto]],2)</f>
        <v>825.24</v>
      </c>
      <c r="O469" s="14">
        <f>tblSprzedaz[[#This Row],[Przychód netto]]-tblSprzedaz[[#This Row],[Koszt całkowity netto]]</f>
        <v>260.03999999999996</v>
      </c>
      <c r="P469" s="15">
        <f>IFERROR(tblSprzedaz[[#This Row],[Marża kwotowa]]/tblSprzedaz[[#This Row],[Przychód netto]],0)</f>
        <v>0.23960636886333478</v>
      </c>
      <c r="Q469" s="16">
        <f>YEAR(tblSprzedaz[[#This Row],[Data]])</f>
        <v>2025</v>
      </c>
      <c r="R469" s="16">
        <f>MONTH(tblSprzedaz[[#This Row],[Data]])</f>
        <v>5</v>
      </c>
      <c r="S469" s="9" t="str">
        <f>YEAR(tblSprzedaz[[#This Row],[Data]])&amp;"-"&amp;RIGHT("0"&amp;MONTH(tblSprzedaz[[#This Row],[Data]]),2)</f>
        <v>2025-05</v>
      </c>
    </row>
    <row r="470" spans="1:19" x14ac:dyDescent="0.25">
      <c r="A470" s="7" t="s">
        <v>1107</v>
      </c>
      <c r="B470" s="10">
        <v>45786</v>
      </c>
      <c r="C470" s="7" t="s">
        <v>1108</v>
      </c>
      <c r="D470" s="8" t="s">
        <v>92</v>
      </c>
      <c r="E470" s="8" t="s">
        <v>68</v>
      </c>
      <c r="F470" s="8" t="s">
        <v>35</v>
      </c>
      <c r="G470" s="8" t="s">
        <v>28</v>
      </c>
      <c r="H470" s="8" t="s">
        <v>38</v>
      </c>
      <c r="I470" s="11">
        <v>13</v>
      </c>
      <c r="J470" s="12">
        <v>90.44</v>
      </c>
      <c r="K470" s="13">
        <v>0.05</v>
      </c>
      <c r="L470" s="12">
        <v>68.19</v>
      </c>
      <c r="M470" s="14">
        <f>ROUND(tblSprzedaz[[#This Row],[Ilość]]*tblSprzedaz[[#This Row],[Cena netto jednostkowa]]*(1-tblSprzedaz[[#This Row],[Rabat %]]),2)</f>
        <v>1116.93</v>
      </c>
      <c r="N470" s="14">
        <f>ROUND(tblSprzedaz[[#This Row],[Ilość]]*tblSprzedaz[[#This Row],[Koszt jednostkowy netto]],2)</f>
        <v>886.47</v>
      </c>
      <c r="O470" s="14">
        <f>tblSprzedaz[[#This Row],[Przychód netto]]-tblSprzedaz[[#This Row],[Koszt całkowity netto]]</f>
        <v>230.46000000000004</v>
      </c>
      <c r="P470" s="15">
        <f>IFERROR(tblSprzedaz[[#This Row],[Marża kwotowa]]/tblSprzedaz[[#This Row],[Przychód netto]],0)</f>
        <v>0.20633343181757141</v>
      </c>
      <c r="Q470" s="16">
        <f>YEAR(tblSprzedaz[[#This Row],[Data]])</f>
        <v>2025</v>
      </c>
      <c r="R470" s="16">
        <f>MONTH(tblSprzedaz[[#This Row],[Data]])</f>
        <v>5</v>
      </c>
      <c r="S470" s="9" t="str">
        <f>YEAR(tblSprzedaz[[#This Row],[Data]])&amp;"-"&amp;RIGHT("0"&amp;MONTH(tblSprzedaz[[#This Row],[Data]]),2)</f>
        <v>2025-05</v>
      </c>
    </row>
    <row r="471" spans="1:19" x14ac:dyDescent="0.25">
      <c r="A471" s="7" t="s">
        <v>1109</v>
      </c>
      <c r="B471" s="10">
        <v>45786</v>
      </c>
      <c r="C471" s="7" t="s">
        <v>1110</v>
      </c>
      <c r="D471" s="8" t="s">
        <v>138</v>
      </c>
      <c r="E471" s="8" t="s">
        <v>70</v>
      </c>
      <c r="F471" s="8" t="s">
        <v>35</v>
      </c>
      <c r="G471" s="8" t="s">
        <v>32</v>
      </c>
      <c r="H471" s="8" t="s">
        <v>42</v>
      </c>
      <c r="I471" s="11">
        <v>27</v>
      </c>
      <c r="J471" s="12">
        <v>113.56</v>
      </c>
      <c r="K471" s="13">
        <v>0.05</v>
      </c>
      <c r="L471" s="12">
        <v>83.35</v>
      </c>
      <c r="M471" s="14">
        <f>ROUND(tblSprzedaz[[#This Row],[Ilość]]*tblSprzedaz[[#This Row],[Cena netto jednostkowa]]*(1-tblSprzedaz[[#This Row],[Rabat %]]),2)</f>
        <v>2912.81</v>
      </c>
      <c r="N471" s="14">
        <f>ROUND(tblSprzedaz[[#This Row],[Ilość]]*tblSprzedaz[[#This Row],[Koszt jednostkowy netto]],2)</f>
        <v>2250.4499999999998</v>
      </c>
      <c r="O471" s="14">
        <f>tblSprzedaz[[#This Row],[Przychód netto]]-tblSprzedaz[[#This Row],[Koszt całkowity netto]]</f>
        <v>662.36000000000013</v>
      </c>
      <c r="P471" s="15">
        <f>IFERROR(tblSprzedaz[[#This Row],[Marża kwotowa]]/tblSprzedaz[[#This Row],[Przychód netto]],0)</f>
        <v>0.22739553901558981</v>
      </c>
      <c r="Q471" s="16">
        <f>YEAR(tblSprzedaz[[#This Row],[Data]])</f>
        <v>2025</v>
      </c>
      <c r="R471" s="16">
        <f>MONTH(tblSprzedaz[[#This Row],[Data]])</f>
        <v>5</v>
      </c>
      <c r="S471" s="9" t="str">
        <f>YEAR(tblSprzedaz[[#This Row],[Data]])&amp;"-"&amp;RIGHT("0"&amp;MONTH(tblSprzedaz[[#This Row],[Data]]),2)</f>
        <v>2025-05</v>
      </c>
    </row>
    <row r="472" spans="1:19" x14ac:dyDescent="0.25">
      <c r="A472" s="7" t="s">
        <v>1111</v>
      </c>
      <c r="B472" s="10">
        <v>45786</v>
      </c>
      <c r="C472" s="7" t="s">
        <v>1112</v>
      </c>
      <c r="D472" s="8" t="s">
        <v>147</v>
      </c>
      <c r="E472" s="8" t="s">
        <v>77</v>
      </c>
      <c r="F472" s="8" t="s">
        <v>37</v>
      </c>
      <c r="G472" s="8" t="s">
        <v>34</v>
      </c>
      <c r="H472" s="8" t="s">
        <v>44</v>
      </c>
      <c r="I472" s="11">
        <v>2</v>
      </c>
      <c r="J472" s="12">
        <v>77.900000000000006</v>
      </c>
      <c r="K472" s="13">
        <v>0.1</v>
      </c>
      <c r="L472" s="12">
        <v>59.29</v>
      </c>
      <c r="M472" s="14">
        <f>ROUND(tblSprzedaz[[#This Row],[Ilość]]*tblSprzedaz[[#This Row],[Cena netto jednostkowa]]*(1-tblSprzedaz[[#This Row],[Rabat %]]),2)</f>
        <v>140.22</v>
      </c>
      <c r="N472" s="14">
        <f>ROUND(tblSprzedaz[[#This Row],[Ilość]]*tblSprzedaz[[#This Row],[Koszt jednostkowy netto]],2)</f>
        <v>118.58</v>
      </c>
      <c r="O472" s="14">
        <f>tblSprzedaz[[#This Row],[Przychód netto]]-tblSprzedaz[[#This Row],[Koszt całkowity netto]]</f>
        <v>21.64</v>
      </c>
      <c r="P472" s="15">
        <f>IFERROR(tblSprzedaz[[#This Row],[Marża kwotowa]]/tblSprzedaz[[#This Row],[Przychód netto]],0)</f>
        <v>0.15432891171016974</v>
      </c>
      <c r="Q472" s="16">
        <f>YEAR(tblSprzedaz[[#This Row],[Data]])</f>
        <v>2025</v>
      </c>
      <c r="R472" s="16">
        <f>MONTH(tblSprzedaz[[#This Row],[Data]])</f>
        <v>5</v>
      </c>
      <c r="S472" s="9" t="str">
        <f>YEAR(tblSprzedaz[[#This Row],[Data]])&amp;"-"&amp;RIGHT("0"&amp;MONTH(tblSprzedaz[[#This Row],[Data]]),2)</f>
        <v>2025-05</v>
      </c>
    </row>
    <row r="473" spans="1:19" x14ac:dyDescent="0.25">
      <c r="A473" s="7" t="s">
        <v>1113</v>
      </c>
      <c r="B473" s="10">
        <v>45787</v>
      </c>
      <c r="C473" s="7" t="s">
        <v>1114</v>
      </c>
      <c r="D473" s="8" t="s">
        <v>102</v>
      </c>
      <c r="E473" s="8" t="s">
        <v>65</v>
      </c>
      <c r="F473" s="8" t="s">
        <v>33</v>
      </c>
      <c r="G473" s="8" t="s">
        <v>28</v>
      </c>
      <c r="H473" s="8" t="s">
        <v>39</v>
      </c>
      <c r="I473" s="11">
        <v>19</v>
      </c>
      <c r="J473" s="12">
        <v>377.2</v>
      </c>
      <c r="K473" s="13">
        <v>0.15</v>
      </c>
      <c r="L473" s="12">
        <v>260.48</v>
      </c>
      <c r="M473" s="14">
        <f>ROUND(tblSprzedaz[[#This Row],[Ilość]]*tblSprzedaz[[#This Row],[Cena netto jednostkowa]]*(1-tblSprzedaz[[#This Row],[Rabat %]]),2)</f>
        <v>6091.78</v>
      </c>
      <c r="N473" s="14">
        <f>ROUND(tblSprzedaz[[#This Row],[Ilość]]*tblSprzedaz[[#This Row],[Koszt jednostkowy netto]],2)</f>
        <v>4949.12</v>
      </c>
      <c r="O473" s="14">
        <f>tblSprzedaz[[#This Row],[Przychód netto]]-tblSprzedaz[[#This Row],[Koszt całkowity netto]]</f>
        <v>1142.6599999999999</v>
      </c>
      <c r="P473" s="15">
        <f>IFERROR(tblSprzedaz[[#This Row],[Marża kwotowa]]/tblSprzedaz[[#This Row],[Przychód netto]],0)</f>
        <v>0.18757407522924333</v>
      </c>
      <c r="Q473" s="16">
        <f>YEAR(tblSprzedaz[[#This Row],[Data]])</f>
        <v>2025</v>
      </c>
      <c r="R473" s="16">
        <f>MONTH(tblSprzedaz[[#This Row],[Data]])</f>
        <v>5</v>
      </c>
      <c r="S473" s="9" t="str">
        <f>YEAR(tblSprzedaz[[#This Row],[Data]])&amp;"-"&amp;RIGHT("0"&amp;MONTH(tblSprzedaz[[#This Row],[Data]]),2)</f>
        <v>2025-05</v>
      </c>
    </row>
    <row r="474" spans="1:19" x14ac:dyDescent="0.25">
      <c r="A474" s="7" t="s">
        <v>1115</v>
      </c>
      <c r="B474" s="10">
        <v>45788</v>
      </c>
      <c r="C474" s="7" t="s">
        <v>1116</v>
      </c>
      <c r="D474" s="8" t="s">
        <v>118</v>
      </c>
      <c r="E474" s="8" t="s">
        <v>73</v>
      </c>
      <c r="F474" s="8" t="s">
        <v>37</v>
      </c>
      <c r="G474" s="8" t="s">
        <v>32</v>
      </c>
      <c r="H474" s="8" t="s">
        <v>42</v>
      </c>
      <c r="I474" s="11">
        <v>6</v>
      </c>
      <c r="J474" s="12">
        <v>110.2</v>
      </c>
      <c r="K474" s="13">
        <v>0</v>
      </c>
      <c r="L474" s="12">
        <v>84.75</v>
      </c>
      <c r="M474" s="14">
        <f>ROUND(tblSprzedaz[[#This Row],[Ilość]]*tblSprzedaz[[#This Row],[Cena netto jednostkowa]]*(1-tblSprzedaz[[#This Row],[Rabat %]]),2)</f>
        <v>661.2</v>
      </c>
      <c r="N474" s="14">
        <f>ROUND(tblSprzedaz[[#This Row],[Ilość]]*tblSprzedaz[[#This Row],[Koszt jednostkowy netto]],2)</f>
        <v>508.5</v>
      </c>
      <c r="O474" s="14">
        <f>tblSprzedaz[[#This Row],[Przychód netto]]-tblSprzedaz[[#This Row],[Koszt całkowity netto]]</f>
        <v>152.70000000000005</v>
      </c>
      <c r="P474" s="15">
        <f>IFERROR(tblSprzedaz[[#This Row],[Marża kwotowa]]/tblSprzedaz[[#This Row],[Przychód netto]],0)</f>
        <v>0.23094373865698734</v>
      </c>
      <c r="Q474" s="16">
        <f>YEAR(tblSprzedaz[[#This Row],[Data]])</f>
        <v>2025</v>
      </c>
      <c r="R474" s="16">
        <f>MONTH(tblSprzedaz[[#This Row],[Data]])</f>
        <v>5</v>
      </c>
      <c r="S474" s="9" t="str">
        <f>YEAR(tblSprzedaz[[#This Row],[Data]])&amp;"-"&amp;RIGHT("0"&amp;MONTH(tblSprzedaz[[#This Row],[Data]]),2)</f>
        <v>2025-05</v>
      </c>
    </row>
    <row r="475" spans="1:19" x14ac:dyDescent="0.25">
      <c r="A475" s="7" t="s">
        <v>1117</v>
      </c>
      <c r="B475" s="10">
        <v>45789</v>
      </c>
      <c r="C475" s="7" t="s">
        <v>1118</v>
      </c>
      <c r="D475" s="8" t="s">
        <v>110</v>
      </c>
      <c r="E475" s="8" t="s">
        <v>76</v>
      </c>
      <c r="F475" s="8" t="s">
        <v>37</v>
      </c>
      <c r="G475" s="8" t="s">
        <v>36</v>
      </c>
      <c r="H475" s="8" t="s">
        <v>47</v>
      </c>
      <c r="I475" s="11">
        <v>19</v>
      </c>
      <c r="J475" s="12">
        <v>158.65</v>
      </c>
      <c r="K475" s="13">
        <v>0</v>
      </c>
      <c r="L475" s="12">
        <v>118.68</v>
      </c>
      <c r="M475" s="14">
        <f>ROUND(tblSprzedaz[[#This Row],[Ilość]]*tblSprzedaz[[#This Row],[Cena netto jednostkowa]]*(1-tblSprzedaz[[#This Row],[Rabat %]]),2)</f>
        <v>3014.35</v>
      </c>
      <c r="N475" s="14">
        <f>ROUND(tblSprzedaz[[#This Row],[Ilość]]*tblSprzedaz[[#This Row],[Koszt jednostkowy netto]],2)</f>
        <v>2254.92</v>
      </c>
      <c r="O475" s="14">
        <f>tblSprzedaz[[#This Row],[Przychód netto]]-tblSprzedaz[[#This Row],[Koszt całkowity netto]]</f>
        <v>759.42999999999984</v>
      </c>
      <c r="P475" s="15">
        <f>IFERROR(tblSprzedaz[[#This Row],[Marża kwotowa]]/tblSprzedaz[[#This Row],[Przychód netto]],0)</f>
        <v>0.25193822880554673</v>
      </c>
      <c r="Q475" s="16">
        <f>YEAR(tblSprzedaz[[#This Row],[Data]])</f>
        <v>2025</v>
      </c>
      <c r="R475" s="16">
        <f>MONTH(tblSprzedaz[[#This Row],[Data]])</f>
        <v>5</v>
      </c>
      <c r="S475" s="9" t="str">
        <f>YEAR(tblSprzedaz[[#This Row],[Data]])&amp;"-"&amp;RIGHT("0"&amp;MONTH(tblSprzedaz[[#This Row],[Data]]),2)</f>
        <v>2025-05</v>
      </c>
    </row>
    <row r="476" spans="1:19" x14ac:dyDescent="0.25">
      <c r="A476" s="7" t="s">
        <v>1119</v>
      </c>
      <c r="B476" s="10">
        <v>45789</v>
      </c>
      <c r="C476" s="7" t="s">
        <v>1120</v>
      </c>
      <c r="D476" s="8" t="s">
        <v>107</v>
      </c>
      <c r="E476" s="8" t="s">
        <v>56</v>
      </c>
      <c r="F476" s="8" t="s">
        <v>31</v>
      </c>
      <c r="G476" s="8" t="s">
        <v>28</v>
      </c>
      <c r="H476" s="8" t="s">
        <v>39</v>
      </c>
      <c r="I476" s="11">
        <v>2</v>
      </c>
      <c r="J476" s="12">
        <v>279.3</v>
      </c>
      <c r="K476" s="13">
        <v>0.15</v>
      </c>
      <c r="L476" s="12">
        <v>169.1</v>
      </c>
      <c r="M476" s="14">
        <f>ROUND(tblSprzedaz[[#This Row],[Ilość]]*tblSprzedaz[[#This Row],[Cena netto jednostkowa]]*(1-tblSprzedaz[[#This Row],[Rabat %]]),2)</f>
        <v>474.81</v>
      </c>
      <c r="N476" s="14">
        <f>ROUND(tblSprzedaz[[#This Row],[Ilość]]*tblSprzedaz[[#This Row],[Koszt jednostkowy netto]],2)</f>
        <v>338.2</v>
      </c>
      <c r="O476" s="14">
        <f>tblSprzedaz[[#This Row],[Przychód netto]]-tblSprzedaz[[#This Row],[Koszt całkowity netto]]</f>
        <v>136.61000000000001</v>
      </c>
      <c r="P476" s="15">
        <f>IFERROR(tblSprzedaz[[#This Row],[Marża kwotowa]]/tblSprzedaz[[#This Row],[Przychód netto]],0)</f>
        <v>0.28771508603441381</v>
      </c>
      <c r="Q476" s="16">
        <f>YEAR(tblSprzedaz[[#This Row],[Data]])</f>
        <v>2025</v>
      </c>
      <c r="R476" s="16">
        <f>MONTH(tblSprzedaz[[#This Row],[Data]])</f>
        <v>5</v>
      </c>
      <c r="S476" s="9" t="str">
        <f>YEAR(tblSprzedaz[[#This Row],[Data]])&amp;"-"&amp;RIGHT("0"&amp;MONTH(tblSprzedaz[[#This Row],[Data]]),2)</f>
        <v>2025-05</v>
      </c>
    </row>
    <row r="477" spans="1:19" x14ac:dyDescent="0.25">
      <c r="A477" s="7" t="s">
        <v>1121</v>
      </c>
      <c r="B477" s="10">
        <v>45789</v>
      </c>
      <c r="C477" s="7" t="s">
        <v>1122</v>
      </c>
      <c r="D477" s="8" t="s">
        <v>149</v>
      </c>
      <c r="E477" s="8" t="s">
        <v>50</v>
      </c>
      <c r="F477" s="8" t="s">
        <v>29</v>
      </c>
      <c r="G477" s="8" t="s">
        <v>32</v>
      </c>
      <c r="H477" s="8" t="s">
        <v>42</v>
      </c>
      <c r="I477" s="11">
        <v>10</v>
      </c>
      <c r="J477" s="12">
        <v>45.22</v>
      </c>
      <c r="K477" s="13">
        <v>0.05</v>
      </c>
      <c r="L477" s="12">
        <v>27.74</v>
      </c>
      <c r="M477" s="14">
        <f>ROUND(tblSprzedaz[[#This Row],[Ilość]]*tblSprzedaz[[#This Row],[Cena netto jednostkowa]]*(1-tblSprzedaz[[#This Row],[Rabat %]]),2)</f>
        <v>429.59</v>
      </c>
      <c r="N477" s="14">
        <f>ROUND(tblSprzedaz[[#This Row],[Ilość]]*tblSprzedaz[[#This Row],[Koszt jednostkowy netto]],2)</f>
        <v>277.39999999999998</v>
      </c>
      <c r="O477" s="14">
        <f>tblSprzedaz[[#This Row],[Przychód netto]]-tblSprzedaz[[#This Row],[Koszt całkowity netto]]</f>
        <v>152.19</v>
      </c>
      <c r="P477" s="15">
        <f>IFERROR(tblSprzedaz[[#This Row],[Marża kwotowa]]/tblSprzedaz[[#This Row],[Przychód netto]],0)</f>
        <v>0.35426802299867316</v>
      </c>
      <c r="Q477" s="16">
        <f>YEAR(tblSprzedaz[[#This Row],[Data]])</f>
        <v>2025</v>
      </c>
      <c r="R477" s="16">
        <f>MONTH(tblSprzedaz[[#This Row],[Data]])</f>
        <v>5</v>
      </c>
      <c r="S477" s="9" t="str">
        <f>YEAR(tblSprzedaz[[#This Row],[Data]])&amp;"-"&amp;RIGHT("0"&amp;MONTH(tblSprzedaz[[#This Row],[Data]]),2)</f>
        <v>2025-05</v>
      </c>
    </row>
    <row r="478" spans="1:19" x14ac:dyDescent="0.25">
      <c r="A478" s="7" t="s">
        <v>1123</v>
      </c>
      <c r="B478" s="10">
        <v>45790</v>
      </c>
      <c r="C478" s="7" t="s">
        <v>1124</v>
      </c>
      <c r="D478" s="8" t="s">
        <v>104</v>
      </c>
      <c r="E478" s="8" t="s">
        <v>68</v>
      </c>
      <c r="F478" s="8" t="s">
        <v>35</v>
      </c>
      <c r="G478" s="8" t="s">
        <v>34</v>
      </c>
      <c r="H478" s="8" t="s">
        <v>44</v>
      </c>
      <c r="I478" s="11">
        <v>15</v>
      </c>
      <c r="J478" s="12">
        <v>90.44</v>
      </c>
      <c r="K478" s="13">
        <v>0.05</v>
      </c>
      <c r="L478" s="12">
        <v>65.16</v>
      </c>
      <c r="M478" s="14">
        <f>ROUND(tblSprzedaz[[#This Row],[Ilość]]*tblSprzedaz[[#This Row],[Cena netto jednostkowa]]*(1-tblSprzedaz[[#This Row],[Rabat %]]),2)</f>
        <v>1288.77</v>
      </c>
      <c r="N478" s="14">
        <f>ROUND(tblSprzedaz[[#This Row],[Ilość]]*tblSprzedaz[[#This Row],[Koszt jednostkowy netto]],2)</f>
        <v>977.4</v>
      </c>
      <c r="O478" s="14">
        <f>tblSprzedaz[[#This Row],[Przychód netto]]-tblSprzedaz[[#This Row],[Koszt całkowity netto]]</f>
        <v>311.37</v>
      </c>
      <c r="P478" s="15">
        <f>IFERROR(tblSprzedaz[[#This Row],[Marża kwotowa]]/tblSprzedaz[[#This Row],[Przychód netto]],0)</f>
        <v>0.24160245815777837</v>
      </c>
      <c r="Q478" s="16">
        <f>YEAR(tblSprzedaz[[#This Row],[Data]])</f>
        <v>2025</v>
      </c>
      <c r="R478" s="16">
        <f>MONTH(tblSprzedaz[[#This Row],[Data]])</f>
        <v>5</v>
      </c>
      <c r="S478" s="9" t="str">
        <f>YEAR(tblSprzedaz[[#This Row],[Data]])&amp;"-"&amp;RIGHT("0"&amp;MONTH(tblSprzedaz[[#This Row],[Data]]),2)</f>
        <v>2025-05</v>
      </c>
    </row>
    <row r="479" spans="1:19" x14ac:dyDescent="0.25">
      <c r="A479" s="7" t="s">
        <v>1125</v>
      </c>
      <c r="B479" s="10">
        <v>45790</v>
      </c>
      <c r="C479" s="7" t="s">
        <v>1126</v>
      </c>
      <c r="D479" s="8" t="s">
        <v>152</v>
      </c>
      <c r="E479" s="8" t="s">
        <v>63</v>
      </c>
      <c r="F479" s="8" t="s">
        <v>33</v>
      </c>
      <c r="G479" s="8" t="s">
        <v>32</v>
      </c>
      <c r="H479" s="8" t="s">
        <v>42</v>
      </c>
      <c r="I479" s="11">
        <v>8</v>
      </c>
      <c r="J479" s="12">
        <v>690</v>
      </c>
      <c r="K479" s="13">
        <v>0</v>
      </c>
      <c r="L479" s="12">
        <v>463.35</v>
      </c>
      <c r="M479" s="14">
        <f>ROUND(tblSprzedaz[[#This Row],[Ilość]]*tblSprzedaz[[#This Row],[Cena netto jednostkowa]]*(1-tblSprzedaz[[#This Row],[Rabat %]]),2)</f>
        <v>5520</v>
      </c>
      <c r="N479" s="14">
        <f>ROUND(tblSprzedaz[[#This Row],[Ilość]]*tblSprzedaz[[#This Row],[Koszt jednostkowy netto]],2)</f>
        <v>3706.8</v>
      </c>
      <c r="O479" s="14">
        <f>tblSprzedaz[[#This Row],[Przychód netto]]-tblSprzedaz[[#This Row],[Koszt całkowity netto]]</f>
        <v>1813.1999999999998</v>
      </c>
      <c r="P479" s="15">
        <f>IFERROR(tblSprzedaz[[#This Row],[Marża kwotowa]]/tblSprzedaz[[#This Row],[Przychód netto]],0)</f>
        <v>0.32847826086956516</v>
      </c>
      <c r="Q479" s="16">
        <f>YEAR(tblSprzedaz[[#This Row],[Data]])</f>
        <v>2025</v>
      </c>
      <c r="R479" s="16">
        <f>MONTH(tblSprzedaz[[#This Row],[Data]])</f>
        <v>5</v>
      </c>
      <c r="S479" s="9" t="str">
        <f>YEAR(tblSprzedaz[[#This Row],[Data]])&amp;"-"&amp;RIGHT("0"&amp;MONTH(tblSprzedaz[[#This Row],[Data]]),2)</f>
        <v>2025-05</v>
      </c>
    </row>
    <row r="480" spans="1:19" x14ac:dyDescent="0.25">
      <c r="A480" s="7" t="s">
        <v>1127</v>
      </c>
      <c r="B480" s="10">
        <v>45790</v>
      </c>
      <c r="C480" s="7" t="s">
        <v>1128</v>
      </c>
      <c r="D480" s="8" t="s">
        <v>125</v>
      </c>
      <c r="E480" s="8" t="s">
        <v>55</v>
      </c>
      <c r="F480" s="8" t="s">
        <v>31</v>
      </c>
      <c r="G480" s="8" t="s">
        <v>34</v>
      </c>
      <c r="H480" s="8" t="s">
        <v>45</v>
      </c>
      <c r="I480" s="11">
        <v>8</v>
      </c>
      <c r="J480" s="12">
        <v>243.6</v>
      </c>
      <c r="K480" s="13">
        <v>0.05</v>
      </c>
      <c r="L480" s="12">
        <v>161.58000000000001</v>
      </c>
      <c r="M480" s="14">
        <f>ROUND(tblSprzedaz[[#This Row],[Ilość]]*tblSprzedaz[[#This Row],[Cena netto jednostkowa]]*(1-tblSprzedaz[[#This Row],[Rabat %]]),2)</f>
        <v>1851.36</v>
      </c>
      <c r="N480" s="14">
        <f>ROUND(tblSprzedaz[[#This Row],[Ilość]]*tblSprzedaz[[#This Row],[Koszt jednostkowy netto]],2)</f>
        <v>1292.6400000000001</v>
      </c>
      <c r="O480" s="14">
        <f>tblSprzedaz[[#This Row],[Przychód netto]]-tblSprzedaz[[#This Row],[Koszt całkowity netto]]</f>
        <v>558.7199999999998</v>
      </c>
      <c r="P480" s="15">
        <f>IFERROR(tblSprzedaz[[#This Row],[Marża kwotowa]]/tblSprzedaz[[#This Row],[Przychód netto]],0)</f>
        <v>0.30178895514648679</v>
      </c>
      <c r="Q480" s="16">
        <f>YEAR(tblSprzedaz[[#This Row],[Data]])</f>
        <v>2025</v>
      </c>
      <c r="R480" s="16">
        <f>MONTH(tblSprzedaz[[#This Row],[Data]])</f>
        <v>5</v>
      </c>
      <c r="S480" s="9" t="str">
        <f>YEAR(tblSprzedaz[[#This Row],[Data]])&amp;"-"&amp;RIGHT("0"&amp;MONTH(tblSprzedaz[[#This Row],[Data]]),2)</f>
        <v>2025-05</v>
      </c>
    </row>
    <row r="481" spans="1:19" x14ac:dyDescent="0.25">
      <c r="A481" s="7" t="s">
        <v>1129</v>
      </c>
      <c r="B481" s="10">
        <v>45790</v>
      </c>
      <c r="C481" s="7" t="s">
        <v>1130</v>
      </c>
      <c r="D481" s="8" t="s">
        <v>133</v>
      </c>
      <c r="E481" s="8" t="s">
        <v>75</v>
      </c>
      <c r="F481" s="8" t="s">
        <v>37</v>
      </c>
      <c r="G481" s="8" t="s">
        <v>30</v>
      </c>
      <c r="H481" s="8" t="s">
        <v>40</v>
      </c>
      <c r="I481" s="11">
        <v>22</v>
      </c>
      <c r="J481" s="12">
        <v>142.5</v>
      </c>
      <c r="K481" s="13">
        <v>0</v>
      </c>
      <c r="L481" s="12">
        <v>114.58</v>
      </c>
      <c r="M481" s="14">
        <f>ROUND(tblSprzedaz[[#This Row],[Ilość]]*tblSprzedaz[[#This Row],[Cena netto jednostkowa]]*(1-tblSprzedaz[[#This Row],[Rabat %]]),2)</f>
        <v>3135</v>
      </c>
      <c r="N481" s="14">
        <f>ROUND(tblSprzedaz[[#This Row],[Ilość]]*tblSprzedaz[[#This Row],[Koszt jednostkowy netto]],2)</f>
        <v>2520.7600000000002</v>
      </c>
      <c r="O481" s="14">
        <f>tblSprzedaz[[#This Row],[Przychód netto]]-tblSprzedaz[[#This Row],[Koszt całkowity netto]]</f>
        <v>614.23999999999978</v>
      </c>
      <c r="P481" s="15">
        <f>IFERROR(tblSprzedaz[[#This Row],[Marża kwotowa]]/tblSprzedaz[[#This Row],[Przychód netto]],0)</f>
        <v>0.19592982456140343</v>
      </c>
      <c r="Q481" s="16">
        <f>YEAR(tblSprzedaz[[#This Row],[Data]])</f>
        <v>2025</v>
      </c>
      <c r="R481" s="16">
        <f>MONTH(tblSprzedaz[[#This Row],[Data]])</f>
        <v>5</v>
      </c>
      <c r="S481" s="9" t="str">
        <f>YEAR(tblSprzedaz[[#This Row],[Data]])&amp;"-"&amp;RIGHT("0"&amp;MONTH(tblSprzedaz[[#This Row],[Data]]),2)</f>
        <v>2025-05</v>
      </c>
    </row>
    <row r="482" spans="1:19" x14ac:dyDescent="0.25">
      <c r="A482" s="7" t="s">
        <v>1131</v>
      </c>
      <c r="B482" s="10">
        <v>45790</v>
      </c>
      <c r="C482" s="7" t="s">
        <v>1132</v>
      </c>
      <c r="D482" s="8" t="s">
        <v>152</v>
      </c>
      <c r="E482" s="8" t="s">
        <v>76</v>
      </c>
      <c r="F482" s="8" t="s">
        <v>37</v>
      </c>
      <c r="G482" s="8" t="s">
        <v>30</v>
      </c>
      <c r="H482" s="8" t="s">
        <v>41</v>
      </c>
      <c r="I482" s="11">
        <v>9</v>
      </c>
      <c r="J482" s="12">
        <v>158.65</v>
      </c>
      <c r="K482" s="13">
        <v>0</v>
      </c>
      <c r="L482" s="12">
        <v>124.31</v>
      </c>
      <c r="M482" s="14">
        <f>ROUND(tblSprzedaz[[#This Row],[Ilość]]*tblSprzedaz[[#This Row],[Cena netto jednostkowa]]*(1-tblSprzedaz[[#This Row],[Rabat %]]),2)</f>
        <v>1427.85</v>
      </c>
      <c r="N482" s="14">
        <f>ROUND(tblSprzedaz[[#This Row],[Ilość]]*tblSprzedaz[[#This Row],[Koszt jednostkowy netto]],2)</f>
        <v>1118.79</v>
      </c>
      <c r="O482" s="14">
        <f>tblSprzedaz[[#This Row],[Przychód netto]]-tblSprzedaz[[#This Row],[Koszt całkowity netto]]</f>
        <v>309.05999999999995</v>
      </c>
      <c r="P482" s="15">
        <f>IFERROR(tblSprzedaz[[#This Row],[Marża kwotowa]]/tblSprzedaz[[#This Row],[Przychód netto]],0)</f>
        <v>0.21645130791049477</v>
      </c>
      <c r="Q482" s="16">
        <f>YEAR(tblSprzedaz[[#This Row],[Data]])</f>
        <v>2025</v>
      </c>
      <c r="R482" s="16">
        <f>MONTH(tblSprzedaz[[#This Row],[Data]])</f>
        <v>5</v>
      </c>
      <c r="S482" s="9" t="str">
        <f>YEAR(tblSprzedaz[[#This Row],[Data]])&amp;"-"&amp;RIGHT("0"&amp;MONTH(tblSprzedaz[[#This Row],[Data]]),2)</f>
        <v>2025-05</v>
      </c>
    </row>
    <row r="483" spans="1:19" x14ac:dyDescent="0.25">
      <c r="A483" s="7" t="s">
        <v>1133</v>
      </c>
      <c r="B483" s="10">
        <v>45790</v>
      </c>
      <c r="C483" s="7" t="s">
        <v>1134</v>
      </c>
      <c r="D483" s="8" t="s">
        <v>124</v>
      </c>
      <c r="E483" s="8" t="s">
        <v>62</v>
      </c>
      <c r="F483" s="8" t="s">
        <v>33</v>
      </c>
      <c r="G483" s="8" t="s">
        <v>30</v>
      </c>
      <c r="H483" s="8" t="s">
        <v>41</v>
      </c>
      <c r="I483" s="11">
        <v>11</v>
      </c>
      <c r="J483" s="12">
        <v>611.79999999999995</v>
      </c>
      <c r="K483" s="13">
        <v>0</v>
      </c>
      <c r="L483" s="12">
        <v>397.71</v>
      </c>
      <c r="M483" s="14">
        <f>ROUND(tblSprzedaz[[#This Row],[Ilość]]*tblSprzedaz[[#This Row],[Cena netto jednostkowa]]*(1-tblSprzedaz[[#This Row],[Rabat %]]),2)</f>
        <v>6729.8</v>
      </c>
      <c r="N483" s="14">
        <f>ROUND(tblSprzedaz[[#This Row],[Ilość]]*tblSprzedaz[[#This Row],[Koszt jednostkowy netto]],2)</f>
        <v>4374.8100000000004</v>
      </c>
      <c r="O483" s="14">
        <f>tblSprzedaz[[#This Row],[Przychód netto]]-tblSprzedaz[[#This Row],[Koszt całkowity netto]]</f>
        <v>2354.9899999999998</v>
      </c>
      <c r="P483" s="15">
        <f>IFERROR(tblSprzedaz[[#This Row],[Marża kwotowa]]/tblSprzedaz[[#This Row],[Przychód netto]],0)</f>
        <v>0.34993461915658708</v>
      </c>
      <c r="Q483" s="16">
        <f>YEAR(tblSprzedaz[[#This Row],[Data]])</f>
        <v>2025</v>
      </c>
      <c r="R483" s="16">
        <f>MONTH(tblSprzedaz[[#This Row],[Data]])</f>
        <v>5</v>
      </c>
      <c r="S483" s="9" t="str">
        <f>YEAR(tblSprzedaz[[#This Row],[Data]])&amp;"-"&amp;RIGHT("0"&amp;MONTH(tblSprzedaz[[#This Row],[Data]]),2)</f>
        <v>2025-05</v>
      </c>
    </row>
    <row r="484" spans="1:19" x14ac:dyDescent="0.25">
      <c r="A484" s="7" t="s">
        <v>1135</v>
      </c>
      <c r="B484" s="10">
        <v>45791</v>
      </c>
      <c r="C484" s="7" t="s">
        <v>1136</v>
      </c>
      <c r="D484" s="8" t="s">
        <v>96</v>
      </c>
      <c r="E484" s="8" t="s">
        <v>70</v>
      </c>
      <c r="F484" s="8" t="s">
        <v>35</v>
      </c>
      <c r="G484" s="8" t="s">
        <v>36</v>
      </c>
      <c r="H484" s="8" t="s">
        <v>46</v>
      </c>
      <c r="I484" s="11">
        <v>16</v>
      </c>
      <c r="J484" s="12">
        <v>113.56</v>
      </c>
      <c r="K484" s="13">
        <v>0</v>
      </c>
      <c r="L484" s="12">
        <v>79.37</v>
      </c>
      <c r="M484" s="14">
        <f>ROUND(tblSprzedaz[[#This Row],[Ilość]]*tblSprzedaz[[#This Row],[Cena netto jednostkowa]]*(1-tblSprzedaz[[#This Row],[Rabat %]]),2)</f>
        <v>1816.96</v>
      </c>
      <c r="N484" s="14">
        <f>ROUND(tblSprzedaz[[#This Row],[Ilość]]*tblSprzedaz[[#This Row],[Koszt jednostkowy netto]],2)</f>
        <v>1269.92</v>
      </c>
      <c r="O484" s="14">
        <f>tblSprzedaz[[#This Row],[Przychód netto]]-tblSprzedaz[[#This Row],[Koszt całkowity netto]]</f>
        <v>547.04</v>
      </c>
      <c r="P484" s="15">
        <f>IFERROR(tblSprzedaz[[#This Row],[Marża kwotowa]]/tblSprzedaz[[#This Row],[Przychód netto]],0)</f>
        <v>0.30107432194434658</v>
      </c>
      <c r="Q484" s="16">
        <f>YEAR(tblSprzedaz[[#This Row],[Data]])</f>
        <v>2025</v>
      </c>
      <c r="R484" s="16">
        <f>MONTH(tblSprzedaz[[#This Row],[Data]])</f>
        <v>5</v>
      </c>
      <c r="S484" s="9" t="str">
        <f>YEAR(tblSprzedaz[[#This Row],[Data]])&amp;"-"&amp;RIGHT("0"&amp;MONTH(tblSprzedaz[[#This Row],[Data]]),2)</f>
        <v>2025-05</v>
      </c>
    </row>
    <row r="485" spans="1:19" x14ac:dyDescent="0.25">
      <c r="A485" s="7" t="s">
        <v>1137</v>
      </c>
      <c r="B485" s="10">
        <v>45791</v>
      </c>
      <c r="C485" s="7" t="s">
        <v>1138</v>
      </c>
      <c r="D485" s="8" t="s">
        <v>78</v>
      </c>
      <c r="E485" s="8" t="s">
        <v>77</v>
      </c>
      <c r="F485" s="8" t="s">
        <v>37</v>
      </c>
      <c r="G485" s="8" t="s">
        <v>30</v>
      </c>
      <c r="H485" s="8" t="s">
        <v>40</v>
      </c>
      <c r="I485" s="11">
        <v>18</v>
      </c>
      <c r="J485" s="12">
        <v>77.900000000000006</v>
      </c>
      <c r="K485" s="13">
        <v>0.1</v>
      </c>
      <c r="L485" s="12">
        <v>59.18</v>
      </c>
      <c r="M485" s="14">
        <f>ROUND(tblSprzedaz[[#This Row],[Ilość]]*tblSprzedaz[[#This Row],[Cena netto jednostkowa]]*(1-tblSprzedaz[[#This Row],[Rabat %]]),2)</f>
        <v>1261.98</v>
      </c>
      <c r="N485" s="14">
        <f>ROUND(tblSprzedaz[[#This Row],[Ilość]]*tblSprzedaz[[#This Row],[Koszt jednostkowy netto]],2)</f>
        <v>1065.24</v>
      </c>
      <c r="O485" s="14">
        <f>tblSprzedaz[[#This Row],[Przychód netto]]-tblSprzedaz[[#This Row],[Koszt całkowity netto]]</f>
        <v>196.74</v>
      </c>
      <c r="P485" s="15">
        <f>IFERROR(tblSprzedaz[[#This Row],[Marża kwotowa]]/tblSprzedaz[[#This Row],[Przychód netto]],0)</f>
        <v>0.15589787476822137</v>
      </c>
      <c r="Q485" s="16">
        <f>YEAR(tblSprzedaz[[#This Row],[Data]])</f>
        <v>2025</v>
      </c>
      <c r="R485" s="16">
        <f>MONTH(tblSprzedaz[[#This Row],[Data]])</f>
        <v>5</v>
      </c>
      <c r="S485" s="9" t="str">
        <f>YEAR(tblSprzedaz[[#This Row],[Data]])&amp;"-"&amp;RIGHT("0"&amp;MONTH(tblSprzedaz[[#This Row],[Data]]),2)</f>
        <v>2025-05</v>
      </c>
    </row>
    <row r="486" spans="1:19" x14ac:dyDescent="0.25">
      <c r="A486" s="7" t="s">
        <v>1139</v>
      </c>
      <c r="B486" s="10">
        <v>45791</v>
      </c>
      <c r="C486" s="7" t="s">
        <v>1140</v>
      </c>
      <c r="D486" s="8" t="s">
        <v>149</v>
      </c>
      <c r="E486" s="8" t="s">
        <v>52</v>
      </c>
      <c r="F486" s="8" t="s">
        <v>29</v>
      </c>
      <c r="G486" s="8" t="s">
        <v>32</v>
      </c>
      <c r="H486" s="8" t="s">
        <v>43</v>
      </c>
      <c r="I486" s="11">
        <v>17</v>
      </c>
      <c r="J486" s="12">
        <v>56.78</v>
      </c>
      <c r="K486" s="13">
        <v>0</v>
      </c>
      <c r="L486" s="12">
        <v>33.96</v>
      </c>
      <c r="M486" s="14">
        <f>ROUND(tblSprzedaz[[#This Row],[Ilość]]*tblSprzedaz[[#This Row],[Cena netto jednostkowa]]*(1-tblSprzedaz[[#This Row],[Rabat %]]),2)</f>
        <v>965.26</v>
      </c>
      <c r="N486" s="14">
        <f>ROUND(tblSprzedaz[[#This Row],[Ilość]]*tblSprzedaz[[#This Row],[Koszt jednostkowy netto]],2)</f>
        <v>577.32000000000005</v>
      </c>
      <c r="O486" s="14">
        <f>tblSprzedaz[[#This Row],[Przychód netto]]-tblSprzedaz[[#This Row],[Koszt całkowity netto]]</f>
        <v>387.93999999999994</v>
      </c>
      <c r="P486" s="15">
        <f>IFERROR(tblSprzedaz[[#This Row],[Marża kwotowa]]/tblSprzedaz[[#This Row],[Przychód netto]],0)</f>
        <v>0.401902078196548</v>
      </c>
      <c r="Q486" s="16">
        <f>YEAR(tblSprzedaz[[#This Row],[Data]])</f>
        <v>2025</v>
      </c>
      <c r="R486" s="16">
        <f>MONTH(tblSprzedaz[[#This Row],[Data]])</f>
        <v>5</v>
      </c>
      <c r="S486" s="9" t="str">
        <f>YEAR(tblSprzedaz[[#This Row],[Data]])&amp;"-"&amp;RIGHT("0"&amp;MONTH(tblSprzedaz[[#This Row],[Data]]),2)</f>
        <v>2025-05</v>
      </c>
    </row>
    <row r="487" spans="1:19" x14ac:dyDescent="0.25">
      <c r="A487" s="7" t="s">
        <v>1141</v>
      </c>
      <c r="B487" s="10">
        <v>45792</v>
      </c>
      <c r="C487" s="7" t="s">
        <v>1142</v>
      </c>
      <c r="D487" s="8" t="s">
        <v>91</v>
      </c>
      <c r="E487" s="8" t="s">
        <v>51</v>
      </c>
      <c r="F487" s="8" t="s">
        <v>29</v>
      </c>
      <c r="G487" s="8" t="s">
        <v>34</v>
      </c>
      <c r="H487" s="8" t="s">
        <v>45</v>
      </c>
      <c r="I487" s="11">
        <v>14</v>
      </c>
      <c r="J487" s="12">
        <v>51</v>
      </c>
      <c r="K487" s="13">
        <v>0.15</v>
      </c>
      <c r="L487" s="12">
        <v>31.66</v>
      </c>
      <c r="M487" s="14">
        <f>ROUND(tblSprzedaz[[#This Row],[Ilość]]*tblSprzedaz[[#This Row],[Cena netto jednostkowa]]*(1-tblSprzedaz[[#This Row],[Rabat %]]),2)</f>
        <v>606.9</v>
      </c>
      <c r="N487" s="14">
        <f>ROUND(tblSprzedaz[[#This Row],[Ilość]]*tblSprzedaz[[#This Row],[Koszt jednostkowy netto]],2)</f>
        <v>443.24</v>
      </c>
      <c r="O487" s="14">
        <f>tblSprzedaz[[#This Row],[Przychód netto]]-tblSprzedaz[[#This Row],[Koszt całkowity netto]]</f>
        <v>163.65999999999997</v>
      </c>
      <c r="P487" s="15">
        <f>IFERROR(tblSprzedaz[[#This Row],[Marża kwotowa]]/tblSprzedaz[[#This Row],[Przychód netto]],0)</f>
        <v>0.26966551326412913</v>
      </c>
      <c r="Q487" s="16">
        <f>YEAR(tblSprzedaz[[#This Row],[Data]])</f>
        <v>2025</v>
      </c>
      <c r="R487" s="16">
        <f>MONTH(tblSprzedaz[[#This Row],[Data]])</f>
        <v>5</v>
      </c>
      <c r="S487" s="9" t="str">
        <f>YEAR(tblSprzedaz[[#This Row],[Data]])&amp;"-"&amp;RIGHT("0"&amp;MONTH(tblSprzedaz[[#This Row],[Data]]),2)</f>
        <v>2025-05</v>
      </c>
    </row>
    <row r="488" spans="1:19" x14ac:dyDescent="0.25">
      <c r="A488" s="7" t="s">
        <v>1143</v>
      </c>
      <c r="B488" s="10">
        <v>45792</v>
      </c>
      <c r="C488" s="7" t="s">
        <v>1144</v>
      </c>
      <c r="D488" s="8" t="s">
        <v>135</v>
      </c>
      <c r="E488" s="8" t="s">
        <v>74</v>
      </c>
      <c r="F488" s="8" t="s">
        <v>37</v>
      </c>
      <c r="G488" s="8" t="s">
        <v>28</v>
      </c>
      <c r="H488" s="8" t="s">
        <v>39</v>
      </c>
      <c r="I488" s="11">
        <v>17</v>
      </c>
      <c r="J488" s="12">
        <v>126.35</v>
      </c>
      <c r="K488" s="13">
        <v>0</v>
      </c>
      <c r="L488" s="12">
        <v>98.85</v>
      </c>
      <c r="M488" s="14">
        <f>ROUND(tblSprzedaz[[#This Row],[Ilość]]*tblSprzedaz[[#This Row],[Cena netto jednostkowa]]*(1-tblSprzedaz[[#This Row],[Rabat %]]),2)</f>
        <v>2147.9499999999998</v>
      </c>
      <c r="N488" s="14">
        <f>ROUND(tblSprzedaz[[#This Row],[Ilość]]*tblSprzedaz[[#This Row],[Koszt jednostkowy netto]],2)</f>
        <v>1680.45</v>
      </c>
      <c r="O488" s="14">
        <f>tblSprzedaz[[#This Row],[Przychód netto]]-tblSprzedaz[[#This Row],[Koszt całkowity netto]]</f>
        <v>467.49999999999977</v>
      </c>
      <c r="P488" s="15">
        <f>IFERROR(tblSprzedaz[[#This Row],[Marża kwotowa]]/tblSprzedaz[[#This Row],[Przychód netto]],0)</f>
        <v>0.21764938662445579</v>
      </c>
      <c r="Q488" s="16">
        <f>YEAR(tblSprzedaz[[#This Row],[Data]])</f>
        <v>2025</v>
      </c>
      <c r="R488" s="16">
        <f>MONTH(tblSprzedaz[[#This Row],[Data]])</f>
        <v>5</v>
      </c>
      <c r="S488" s="9" t="str">
        <f>YEAR(tblSprzedaz[[#This Row],[Data]])&amp;"-"&amp;RIGHT("0"&amp;MONTH(tblSprzedaz[[#This Row],[Data]]),2)</f>
        <v>2025-05</v>
      </c>
    </row>
    <row r="489" spans="1:19" x14ac:dyDescent="0.25">
      <c r="A489" s="7" t="s">
        <v>1145</v>
      </c>
      <c r="B489" s="10">
        <v>45792</v>
      </c>
      <c r="C489" s="7" t="s">
        <v>1146</v>
      </c>
      <c r="D489" s="8" t="s">
        <v>134</v>
      </c>
      <c r="E489" s="8" t="s">
        <v>74</v>
      </c>
      <c r="F489" s="8" t="s">
        <v>37</v>
      </c>
      <c r="G489" s="8" t="s">
        <v>30</v>
      </c>
      <c r="H489" s="8" t="s">
        <v>41</v>
      </c>
      <c r="I489" s="11">
        <v>6</v>
      </c>
      <c r="J489" s="12">
        <v>126.35</v>
      </c>
      <c r="K489" s="13">
        <v>0</v>
      </c>
      <c r="L489" s="12">
        <v>94.17</v>
      </c>
      <c r="M489" s="14">
        <f>ROUND(tblSprzedaz[[#This Row],[Ilość]]*tblSprzedaz[[#This Row],[Cena netto jednostkowa]]*(1-tblSprzedaz[[#This Row],[Rabat %]]),2)</f>
        <v>758.1</v>
      </c>
      <c r="N489" s="14">
        <f>ROUND(tblSprzedaz[[#This Row],[Ilość]]*tblSprzedaz[[#This Row],[Koszt jednostkowy netto]],2)</f>
        <v>565.02</v>
      </c>
      <c r="O489" s="14">
        <f>tblSprzedaz[[#This Row],[Przychód netto]]-tblSprzedaz[[#This Row],[Koszt całkowity netto]]</f>
        <v>193.08000000000004</v>
      </c>
      <c r="P489" s="15">
        <f>IFERROR(tblSprzedaz[[#This Row],[Marża kwotowa]]/tblSprzedaz[[#This Row],[Przychód netto]],0)</f>
        <v>0.2546893549663633</v>
      </c>
      <c r="Q489" s="16">
        <f>YEAR(tblSprzedaz[[#This Row],[Data]])</f>
        <v>2025</v>
      </c>
      <c r="R489" s="16">
        <f>MONTH(tblSprzedaz[[#This Row],[Data]])</f>
        <v>5</v>
      </c>
      <c r="S489" s="9" t="str">
        <f>YEAR(tblSprzedaz[[#This Row],[Data]])&amp;"-"&amp;RIGHT("0"&amp;MONTH(tblSprzedaz[[#This Row],[Data]]),2)</f>
        <v>2025-05</v>
      </c>
    </row>
    <row r="490" spans="1:19" x14ac:dyDescent="0.25">
      <c r="A490" s="7" t="s">
        <v>1147</v>
      </c>
      <c r="B490" s="10">
        <v>45792</v>
      </c>
      <c r="C490" s="7" t="s">
        <v>1148</v>
      </c>
      <c r="D490" s="8" t="s">
        <v>147</v>
      </c>
      <c r="E490" s="8" t="s">
        <v>77</v>
      </c>
      <c r="F490" s="8" t="s">
        <v>37</v>
      </c>
      <c r="G490" s="8" t="s">
        <v>36</v>
      </c>
      <c r="H490" s="8" t="s">
        <v>47</v>
      </c>
      <c r="I490" s="11">
        <v>11</v>
      </c>
      <c r="J490" s="12">
        <v>77.900000000000006</v>
      </c>
      <c r="K490" s="13">
        <v>0.1</v>
      </c>
      <c r="L490" s="12">
        <v>61.12</v>
      </c>
      <c r="M490" s="14">
        <f>ROUND(tblSprzedaz[[#This Row],[Ilość]]*tblSprzedaz[[#This Row],[Cena netto jednostkowa]]*(1-tblSprzedaz[[#This Row],[Rabat %]]),2)</f>
        <v>771.21</v>
      </c>
      <c r="N490" s="14">
        <f>ROUND(tblSprzedaz[[#This Row],[Ilość]]*tblSprzedaz[[#This Row],[Koszt jednostkowy netto]],2)</f>
        <v>672.32</v>
      </c>
      <c r="O490" s="14">
        <f>tblSprzedaz[[#This Row],[Przychód netto]]-tblSprzedaz[[#This Row],[Koszt całkowity netto]]</f>
        <v>98.889999999999986</v>
      </c>
      <c r="P490" s="15">
        <f>IFERROR(tblSprzedaz[[#This Row],[Marża kwotowa]]/tblSprzedaz[[#This Row],[Przychód netto]],0)</f>
        <v>0.12822707174440162</v>
      </c>
      <c r="Q490" s="16">
        <f>YEAR(tblSprzedaz[[#This Row],[Data]])</f>
        <v>2025</v>
      </c>
      <c r="R490" s="16">
        <f>MONTH(tblSprzedaz[[#This Row],[Data]])</f>
        <v>5</v>
      </c>
      <c r="S490" s="9" t="str">
        <f>YEAR(tblSprzedaz[[#This Row],[Data]])&amp;"-"&amp;RIGHT("0"&amp;MONTH(tblSprzedaz[[#This Row],[Data]]),2)</f>
        <v>2025-05</v>
      </c>
    </row>
    <row r="491" spans="1:19" x14ac:dyDescent="0.25">
      <c r="A491" s="7" t="s">
        <v>1149</v>
      </c>
      <c r="B491" s="10">
        <v>45792</v>
      </c>
      <c r="C491" s="7" t="s">
        <v>1150</v>
      </c>
      <c r="D491" s="8" t="s">
        <v>115</v>
      </c>
      <c r="E491" s="8" t="s">
        <v>63</v>
      </c>
      <c r="F491" s="8" t="s">
        <v>33</v>
      </c>
      <c r="G491" s="8" t="s">
        <v>36</v>
      </c>
      <c r="H491" s="8" t="s">
        <v>47</v>
      </c>
      <c r="I491" s="11">
        <v>6</v>
      </c>
      <c r="J491" s="12">
        <v>690</v>
      </c>
      <c r="K491" s="13">
        <v>0.05</v>
      </c>
      <c r="L491" s="12">
        <v>475.63</v>
      </c>
      <c r="M491" s="14">
        <f>ROUND(tblSprzedaz[[#This Row],[Ilość]]*tblSprzedaz[[#This Row],[Cena netto jednostkowa]]*(1-tblSprzedaz[[#This Row],[Rabat %]]),2)</f>
        <v>3933</v>
      </c>
      <c r="N491" s="14">
        <f>ROUND(tblSprzedaz[[#This Row],[Ilość]]*tblSprzedaz[[#This Row],[Koszt jednostkowy netto]],2)</f>
        <v>2853.78</v>
      </c>
      <c r="O491" s="14">
        <f>tblSprzedaz[[#This Row],[Przychód netto]]-tblSprzedaz[[#This Row],[Koszt całkowity netto]]</f>
        <v>1079.2199999999998</v>
      </c>
      <c r="P491" s="15">
        <f>IFERROR(tblSprzedaz[[#This Row],[Marża kwotowa]]/tblSprzedaz[[#This Row],[Przychód netto]],0)</f>
        <v>0.27440122044241033</v>
      </c>
      <c r="Q491" s="16">
        <f>YEAR(tblSprzedaz[[#This Row],[Data]])</f>
        <v>2025</v>
      </c>
      <c r="R491" s="16">
        <f>MONTH(tblSprzedaz[[#This Row],[Data]])</f>
        <v>5</v>
      </c>
      <c r="S491" s="9" t="str">
        <f>YEAR(tblSprzedaz[[#This Row],[Data]])&amp;"-"&amp;RIGHT("0"&amp;MONTH(tblSprzedaz[[#This Row],[Data]]),2)</f>
        <v>2025-05</v>
      </c>
    </row>
    <row r="492" spans="1:19" x14ac:dyDescent="0.25">
      <c r="A492" s="7" t="s">
        <v>1151</v>
      </c>
      <c r="B492" s="10">
        <v>45792</v>
      </c>
      <c r="C492" s="7" t="s">
        <v>1152</v>
      </c>
      <c r="D492" s="8" t="s">
        <v>82</v>
      </c>
      <c r="E492" s="8" t="s">
        <v>51</v>
      </c>
      <c r="F492" s="8" t="s">
        <v>29</v>
      </c>
      <c r="G492" s="8" t="s">
        <v>28</v>
      </c>
      <c r="H492" s="8" t="s">
        <v>39</v>
      </c>
      <c r="I492" s="11">
        <v>2</v>
      </c>
      <c r="J492" s="12">
        <v>51</v>
      </c>
      <c r="K492" s="13">
        <v>0</v>
      </c>
      <c r="L492" s="12">
        <v>28.15</v>
      </c>
      <c r="M492" s="14">
        <f>ROUND(tblSprzedaz[[#This Row],[Ilość]]*tblSprzedaz[[#This Row],[Cena netto jednostkowa]]*(1-tblSprzedaz[[#This Row],[Rabat %]]),2)</f>
        <v>102</v>
      </c>
      <c r="N492" s="14">
        <f>ROUND(tblSprzedaz[[#This Row],[Ilość]]*tblSprzedaz[[#This Row],[Koszt jednostkowy netto]],2)</f>
        <v>56.3</v>
      </c>
      <c r="O492" s="14">
        <f>tblSprzedaz[[#This Row],[Przychód netto]]-tblSprzedaz[[#This Row],[Koszt całkowity netto]]</f>
        <v>45.7</v>
      </c>
      <c r="P492" s="15">
        <f>IFERROR(tblSprzedaz[[#This Row],[Marża kwotowa]]/tblSprzedaz[[#This Row],[Przychód netto]],0)</f>
        <v>0.44803921568627453</v>
      </c>
      <c r="Q492" s="16">
        <f>YEAR(tblSprzedaz[[#This Row],[Data]])</f>
        <v>2025</v>
      </c>
      <c r="R492" s="16">
        <f>MONTH(tblSprzedaz[[#This Row],[Data]])</f>
        <v>5</v>
      </c>
      <c r="S492" s="9" t="str">
        <f>YEAR(tblSprzedaz[[#This Row],[Data]])&amp;"-"&amp;RIGHT("0"&amp;MONTH(tblSprzedaz[[#This Row],[Data]]),2)</f>
        <v>2025-05</v>
      </c>
    </row>
    <row r="493" spans="1:19" x14ac:dyDescent="0.25">
      <c r="A493" s="7" t="s">
        <v>1153</v>
      </c>
      <c r="B493" s="10">
        <v>45793</v>
      </c>
      <c r="C493" s="7" t="s">
        <v>1154</v>
      </c>
      <c r="D493" s="8" t="s">
        <v>83</v>
      </c>
      <c r="E493" s="8" t="s">
        <v>69</v>
      </c>
      <c r="F493" s="8" t="s">
        <v>35</v>
      </c>
      <c r="G493" s="8" t="s">
        <v>28</v>
      </c>
      <c r="H493" s="8" t="s">
        <v>39</v>
      </c>
      <c r="I493" s="11">
        <v>3</v>
      </c>
      <c r="J493" s="12">
        <v>102</v>
      </c>
      <c r="K493" s="13">
        <v>0</v>
      </c>
      <c r="L493" s="12">
        <v>70.02</v>
      </c>
      <c r="M493" s="14">
        <f>ROUND(tblSprzedaz[[#This Row],[Ilość]]*tblSprzedaz[[#This Row],[Cena netto jednostkowa]]*(1-tblSprzedaz[[#This Row],[Rabat %]]),2)</f>
        <v>306</v>
      </c>
      <c r="N493" s="14">
        <f>ROUND(tblSprzedaz[[#This Row],[Ilość]]*tblSprzedaz[[#This Row],[Koszt jednostkowy netto]],2)</f>
        <v>210.06</v>
      </c>
      <c r="O493" s="14">
        <f>tblSprzedaz[[#This Row],[Przychód netto]]-tblSprzedaz[[#This Row],[Koszt całkowity netto]]</f>
        <v>95.94</v>
      </c>
      <c r="P493" s="15">
        <f>IFERROR(tblSprzedaz[[#This Row],[Marża kwotowa]]/tblSprzedaz[[#This Row],[Przychód netto]],0)</f>
        <v>0.31352941176470589</v>
      </c>
      <c r="Q493" s="16">
        <f>YEAR(tblSprzedaz[[#This Row],[Data]])</f>
        <v>2025</v>
      </c>
      <c r="R493" s="16">
        <f>MONTH(tblSprzedaz[[#This Row],[Data]])</f>
        <v>5</v>
      </c>
      <c r="S493" s="9" t="str">
        <f>YEAR(tblSprzedaz[[#This Row],[Data]])&amp;"-"&amp;RIGHT("0"&amp;MONTH(tblSprzedaz[[#This Row],[Data]]),2)</f>
        <v>2025-05</v>
      </c>
    </row>
    <row r="494" spans="1:19" x14ac:dyDescent="0.25">
      <c r="A494" s="7" t="s">
        <v>1155</v>
      </c>
      <c r="B494" s="10">
        <v>45793</v>
      </c>
      <c r="C494" s="7" t="s">
        <v>1156</v>
      </c>
      <c r="D494" s="8" t="s">
        <v>130</v>
      </c>
      <c r="E494" s="8" t="s">
        <v>50</v>
      </c>
      <c r="F494" s="8" t="s">
        <v>29</v>
      </c>
      <c r="G494" s="8" t="s">
        <v>32</v>
      </c>
      <c r="H494" s="8" t="s">
        <v>42</v>
      </c>
      <c r="I494" s="11">
        <v>16</v>
      </c>
      <c r="J494" s="12">
        <v>45.22</v>
      </c>
      <c r="K494" s="13">
        <v>0</v>
      </c>
      <c r="L494" s="12">
        <v>28.15</v>
      </c>
      <c r="M494" s="14">
        <f>ROUND(tblSprzedaz[[#This Row],[Ilość]]*tblSprzedaz[[#This Row],[Cena netto jednostkowa]]*(1-tblSprzedaz[[#This Row],[Rabat %]]),2)</f>
        <v>723.52</v>
      </c>
      <c r="N494" s="14">
        <f>ROUND(tblSprzedaz[[#This Row],[Ilość]]*tblSprzedaz[[#This Row],[Koszt jednostkowy netto]],2)</f>
        <v>450.4</v>
      </c>
      <c r="O494" s="14">
        <f>tblSprzedaz[[#This Row],[Przychód netto]]-tblSprzedaz[[#This Row],[Koszt całkowity netto]]</f>
        <v>273.12</v>
      </c>
      <c r="P494" s="15">
        <f>IFERROR(tblSprzedaz[[#This Row],[Marża kwotowa]]/tblSprzedaz[[#This Row],[Przychód netto]],0)</f>
        <v>0.37748783724015922</v>
      </c>
      <c r="Q494" s="16">
        <f>YEAR(tblSprzedaz[[#This Row],[Data]])</f>
        <v>2025</v>
      </c>
      <c r="R494" s="16">
        <f>MONTH(tblSprzedaz[[#This Row],[Data]])</f>
        <v>5</v>
      </c>
      <c r="S494" s="9" t="str">
        <f>YEAR(tblSprzedaz[[#This Row],[Data]])&amp;"-"&amp;RIGHT("0"&amp;MONTH(tblSprzedaz[[#This Row],[Data]]),2)</f>
        <v>2025-05</v>
      </c>
    </row>
    <row r="495" spans="1:19" x14ac:dyDescent="0.25">
      <c r="A495" s="7" t="s">
        <v>1157</v>
      </c>
      <c r="B495" s="10">
        <v>45793</v>
      </c>
      <c r="C495" s="7" t="s">
        <v>1158</v>
      </c>
      <c r="D495" s="8" t="s">
        <v>138</v>
      </c>
      <c r="E495" s="8" t="s">
        <v>77</v>
      </c>
      <c r="F495" s="8" t="s">
        <v>37</v>
      </c>
      <c r="G495" s="8" t="s">
        <v>28</v>
      </c>
      <c r="H495" s="8" t="s">
        <v>38</v>
      </c>
      <c r="I495" s="11">
        <v>19</v>
      </c>
      <c r="J495" s="12">
        <v>77.900000000000006</v>
      </c>
      <c r="K495" s="13">
        <v>0.15</v>
      </c>
      <c r="L495" s="12">
        <v>58.36</v>
      </c>
      <c r="M495" s="14">
        <f>ROUND(tblSprzedaz[[#This Row],[Ilość]]*tblSprzedaz[[#This Row],[Cena netto jednostkowa]]*(1-tblSprzedaz[[#This Row],[Rabat %]]),2)</f>
        <v>1258.0899999999999</v>
      </c>
      <c r="N495" s="14">
        <f>ROUND(tblSprzedaz[[#This Row],[Ilość]]*tblSprzedaz[[#This Row],[Koszt jednostkowy netto]],2)</f>
        <v>1108.8399999999999</v>
      </c>
      <c r="O495" s="14">
        <f>tblSprzedaz[[#This Row],[Przychód netto]]-tblSprzedaz[[#This Row],[Koszt całkowity netto]]</f>
        <v>149.25</v>
      </c>
      <c r="P495" s="15">
        <f>IFERROR(tblSprzedaz[[#This Row],[Marża kwotowa]]/tblSprzedaz[[#This Row],[Przychód netto]],0)</f>
        <v>0.11863221232185298</v>
      </c>
      <c r="Q495" s="16">
        <f>YEAR(tblSprzedaz[[#This Row],[Data]])</f>
        <v>2025</v>
      </c>
      <c r="R495" s="16">
        <f>MONTH(tblSprzedaz[[#This Row],[Data]])</f>
        <v>5</v>
      </c>
      <c r="S495" s="9" t="str">
        <f>YEAR(tblSprzedaz[[#This Row],[Data]])&amp;"-"&amp;RIGHT("0"&amp;MONTH(tblSprzedaz[[#This Row],[Data]]),2)</f>
        <v>2025-05</v>
      </c>
    </row>
    <row r="496" spans="1:19" x14ac:dyDescent="0.25">
      <c r="A496" s="7" t="s">
        <v>1159</v>
      </c>
      <c r="B496" s="10">
        <v>45793</v>
      </c>
      <c r="C496" s="7" t="s">
        <v>1160</v>
      </c>
      <c r="D496" s="8" t="s">
        <v>106</v>
      </c>
      <c r="E496" s="8" t="s">
        <v>62</v>
      </c>
      <c r="F496" s="8" t="s">
        <v>33</v>
      </c>
      <c r="G496" s="8" t="s">
        <v>34</v>
      </c>
      <c r="H496" s="8" t="s">
        <v>45</v>
      </c>
      <c r="I496" s="11">
        <v>16</v>
      </c>
      <c r="J496" s="12">
        <v>611.79999999999995</v>
      </c>
      <c r="K496" s="13">
        <v>0.1</v>
      </c>
      <c r="L496" s="12">
        <v>418.76</v>
      </c>
      <c r="M496" s="14">
        <f>ROUND(tblSprzedaz[[#This Row],[Ilość]]*tblSprzedaz[[#This Row],[Cena netto jednostkowa]]*(1-tblSprzedaz[[#This Row],[Rabat %]]),2)</f>
        <v>8809.92</v>
      </c>
      <c r="N496" s="14">
        <f>ROUND(tblSprzedaz[[#This Row],[Ilość]]*tblSprzedaz[[#This Row],[Koszt jednostkowy netto]],2)</f>
        <v>6700.16</v>
      </c>
      <c r="O496" s="14">
        <f>tblSprzedaz[[#This Row],[Przychód netto]]-tblSprzedaz[[#This Row],[Koszt całkowity netto]]</f>
        <v>2109.7600000000002</v>
      </c>
      <c r="P496" s="15">
        <f>IFERROR(tblSprzedaz[[#This Row],[Marża kwotowa]]/tblSprzedaz[[#This Row],[Przychód netto]],0)</f>
        <v>0.2394755003450656</v>
      </c>
      <c r="Q496" s="16">
        <f>YEAR(tblSprzedaz[[#This Row],[Data]])</f>
        <v>2025</v>
      </c>
      <c r="R496" s="16">
        <f>MONTH(tblSprzedaz[[#This Row],[Data]])</f>
        <v>5</v>
      </c>
      <c r="S496" s="9" t="str">
        <f>YEAR(tblSprzedaz[[#This Row],[Data]])&amp;"-"&amp;RIGHT("0"&amp;MONTH(tblSprzedaz[[#This Row],[Data]]),2)</f>
        <v>2025-05</v>
      </c>
    </row>
    <row r="497" spans="1:19" x14ac:dyDescent="0.25">
      <c r="A497" s="7" t="s">
        <v>1161</v>
      </c>
      <c r="B497" s="10">
        <v>45793</v>
      </c>
      <c r="C497" s="7" t="s">
        <v>1162</v>
      </c>
      <c r="D497" s="8" t="s">
        <v>84</v>
      </c>
      <c r="E497" s="8" t="s">
        <v>67</v>
      </c>
      <c r="F497" s="8" t="s">
        <v>35</v>
      </c>
      <c r="G497" s="8" t="s">
        <v>34</v>
      </c>
      <c r="H497" s="8" t="s">
        <v>44</v>
      </c>
      <c r="I497" s="11">
        <v>11</v>
      </c>
      <c r="J497" s="12">
        <v>78.88</v>
      </c>
      <c r="K497" s="13">
        <v>0</v>
      </c>
      <c r="L497" s="12">
        <v>55.84</v>
      </c>
      <c r="M497" s="14">
        <f>ROUND(tblSprzedaz[[#This Row],[Ilość]]*tblSprzedaz[[#This Row],[Cena netto jednostkowa]]*(1-tblSprzedaz[[#This Row],[Rabat %]]),2)</f>
        <v>867.68</v>
      </c>
      <c r="N497" s="14">
        <f>ROUND(tblSprzedaz[[#This Row],[Ilość]]*tblSprzedaz[[#This Row],[Koszt jednostkowy netto]],2)</f>
        <v>614.24</v>
      </c>
      <c r="O497" s="14">
        <f>tblSprzedaz[[#This Row],[Przychód netto]]-tblSprzedaz[[#This Row],[Koszt całkowity netto]]</f>
        <v>253.43999999999994</v>
      </c>
      <c r="P497" s="15">
        <f>IFERROR(tblSprzedaz[[#This Row],[Marża kwotowa]]/tblSprzedaz[[#This Row],[Przychód netto]],0)</f>
        <v>0.29208924949290055</v>
      </c>
      <c r="Q497" s="16">
        <f>YEAR(tblSprzedaz[[#This Row],[Data]])</f>
        <v>2025</v>
      </c>
      <c r="R497" s="16">
        <f>MONTH(tblSprzedaz[[#This Row],[Data]])</f>
        <v>5</v>
      </c>
      <c r="S497" s="9" t="str">
        <f>YEAR(tblSprzedaz[[#This Row],[Data]])&amp;"-"&amp;RIGHT("0"&amp;MONTH(tblSprzedaz[[#This Row],[Data]]),2)</f>
        <v>2025-05</v>
      </c>
    </row>
    <row r="498" spans="1:19" x14ac:dyDescent="0.25">
      <c r="A498" s="7" t="s">
        <v>1163</v>
      </c>
      <c r="B498" s="10">
        <v>45794</v>
      </c>
      <c r="C498" s="7" t="s">
        <v>1164</v>
      </c>
      <c r="D498" s="8" t="s">
        <v>146</v>
      </c>
      <c r="E498" s="8" t="s">
        <v>71</v>
      </c>
      <c r="F498" s="8" t="s">
        <v>35</v>
      </c>
      <c r="G498" s="8" t="s">
        <v>30</v>
      </c>
      <c r="H498" s="8" t="s">
        <v>40</v>
      </c>
      <c r="I498" s="11">
        <v>9</v>
      </c>
      <c r="J498" s="12">
        <v>55.76</v>
      </c>
      <c r="K498" s="13">
        <v>0.05</v>
      </c>
      <c r="L498" s="12">
        <v>41.21</v>
      </c>
      <c r="M498" s="14">
        <f>ROUND(tblSprzedaz[[#This Row],[Ilość]]*tblSprzedaz[[#This Row],[Cena netto jednostkowa]]*(1-tblSprzedaz[[#This Row],[Rabat %]]),2)</f>
        <v>476.75</v>
      </c>
      <c r="N498" s="14">
        <f>ROUND(tblSprzedaz[[#This Row],[Ilość]]*tblSprzedaz[[#This Row],[Koszt jednostkowy netto]],2)</f>
        <v>370.89</v>
      </c>
      <c r="O498" s="14">
        <f>tblSprzedaz[[#This Row],[Przychód netto]]-tblSprzedaz[[#This Row],[Koszt całkowity netto]]</f>
        <v>105.86000000000001</v>
      </c>
      <c r="P498" s="15">
        <f>IFERROR(tblSprzedaz[[#This Row],[Marża kwotowa]]/tblSprzedaz[[#This Row],[Przychód netto]],0)</f>
        <v>0.22204509701101208</v>
      </c>
      <c r="Q498" s="16">
        <f>YEAR(tblSprzedaz[[#This Row],[Data]])</f>
        <v>2025</v>
      </c>
      <c r="R498" s="16">
        <f>MONTH(tblSprzedaz[[#This Row],[Data]])</f>
        <v>5</v>
      </c>
      <c r="S498" s="9" t="str">
        <f>YEAR(tblSprzedaz[[#This Row],[Data]])&amp;"-"&amp;RIGHT("0"&amp;MONTH(tblSprzedaz[[#This Row],[Data]]),2)</f>
        <v>2025-05</v>
      </c>
    </row>
    <row r="499" spans="1:19" x14ac:dyDescent="0.25">
      <c r="A499" s="7" t="s">
        <v>1165</v>
      </c>
      <c r="B499" s="10">
        <v>45795</v>
      </c>
      <c r="C499" s="7" t="s">
        <v>1166</v>
      </c>
      <c r="D499" s="8" t="s">
        <v>81</v>
      </c>
      <c r="E499" s="8" t="s">
        <v>52</v>
      </c>
      <c r="F499" s="8" t="s">
        <v>29</v>
      </c>
      <c r="G499" s="8" t="s">
        <v>36</v>
      </c>
      <c r="H499" s="8" t="s">
        <v>46</v>
      </c>
      <c r="I499" s="11">
        <v>6</v>
      </c>
      <c r="J499" s="12">
        <v>56.78</v>
      </c>
      <c r="K499" s="13">
        <v>0</v>
      </c>
      <c r="L499" s="12">
        <v>33.520000000000003</v>
      </c>
      <c r="M499" s="14">
        <f>ROUND(tblSprzedaz[[#This Row],[Ilość]]*tblSprzedaz[[#This Row],[Cena netto jednostkowa]]*(1-tblSprzedaz[[#This Row],[Rabat %]]),2)</f>
        <v>340.68</v>
      </c>
      <c r="N499" s="14">
        <f>ROUND(tblSprzedaz[[#This Row],[Ilość]]*tblSprzedaz[[#This Row],[Koszt jednostkowy netto]],2)</f>
        <v>201.12</v>
      </c>
      <c r="O499" s="14">
        <f>tblSprzedaz[[#This Row],[Przychód netto]]-tblSprzedaz[[#This Row],[Koszt całkowity netto]]</f>
        <v>139.56</v>
      </c>
      <c r="P499" s="15">
        <f>IFERROR(tblSprzedaz[[#This Row],[Marża kwotowa]]/tblSprzedaz[[#This Row],[Przychód netto]],0)</f>
        <v>0.40965128566396619</v>
      </c>
      <c r="Q499" s="16">
        <f>YEAR(tblSprzedaz[[#This Row],[Data]])</f>
        <v>2025</v>
      </c>
      <c r="R499" s="16">
        <f>MONTH(tblSprzedaz[[#This Row],[Data]])</f>
        <v>5</v>
      </c>
      <c r="S499" s="9" t="str">
        <f>YEAR(tblSprzedaz[[#This Row],[Data]])&amp;"-"&amp;RIGHT("0"&amp;MONTH(tblSprzedaz[[#This Row],[Data]]),2)</f>
        <v>2025-05</v>
      </c>
    </row>
    <row r="500" spans="1:19" x14ac:dyDescent="0.25">
      <c r="A500" s="7" t="s">
        <v>1167</v>
      </c>
      <c r="B500" s="10">
        <v>45795</v>
      </c>
      <c r="C500" s="7" t="s">
        <v>1168</v>
      </c>
      <c r="D500" s="8" t="s">
        <v>111</v>
      </c>
      <c r="E500" s="8" t="s">
        <v>48</v>
      </c>
      <c r="F500" s="8" t="s">
        <v>29</v>
      </c>
      <c r="G500" s="8" t="s">
        <v>34</v>
      </c>
      <c r="H500" s="8" t="s">
        <v>44</v>
      </c>
      <c r="I500" s="11">
        <v>13</v>
      </c>
      <c r="J500" s="12">
        <v>33.659999999999997</v>
      </c>
      <c r="K500" s="13">
        <v>0.05</v>
      </c>
      <c r="L500" s="12">
        <v>20.190000000000001</v>
      </c>
      <c r="M500" s="14">
        <f>ROUND(tblSprzedaz[[#This Row],[Ilość]]*tblSprzedaz[[#This Row],[Cena netto jednostkowa]]*(1-tblSprzedaz[[#This Row],[Rabat %]]),2)</f>
        <v>415.7</v>
      </c>
      <c r="N500" s="14">
        <f>ROUND(tblSprzedaz[[#This Row],[Ilość]]*tblSprzedaz[[#This Row],[Koszt jednostkowy netto]],2)</f>
        <v>262.47000000000003</v>
      </c>
      <c r="O500" s="14">
        <f>tblSprzedaz[[#This Row],[Przychód netto]]-tblSprzedaz[[#This Row],[Koszt całkowity netto]]</f>
        <v>153.22999999999996</v>
      </c>
      <c r="P500" s="15">
        <f>IFERROR(tblSprzedaz[[#This Row],[Marża kwotowa]]/tblSprzedaz[[#This Row],[Przychód netto]],0)</f>
        <v>0.36860716863122434</v>
      </c>
      <c r="Q500" s="16">
        <f>YEAR(tblSprzedaz[[#This Row],[Data]])</f>
        <v>2025</v>
      </c>
      <c r="R500" s="16">
        <f>MONTH(tblSprzedaz[[#This Row],[Data]])</f>
        <v>5</v>
      </c>
      <c r="S500" s="9" t="str">
        <f>YEAR(tblSprzedaz[[#This Row],[Data]])&amp;"-"&amp;RIGHT("0"&amp;MONTH(tblSprzedaz[[#This Row],[Data]]),2)</f>
        <v>2025-05</v>
      </c>
    </row>
    <row r="501" spans="1:19" x14ac:dyDescent="0.25">
      <c r="A501" s="7" t="s">
        <v>1169</v>
      </c>
      <c r="B501" s="10">
        <v>45796</v>
      </c>
      <c r="C501" s="7" t="s">
        <v>1170</v>
      </c>
      <c r="D501" s="8" t="s">
        <v>110</v>
      </c>
      <c r="E501" s="8" t="s">
        <v>52</v>
      </c>
      <c r="F501" s="8" t="s">
        <v>29</v>
      </c>
      <c r="G501" s="8" t="s">
        <v>36</v>
      </c>
      <c r="H501" s="8" t="s">
        <v>47</v>
      </c>
      <c r="I501" s="11">
        <v>6</v>
      </c>
      <c r="J501" s="12">
        <v>56.78</v>
      </c>
      <c r="K501" s="13">
        <v>0</v>
      </c>
      <c r="L501" s="12">
        <v>33.65</v>
      </c>
      <c r="M501" s="14">
        <f>ROUND(tblSprzedaz[[#This Row],[Ilość]]*tblSprzedaz[[#This Row],[Cena netto jednostkowa]]*(1-tblSprzedaz[[#This Row],[Rabat %]]),2)</f>
        <v>340.68</v>
      </c>
      <c r="N501" s="14">
        <f>ROUND(tblSprzedaz[[#This Row],[Ilość]]*tblSprzedaz[[#This Row],[Koszt jednostkowy netto]],2)</f>
        <v>201.9</v>
      </c>
      <c r="O501" s="14">
        <f>tblSprzedaz[[#This Row],[Przychód netto]]-tblSprzedaz[[#This Row],[Koszt całkowity netto]]</f>
        <v>138.78</v>
      </c>
      <c r="P501" s="15">
        <f>IFERROR(tblSprzedaz[[#This Row],[Marża kwotowa]]/tblSprzedaz[[#This Row],[Przychód netto]],0)</f>
        <v>0.40736174709404721</v>
      </c>
      <c r="Q501" s="16">
        <f>YEAR(tblSprzedaz[[#This Row],[Data]])</f>
        <v>2025</v>
      </c>
      <c r="R501" s="16">
        <f>MONTH(tblSprzedaz[[#This Row],[Data]])</f>
        <v>5</v>
      </c>
      <c r="S501" s="9" t="str">
        <f>YEAR(tblSprzedaz[[#This Row],[Data]])&amp;"-"&amp;RIGHT("0"&amp;MONTH(tblSprzedaz[[#This Row],[Data]]),2)</f>
        <v>2025-05</v>
      </c>
    </row>
    <row r="502" spans="1:19" x14ac:dyDescent="0.25">
      <c r="A502" s="7" t="s">
        <v>1171</v>
      </c>
      <c r="B502" s="10">
        <v>45796</v>
      </c>
      <c r="C502" s="7" t="s">
        <v>1172</v>
      </c>
      <c r="D502" s="8" t="s">
        <v>98</v>
      </c>
      <c r="E502" s="8" t="s">
        <v>48</v>
      </c>
      <c r="F502" s="8" t="s">
        <v>29</v>
      </c>
      <c r="G502" s="8" t="s">
        <v>36</v>
      </c>
      <c r="H502" s="8" t="s">
        <v>46</v>
      </c>
      <c r="I502" s="11">
        <v>4</v>
      </c>
      <c r="J502" s="12">
        <v>33.659999999999997</v>
      </c>
      <c r="K502" s="13">
        <v>0.15</v>
      </c>
      <c r="L502" s="12">
        <v>19.989999999999998</v>
      </c>
      <c r="M502" s="14">
        <f>ROUND(tblSprzedaz[[#This Row],[Ilość]]*tblSprzedaz[[#This Row],[Cena netto jednostkowa]]*(1-tblSprzedaz[[#This Row],[Rabat %]]),2)</f>
        <v>114.44</v>
      </c>
      <c r="N502" s="14">
        <f>ROUND(tblSprzedaz[[#This Row],[Ilość]]*tblSprzedaz[[#This Row],[Koszt jednostkowy netto]],2)</f>
        <v>79.959999999999994</v>
      </c>
      <c r="O502" s="14">
        <f>tblSprzedaz[[#This Row],[Przychód netto]]-tblSprzedaz[[#This Row],[Koszt całkowity netto]]</f>
        <v>34.480000000000004</v>
      </c>
      <c r="P502" s="15">
        <f>IFERROR(tblSprzedaz[[#This Row],[Marża kwotowa]]/tblSprzedaz[[#This Row],[Przychód netto]],0)</f>
        <v>0.30129325410695568</v>
      </c>
      <c r="Q502" s="16">
        <f>YEAR(tblSprzedaz[[#This Row],[Data]])</f>
        <v>2025</v>
      </c>
      <c r="R502" s="16">
        <f>MONTH(tblSprzedaz[[#This Row],[Data]])</f>
        <v>5</v>
      </c>
      <c r="S502" s="9" t="str">
        <f>YEAR(tblSprzedaz[[#This Row],[Data]])&amp;"-"&amp;RIGHT("0"&amp;MONTH(tblSprzedaz[[#This Row],[Data]]),2)</f>
        <v>2025-05</v>
      </c>
    </row>
    <row r="503" spans="1:19" x14ac:dyDescent="0.25">
      <c r="A503" s="7" t="s">
        <v>1173</v>
      </c>
      <c r="B503" s="10">
        <v>45796</v>
      </c>
      <c r="C503" s="7" t="s">
        <v>1174</v>
      </c>
      <c r="D503" s="8" t="s">
        <v>130</v>
      </c>
      <c r="E503" s="8" t="s">
        <v>69</v>
      </c>
      <c r="F503" s="8" t="s">
        <v>35</v>
      </c>
      <c r="G503" s="8" t="s">
        <v>34</v>
      </c>
      <c r="H503" s="8" t="s">
        <v>45</v>
      </c>
      <c r="I503" s="11">
        <v>5</v>
      </c>
      <c r="J503" s="12">
        <v>102</v>
      </c>
      <c r="K503" s="13">
        <v>0.15</v>
      </c>
      <c r="L503" s="12">
        <v>76.180000000000007</v>
      </c>
      <c r="M503" s="14">
        <f>ROUND(tblSprzedaz[[#This Row],[Ilość]]*tblSprzedaz[[#This Row],[Cena netto jednostkowa]]*(1-tblSprzedaz[[#This Row],[Rabat %]]),2)</f>
        <v>433.5</v>
      </c>
      <c r="N503" s="14">
        <f>ROUND(tblSprzedaz[[#This Row],[Ilość]]*tblSprzedaz[[#This Row],[Koszt jednostkowy netto]],2)</f>
        <v>380.9</v>
      </c>
      <c r="O503" s="14">
        <f>tblSprzedaz[[#This Row],[Przychód netto]]-tblSprzedaz[[#This Row],[Koszt całkowity netto]]</f>
        <v>52.600000000000023</v>
      </c>
      <c r="P503" s="15">
        <f>IFERROR(tblSprzedaz[[#This Row],[Marża kwotowa]]/tblSprzedaz[[#This Row],[Przychód netto]],0)</f>
        <v>0.12133794694348332</v>
      </c>
      <c r="Q503" s="16">
        <f>YEAR(tblSprzedaz[[#This Row],[Data]])</f>
        <v>2025</v>
      </c>
      <c r="R503" s="16">
        <f>MONTH(tblSprzedaz[[#This Row],[Data]])</f>
        <v>5</v>
      </c>
      <c r="S503" s="9" t="str">
        <f>YEAR(tblSprzedaz[[#This Row],[Data]])&amp;"-"&amp;RIGHT("0"&amp;MONTH(tblSprzedaz[[#This Row],[Data]]),2)</f>
        <v>2025-05</v>
      </c>
    </row>
    <row r="504" spans="1:19" x14ac:dyDescent="0.25">
      <c r="A504" s="7" t="s">
        <v>1175</v>
      </c>
      <c r="B504" s="10">
        <v>45797</v>
      </c>
      <c r="C504" s="7" t="s">
        <v>1176</v>
      </c>
      <c r="D504" s="8" t="s">
        <v>145</v>
      </c>
      <c r="E504" s="8" t="s">
        <v>70</v>
      </c>
      <c r="F504" s="8" t="s">
        <v>35</v>
      </c>
      <c r="G504" s="8" t="s">
        <v>32</v>
      </c>
      <c r="H504" s="8" t="s">
        <v>43</v>
      </c>
      <c r="I504" s="11">
        <v>12</v>
      </c>
      <c r="J504" s="12">
        <v>113.56</v>
      </c>
      <c r="K504" s="13">
        <v>0</v>
      </c>
      <c r="L504" s="12">
        <v>82.32</v>
      </c>
      <c r="M504" s="14">
        <f>ROUND(tblSprzedaz[[#This Row],[Ilość]]*tblSprzedaz[[#This Row],[Cena netto jednostkowa]]*(1-tblSprzedaz[[#This Row],[Rabat %]]),2)</f>
        <v>1362.72</v>
      </c>
      <c r="N504" s="14">
        <f>ROUND(tblSprzedaz[[#This Row],[Ilość]]*tblSprzedaz[[#This Row],[Koszt jednostkowy netto]],2)</f>
        <v>987.84</v>
      </c>
      <c r="O504" s="14">
        <f>tblSprzedaz[[#This Row],[Przychód netto]]-tblSprzedaz[[#This Row],[Koszt całkowity netto]]</f>
        <v>374.88</v>
      </c>
      <c r="P504" s="15">
        <f>IFERROR(tblSprzedaz[[#This Row],[Marża kwotowa]]/tblSprzedaz[[#This Row],[Przychód netto]],0)</f>
        <v>0.27509686509334269</v>
      </c>
      <c r="Q504" s="16">
        <f>YEAR(tblSprzedaz[[#This Row],[Data]])</f>
        <v>2025</v>
      </c>
      <c r="R504" s="16">
        <f>MONTH(tblSprzedaz[[#This Row],[Data]])</f>
        <v>5</v>
      </c>
      <c r="S504" s="9" t="str">
        <f>YEAR(tblSprzedaz[[#This Row],[Data]])&amp;"-"&amp;RIGHT("0"&amp;MONTH(tblSprzedaz[[#This Row],[Data]]),2)</f>
        <v>2025-05</v>
      </c>
    </row>
    <row r="505" spans="1:19" x14ac:dyDescent="0.25">
      <c r="A505" s="7" t="s">
        <v>1177</v>
      </c>
      <c r="B505" s="10">
        <v>45797</v>
      </c>
      <c r="C505" s="7" t="s">
        <v>1178</v>
      </c>
      <c r="D505" s="8" t="s">
        <v>134</v>
      </c>
      <c r="E505" s="8" t="s">
        <v>73</v>
      </c>
      <c r="F505" s="8" t="s">
        <v>37</v>
      </c>
      <c r="G505" s="8" t="s">
        <v>32</v>
      </c>
      <c r="H505" s="8" t="s">
        <v>42</v>
      </c>
      <c r="I505" s="11">
        <v>9</v>
      </c>
      <c r="J505" s="12">
        <v>110.2</v>
      </c>
      <c r="K505" s="13">
        <v>0</v>
      </c>
      <c r="L505" s="12">
        <v>83.18</v>
      </c>
      <c r="M505" s="14">
        <f>ROUND(tblSprzedaz[[#This Row],[Ilość]]*tblSprzedaz[[#This Row],[Cena netto jednostkowa]]*(1-tblSprzedaz[[#This Row],[Rabat %]]),2)</f>
        <v>991.8</v>
      </c>
      <c r="N505" s="14">
        <f>ROUND(tblSprzedaz[[#This Row],[Ilość]]*tblSprzedaz[[#This Row],[Koszt jednostkowy netto]],2)</f>
        <v>748.62</v>
      </c>
      <c r="O505" s="14">
        <f>tblSprzedaz[[#This Row],[Przychód netto]]-tblSprzedaz[[#This Row],[Koszt całkowity netto]]</f>
        <v>243.17999999999995</v>
      </c>
      <c r="P505" s="15">
        <f>IFERROR(tblSprzedaz[[#This Row],[Marża kwotowa]]/tblSprzedaz[[#This Row],[Przychód netto]],0)</f>
        <v>0.24519056261343009</v>
      </c>
      <c r="Q505" s="16">
        <f>YEAR(tblSprzedaz[[#This Row],[Data]])</f>
        <v>2025</v>
      </c>
      <c r="R505" s="16">
        <f>MONTH(tblSprzedaz[[#This Row],[Data]])</f>
        <v>5</v>
      </c>
      <c r="S505" s="9" t="str">
        <f>YEAR(tblSprzedaz[[#This Row],[Data]])&amp;"-"&amp;RIGHT("0"&amp;MONTH(tblSprzedaz[[#This Row],[Data]]),2)</f>
        <v>2025-05</v>
      </c>
    </row>
    <row r="506" spans="1:19" x14ac:dyDescent="0.25">
      <c r="A506" s="7" t="s">
        <v>1179</v>
      </c>
      <c r="B506" s="10">
        <v>45797</v>
      </c>
      <c r="C506" s="7" t="s">
        <v>1180</v>
      </c>
      <c r="D506" s="8" t="s">
        <v>129</v>
      </c>
      <c r="E506" s="8" t="s">
        <v>62</v>
      </c>
      <c r="F506" s="8" t="s">
        <v>33</v>
      </c>
      <c r="G506" s="8" t="s">
        <v>32</v>
      </c>
      <c r="H506" s="8" t="s">
        <v>43</v>
      </c>
      <c r="I506" s="11">
        <v>22</v>
      </c>
      <c r="J506" s="12">
        <v>611.79999999999995</v>
      </c>
      <c r="K506" s="13">
        <v>0</v>
      </c>
      <c r="L506" s="12">
        <v>401.6</v>
      </c>
      <c r="M506" s="14">
        <f>ROUND(tblSprzedaz[[#This Row],[Ilość]]*tblSprzedaz[[#This Row],[Cena netto jednostkowa]]*(1-tblSprzedaz[[#This Row],[Rabat %]]),2)</f>
        <v>13459.6</v>
      </c>
      <c r="N506" s="14">
        <f>ROUND(tblSprzedaz[[#This Row],[Ilość]]*tblSprzedaz[[#This Row],[Koszt jednostkowy netto]],2)</f>
        <v>8835.2000000000007</v>
      </c>
      <c r="O506" s="14">
        <f>tblSprzedaz[[#This Row],[Przychód netto]]-tblSprzedaz[[#This Row],[Koszt całkowity netto]]</f>
        <v>4624.3999999999996</v>
      </c>
      <c r="P506" s="15">
        <f>IFERROR(tblSprzedaz[[#This Row],[Marża kwotowa]]/tblSprzedaz[[#This Row],[Przychód netto]],0)</f>
        <v>0.34357633213468453</v>
      </c>
      <c r="Q506" s="16">
        <f>YEAR(tblSprzedaz[[#This Row],[Data]])</f>
        <v>2025</v>
      </c>
      <c r="R506" s="16">
        <f>MONTH(tblSprzedaz[[#This Row],[Data]])</f>
        <v>5</v>
      </c>
      <c r="S506" s="9" t="str">
        <f>YEAR(tblSprzedaz[[#This Row],[Data]])&amp;"-"&amp;RIGHT("0"&amp;MONTH(tblSprzedaz[[#This Row],[Data]]),2)</f>
        <v>2025-05</v>
      </c>
    </row>
    <row r="507" spans="1:19" x14ac:dyDescent="0.25">
      <c r="A507" s="7" t="s">
        <v>1181</v>
      </c>
      <c r="B507" s="10">
        <v>45797</v>
      </c>
      <c r="C507" s="7" t="s">
        <v>1182</v>
      </c>
      <c r="D507" s="8" t="s">
        <v>131</v>
      </c>
      <c r="E507" s="8" t="s">
        <v>69</v>
      </c>
      <c r="F507" s="8" t="s">
        <v>35</v>
      </c>
      <c r="G507" s="8" t="s">
        <v>36</v>
      </c>
      <c r="H507" s="8" t="s">
        <v>46</v>
      </c>
      <c r="I507" s="11">
        <v>14</v>
      </c>
      <c r="J507" s="12">
        <v>102</v>
      </c>
      <c r="K507" s="13">
        <v>0.15</v>
      </c>
      <c r="L507" s="12">
        <v>77.63</v>
      </c>
      <c r="M507" s="14">
        <f>ROUND(tblSprzedaz[[#This Row],[Ilość]]*tblSprzedaz[[#This Row],[Cena netto jednostkowa]]*(1-tblSprzedaz[[#This Row],[Rabat %]]),2)</f>
        <v>1213.8</v>
      </c>
      <c r="N507" s="14">
        <f>ROUND(tblSprzedaz[[#This Row],[Ilość]]*tblSprzedaz[[#This Row],[Koszt jednostkowy netto]],2)</f>
        <v>1086.82</v>
      </c>
      <c r="O507" s="14">
        <f>tblSprzedaz[[#This Row],[Przychód netto]]-tblSprzedaz[[#This Row],[Koszt całkowity netto]]</f>
        <v>126.98000000000002</v>
      </c>
      <c r="P507" s="15">
        <f>IFERROR(tblSprzedaz[[#This Row],[Marża kwotowa]]/tblSprzedaz[[#This Row],[Przychód netto]],0)</f>
        <v>0.10461361014994235</v>
      </c>
      <c r="Q507" s="16">
        <f>YEAR(tblSprzedaz[[#This Row],[Data]])</f>
        <v>2025</v>
      </c>
      <c r="R507" s="16">
        <f>MONTH(tblSprzedaz[[#This Row],[Data]])</f>
        <v>5</v>
      </c>
      <c r="S507" s="9" t="str">
        <f>YEAR(tblSprzedaz[[#This Row],[Data]])&amp;"-"&amp;RIGHT("0"&amp;MONTH(tblSprzedaz[[#This Row],[Data]]),2)</f>
        <v>2025-05</v>
      </c>
    </row>
    <row r="508" spans="1:19" x14ac:dyDescent="0.25">
      <c r="A508" s="7" t="s">
        <v>1183</v>
      </c>
      <c r="B508" s="10">
        <v>45797</v>
      </c>
      <c r="C508" s="7" t="s">
        <v>1184</v>
      </c>
      <c r="D508" s="8" t="s">
        <v>146</v>
      </c>
      <c r="E508" s="8" t="s">
        <v>64</v>
      </c>
      <c r="F508" s="8" t="s">
        <v>33</v>
      </c>
      <c r="G508" s="8" t="s">
        <v>30</v>
      </c>
      <c r="H508" s="8" t="s">
        <v>41</v>
      </c>
      <c r="I508" s="11">
        <v>22</v>
      </c>
      <c r="J508" s="12">
        <v>768.2</v>
      </c>
      <c r="K508" s="13">
        <v>0</v>
      </c>
      <c r="L508" s="12">
        <v>512.32000000000005</v>
      </c>
      <c r="M508" s="14">
        <f>ROUND(tblSprzedaz[[#This Row],[Ilość]]*tblSprzedaz[[#This Row],[Cena netto jednostkowa]]*(1-tblSprzedaz[[#This Row],[Rabat %]]),2)</f>
        <v>16900.400000000001</v>
      </c>
      <c r="N508" s="14">
        <f>ROUND(tblSprzedaz[[#This Row],[Ilość]]*tblSprzedaz[[#This Row],[Koszt jednostkowy netto]],2)</f>
        <v>11271.04</v>
      </c>
      <c r="O508" s="14">
        <f>tblSprzedaz[[#This Row],[Przychód netto]]-tblSprzedaz[[#This Row],[Koszt całkowity netto]]</f>
        <v>5629.3600000000006</v>
      </c>
      <c r="P508" s="15">
        <f>IFERROR(tblSprzedaz[[#This Row],[Marża kwotowa]]/tblSprzedaz[[#This Row],[Przychód netto]],0)</f>
        <v>0.3330903410570164</v>
      </c>
      <c r="Q508" s="16">
        <f>YEAR(tblSprzedaz[[#This Row],[Data]])</f>
        <v>2025</v>
      </c>
      <c r="R508" s="16">
        <f>MONTH(tblSprzedaz[[#This Row],[Data]])</f>
        <v>5</v>
      </c>
      <c r="S508" s="9" t="str">
        <f>YEAR(tblSprzedaz[[#This Row],[Data]])&amp;"-"&amp;RIGHT("0"&amp;MONTH(tblSprzedaz[[#This Row],[Data]]),2)</f>
        <v>2025-05</v>
      </c>
    </row>
    <row r="509" spans="1:19" x14ac:dyDescent="0.25">
      <c r="A509" s="7" t="s">
        <v>1185</v>
      </c>
      <c r="B509" s="10">
        <v>45797</v>
      </c>
      <c r="C509" s="7" t="s">
        <v>1186</v>
      </c>
      <c r="D509" s="8" t="s">
        <v>78</v>
      </c>
      <c r="E509" s="8" t="s">
        <v>70</v>
      </c>
      <c r="F509" s="8" t="s">
        <v>35</v>
      </c>
      <c r="G509" s="8" t="s">
        <v>28</v>
      </c>
      <c r="H509" s="8" t="s">
        <v>38</v>
      </c>
      <c r="I509" s="11">
        <v>9</v>
      </c>
      <c r="J509" s="12">
        <v>113.56</v>
      </c>
      <c r="K509" s="13">
        <v>0.1</v>
      </c>
      <c r="L509" s="12">
        <v>83.2</v>
      </c>
      <c r="M509" s="14">
        <f>ROUND(tblSprzedaz[[#This Row],[Ilość]]*tblSprzedaz[[#This Row],[Cena netto jednostkowa]]*(1-tblSprzedaz[[#This Row],[Rabat %]]),2)</f>
        <v>919.84</v>
      </c>
      <c r="N509" s="14">
        <f>ROUND(tblSprzedaz[[#This Row],[Ilość]]*tblSprzedaz[[#This Row],[Koszt jednostkowy netto]],2)</f>
        <v>748.8</v>
      </c>
      <c r="O509" s="14">
        <f>tblSprzedaz[[#This Row],[Przychód netto]]-tblSprzedaz[[#This Row],[Koszt całkowity netto]]</f>
        <v>171.04000000000008</v>
      </c>
      <c r="P509" s="15">
        <f>IFERROR(tblSprzedaz[[#This Row],[Marża kwotowa]]/tblSprzedaz[[#This Row],[Przychód netto]],0)</f>
        <v>0.18594538180553147</v>
      </c>
      <c r="Q509" s="16">
        <f>YEAR(tblSprzedaz[[#This Row],[Data]])</f>
        <v>2025</v>
      </c>
      <c r="R509" s="16">
        <f>MONTH(tblSprzedaz[[#This Row],[Data]])</f>
        <v>5</v>
      </c>
      <c r="S509" s="9" t="str">
        <f>YEAR(tblSprzedaz[[#This Row],[Data]])&amp;"-"&amp;RIGHT("0"&amp;MONTH(tblSprzedaz[[#This Row],[Data]]),2)</f>
        <v>2025-05</v>
      </c>
    </row>
    <row r="510" spans="1:19" x14ac:dyDescent="0.25">
      <c r="A510" s="7" t="s">
        <v>1187</v>
      </c>
      <c r="B510" s="10">
        <v>45797</v>
      </c>
      <c r="C510" s="7" t="s">
        <v>1188</v>
      </c>
      <c r="D510" s="8" t="s">
        <v>90</v>
      </c>
      <c r="E510" s="8" t="s">
        <v>66</v>
      </c>
      <c r="F510" s="8" t="s">
        <v>35</v>
      </c>
      <c r="G510" s="8" t="s">
        <v>28</v>
      </c>
      <c r="H510" s="8" t="s">
        <v>38</v>
      </c>
      <c r="I510" s="11">
        <v>10</v>
      </c>
      <c r="J510" s="12">
        <v>67.319999999999993</v>
      </c>
      <c r="K510" s="13">
        <v>0</v>
      </c>
      <c r="L510" s="12">
        <v>49.99</v>
      </c>
      <c r="M510" s="14">
        <f>ROUND(tblSprzedaz[[#This Row],[Ilość]]*tblSprzedaz[[#This Row],[Cena netto jednostkowa]]*(1-tblSprzedaz[[#This Row],[Rabat %]]),2)</f>
        <v>673.2</v>
      </c>
      <c r="N510" s="14">
        <f>ROUND(tblSprzedaz[[#This Row],[Ilość]]*tblSprzedaz[[#This Row],[Koszt jednostkowy netto]],2)</f>
        <v>499.9</v>
      </c>
      <c r="O510" s="14">
        <f>tblSprzedaz[[#This Row],[Przychód netto]]-tblSprzedaz[[#This Row],[Koszt całkowity netto]]</f>
        <v>173.30000000000007</v>
      </c>
      <c r="P510" s="15">
        <f>IFERROR(tblSprzedaz[[#This Row],[Marża kwotowa]]/tblSprzedaz[[#This Row],[Przychód netto]],0)</f>
        <v>0.25742721330956636</v>
      </c>
      <c r="Q510" s="16">
        <f>YEAR(tblSprzedaz[[#This Row],[Data]])</f>
        <v>2025</v>
      </c>
      <c r="R510" s="16">
        <f>MONTH(tblSprzedaz[[#This Row],[Data]])</f>
        <v>5</v>
      </c>
      <c r="S510" s="9" t="str">
        <f>YEAR(tblSprzedaz[[#This Row],[Data]])&amp;"-"&amp;RIGHT("0"&amp;MONTH(tblSprzedaz[[#This Row],[Data]]),2)</f>
        <v>2025-05</v>
      </c>
    </row>
    <row r="511" spans="1:19" x14ac:dyDescent="0.25">
      <c r="A511" s="7" t="s">
        <v>1189</v>
      </c>
      <c r="B511" s="10">
        <v>45798</v>
      </c>
      <c r="C511" s="7" t="s">
        <v>1190</v>
      </c>
      <c r="D511" s="8" t="s">
        <v>147</v>
      </c>
      <c r="E511" s="8" t="s">
        <v>68</v>
      </c>
      <c r="F511" s="8" t="s">
        <v>35</v>
      </c>
      <c r="G511" s="8" t="s">
        <v>32</v>
      </c>
      <c r="H511" s="8" t="s">
        <v>42</v>
      </c>
      <c r="I511" s="11">
        <v>4</v>
      </c>
      <c r="J511" s="12">
        <v>90.44</v>
      </c>
      <c r="K511" s="13">
        <v>0</v>
      </c>
      <c r="L511" s="12">
        <v>66.3</v>
      </c>
      <c r="M511" s="14">
        <f>ROUND(tblSprzedaz[[#This Row],[Ilość]]*tblSprzedaz[[#This Row],[Cena netto jednostkowa]]*(1-tblSprzedaz[[#This Row],[Rabat %]]),2)</f>
        <v>361.76</v>
      </c>
      <c r="N511" s="14">
        <f>ROUND(tblSprzedaz[[#This Row],[Ilość]]*tblSprzedaz[[#This Row],[Koszt jednostkowy netto]],2)</f>
        <v>265.2</v>
      </c>
      <c r="O511" s="14">
        <f>tblSprzedaz[[#This Row],[Przychód netto]]-tblSprzedaz[[#This Row],[Koszt całkowity netto]]</f>
        <v>96.56</v>
      </c>
      <c r="P511" s="15">
        <f>IFERROR(tblSprzedaz[[#This Row],[Marża kwotowa]]/tblSprzedaz[[#This Row],[Przychód netto]],0)</f>
        <v>0.26691729323308272</v>
      </c>
      <c r="Q511" s="16">
        <f>YEAR(tblSprzedaz[[#This Row],[Data]])</f>
        <v>2025</v>
      </c>
      <c r="R511" s="16">
        <f>MONTH(tblSprzedaz[[#This Row],[Data]])</f>
        <v>5</v>
      </c>
      <c r="S511" s="9" t="str">
        <f>YEAR(tblSprzedaz[[#This Row],[Data]])&amp;"-"&amp;RIGHT("0"&amp;MONTH(tblSprzedaz[[#This Row],[Data]]),2)</f>
        <v>2025-05</v>
      </c>
    </row>
    <row r="512" spans="1:19" x14ac:dyDescent="0.25">
      <c r="A512" s="7" t="s">
        <v>1191</v>
      </c>
      <c r="B512" s="10">
        <v>45798</v>
      </c>
      <c r="C512" s="7" t="s">
        <v>1192</v>
      </c>
      <c r="D512" s="8" t="s">
        <v>151</v>
      </c>
      <c r="E512" s="8" t="s">
        <v>58</v>
      </c>
      <c r="F512" s="8" t="s">
        <v>31</v>
      </c>
      <c r="G512" s="8" t="s">
        <v>30</v>
      </c>
      <c r="H512" s="8" t="s">
        <v>40</v>
      </c>
      <c r="I512" s="11">
        <v>12</v>
      </c>
      <c r="J512" s="12">
        <v>350.7</v>
      </c>
      <c r="K512" s="13">
        <v>0.15</v>
      </c>
      <c r="L512" s="12">
        <v>236.71</v>
      </c>
      <c r="M512" s="14">
        <f>ROUND(tblSprzedaz[[#This Row],[Ilość]]*tblSprzedaz[[#This Row],[Cena netto jednostkowa]]*(1-tblSprzedaz[[#This Row],[Rabat %]]),2)</f>
        <v>3577.14</v>
      </c>
      <c r="N512" s="14">
        <f>ROUND(tblSprzedaz[[#This Row],[Ilość]]*tblSprzedaz[[#This Row],[Koszt jednostkowy netto]],2)</f>
        <v>2840.52</v>
      </c>
      <c r="O512" s="14">
        <f>tblSprzedaz[[#This Row],[Przychód netto]]-tblSprzedaz[[#This Row],[Koszt całkowity netto]]</f>
        <v>736.61999999999989</v>
      </c>
      <c r="P512" s="15">
        <f>IFERROR(tblSprzedaz[[#This Row],[Marża kwotowa]]/tblSprzedaz[[#This Row],[Przychód netto]],0)</f>
        <v>0.20592428588201744</v>
      </c>
      <c r="Q512" s="16">
        <f>YEAR(tblSprzedaz[[#This Row],[Data]])</f>
        <v>2025</v>
      </c>
      <c r="R512" s="16">
        <f>MONTH(tblSprzedaz[[#This Row],[Data]])</f>
        <v>5</v>
      </c>
      <c r="S512" s="9" t="str">
        <f>YEAR(tblSprzedaz[[#This Row],[Data]])&amp;"-"&amp;RIGHT("0"&amp;MONTH(tblSprzedaz[[#This Row],[Data]]),2)</f>
        <v>2025-05</v>
      </c>
    </row>
    <row r="513" spans="1:19" x14ac:dyDescent="0.25">
      <c r="A513" s="7" t="s">
        <v>1193</v>
      </c>
      <c r="B513" s="10">
        <v>45798</v>
      </c>
      <c r="C513" s="7" t="s">
        <v>1194</v>
      </c>
      <c r="D513" s="8" t="s">
        <v>144</v>
      </c>
      <c r="E513" s="8" t="s">
        <v>48</v>
      </c>
      <c r="F513" s="8" t="s">
        <v>29</v>
      </c>
      <c r="G513" s="8" t="s">
        <v>32</v>
      </c>
      <c r="H513" s="8" t="s">
        <v>42</v>
      </c>
      <c r="I513" s="11">
        <v>22</v>
      </c>
      <c r="J513" s="12">
        <v>33.659999999999997</v>
      </c>
      <c r="K513" s="13">
        <v>0.15</v>
      </c>
      <c r="L513" s="12">
        <v>21.03</v>
      </c>
      <c r="M513" s="14">
        <f>ROUND(tblSprzedaz[[#This Row],[Ilość]]*tblSprzedaz[[#This Row],[Cena netto jednostkowa]]*(1-tblSprzedaz[[#This Row],[Rabat %]]),2)</f>
        <v>629.44000000000005</v>
      </c>
      <c r="N513" s="14">
        <f>ROUND(tblSprzedaz[[#This Row],[Ilość]]*tblSprzedaz[[#This Row],[Koszt jednostkowy netto]],2)</f>
        <v>462.66</v>
      </c>
      <c r="O513" s="14">
        <f>tblSprzedaz[[#This Row],[Przychód netto]]-tblSprzedaz[[#This Row],[Koszt całkowity netto]]</f>
        <v>166.78000000000003</v>
      </c>
      <c r="P513" s="15">
        <f>IFERROR(tblSprzedaz[[#This Row],[Marża kwotowa]]/tblSprzedaz[[#This Row],[Przychód netto]],0)</f>
        <v>0.26496568378240981</v>
      </c>
      <c r="Q513" s="16">
        <f>YEAR(tblSprzedaz[[#This Row],[Data]])</f>
        <v>2025</v>
      </c>
      <c r="R513" s="16">
        <f>MONTH(tblSprzedaz[[#This Row],[Data]])</f>
        <v>5</v>
      </c>
      <c r="S513" s="9" t="str">
        <f>YEAR(tblSprzedaz[[#This Row],[Data]])&amp;"-"&amp;RIGHT("0"&amp;MONTH(tblSprzedaz[[#This Row],[Data]]),2)</f>
        <v>2025-05</v>
      </c>
    </row>
    <row r="514" spans="1:19" x14ac:dyDescent="0.25">
      <c r="A514" s="7" t="s">
        <v>1195</v>
      </c>
      <c r="B514" s="10">
        <v>45798</v>
      </c>
      <c r="C514" s="7" t="s">
        <v>1196</v>
      </c>
      <c r="D514" s="8" t="s">
        <v>141</v>
      </c>
      <c r="E514" s="8" t="s">
        <v>67</v>
      </c>
      <c r="F514" s="8" t="s">
        <v>35</v>
      </c>
      <c r="G514" s="8" t="s">
        <v>32</v>
      </c>
      <c r="H514" s="8" t="s">
        <v>42</v>
      </c>
      <c r="I514" s="11">
        <v>6</v>
      </c>
      <c r="J514" s="12">
        <v>78.88</v>
      </c>
      <c r="K514" s="13">
        <v>0.05</v>
      </c>
      <c r="L514" s="12">
        <v>59.11</v>
      </c>
      <c r="M514" s="14">
        <f>ROUND(tblSprzedaz[[#This Row],[Ilość]]*tblSprzedaz[[#This Row],[Cena netto jednostkowa]]*(1-tblSprzedaz[[#This Row],[Rabat %]]),2)</f>
        <v>449.62</v>
      </c>
      <c r="N514" s="14">
        <f>ROUND(tblSprzedaz[[#This Row],[Ilość]]*tblSprzedaz[[#This Row],[Koszt jednostkowy netto]],2)</f>
        <v>354.66</v>
      </c>
      <c r="O514" s="14">
        <f>tblSprzedaz[[#This Row],[Przychód netto]]-tblSprzedaz[[#This Row],[Koszt całkowity netto]]</f>
        <v>94.95999999999998</v>
      </c>
      <c r="P514" s="15">
        <f>IFERROR(tblSprzedaz[[#This Row],[Marża kwotowa]]/tblSprzedaz[[#This Row],[Przychód netto]],0)</f>
        <v>0.21120056936968992</v>
      </c>
      <c r="Q514" s="16">
        <f>YEAR(tblSprzedaz[[#This Row],[Data]])</f>
        <v>2025</v>
      </c>
      <c r="R514" s="16">
        <f>MONTH(tblSprzedaz[[#This Row],[Data]])</f>
        <v>5</v>
      </c>
      <c r="S514" s="9" t="str">
        <f>YEAR(tblSprzedaz[[#This Row],[Data]])&amp;"-"&amp;RIGHT("0"&amp;MONTH(tblSprzedaz[[#This Row],[Data]]),2)</f>
        <v>2025-05</v>
      </c>
    </row>
    <row r="515" spans="1:19" x14ac:dyDescent="0.25">
      <c r="A515" s="7" t="s">
        <v>1197</v>
      </c>
      <c r="B515" s="10">
        <v>45798</v>
      </c>
      <c r="C515" s="7" t="s">
        <v>1198</v>
      </c>
      <c r="D515" s="8" t="s">
        <v>95</v>
      </c>
      <c r="E515" s="8" t="s">
        <v>55</v>
      </c>
      <c r="F515" s="8" t="s">
        <v>31</v>
      </c>
      <c r="G515" s="8" t="s">
        <v>28</v>
      </c>
      <c r="H515" s="8" t="s">
        <v>38</v>
      </c>
      <c r="I515" s="11">
        <v>8</v>
      </c>
      <c r="J515" s="12">
        <v>243.6</v>
      </c>
      <c r="K515" s="13">
        <v>0</v>
      </c>
      <c r="L515" s="12">
        <v>159.6</v>
      </c>
      <c r="M515" s="14">
        <f>ROUND(tblSprzedaz[[#This Row],[Ilość]]*tblSprzedaz[[#This Row],[Cena netto jednostkowa]]*(1-tblSprzedaz[[#This Row],[Rabat %]]),2)</f>
        <v>1948.8</v>
      </c>
      <c r="N515" s="14">
        <f>ROUND(tblSprzedaz[[#This Row],[Ilość]]*tblSprzedaz[[#This Row],[Koszt jednostkowy netto]],2)</f>
        <v>1276.8</v>
      </c>
      <c r="O515" s="14">
        <f>tblSprzedaz[[#This Row],[Przychód netto]]-tblSprzedaz[[#This Row],[Koszt całkowity netto]]</f>
        <v>672</v>
      </c>
      <c r="P515" s="15">
        <f>IFERROR(tblSprzedaz[[#This Row],[Marża kwotowa]]/tblSprzedaz[[#This Row],[Przychód netto]],0)</f>
        <v>0.34482758620689657</v>
      </c>
      <c r="Q515" s="16">
        <f>YEAR(tblSprzedaz[[#This Row],[Data]])</f>
        <v>2025</v>
      </c>
      <c r="R515" s="16">
        <f>MONTH(tblSprzedaz[[#This Row],[Data]])</f>
        <v>5</v>
      </c>
      <c r="S515" s="9" t="str">
        <f>YEAR(tblSprzedaz[[#This Row],[Data]])&amp;"-"&amp;RIGHT("0"&amp;MONTH(tblSprzedaz[[#This Row],[Data]]),2)</f>
        <v>2025-05</v>
      </c>
    </row>
    <row r="516" spans="1:19" x14ac:dyDescent="0.25">
      <c r="A516" s="7" t="s">
        <v>1199</v>
      </c>
      <c r="B516" s="10">
        <v>45798</v>
      </c>
      <c r="C516" s="7" t="s">
        <v>1200</v>
      </c>
      <c r="D516" s="8" t="s">
        <v>79</v>
      </c>
      <c r="E516" s="8" t="s">
        <v>72</v>
      </c>
      <c r="F516" s="8" t="s">
        <v>37</v>
      </c>
      <c r="G516" s="8" t="s">
        <v>36</v>
      </c>
      <c r="H516" s="8" t="s">
        <v>46</v>
      </c>
      <c r="I516" s="11">
        <v>9</v>
      </c>
      <c r="J516" s="12">
        <v>94.05</v>
      </c>
      <c r="K516" s="13">
        <v>0.05</v>
      </c>
      <c r="L516" s="12">
        <v>69.010000000000005</v>
      </c>
      <c r="M516" s="14">
        <f>ROUND(tblSprzedaz[[#This Row],[Ilość]]*tblSprzedaz[[#This Row],[Cena netto jednostkowa]]*(1-tblSprzedaz[[#This Row],[Rabat %]]),2)</f>
        <v>804.13</v>
      </c>
      <c r="N516" s="14">
        <f>ROUND(tblSprzedaz[[#This Row],[Ilość]]*tblSprzedaz[[#This Row],[Koszt jednostkowy netto]],2)</f>
        <v>621.09</v>
      </c>
      <c r="O516" s="14">
        <f>tblSprzedaz[[#This Row],[Przychód netto]]-tblSprzedaz[[#This Row],[Koszt całkowity netto]]</f>
        <v>183.03999999999996</v>
      </c>
      <c r="P516" s="15">
        <f>IFERROR(tblSprzedaz[[#This Row],[Marża kwotowa]]/tblSprzedaz[[#This Row],[Przychód netto]],0)</f>
        <v>0.2276248865233233</v>
      </c>
      <c r="Q516" s="16">
        <f>YEAR(tblSprzedaz[[#This Row],[Data]])</f>
        <v>2025</v>
      </c>
      <c r="R516" s="16">
        <f>MONTH(tblSprzedaz[[#This Row],[Data]])</f>
        <v>5</v>
      </c>
      <c r="S516" s="9" t="str">
        <f>YEAR(tblSprzedaz[[#This Row],[Data]])&amp;"-"&amp;RIGHT("0"&amp;MONTH(tblSprzedaz[[#This Row],[Data]]),2)</f>
        <v>2025-05</v>
      </c>
    </row>
    <row r="517" spans="1:19" x14ac:dyDescent="0.25">
      <c r="A517" s="7" t="s">
        <v>1201</v>
      </c>
      <c r="B517" s="10">
        <v>45799</v>
      </c>
      <c r="C517" s="7" t="s">
        <v>1202</v>
      </c>
      <c r="D517" s="8" t="s">
        <v>116</v>
      </c>
      <c r="E517" s="8" t="s">
        <v>61</v>
      </c>
      <c r="F517" s="8" t="s">
        <v>33</v>
      </c>
      <c r="G517" s="8" t="s">
        <v>36</v>
      </c>
      <c r="H517" s="8" t="s">
        <v>47</v>
      </c>
      <c r="I517" s="11">
        <v>13</v>
      </c>
      <c r="J517" s="12">
        <v>533.6</v>
      </c>
      <c r="K517" s="13">
        <v>0</v>
      </c>
      <c r="L517" s="12">
        <v>354.65</v>
      </c>
      <c r="M517" s="14">
        <f>ROUND(tblSprzedaz[[#This Row],[Ilość]]*tblSprzedaz[[#This Row],[Cena netto jednostkowa]]*(1-tblSprzedaz[[#This Row],[Rabat %]]),2)</f>
        <v>6936.8</v>
      </c>
      <c r="N517" s="14">
        <f>ROUND(tblSprzedaz[[#This Row],[Ilość]]*tblSprzedaz[[#This Row],[Koszt jednostkowy netto]],2)</f>
        <v>4610.45</v>
      </c>
      <c r="O517" s="14">
        <f>tblSprzedaz[[#This Row],[Przychód netto]]-tblSprzedaz[[#This Row],[Koszt całkowity netto]]</f>
        <v>2326.3500000000004</v>
      </c>
      <c r="P517" s="15">
        <f>IFERROR(tblSprzedaz[[#This Row],[Marża kwotowa]]/tblSprzedaz[[#This Row],[Przychód netto]],0)</f>
        <v>0.33536356821589208</v>
      </c>
      <c r="Q517" s="16">
        <f>YEAR(tblSprzedaz[[#This Row],[Data]])</f>
        <v>2025</v>
      </c>
      <c r="R517" s="16">
        <f>MONTH(tblSprzedaz[[#This Row],[Data]])</f>
        <v>5</v>
      </c>
      <c r="S517" s="9" t="str">
        <f>YEAR(tblSprzedaz[[#This Row],[Data]])&amp;"-"&amp;RIGHT("0"&amp;MONTH(tblSprzedaz[[#This Row],[Data]]),2)</f>
        <v>2025-05</v>
      </c>
    </row>
    <row r="518" spans="1:19" x14ac:dyDescent="0.25">
      <c r="A518" s="7" t="s">
        <v>1203</v>
      </c>
      <c r="B518" s="10">
        <v>45799</v>
      </c>
      <c r="C518" s="7" t="s">
        <v>1204</v>
      </c>
      <c r="D518" s="8" t="s">
        <v>85</v>
      </c>
      <c r="E518" s="8" t="s">
        <v>64</v>
      </c>
      <c r="F518" s="8" t="s">
        <v>33</v>
      </c>
      <c r="G518" s="8" t="s">
        <v>28</v>
      </c>
      <c r="H518" s="8" t="s">
        <v>39</v>
      </c>
      <c r="I518" s="11">
        <v>22</v>
      </c>
      <c r="J518" s="12">
        <v>768.2</v>
      </c>
      <c r="K518" s="13">
        <v>0.1</v>
      </c>
      <c r="L518" s="12">
        <v>552.15</v>
      </c>
      <c r="M518" s="14">
        <f>ROUND(tblSprzedaz[[#This Row],[Ilość]]*tblSprzedaz[[#This Row],[Cena netto jednostkowa]]*(1-tblSprzedaz[[#This Row],[Rabat %]]),2)</f>
        <v>15210.36</v>
      </c>
      <c r="N518" s="14">
        <f>ROUND(tblSprzedaz[[#This Row],[Ilość]]*tblSprzedaz[[#This Row],[Koszt jednostkowy netto]],2)</f>
        <v>12147.3</v>
      </c>
      <c r="O518" s="14">
        <f>tblSprzedaz[[#This Row],[Przychód netto]]-tblSprzedaz[[#This Row],[Koszt całkowity netto]]</f>
        <v>3063.0600000000013</v>
      </c>
      <c r="P518" s="15">
        <f>IFERROR(tblSprzedaz[[#This Row],[Marża kwotowa]]/tblSprzedaz[[#This Row],[Przychód netto]],0)</f>
        <v>0.20137984899765693</v>
      </c>
      <c r="Q518" s="16">
        <f>YEAR(tblSprzedaz[[#This Row],[Data]])</f>
        <v>2025</v>
      </c>
      <c r="R518" s="16">
        <f>MONTH(tblSprzedaz[[#This Row],[Data]])</f>
        <v>5</v>
      </c>
      <c r="S518" s="9" t="str">
        <f>YEAR(tblSprzedaz[[#This Row],[Data]])&amp;"-"&amp;RIGHT("0"&amp;MONTH(tblSprzedaz[[#This Row],[Data]]),2)</f>
        <v>2025-05</v>
      </c>
    </row>
    <row r="519" spans="1:19" x14ac:dyDescent="0.25">
      <c r="A519" s="7" t="s">
        <v>1205</v>
      </c>
      <c r="B519" s="10">
        <v>45799</v>
      </c>
      <c r="C519" s="7" t="s">
        <v>1206</v>
      </c>
      <c r="D519" s="8" t="s">
        <v>90</v>
      </c>
      <c r="E519" s="8" t="s">
        <v>54</v>
      </c>
      <c r="F519" s="8" t="s">
        <v>31</v>
      </c>
      <c r="G519" s="8" t="s">
        <v>32</v>
      </c>
      <c r="H519" s="8" t="s">
        <v>42</v>
      </c>
      <c r="I519" s="11">
        <v>3</v>
      </c>
      <c r="J519" s="12">
        <v>207.9</v>
      </c>
      <c r="K519" s="13">
        <v>0</v>
      </c>
      <c r="L519" s="12">
        <v>126.16</v>
      </c>
      <c r="M519" s="14">
        <f>ROUND(tblSprzedaz[[#This Row],[Ilość]]*tblSprzedaz[[#This Row],[Cena netto jednostkowa]]*(1-tblSprzedaz[[#This Row],[Rabat %]]),2)</f>
        <v>623.70000000000005</v>
      </c>
      <c r="N519" s="14">
        <f>ROUND(tblSprzedaz[[#This Row],[Ilość]]*tblSprzedaz[[#This Row],[Koszt jednostkowy netto]],2)</f>
        <v>378.48</v>
      </c>
      <c r="O519" s="14">
        <f>tblSprzedaz[[#This Row],[Przychód netto]]-tblSprzedaz[[#This Row],[Koszt całkowity netto]]</f>
        <v>245.22000000000003</v>
      </c>
      <c r="P519" s="15">
        <f>IFERROR(tblSprzedaz[[#This Row],[Marża kwotowa]]/tblSprzedaz[[#This Row],[Przychód netto]],0)</f>
        <v>0.39316979316979317</v>
      </c>
      <c r="Q519" s="16">
        <f>YEAR(tblSprzedaz[[#This Row],[Data]])</f>
        <v>2025</v>
      </c>
      <c r="R519" s="16">
        <f>MONTH(tblSprzedaz[[#This Row],[Data]])</f>
        <v>5</v>
      </c>
      <c r="S519" s="9" t="str">
        <f>YEAR(tblSprzedaz[[#This Row],[Data]])&amp;"-"&amp;RIGHT("0"&amp;MONTH(tblSprzedaz[[#This Row],[Data]]),2)</f>
        <v>2025-05</v>
      </c>
    </row>
    <row r="520" spans="1:19" x14ac:dyDescent="0.25">
      <c r="A520" s="7" t="s">
        <v>1207</v>
      </c>
      <c r="B520" s="10">
        <v>45799</v>
      </c>
      <c r="C520" s="7" t="s">
        <v>1208</v>
      </c>
      <c r="D520" s="8" t="s">
        <v>147</v>
      </c>
      <c r="E520" s="8" t="s">
        <v>72</v>
      </c>
      <c r="F520" s="8" t="s">
        <v>37</v>
      </c>
      <c r="G520" s="8" t="s">
        <v>34</v>
      </c>
      <c r="H520" s="8" t="s">
        <v>44</v>
      </c>
      <c r="I520" s="11">
        <v>5</v>
      </c>
      <c r="J520" s="12">
        <v>94.05</v>
      </c>
      <c r="K520" s="13">
        <v>0.05</v>
      </c>
      <c r="L520" s="12">
        <v>68.69</v>
      </c>
      <c r="M520" s="14">
        <f>ROUND(tblSprzedaz[[#This Row],[Ilość]]*tblSprzedaz[[#This Row],[Cena netto jednostkowa]]*(1-tblSprzedaz[[#This Row],[Rabat %]]),2)</f>
        <v>446.74</v>
      </c>
      <c r="N520" s="14">
        <f>ROUND(tblSprzedaz[[#This Row],[Ilość]]*tblSprzedaz[[#This Row],[Koszt jednostkowy netto]],2)</f>
        <v>343.45</v>
      </c>
      <c r="O520" s="14">
        <f>tblSprzedaz[[#This Row],[Przychód netto]]-tblSprzedaz[[#This Row],[Koszt całkowity netto]]</f>
        <v>103.29000000000002</v>
      </c>
      <c r="P520" s="15">
        <f>IFERROR(tblSprzedaz[[#This Row],[Marża kwotowa]]/tblSprzedaz[[#This Row],[Przychód netto]],0)</f>
        <v>0.23120830908358334</v>
      </c>
      <c r="Q520" s="16">
        <f>YEAR(tblSprzedaz[[#This Row],[Data]])</f>
        <v>2025</v>
      </c>
      <c r="R520" s="16">
        <f>MONTH(tblSprzedaz[[#This Row],[Data]])</f>
        <v>5</v>
      </c>
      <c r="S520" s="9" t="str">
        <f>YEAR(tblSprzedaz[[#This Row],[Data]])&amp;"-"&amp;RIGHT("0"&amp;MONTH(tblSprzedaz[[#This Row],[Data]]),2)</f>
        <v>2025-05</v>
      </c>
    </row>
    <row r="521" spans="1:19" x14ac:dyDescent="0.25">
      <c r="A521" s="7" t="s">
        <v>1209</v>
      </c>
      <c r="B521" s="10">
        <v>45799</v>
      </c>
      <c r="C521" s="7" t="s">
        <v>1210</v>
      </c>
      <c r="D521" s="8" t="s">
        <v>133</v>
      </c>
      <c r="E521" s="8" t="s">
        <v>49</v>
      </c>
      <c r="F521" s="8" t="s">
        <v>29</v>
      </c>
      <c r="G521" s="8" t="s">
        <v>32</v>
      </c>
      <c r="H521" s="8" t="s">
        <v>43</v>
      </c>
      <c r="I521" s="11">
        <v>4</v>
      </c>
      <c r="J521" s="12">
        <v>39.44</v>
      </c>
      <c r="K521" s="13">
        <v>0</v>
      </c>
      <c r="L521" s="12">
        <v>24.48</v>
      </c>
      <c r="M521" s="14">
        <f>ROUND(tblSprzedaz[[#This Row],[Ilość]]*tblSprzedaz[[#This Row],[Cena netto jednostkowa]]*(1-tblSprzedaz[[#This Row],[Rabat %]]),2)</f>
        <v>157.76</v>
      </c>
      <c r="N521" s="14">
        <f>ROUND(tblSprzedaz[[#This Row],[Ilość]]*tblSprzedaz[[#This Row],[Koszt jednostkowy netto]],2)</f>
        <v>97.92</v>
      </c>
      <c r="O521" s="14">
        <f>tblSprzedaz[[#This Row],[Przychód netto]]-tblSprzedaz[[#This Row],[Koszt całkowity netto]]</f>
        <v>59.839999999999989</v>
      </c>
      <c r="P521" s="15">
        <f>IFERROR(tblSprzedaz[[#This Row],[Marża kwotowa]]/tblSprzedaz[[#This Row],[Przychód netto]],0)</f>
        <v>0.37931034482758619</v>
      </c>
      <c r="Q521" s="16">
        <f>YEAR(tblSprzedaz[[#This Row],[Data]])</f>
        <v>2025</v>
      </c>
      <c r="R521" s="16">
        <f>MONTH(tblSprzedaz[[#This Row],[Data]])</f>
        <v>5</v>
      </c>
      <c r="S521" s="9" t="str">
        <f>YEAR(tblSprzedaz[[#This Row],[Data]])&amp;"-"&amp;RIGHT("0"&amp;MONTH(tblSprzedaz[[#This Row],[Data]]),2)</f>
        <v>2025-05</v>
      </c>
    </row>
    <row r="522" spans="1:19" x14ac:dyDescent="0.25">
      <c r="A522" s="7" t="s">
        <v>1211</v>
      </c>
      <c r="B522" s="10">
        <v>45799</v>
      </c>
      <c r="C522" s="7" t="s">
        <v>1212</v>
      </c>
      <c r="D522" s="8" t="s">
        <v>120</v>
      </c>
      <c r="E522" s="8" t="s">
        <v>69</v>
      </c>
      <c r="F522" s="8" t="s">
        <v>35</v>
      </c>
      <c r="G522" s="8" t="s">
        <v>32</v>
      </c>
      <c r="H522" s="8" t="s">
        <v>42</v>
      </c>
      <c r="I522" s="11">
        <v>3</v>
      </c>
      <c r="J522" s="12">
        <v>102</v>
      </c>
      <c r="K522" s="13">
        <v>0</v>
      </c>
      <c r="L522" s="12">
        <v>71.44</v>
      </c>
      <c r="M522" s="14">
        <f>ROUND(tblSprzedaz[[#This Row],[Ilość]]*tblSprzedaz[[#This Row],[Cena netto jednostkowa]]*(1-tblSprzedaz[[#This Row],[Rabat %]]),2)</f>
        <v>306</v>
      </c>
      <c r="N522" s="14">
        <f>ROUND(tblSprzedaz[[#This Row],[Ilość]]*tblSprzedaz[[#This Row],[Koszt jednostkowy netto]],2)</f>
        <v>214.32</v>
      </c>
      <c r="O522" s="14">
        <f>tblSprzedaz[[#This Row],[Przychód netto]]-tblSprzedaz[[#This Row],[Koszt całkowity netto]]</f>
        <v>91.68</v>
      </c>
      <c r="P522" s="15">
        <f>IFERROR(tblSprzedaz[[#This Row],[Marża kwotowa]]/tblSprzedaz[[#This Row],[Przychód netto]],0)</f>
        <v>0.29960784313725491</v>
      </c>
      <c r="Q522" s="16">
        <f>YEAR(tblSprzedaz[[#This Row],[Data]])</f>
        <v>2025</v>
      </c>
      <c r="R522" s="16">
        <f>MONTH(tblSprzedaz[[#This Row],[Data]])</f>
        <v>5</v>
      </c>
      <c r="S522" s="9" t="str">
        <f>YEAR(tblSprzedaz[[#This Row],[Data]])&amp;"-"&amp;RIGHT("0"&amp;MONTH(tblSprzedaz[[#This Row],[Data]]),2)</f>
        <v>2025-05</v>
      </c>
    </row>
    <row r="523" spans="1:19" x14ac:dyDescent="0.25">
      <c r="A523" s="7" t="s">
        <v>1213</v>
      </c>
      <c r="B523" s="10">
        <v>45799</v>
      </c>
      <c r="C523" s="7" t="s">
        <v>1214</v>
      </c>
      <c r="D523" s="8" t="s">
        <v>114</v>
      </c>
      <c r="E523" s="8" t="s">
        <v>53</v>
      </c>
      <c r="F523" s="8" t="s">
        <v>29</v>
      </c>
      <c r="G523" s="8" t="s">
        <v>28</v>
      </c>
      <c r="H523" s="8" t="s">
        <v>38</v>
      </c>
      <c r="I523" s="11">
        <v>22</v>
      </c>
      <c r="J523" s="12">
        <v>27.88</v>
      </c>
      <c r="K523" s="13">
        <v>0</v>
      </c>
      <c r="L523" s="12">
        <v>16.399999999999999</v>
      </c>
      <c r="M523" s="14">
        <f>ROUND(tblSprzedaz[[#This Row],[Ilość]]*tblSprzedaz[[#This Row],[Cena netto jednostkowa]]*(1-tblSprzedaz[[#This Row],[Rabat %]]),2)</f>
        <v>613.36</v>
      </c>
      <c r="N523" s="14">
        <f>ROUND(tblSprzedaz[[#This Row],[Ilość]]*tblSprzedaz[[#This Row],[Koszt jednostkowy netto]],2)</f>
        <v>360.8</v>
      </c>
      <c r="O523" s="14">
        <f>tblSprzedaz[[#This Row],[Przychód netto]]-tblSprzedaz[[#This Row],[Koszt całkowity netto]]</f>
        <v>252.56</v>
      </c>
      <c r="P523" s="15">
        <f>IFERROR(tblSprzedaz[[#This Row],[Marża kwotowa]]/tblSprzedaz[[#This Row],[Przychód netto]],0)</f>
        <v>0.41176470588235292</v>
      </c>
      <c r="Q523" s="16">
        <f>YEAR(tblSprzedaz[[#This Row],[Data]])</f>
        <v>2025</v>
      </c>
      <c r="R523" s="16">
        <f>MONTH(tblSprzedaz[[#This Row],[Data]])</f>
        <v>5</v>
      </c>
      <c r="S523" s="9" t="str">
        <f>YEAR(tblSprzedaz[[#This Row],[Data]])&amp;"-"&amp;RIGHT("0"&amp;MONTH(tblSprzedaz[[#This Row],[Data]]),2)</f>
        <v>2025-05</v>
      </c>
    </row>
    <row r="524" spans="1:19" x14ac:dyDescent="0.25">
      <c r="A524" s="7" t="s">
        <v>1215</v>
      </c>
      <c r="B524" s="10">
        <v>45800</v>
      </c>
      <c r="C524" s="7" t="s">
        <v>1216</v>
      </c>
      <c r="D524" s="8" t="s">
        <v>101</v>
      </c>
      <c r="E524" s="8" t="s">
        <v>56</v>
      </c>
      <c r="F524" s="8" t="s">
        <v>31</v>
      </c>
      <c r="G524" s="8" t="s">
        <v>30</v>
      </c>
      <c r="H524" s="8" t="s">
        <v>40</v>
      </c>
      <c r="I524" s="11">
        <v>6</v>
      </c>
      <c r="J524" s="12">
        <v>279.3</v>
      </c>
      <c r="K524" s="13">
        <v>0.1</v>
      </c>
      <c r="L524" s="12">
        <v>183.22</v>
      </c>
      <c r="M524" s="14">
        <f>ROUND(tblSprzedaz[[#This Row],[Ilość]]*tblSprzedaz[[#This Row],[Cena netto jednostkowa]]*(1-tblSprzedaz[[#This Row],[Rabat %]]),2)</f>
        <v>1508.22</v>
      </c>
      <c r="N524" s="14">
        <f>ROUND(tblSprzedaz[[#This Row],[Ilość]]*tblSprzedaz[[#This Row],[Koszt jednostkowy netto]],2)</f>
        <v>1099.32</v>
      </c>
      <c r="O524" s="14">
        <f>tblSprzedaz[[#This Row],[Przychód netto]]-tblSprzedaz[[#This Row],[Koszt całkowity netto]]</f>
        <v>408.90000000000009</v>
      </c>
      <c r="P524" s="15">
        <f>IFERROR(tblSprzedaz[[#This Row],[Marża kwotowa]]/tblSprzedaz[[#This Row],[Przychód netto]],0)</f>
        <v>0.27111429367068468</v>
      </c>
      <c r="Q524" s="16">
        <f>YEAR(tblSprzedaz[[#This Row],[Data]])</f>
        <v>2025</v>
      </c>
      <c r="R524" s="16">
        <f>MONTH(tblSprzedaz[[#This Row],[Data]])</f>
        <v>5</v>
      </c>
      <c r="S524" s="9" t="str">
        <f>YEAR(tblSprzedaz[[#This Row],[Data]])&amp;"-"&amp;RIGHT("0"&amp;MONTH(tblSprzedaz[[#This Row],[Data]]),2)</f>
        <v>2025-05</v>
      </c>
    </row>
    <row r="525" spans="1:19" x14ac:dyDescent="0.25">
      <c r="A525" s="7" t="s">
        <v>1217</v>
      </c>
      <c r="B525" s="10">
        <v>45800</v>
      </c>
      <c r="C525" s="7" t="s">
        <v>1218</v>
      </c>
      <c r="D525" s="8" t="s">
        <v>124</v>
      </c>
      <c r="E525" s="8" t="s">
        <v>56</v>
      </c>
      <c r="F525" s="8" t="s">
        <v>31</v>
      </c>
      <c r="G525" s="8" t="s">
        <v>30</v>
      </c>
      <c r="H525" s="8" t="s">
        <v>41</v>
      </c>
      <c r="I525" s="11">
        <v>2</v>
      </c>
      <c r="J525" s="12">
        <v>279.3</v>
      </c>
      <c r="K525" s="13">
        <v>0</v>
      </c>
      <c r="L525" s="12">
        <v>168.08</v>
      </c>
      <c r="M525" s="14">
        <f>ROUND(tblSprzedaz[[#This Row],[Ilość]]*tblSprzedaz[[#This Row],[Cena netto jednostkowa]]*(1-tblSprzedaz[[#This Row],[Rabat %]]),2)</f>
        <v>558.6</v>
      </c>
      <c r="N525" s="14">
        <f>ROUND(tblSprzedaz[[#This Row],[Ilość]]*tblSprzedaz[[#This Row],[Koszt jednostkowy netto]],2)</f>
        <v>336.16</v>
      </c>
      <c r="O525" s="14">
        <f>tblSprzedaz[[#This Row],[Przychód netto]]-tblSprzedaz[[#This Row],[Koszt całkowity netto]]</f>
        <v>222.44</v>
      </c>
      <c r="P525" s="15">
        <f>IFERROR(tblSprzedaz[[#This Row],[Marża kwotowa]]/tblSprzedaz[[#This Row],[Przychód netto]],0)</f>
        <v>0.39820981023988539</v>
      </c>
      <c r="Q525" s="16">
        <f>YEAR(tblSprzedaz[[#This Row],[Data]])</f>
        <v>2025</v>
      </c>
      <c r="R525" s="16">
        <f>MONTH(tblSprzedaz[[#This Row],[Data]])</f>
        <v>5</v>
      </c>
      <c r="S525" s="9" t="str">
        <f>YEAR(tblSprzedaz[[#This Row],[Data]])&amp;"-"&amp;RIGHT("0"&amp;MONTH(tblSprzedaz[[#This Row],[Data]]),2)</f>
        <v>2025-05</v>
      </c>
    </row>
    <row r="526" spans="1:19" x14ac:dyDescent="0.25">
      <c r="A526" s="7" t="s">
        <v>1219</v>
      </c>
      <c r="B526" s="10">
        <v>45800</v>
      </c>
      <c r="C526" s="7" t="s">
        <v>1220</v>
      </c>
      <c r="D526" s="8" t="s">
        <v>140</v>
      </c>
      <c r="E526" s="8" t="s">
        <v>59</v>
      </c>
      <c r="F526" s="8" t="s">
        <v>31</v>
      </c>
      <c r="G526" s="8" t="s">
        <v>32</v>
      </c>
      <c r="H526" s="8" t="s">
        <v>43</v>
      </c>
      <c r="I526" s="11">
        <v>24</v>
      </c>
      <c r="J526" s="12">
        <v>172.2</v>
      </c>
      <c r="K526" s="13">
        <v>0</v>
      </c>
      <c r="L526" s="12">
        <v>109.05</v>
      </c>
      <c r="M526" s="14">
        <f>ROUND(tblSprzedaz[[#This Row],[Ilość]]*tblSprzedaz[[#This Row],[Cena netto jednostkowa]]*(1-tblSprzedaz[[#This Row],[Rabat %]]),2)</f>
        <v>4132.8</v>
      </c>
      <c r="N526" s="14">
        <f>ROUND(tblSprzedaz[[#This Row],[Ilość]]*tblSprzedaz[[#This Row],[Koszt jednostkowy netto]],2)</f>
        <v>2617.1999999999998</v>
      </c>
      <c r="O526" s="14">
        <f>tblSprzedaz[[#This Row],[Przychód netto]]-tblSprzedaz[[#This Row],[Koszt całkowity netto]]</f>
        <v>1515.6000000000004</v>
      </c>
      <c r="P526" s="15">
        <f>IFERROR(tblSprzedaz[[#This Row],[Marża kwotowa]]/tblSprzedaz[[#This Row],[Przychód netto]],0)</f>
        <v>0.36672473867595828</v>
      </c>
      <c r="Q526" s="16">
        <f>YEAR(tblSprzedaz[[#This Row],[Data]])</f>
        <v>2025</v>
      </c>
      <c r="R526" s="16">
        <f>MONTH(tblSprzedaz[[#This Row],[Data]])</f>
        <v>5</v>
      </c>
      <c r="S526" s="9" t="str">
        <f>YEAR(tblSprzedaz[[#This Row],[Data]])&amp;"-"&amp;RIGHT("0"&amp;MONTH(tblSprzedaz[[#This Row],[Data]]),2)</f>
        <v>2025-05</v>
      </c>
    </row>
    <row r="527" spans="1:19" x14ac:dyDescent="0.25">
      <c r="A527" s="7" t="s">
        <v>1221</v>
      </c>
      <c r="B527" s="10">
        <v>45800</v>
      </c>
      <c r="C527" s="7" t="s">
        <v>1222</v>
      </c>
      <c r="D527" s="8" t="s">
        <v>144</v>
      </c>
      <c r="E527" s="8" t="s">
        <v>68</v>
      </c>
      <c r="F527" s="8" t="s">
        <v>35</v>
      </c>
      <c r="G527" s="8" t="s">
        <v>30</v>
      </c>
      <c r="H527" s="8" t="s">
        <v>40</v>
      </c>
      <c r="I527" s="11">
        <v>18</v>
      </c>
      <c r="J527" s="12">
        <v>90.44</v>
      </c>
      <c r="K527" s="13">
        <v>0.05</v>
      </c>
      <c r="L527" s="12">
        <v>63.56</v>
      </c>
      <c r="M527" s="14">
        <f>ROUND(tblSprzedaz[[#This Row],[Ilość]]*tblSprzedaz[[#This Row],[Cena netto jednostkowa]]*(1-tblSprzedaz[[#This Row],[Rabat %]]),2)</f>
        <v>1546.52</v>
      </c>
      <c r="N527" s="14">
        <f>ROUND(tblSprzedaz[[#This Row],[Ilość]]*tblSprzedaz[[#This Row],[Koszt jednostkowy netto]],2)</f>
        <v>1144.08</v>
      </c>
      <c r="O527" s="14">
        <f>tblSprzedaz[[#This Row],[Przychód netto]]-tblSprzedaz[[#This Row],[Koszt całkowity netto]]</f>
        <v>402.44000000000005</v>
      </c>
      <c r="P527" s="15">
        <f>IFERROR(tblSprzedaz[[#This Row],[Marża kwotowa]]/tblSprzedaz[[#This Row],[Przychód netto]],0)</f>
        <v>0.26022295217649954</v>
      </c>
      <c r="Q527" s="16">
        <f>YEAR(tblSprzedaz[[#This Row],[Data]])</f>
        <v>2025</v>
      </c>
      <c r="R527" s="16">
        <f>MONTH(tblSprzedaz[[#This Row],[Data]])</f>
        <v>5</v>
      </c>
      <c r="S527" s="9" t="str">
        <f>YEAR(tblSprzedaz[[#This Row],[Data]])&amp;"-"&amp;RIGHT("0"&amp;MONTH(tblSprzedaz[[#This Row],[Data]]),2)</f>
        <v>2025-05</v>
      </c>
    </row>
    <row r="528" spans="1:19" x14ac:dyDescent="0.25">
      <c r="A528" s="7" t="s">
        <v>1223</v>
      </c>
      <c r="B528" s="10">
        <v>45800</v>
      </c>
      <c r="C528" s="7" t="s">
        <v>1224</v>
      </c>
      <c r="D528" s="8" t="s">
        <v>85</v>
      </c>
      <c r="E528" s="8" t="s">
        <v>58</v>
      </c>
      <c r="F528" s="8" t="s">
        <v>31</v>
      </c>
      <c r="G528" s="8" t="s">
        <v>36</v>
      </c>
      <c r="H528" s="8" t="s">
        <v>47</v>
      </c>
      <c r="I528" s="11">
        <v>5</v>
      </c>
      <c r="J528" s="12">
        <v>350.7</v>
      </c>
      <c r="K528" s="13">
        <v>0</v>
      </c>
      <c r="L528" s="12">
        <v>220</v>
      </c>
      <c r="M528" s="14">
        <f>ROUND(tblSprzedaz[[#This Row],[Ilość]]*tblSprzedaz[[#This Row],[Cena netto jednostkowa]]*(1-tblSprzedaz[[#This Row],[Rabat %]]),2)</f>
        <v>1753.5</v>
      </c>
      <c r="N528" s="14">
        <f>ROUND(tblSprzedaz[[#This Row],[Ilość]]*tblSprzedaz[[#This Row],[Koszt jednostkowy netto]],2)</f>
        <v>1100</v>
      </c>
      <c r="O528" s="14">
        <f>tblSprzedaz[[#This Row],[Przychód netto]]-tblSprzedaz[[#This Row],[Koszt całkowity netto]]</f>
        <v>653.5</v>
      </c>
      <c r="P528" s="15">
        <f>IFERROR(tblSprzedaz[[#This Row],[Marża kwotowa]]/tblSprzedaz[[#This Row],[Przychód netto]],0)</f>
        <v>0.37268320501853436</v>
      </c>
      <c r="Q528" s="16">
        <f>YEAR(tblSprzedaz[[#This Row],[Data]])</f>
        <v>2025</v>
      </c>
      <c r="R528" s="16">
        <f>MONTH(tblSprzedaz[[#This Row],[Data]])</f>
        <v>5</v>
      </c>
      <c r="S528" s="9" t="str">
        <f>YEAR(tblSprzedaz[[#This Row],[Data]])&amp;"-"&amp;RIGHT("0"&amp;MONTH(tblSprzedaz[[#This Row],[Data]]),2)</f>
        <v>2025-05</v>
      </c>
    </row>
    <row r="529" spans="1:19" x14ac:dyDescent="0.25">
      <c r="A529" s="7" t="s">
        <v>1225</v>
      </c>
      <c r="B529" s="10">
        <v>45800</v>
      </c>
      <c r="C529" s="7" t="s">
        <v>1226</v>
      </c>
      <c r="D529" s="8" t="s">
        <v>98</v>
      </c>
      <c r="E529" s="8" t="s">
        <v>61</v>
      </c>
      <c r="F529" s="8" t="s">
        <v>33</v>
      </c>
      <c r="G529" s="8" t="s">
        <v>30</v>
      </c>
      <c r="H529" s="8" t="s">
        <v>40</v>
      </c>
      <c r="I529" s="11">
        <v>21</v>
      </c>
      <c r="J529" s="12">
        <v>533.6</v>
      </c>
      <c r="K529" s="13">
        <v>0.1</v>
      </c>
      <c r="L529" s="12">
        <v>359.81</v>
      </c>
      <c r="M529" s="14">
        <f>ROUND(tblSprzedaz[[#This Row],[Ilość]]*tblSprzedaz[[#This Row],[Cena netto jednostkowa]]*(1-tblSprzedaz[[#This Row],[Rabat %]]),2)</f>
        <v>10085.040000000001</v>
      </c>
      <c r="N529" s="14">
        <f>ROUND(tblSprzedaz[[#This Row],[Ilość]]*tblSprzedaz[[#This Row],[Koszt jednostkowy netto]],2)</f>
        <v>7556.01</v>
      </c>
      <c r="O529" s="14">
        <f>tblSprzedaz[[#This Row],[Przychód netto]]-tblSprzedaz[[#This Row],[Koszt całkowity netto]]</f>
        <v>2529.0300000000007</v>
      </c>
      <c r="P529" s="15">
        <f>IFERROR(tblSprzedaz[[#This Row],[Marża kwotowa]]/tblSprzedaz[[#This Row],[Przychód netto]],0)</f>
        <v>0.25077044810927873</v>
      </c>
      <c r="Q529" s="16">
        <f>YEAR(tblSprzedaz[[#This Row],[Data]])</f>
        <v>2025</v>
      </c>
      <c r="R529" s="16">
        <f>MONTH(tblSprzedaz[[#This Row],[Data]])</f>
        <v>5</v>
      </c>
      <c r="S529" s="9" t="str">
        <f>YEAR(tblSprzedaz[[#This Row],[Data]])&amp;"-"&amp;RIGHT("0"&amp;MONTH(tblSprzedaz[[#This Row],[Data]]),2)</f>
        <v>2025-05</v>
      </c>
    </row>
    <row r="530" spans="1:19" x14ac:dyDescent="0.25">
      <c r="A530" s="7" t="s">
        <v>1227</v>
      </c>
      <c r="B530" s="10">
        <v>45800</v>
      </c>
      <c r="C530" s="7" t="s">
        <v>1228</v>
      </c>
      <c r="D530" s="8" t="s">
        <v>120</v>
      </c>
      <c r="E530" s="8" t="s">
        <v>66</v>
      </c>
      <c r="F530" s="8" t="s">
        <v>35</v>
      </c>
      <c r="G530" s="8" t="s">
        <v>28</v>
      </c>
      <c r="H530" s="8" t="s">
        <v>38</v>
      </c>
      <c r="I530" s="11">
        <v>8</v>
      </c>
      <c r="J530" s="12">
        <v>67.319999999999993</v>
      </c>
      <c r="K530" s="13">
        <v>0.05</v>
      </c>
      <c r="L530" s="12">
        <v>49.84</v>
      </c>
      <c r="M530" s="14">
        <f>ROUND(tblSprzedaz[[#This Row],[Ilość]]*tblSprzedaz[[#This Row],[Cena netto jednostkowa]]*(1-tblSprzedaz[[#This Row],[Rabat %]]),2)</f>
        <v>511.63</v>
      </c>
      <c r="N530" s="14">
        <f>ROUND(tblSprzedaz[[#This Row],[Ilość]]*tblSprzedaz[[#This Row],[Koszt jednostkowy netto]],2)</f>
        <v>398.72</v>
      </c>
      <c r="O530" s="14">
        <f>tblSprzedaz[[#This Row],[Przychód netto]]-tblSprzedaz[[#This Row],[Koszt całkowity netto]]</f>
        <v>112.90999999999997</v>
      </c>
      <c r="P530" s="15">
        <f>IFERROR(tblSprzedaz[[#This Row],[Marża kwotowa]]/tblSprzedaz[[#This Row],[Przychód netto]],0)</f>
        <v>0.22068682446299076</v>
      </c>
      <c r="Q530" s="16">
        <f>YEAR(tblSprzedaz[[#This Row],[Data]])</f>
        <v>2025</v>
      </c>
      <c r="R530" s="16">
        <f>MONTH(tblSprzedaz[[#This Row],[Data]])</f>
        <v>5</v>
      </c>
      <c r="S530" s="9" t="str">
        <f>YEAR(tblSprzedaz[[#This Row],[Data]])&amp;"-"&amp;RIGHT("0"&amp;MONTH(tblSprzedaz[[#This Row],[Data]]),2)</f>
        <v>2025-05</v>
      </c>
    </row>
    <row r="531" spans="1:19" x14ac:dyDescent="0.25">
      <c r="A531" s="7" t="s">
        <v>1229</v>
      </c>
      <c r="B531" s="10">
        <v>45801</v>
      </c>
      <c r="C531" s="7" t="s">
        <v>1230</v>
      </c>
      <c r="D531" s="8" t="s">
        <v>121</v>
      </c>
      <c r="E531" s="8" t="s">
        <v>77</v>
      </c>
      <c r="F531" s="8" t="s">
        <v>37</v>
      </c>
      <c r="G531" s="8" t="s">
        <v>34</v>
      </c>
      <c r="H531" s="8" t="s">
        <v>44</v>
      </c>
      <c r="I531" s="11">
        <v>14</v>
      </c>
      <c r="J531" s="12">
        <v>77.900000000000006</v>
      </c>
      <c r="K531" s="13">
        <v>0</v>
      </c>
      <c r="L531" s="12">
        <v>57.04</v>
      </c>
      <c r="M531" s="14">
        <f>ROUND(tblSprzedaz[[#This Row],[Ilość]]*tblSprzedaz[[#This Row],[Cena netto jednostkowa]]*(1-tblSprzedaz[[#This Row],[Rabat %]]),2)</f>
        <v>1090.5999999999999</v>
      </c>
      <c r="N531" s="14">
        <f>ROUND(tblSprzedaz[[#This Row],[Ilość]]*tblSprzedaz[[#This Row],[Koszt jednostkowy netto]],2)</f>
        <v>798.56</v>
      </c>
      <c r="O531" s="14">
        <f>tblSprzedaz[[#This Row],[Przychód netto]]-tblSprzedaz[[#This Row],[Koszt całkowity netto]]</f>
        <v>292.03999999999996</v>
      </c>
      <c r="P531" s="15">
        <f>IFERROR(tblSprzedaz[[#This Row],[Marża kwotowa]]/tblSprzedaz[[#This Row],[Przychód netto]],0)</f>
        <v>0.26777920410783052</v>
      </c>
      <c r="Q531" s="16">
        <f>YEAR(tblSprzedaz[[#This Row],[Data]])</f>
        <v>2025</v>
      </c>
      <c r="R531" s="16">
        <f>MONTH(tblSprzedaz[[#This Row],[Data]])</f>
        <v>5</v>
      </c>
      <c r="S531" s="9" t="str">
        <f>YEAR(tblSprzedaz[[#This Row],[Data]])&amp;"-"&amp;RIGHT("0"&amp;MONTH(tblSprzedaz[[#This Row],[Data]]),2)</f>
        <v>2025-05</v>
      </c>
    </row>
    <row r="532" spans="1:19" x14ac:dyDescent="0.25">
      <c r="A532" s="7" t="s">
        <v>1231</v>
      </c>
      <c r="B532" s="10">
        <v>45802</v>
      </c>
      <c r="C532" s="7" t="s">
        <v>1232</v>
      </c>
      <c r="D532" s="8" t="s">
        <v>132</v>
      </c>
      <c r="E532" s="8" t="s">
        <v>72</v>
      </c>
      <c r="F532" s="8" t="s">
        <v>37</v>
      </c>
      <c r="G532" s="8" t="s">
        <v>28</v>
      </c>
      <c r="H532" s="8" t="s">
        <v>38</v>
      </c>
      <c r="I532" s="11">
        <v>8</v>
      </c>
      <c r="J532" s="12">
        <v>94.05</v>
      </c>
      <c r="K532" s="13">
        <v>0</v>
      </c>
      <c r="L532" s="12">
        <v>71.12</v>
      </c>
      <c r="M532" s="14">
        <f>ROUND(tblSprzedaz[[#This Row],[Ilość]]*tblSprzedaz[[#This Row],[Cena netto jednostkowa]]*(1-tblSprzedaz[[#This Row],[Rabat %]]),2)</f>
        <v>752.4</v>
      </c>
      <c r="N532" s="14">
        <f>ROUND(tblSprzedaz[[#This Row],[Ilość]]*tblSprzedaz[[#This Row],[Koszt jednostkowy netto]],2)</f>
        <v>568.96</v>
      </c>
      <c r="O532" s="14">
        <f>tblSprzedaz[[#This Row],[Przychód netto]]-tblSprzedaz[[#This Row],[Koszt całkowity netto]]</f>
        <v>183.43999999999994</v>
      </c>
      <c r="P532" s="15">
        <f>IFERROR(tblSprzedaz[[#This Row],[Marża kwotowa]]/tblSprzedaz[[#This Row],[Przychód netto]],0)</f>
        <v>0.243806485911749</v>
      </c>
      <c r="Q532" s="16">
        <f>YEAR(tblSprzedaz[[#This Row],[Data]])</f>
        <v>2025</v>
      </c>
      <c r="R532" s="16">
        <f>MONTH(tblSprzedaz[[#This Row],[Data]])</f>
        <v>5</v>
      </c>
      <c r="S532" s="9" t="str">
        <f>YEAR(tblSprzedaz[[#This Row],[Data]])&amp;"-"&amp;RIGHT("0"&amp;MONTH(tblSprzedaz[[#This Row],[Data]]),2)</f>
        <v>2025-05</v>
      </c>
    </row>
    <row r="533" spans="1:19" x14ac:dyDescent="0.25">
      <c r="A533" s="7" t="s">
        <v>1233</v>
      </c>
      <c r="B533" s="10">
        <v>45802</v>
      </c>
      <c r="C533" s="7" t="s">
        <v>1234</v>
      </c>
      <c r="D533" s="8" t="s">
        <v>114</v>
      </c>
      <c r="E533" s="8" t="s">
        <v>74</v>
      </c>
      <c r="F533" s="8" t="s">
        <v>37</v>
      </c>
      <c r="G533" s="8" t="s">
        <v>28</v>
      </c>
      <c r="H533" s="8" t="s">
        <v>38</v>
      </c>
      <c r="I533" s="11">
        <v>7</v>
      </c>
      <c r="J533" s="12">
        <v>126.35</v>
      </c>
      <c r="K533" s="13">
        <v>0.1</v>
      </c>
      <c r="L533" s="12">
        <v>96.33</v>
      </c>
      <c r="M533" s="14">
        <f>ROUND(tblSprzedaz[[#This Row],[Ilość]]*tblSprzedaz[[#This Row],[Cena netto jednostkowa]]*(1-tblSprzedaz[[#This Row],[Rabat %]]),2)</f>
        <v>796.01</v>
      </c>
      <c r="N533" s="14">
        <f>ROUND(tblSprzedaz[[#This Row],[Ilość]]*tblSprzedaz[[#This Row],[Koszt jednostkowy netto]],2)</f>
        <v>674.31</v>
      </c>
      <c r="O533" s="14">
        <f>tblSprzedaz[[#This Row],[Przychód netto]]-tblSprzedaz[[#This Row],[Koszt całkowity netto]]</f>
        <v>121.70000000000005</v>
      </c>
      <c r="P533" s="15">
        <f>IFERROR(tblSprzedaz[[#This Row],[Marża kwotowa]]/tblSprzedaz[[#This Row],[Przychód netto]],0)</f>
        <v>0.15288752653861137</v>
      </c>
      <c r="Q533" s="16">
        <f>YEAR(tblSprzedaz[[#This Row],[Data]])</f>
        <v>2025</v>
      </c>
      <c r="R533" s="16">
        <f>MONTH(tblSprzedaz[[#This Row],[Data]])</f>
        <v>5</v>
      </c>
      <c r="S533" s="9" t="str">
        <f>YEAR(tblSprzedaz[[#This Row],[Data]])&amp;"-"&amp;RIGHT("0"&amp;MONTH(tblSprzedaz[[#This Row],[Data]]),2)</f>
        <v>2025-05</v>
      </c>
    </row>
    <row r="534" spans="1:19" x14ac:dyDescent="0.25">
      <c r="A534" s="7" t="s">
        <v>1235</v>
      </c>
      <c r="B534" s="10">
        <v>45803</v>
      </c>
      <c r="C534" s="7" t="s">
        <v>1236</v>
      </c>
      <c r="D534" s="8" t="s">
        <v>148</v>
      </c>
      <c r="E534" s="8" t="s">
        <v>64</v>
      </c>
      <c r="F534" s="8" t="s">
        <v>33</v>
      </c>
      <c r="G534" s="8" t="s">
        <v>32</v>
      </c>
      <c r="H534" s="8" t="s">
        <v>42</v>
      </c>
      <c r="I534" s="11">
        <v>22</v>
      </c>
      <c r="J534" s="12">
        <v>768.2</v>
      </c>
      <c r="K534" s="13">
        <v>0.15</v>
      </c>
      <c r="L534" s="12">
        <v>515.82000000000005</v>
      </c>
      <c r="M534" s="14">
        <f>ROUND(tblSprzedaz[[#This Row],[Ilość]]*tblSprzedaz[[#This Row],[Cena netto jednostkowa]]*(1-tblSprzedaz[[#This Row],[Rabat %]]),2)</f>
        <v>14365.34</v>
      </c>
      <c r="N534" s="14">
        <f>ROUND(tblSprzedaz[[#This Row],[Ilość]]*tblSprzedaz[[#This Row],[Koszt jednostkowy netto]],2)</f>
        <v>11348.04</v>
      </c>
      <c r="O534" s="14">
        <f>tblSprzedaz[[#This Row],[Przychód netto]]-tblSprzedaz[[#This Row],[Koszt całkowity netto]]</f>
        <v>3017.2999999999993</v>
      </c>
      <c r="P534" s="15">
        <f>IFERROR(tblSprzedaz[[#This Row],[Marża kwotowa]]/tblSprzedaz[[#This Row],[Przychód netto]],0)</f>
        <v>0.21004027750126342</v>
      </c>
      <c r="Q534" s="16">
        <f>YEAR(tblSprzedaz[[#This Row],[Data]])</f>
        <v>2025</v>
      </c>
      <c r="R534" s="16">
        <f>MONTH(tblSprzedaz[[#This Row],[Data]])</f>
        <v>5</v>
      </c>
      <c r="S534" s="9" t="str">
        <f>YEAR(tblSprzedaz[[#This Row],[Data]])&amp;"-"&amp;RIGHT("0"&amp;MONTH(tblSprzedaz[[#This Row],[Data]]),2)</f>
        <v>2025-05</v>
      </c>
    </row>
    <row r="535" spans="1:19" x14ac:dyDescent="0.25">
      <c r="A535" s="7" t="s">
        <v>1237</v>
      </c>
      <c r="B535" s="10">
        <v>45803</v>
      </c>
      <c r="C535" s="7" t="s">
        <v>1238</v>
      </c>
      <c r="D535" s="8" t="s">
        <v>118</v>
      </c>
      <c r="E535" s="8" t="s">
        <v>62</v>
      </c>
      <c r="F535" s="8" t="s">
        <v>33</v>
      </c>
      <c r="G535" s="8" t="s">
        <v>28</v>
      </c>
      <c r="H535" s="8" t="s">
        <v>39</v>
      </c>
      <c r="I535" s="11">
        <v>4</v>
      </c>
      <c r="J535" s="12">
        <v>611.79999999999995</v>
      </c>
      <c r="K535" s="13">
        <v>0</v>
      </c>
      <c r="L535" s="12">
        <v>407.85</v>
      </c>
      <c r="M535" s="14">
        <f>ROUND(tblSprzedaz[[#This Row],[Ilość]]*tblSprzedaz[[#This Row],[Cena netto jednostkowa]]*(1-tblSprzedaz[[#This Row],[Rabat %]]),2)</f>
        <v>2447.1999999999998</v>
      </c>
      <c r="N535" s="14">
        <f>ROUND(tblSprzedaz[[#This Row],[Ilość]]*tblSprzedaz[[#This Row],[Koszt jednostkowy netto]],2)</f>
        <v>1631.4</v>
      </c>
      <c r="O535" s="14">
        <f>tblSprzedaz[[#This Row],[Przychód netto]]-tblSprzedaz[[#This Row],[Koszt całkowity netto]]</f>
        <v>815.79999999999973</v>
      </c>
      <c r="P535" s="15">
        <f>IFERROR(tblSprzedaz[[#This Row],[Marża kwotowa]]/tblSprzedaz[[#This Row],[Przychód netto]],0)</f>
        <v>0.33336057535142194</v>
      </c>
      <c r="Q535" s="16">
        <f>YEAR(tblSprzedaz[[#This Row],[Data]])</f>
        <v>2025</v>
      </c>
      <c r="R535" s="16">
        <f>MONTH(tblSprzedaz[[#This Row],[Data]])</f>
        <v>5</v>
      </c>
      <c r="S535" s="9" t="str">
        <f>YEAR(tblSprzedaz[[#This Row],[Data]])&amp;"-"&amp;RIGHT("0"&amp;MONTH(tblSprzedaz[[#This Row],[Data]]),2)</f>
        <v>2025-05</v>
      </c>
    </row>
    <row r="536" spans="1:19" x14ac:dyDescent="0.25">
      <c r="A536" s="7" t="s">
        <v>1239</v>
      </c>
      <c r="B536" s="10">
        <v>45803</v>
      </c>
      <c r="C536" s="7" t="s">
        <v>1240</v>
      </c>
      <c r="D536" s="8" t="s">
        <v>132</v>
      </c>
      <c r="E536" s="8" t="s">
        <v>68</v>
      </c>
      <c r="F536" s="8" t="s">
        <v>35</v>
      </c>
      <c r="G536" s="8" t="s">
        <v>36</v>
      </c>
      <c r="H536" s="8" t="s">
        <v>46</v>
      </c>
      <c r="I536" s="11">
        <v>11</v>
      </c>
      <c r="J536" s="12">
        <v>90.44</v>
      </c>
      <c r="K536" s="13">
        <v>0.1</v>
      </c>
      <c r="L536" s="12">
        <v>64.42</v>
      </c>
      <c r="M536" s="14">
        <f>ROUND(tblSprzedaz[[#This Row],[Ilość]]*tblSprzedaz[[#This Row],[Cena netto jednostkowa]]*(1-tblSprzedaz[[#This Row],[Rabat %]]),2)</f>
        <v>895.36</v>
      </c>
      <c r="N536" s="14">
        <f>ROUND(tblSprzedaz[[#This Row],[Ilość]]*tblSprzedaz[[#This Row],[Koszt jednostkowy netto]],2)</f>
        <v>708.62</v>
      </c>
      <c r="O536" s="14">
        <f>tblSprzedaz[[#This Row],[Przychód netto]]-tblSprzedaz[[#This Row],[Koszt całkowity netto]]</f>
        <v>186.74</v>
      </c>
      <c r="P536" s="15">
        <f>IFERROR(tblSprzedaz[[#This Row],[Marża kwotowa]]/tblSprzedaz[[#This Row],[Przychód netto]],0)</f>
        <v>0.20856415296640457</v>
      </c>
      <c r="Q536" s="16">
        <f>YEAR(tblSprzedaz[[#This Row],[Data]])</f>
        <v>2025</v>
      </c>
      <c r="R536" s="16">
        <f>MONTH(tblSprzedaz[[#This Row],[Data]])</f>
        <v>5</v>
      </c>
      <c r="S536" s="9" t="str">
        <f>YEAR(tblSprzedaz[[#This Row],[Data]])&amp;"-"&amp;RIGHT("0"&amp;MONTH(tblSprzedaz[[#This Row],[Data]]),2)</f>
        <v>2025-05</v>
      </c>
    </row>
    <row r="537" spans="1:19" x14ac:dyDescent="0.25">
      <c r="A537" s="7" t="s">
        <v>1241</v>
      </c>
      <c r="B537" s="10">
        <v>45804</v>
      </c>
      <c r="C537" s="7" t="s">
        <v>1242</v>
      </c>
      <c r="D537" s="8" t="s">
        <v>122</v>
      </c>
      <c r="E537" s="8" t="s">
        <v>62</v>
      </c>
      <c r="F537" s="8" t="s">
        <v>33</v>
      </c>
      <c r="G537" s="8" t="s">
        <v>30</v>
      </c>
      <c r="H537" s="8" t="s">
        <v>41</v>
      </c>
      <c r="I537" s="11">
        <v>23</v>
      </c>
      <c r="J537" s="12">
        <v>611.79999999999995</v>
      </c>
      <c r="K537" s="13">
        <v>0</v>
      </c>
      <c r="L537" s="12">
        <v>432.01</v>
      </c>
      <c r="M537" s="14">
        <f>ROUND(tblSprzedaz[[#This Row],[Ilość]]*tblSprzedaz[[#This Row],[Cena netto jednostkowa]]*(1-tblSprzedaz[[#This Row],[Rabat %]]),2)</f>
        <v>14071.4</v>
      </c>
      <c r="N537" s="14">
        <f>ROUND(tblSprzedaz[[#This Row],[Ilość]]*tblSprzedaz[[#This Row],[Koszt jednostkowy netto]],2)</f>
        <v>9936.23</v>
      </c>
      <c r="O537" s="14">
        <f>tblSprzedaz[[#This Row],[Przychód netto]]-tblSprzedaz[[#This Row],[Koszt całkowity netto]]</f>
        <v>4135.17</v>
      </c>
      <c r="P537" s="15">
        <f>IFERROR(tblSprzedaz[[#This Row],[Marża kwotowa]]/tblSprzedaz[[#This Row],[Przychód netto]],0)</f>
        <v>0.29387054593004253</v>
      </c>
      <c r="Q537" s="16">
        <f>YEAR(tblSprzedaz[[#This Row],[Data]])</f>
        <v>2025</v>
      </c>
      <c r="R537" s="16">
        <f>MONTH(tblSprzedaz[[#This Row],[Data]])</f>
        <v>5</v>
      </c>
      <c r="S537" s="9" t="str">
        <f>YEAR(tblSprzedaz[[#This Row],[Data]])&amp;"-"&amp;RIGHT("0"&amp;MONTH(tblSprzedaz[[#This Row],[Data]]),2)</f>
        <v>2025-05</v>
      </c>
    </row>
    <row r="538" spans="1:19" x14ac:dyDescent="0.25">
      <c r="A538" s="7" t="s">
        <v>1243</v>
      </c>
      <c r="B538" s="10">
        <v>45804</v>
      </c>
      <c r="C538" s="7" t="s">
        <v>1244</v>
      </c>
      <c r="D538" s="8" t="s">
        <v>149</v>
      </c>
      <c r="E538" s="8" t="s">
        <v>50</v>
      </c>
      <c r="F538" s="8" t="s">
        <v>29</v>
      </c>
      <c r="G538" s="8" t="s">
        <v>34</v>
      </c>
      <c r="H538" s="8" t="s">
        <v>44</v>
      </c>
      <c r="I538" s="11">
        <v>8</v>
      </c>
      <c r="J538" s="12">
        <v>45.22</v>
      </c>
      <c r="K538" s="13">
        <v>0.15</v>
      </c>
      <c r="L538" s="12">
        <v>27.08</v>
      </c>
      <c r="M538" s="14">
        <f>ROUND(tblSprzedaz[[#This Row],[Ilość]]*tblSprzedaz[[#This Row],[Cena netto jednostkowa]]*(1-tblSprzedaz[[#This Row],[Rabat %]]),2)</f>
        <v>307.5</v>
      </c>
      <c r="N538" s="14">
        <f>ROUND(tblSprzedaz[[#This Row],[Ilość]]*tblSprzedaz[[#This Row],[Koszt jednostkowy netto]],2)</f>
        <v>216.64</v>
      </c>
      <c r="O538" s="14">
        <f>tblSprzedaz[[#This Row],[Przychód netto]]-tblSprzedaz[[#This Row],[Koszt całkowity netto]]</f>
        <v>90.860000000000014</v>
      </c>
      <c r="P538" s="15">
        <f>IFERROR(tblSprzedaz[[#This Row],[Marża kwotowa]]/tblSprzedaz[[#This Row],[Przychód netto]],0)</f>
        <v>0.29547967479674803</v>
      </c>
      <c r="Q538" s="16">
        <f>YEAR(tblSprzedaz[[#This Row],[Data]])</f>
        <v>2025</v>
      </c>
      <c r="R538" s="16">
        <f>MONTH(tblSprzedaz[[#This Row],[Data]])</f>
        <v>5</v>
      </c>
      <c r="S538" s="9" t="str">
        <f>YEAR(tblSprzedaz[[#This Row],[Data]])&amp;"-"&amp;RIGHT("0"&amp;MONTH(tblSprzedaz[[#This Row],[Data]]),2)</f>
        <v>2025-05</v>
      </c>
    </row>
    <row r="539" spans="1:19" x14ac:dyDescent="0.25">
      <c r="A539" s="7" t="s">
        <v>1245</v>
      </c>
      <c r="B539" s="10">
        <v>45804</v>
      </c>
      <c r="C539" s="7" t="s">
        <v>1246</v>
      </c>
      <c r="D539" s="8" t="s">
        <v>131</v>
      </c>
      <c r="E539" s="8" t="s">
        <v>54</v>
      </c>
      <c r="F539" s="8" t="s">
        <v>31</v>
      </c>
      <c r="G539" s="8" t="s">
        <v>34</v>
      </c>
      <c r="H539" s="8" t="s">
        <v>44</v>
      </c>
      <c r="I539" s="11">
        <v>10</v>
      </c>
      <c r="J539" s="12">
        <v>207.9</v>
      </c>
      <c r="K539" s="13">
        <v>0.15</v>
      </c>
      <c r="L539" s="12">
        <v>135.03</v>
      </c>
      <c r="M539" s="14">
        <f>ROUND(tblSprzedaz[[#This Row],[Ilość]]*tblSprzedaz[[#This Row],[Cena netto jednostkowa]]*(1-tblSprzedaz[[#This Row],[Rabat %]]),2)</f>
        <v>1767.15</v>
      </c>
      <c r="N539" s="14">
        <f>ROUND(tblSprzedaz[[#This Row],[Ilość]]*tblSprzedaz[[#This Row],[Koszt jednostkowy netto]],2)</f>
        <v>1350.3</v>
      </c>
      <c r="O539" s="14">
        <f>tblSprzedaz[[#This Row],[Przychód netto]]-tblSprzedaz[[#This Row],[Koszt całkowity netto]]</f>
        <v>416.85000000000014</v>
      </c>
      <c r="P539" s="15">
        <f>IFERROR(tblSprzedaz[[#This Row],[Marża kwotowa]]/tblSprzedaz[[#This Row],[Przychód netto]],0)</f>
        <v>0.23588829471182418</v>
      </c>
      <c r="Q539" s="16">
        <f>YEAR(tblSprzedaz[[#This Row],[Data]])</f>
        <v>2025</v>
      </c>
      <c r="R539" s="16">
        <f>MONTH(tblSprzedaz[[#This Row],[Data]])</f>
        <v>5</v>
      </c>
      <c r="S539" s="9" t="str">
        <f>YEAR(tblSprzedaz[[#This Row],[Data]])&amp;"-"&amp;RIGHT("0"&amp;MONTH(tblSprzedaz[[#This Row],[Data]]),2)</f>
        <v>2025-05</v>
      </c>
    </row>
    <row r="540" spans="1:19" x14ac:dyDescent="0.25">
      <c r="A540" s="7" t="s">
        <v>1247</v>
      </c>
      <c r="B540" s="10">
        <v>45804</v>
      </c>
      <c r="C540" s="7" t="s">
        <v>1248</v>
      </c>
      <c r="D540" s="8" t="s">
        <v>127</v>
      </c>
      <c r="E540" s="8" t="s">
        <v>54</v>
      </c>
      <c r="F540" s="8" t="s">
        <v>31</v>
      </c>
      <c r="G540" s="8" t="s">
        <v>28</v>
      </c>
      <c r="H540" s="8" t="s">
        <v>38</v>
      </c>
      <c r="I540" s="11">
        <v>19</v>
      </c>
      <c r="J540" s="12">
        <v>207.9</v>
      </c>
      <c r="K540" s="13">
        <v>0</v>
      </c>
      <c r="L540" s="12">
        <v>123.91</v>
      </c>
      <c r="M540" s="14">
        <f>ROUND(tblSprzedaz[[#This Row],[Ilość]]*tblSprzedaz[[#This Row],[Cena netto jednostkowa]]*(1-tblSprzedaz[[#This Row],[Rabat %]]),2)</f>
        <v>3950.1</v>
      </c>
      <c r="N540" s="14">
        <f>ROUND(tblSprzedaz[[#This Row],[Ilość]]*tblSprzedaz[[#This Row],[Koszt jednostkowy netto]],2)</f>
        <v>2354.29</v>
      </c>
      <c r="O540" s="14">
        <f>tblSprzedaz[[#This Row],[Przychód netto]]-tblSprzedaz[[#This Row],[Koszt całkowity netto]]</f>
        <v>1595.81</v>
      </c>
      <c r="P540" s="15">
        <f>IFERROR(tblSprzedaz[[#This Row],[Marża kwotowa]]/tblSprzedaz[[#This Row],[Przychód netto]],0)</f>
        <v>0.40399230399230401</v>
      </c>
      <c r="Q540" s="16">
        <f>YEAR(tblSprzedaz[[#This Row],[Data]])</f>
        <v>2025</v>
      </c>
      <c r="R540" s="16">
        <f>MONTH(tblSprzedaz[[#This Row],[Data]])</f>
        <v>5</v>
      </c>
      <c r="S540" s="9" t="str">
        <f>YEAR(tblSprzedaz[[#This Row],[Data]])&amp;"-"&amp;RIGHT("0"&amp;MONTH(tblSprzedaz[[#This Row],[Data]]),2)</f>
        <v>2025-05</v>
      </c>
    </row>
    <row r="541" spans="1:19" x14ac:dyDescent="0.25">
      <c r="A541" s="7" t="s">
        <v>1249</v>
      </c>
      <c r="B541" s="10">
        <v>45804</v>
      </c>
      <c r="C541" s="7" t="s">
        <v>1250</v>
      </c>
      <c r="D541" s="8" t="s">
        <v>94</v>
      </c>
      <c r="E541" s="8" t="s">
        <v>51</v>
      </c>
      <c r="F541" s="8" t="s">
        <v>29</v>
      </c>
      <c r="G541" s="8" t="s">
        <v>32</v>
      </c>
      <c r="H541" s="8" t="s">
        <v>42</v>
      </c>
      <c r="I541" s="11">
        <v>20</v>
      </c>
      <c r="J541" s="12">
        <v>51</v>
      </c>
      <c r="K541" s="13">
        <v>0</v>
      </c>
      <c r="L541" s="12">
        <v>28.72</v>
      </c>
      <c r="M541" s="14">
        <f>ROUND(tblSprzedaz[[#This Row],[Ilość]]*tblSprzedaz[[#This Row],[Cena netto jednostkowa]]*(1-tblSprzedaz[[#This Row],[Rabat %]]),2)</f>
        <v>1020</v>
      </c>
      <c r="N541" s="14">
        <f>ROUND(tblSprzedaz[[#This Row],[Ilość]]*tblSprzedaz[[#This Row],[Koszt jednostkowy netto]],2)</f>
        <v>574.4</v>
      </c>
      <c r="O541" s="14">
        <f>tblSprzedaz[[#This Row],[Przychód netto]]-tblSprzedaz[[#This Row],[Koszt całkowity netto]]</f>
        <v>445.6</v>
      </c>
      <c r="P541" s="15">
        <f>IFERROR(tblSprzedaz[[#This Row],[Marża kwotowa]]/tblSprzedaz[[#This Row],[Przychód netto]],0)</f>
        <v>0.43686274509803924</v>
      </c>
      <c r="Q541" s="16">
        <f>YEAR(tblSprzedaz[[#This Row],[Data]])</f>
        <v>2025</v>
      </c>
      <c r="R541" s="16">
        <f>MONTH(tblSprzedaz[[#This Row],[Data]])</f>
        <v>5</v>
      </c>
      <c r="S541" s="9" t="str">
        <f>YEAR(tblSprzedaz[[#This Row],[Data]])&amp;"-"&amp;RIGHT("0"&amp;MONTH(tblSprzedaz[[#This Row],[Data]]),2)</f>
        <v>2025-05</v>
      </c>
    </row>
    <row r="542" spans="1:19" x14ac:dyDescent="0.25">
      <c r="A542" s="7" t="s">
        <v>1251</v>
      </c>
      <c r="B542" s="10">
        <v>45805</v>
      </c>
      <c r="C542" s="7" t="s">
        <v>1252</v>
      </c>
      <c r="D542" s="8" t="s">
        <v>94</v>
      </c>
      <c r="E542" s="8" t="s">
        <v>54</v>
      </c>
      <c r="F542" s="8" t="s">
        <v>31</v>
      </c>
      <c r="G542" s="8" t="s">
        <v>30</v>
      </c>
      <c r="H542" s="8" t="s">
        <v>40</v>
      </c>
      <c r="I542" s="11">
        <v>22</v>
      </c>
      <c r="J542" s="12">
        <v>207.9</v>
      </c>
      <c r="K542" s="13">
        <v>0.1</v>
      </c>
      <c r="L542" s="12">
        <v>129.47</v>
      </c>
      <c r="M542" s="14">
        <f>ROUND(tblSprzedaz[[#This Row],[Ilość]]*tblSprzedaz[[#This Row],[Cena netto jednostkowa]]*(1-tblSprzedaz[[#This Row],[Rabat %]]),2)</f>
        <v>4116.42</v>
      </c>
      <c r="N542" s="14">
        <f>ROUND(tblSprzedaz[[#This Row],[Ilość]]*tblSprzedaz[[#This Row],[Koszt jednostkowy netto]],2)</f>
        <v>2848.34</v>
      </c>
      <c r="O542" s="14">
        <f>tblSprzedaz[[#This Row],[Przychód netto]]-tblSprzedaz[[#This Row],[Koszt całkowity netto]]</f>
        <v>1268.08</v>
      </c>
      <c r="P542" s="15">
        <f>IFERROR(tblSprzedaz[[#This Row],[Marża kwotowa]]/tblSprzedaz[[#This Row],[Przychód netto]],0)</f>
        <v>0.30805408583186361</v>
      </c>
      <c r="Q542" s="16">
        <f>YEAR(tblSprzedaz[[#This Row],[Data]])</f>
        <v>2025</v>
      </c>
      <c r="R542" s="16">
        <f>MONTH(tblSprzedaz[[#This Row],[Data]])</f>
        <v>5</v>
      </c>
      <c r="S542" s="9" t="str">
        <f>YEAR(tblSprzedaz[[#This Row],[Data]])&amp;"-"&amp;RIGHT("0"&amp;MONTH(tblSprzedaz[[#This Row],[Data]]),2)</f>
        <v>2025-05</v>
      </c>
    </row>
    <row r="543" spans="1:19" x14ac:dyDescent="0.25">
      <c r="A543" s="7" t="s">
        <v>1253</v>
      </c>
      <c r="B543" s="10">
        <v>45805</v>
      </c>
      <c r="C543" s="7" t="s">
        <v>1254</v>
      </c>
      <c r="D543" s="8" t="s">
        <v>107</v>
      </c>
      <c r="E543" s="8" t="s">
        <v>61</v>
      </c>
      <c r="F543" s="8" t="s">
        <v>33</v>
      </c>
      <c r="G543" s="8" t="s">
        <v>28</v>
      </c>
      <c r="H543" s="8" t="s">
        <v>38</v>
      </c>
      <c r="I543" s="11">
        <v>5</v>
      </c>
      <c r="J543" s="12">
        <v>533.6</v>
      </c>
      <c r="K543" s="13">
        <v>0.1</v>
      </c>
      <c r="L543" s="12">
        <v>381.64</v>
      </c>
      <c r="M543" s="14">
        <f>ROUND(tblSprzedaz[[#This Row],[Ilość]]*tblSprzedaz[[#This Row],[Cena netto jednostkowa]]*(1-tblSprzedaz[[#This Row],[Rabat %]]),2)</f>
        <v>2401.1999999999998</v>
      </c>
      <c r="N543" s="14">
        <f>ROUND(tblSprzedaz[[#This Row],[Ilość]]*tblSprzedaz[[#This Row],[Koszt jednostkowy netto]],2)</f>
        <v>1908.2</v>
      </c>
      <c r="O543" s="14">
        <f>tblSprzedaz[[#This Row],[Przychód netto]]-tblSprzedaz[[#This Row],[Koszt całkowity netto]]</f>
        <v>492.99999999999977</v>
      </c>
      <c r="P543" s="15">
        <f>IFERROR(tblSprzedaz[[#This Row],[Marża kwotowa]]/tblSprzedaz[[#This Row],[Przychód netto]],0)</f>
        <v>0.20531400966183566</v>
      </c>
      <c r="Q543" s="16">
        <f>YEAR(tblSprzedaz[[#This Row],[Data]])</f>
        <v>2025</v>
      </c>
      <c r="R543" s="16">
        <f>MONTH(tblSprzedaz[[#This Row],[Data]])</f>
        <v>5</v>
      </c>
      <c r="S543" s="9" t="str">
        <f>YEAR(tblSprzedaz[[#This Row],[Data]])&amp;"-"&amp;RIGHT("0"&amp;MONTH(tblSprzedaz[[#This Row],[Data]]),2)</f>
        <v>2025-05</v>
      </c>
    </row>
    <row r="544" spans="1:19" x14ac:dyDescent="0.25">
      <c r="A544" s="7" t="s">
        <v>1255</v>
      </c>
      <c r="B544" s="10">
        <v>45805</v>
      </c>
      <c r="C544" s="7" t="s">
        <v>1256</v>
      </c>
      <c r="D544" s="8" t="s">
        <v>127</v>
      </c>
      <c r="E544" s="8" t="s">
        <v>62</v>
      </c>
      <c r="F544" s="8" t="s">
        <v>33</v>
      </c>
      <c r="G544" s="8" t="s">
        <v>34</v>
      </c>
      <c r="H544" s="8" t="s">
        <v>45</v>
      </c>
      <c r="I544" s="11">
        <v>15</v>
      </c>
      <c r="J544" s="12">
        <v>611.79999999999995</v>
      </c>
      <c r="K544" s="13">
        <v>0.1</v>
      </c>
      <c r="L544" s="12">
        <v>400.75</v>
      </c>
      <c r="M544" s="14">
        <f>ROUND(tblSprzedaz[[#This Row],[Ilość]]*tblSprzedaz[[#This Row],[Cena netto jednostkowa]]*(1-tblSprzedaz[[#This Row],[Rabat %]]),2)</f>
        <v>8259.2999999999993</v>
      </c>
      <c r="N544" s="14">
        <f>ROUND(tblSprzedaz[[#This Row],[Ilość]]*tblSprzedaz[[#This Row],[Koszt jednostkowy netto]],2)</f>
        <v>6011.25</v>
      </c>
      <c r="O544" s="14">
        <f>tblSprzedaz[[#This Row],[Przychód netto]]-tblSprzedaz[[#This Row],[Koszt całkowity netto]]</f>
        <v>2248.0499999999993</v>
      </c>
      <c r="P544" s="15">
        <f>IFERROR(tblSprzedaz[[#This Row],[Marża kwotowa]]/tblSprzedaz[[#This Row],[Przychód netto]],0)</f>
        <v>0.27218408339689798</v>
      </c>
      <c r="Q544" s="16">
        <f>YEAR(tblSprzedaz[[#This Row],[Data]])</f>
        <v>2025</v>
      </c>
      <c r="R544" s="16">
        <f>MONTH(tblSprzedaz[[#This Row],[Data]])</f>
        <v>5</v>
      </c>
      <c r="S544" s="9" t="str">
        <f>YEAR(tblSprzedaz[[#This Row],[Data]])&amp;"-"&amp;RIGHT("0"&amp;MONTH(tblSprzedaz[[#This Row],[Data]]),2)</f>
        <v>2025-05</v>
      </c>
    </row>
    <row r="545" spans="1:19" x14ac:dyDescent="0.25">
      <c r="A545" s="7" t="s">
        <v>1257</v>
      </c>
      <c r="B545" s="10">
        <v>45806</v>
      </c>
      <c r="C545" s="7" t="s">
        <v>1258</v>
      </c>
      <c r="D545" s="8" t="s">
        <v>87</v>
      </c>
      <c r="E545" s="8" t="s">
        <v>67</v>
      </c>
      <c r="F545" s="8" t="s">
        <v>35</v>
      </c>
      <c r="G545" s="8" t="s">
        <v>36</v>
      </c>
      <c r="H545" s="8" t="s">
        <v>46</v>
      </c>
      <c r="I545" s="11">
        <v>4</v>
      </c>
      <c r="J545" s="12">
        <v>78.88</v>
      </c>
      <c r="K545" s="13">
        <v>0</v>
      </c>
      <c r="L545" s="12">
        <v>57.8</v>
      </c>
      <c r="M545" s="14">
        <f>ROUND(tblSprzedaz[[#This Row],[Ilość]]*tblSprzedaz[[#This Row],[Cena netto jednostkowa]]*(1-tblSprzedaz[[#This Row],[Rabat %]]),2)</f>
        <v>315.52</v>
      </c>
      <c r="N545" s="14">
        <f>ROUND(tblSprzedaz[[#This Row],[Ilość]]*tblSprzedaz[[#This Row],[Koszt jednostkowy netto]],2)</f>
        <v>231.2</v>
      </c>
      <c r="O545" s="14">
        <f>tblSprzedaz[[#This Row],[Przychód netto]]-tblSprzedaz[[#This Row],[Koszt całkowity netto]]</f>
        <v>84.32</v>
      </c>
      <c r="P545" s="15">
        <f>IFERROR(tblSprzedaz[[#This Row],[Marża kwotowa]]/tblSprzedaz[[#This Row],[Przychód netto]],0)</f>
        <v>0.26724137931034481</v>
      </c>
      <c r="Q545" s="16">
        <f>YEAR(tblSprzedaz[[#This Row],[Data]])</f>
        <v>2025</v>
      </c>
      <c r="R545" s="16">
        <f>MONTH(tblSprzedaz[[#This Row],[Data]])</f>
        <v>5</v>
      </c>
      <c r="S545" s="9" t="str">
        <f>YEAR(tblSprzedaz[[#This Row],[Data]])&amp;"-"&amp;RIGHT("0"&amp;MONTH(tblSprzedaz[[#This Row],[Data]]),2)</f>
        <v>2025-05</v>
      </c>
    </row>
    <row r="546" spans="1:19" x14ac:dyDescent="0.25">
      <c r="A546" s="7" t="s">
        <v>1259</v>
      </c>
      <c r="B546" s="10">
        <v>45806</v>
      </c>
      <c r="C546" s="7" t="s">
        <v>1260</v>
      </c>
      <c r="D546" s="8" t="s">
        <v>81</v>
      </c>
      <c r="E546" s="8" t="s">
        <v>64</v>
      </c>
      <c r="F546" s="8" t="s">
        <v>33</v>
      </c>
      <c r="G546" s="8" t="s">
        <v>30</v>
      </c>
      <c r="H546" s="8" t="s">
        <v>41</v>
      </c>
      <c r="I546" s="11">
        <v>3</v>
      </c>
      <c r="J546" s="12">
        <v>768.2</v>
      </c>
      <c r="K546" s="13">
        <v>0</v>
      </c>
      <c r="L546" s="12">
        <v>528.54999999999995</v>
      </c>
      <c r="M546" s="14">
        <f>ROUND(tblSprzedaz[[#This Row],[Ilość]]*tblSprzedaz[[#This Row],[Cena netto jednostkowa]]*(1-tblSprzedaz[[#This Row],[Rabat %]]),2)</f>
        <v>2304.6</v>
      </c>
      <c r="N546" s="14">
        <f>ROUND(tblSprzedaz[[#This Row],[Ilość]]*tblSprzedaz[[#This Row],[Koszt jednostkowy netto]],2)</f>
        <v>1585.65</v>
      </c>
      <c r="O546" s="14">
        <f>tblSprzedaz[[#This Row],[Przychód netto]]-tblSprzedaz[[#This Row],[Koszt całkowity netto]]</f>
        <v>718.94999999999982</v>
      </c>
      <c r="P546" s="15">
        <f>IFERROR(tblSprzedaz[[#This Row],[Marża kwotowa]]/tblSprzedaz[[#This Row],[Przychód netto]],0)</f>
        <v>0.31196303046081741</v>
      </c>
      <c r="Q546" s="16">
        <f>YEAR(tblSprzedaz[[#This Row],[Data]])</f>
        <v>2025</v>
      </c>
      <c r="R546" s="16">
        <f>MONTH(tblSprzedaz[[#This Row],[Data]])</f>
        <v>5</v>
      </c>
      <c r="S546" s="9" t="str">
        <f>YEAR(tblSprzedaz[[#This Row],[Data]])&amp;"-"&amp;RIGHT("0"&amp;MONTH(tblSprzedaz[[#This Row],[Data]]),2)</f>
        <v>2025-05</v>
      </c>
    </row>
    <row r="547" spans="1:19" x14ac:dyDescent="0.25">
      <c r="A547" s="7" t="s">
        <v>1261</v>
      </c>
      <c r="B547" s="10">
        <v>45806</v>
      </c>
      <c r="C547" s="7" t="s">
        <v>1262</v>
      </c>
      <c r="D547" s="8" t="s">
        <v>132</v>
      </c>
      <c r="E547" s="8" t="s">
        <v>73</v>
      </c>
      <c r="F547" s="8" t="s">
        <v>37</v>
      </c>
      <c r="G547" s="8" t="s">
        <v>32</v>
      </c>
      <c r="H547" s="8" t="s">
        <v>42</v>
      </c>
      <c r="I547" s="11">
        <v>25</v>
      </c>
      <c r="J547" s="12">
        <v>110.2</v>
      </c>
      <c r="K547" s="13">
        <v>0</v>
      </c>
      <c r="L547" s="12">
        <v>87.88</v>
      </c>
      <c r="M547" s="14">
        <f>ROUND(tblSprzedaz[[#This Row],[Ilość]]*tblSprzedaz[[#This Row],[Cena netto jednostkowa]]*(1-tblSprzedaz[[#This Row],[Rabat %]]),2)</f>
        <v>2755</v>
      </c>
      <c r="N547" s="14">
        <f>ROUND(tblSprzedaz[[#This Row],[Ilość]]*tblSprzedaz[[#This Row],[Koszt jednostkowy netto]],2)</f>
        <v>2197</v>
      </c>
      <c r="O547" s="14">
        <f>tblSprzedaz[[#This Row],[Przychód netto]]-tblSprzedaz[[#This Row],[Koszt całkowity netto]]</f>
        <v>558</v>
      </c>
      <c r="P547" s="15">
        <f>IFERROR(tblSprzedaz[[#This Row],[Marża kwotowa]]/tblSprzedaz[[#This Row],[Przychód netto]],0)</f>
        <v>0.20254083484573504</v>
      </c>
      <c r="Q547" s="16">
        <f>YEAR(tblSprzedaz[[#This Row],[Data]])</f>
        <v>2025</v>
      </c>
      <c r="R547" s="16">
        <f>MONTH(tblSprzedaz[[#This Row],[Data]])</f>
        <v>5</v>
      </c>
      <c r="S547" s="9" t="str">
        <f>YEAR(tblSprzedaz[[#This Row],[Data]])&amp;"-"&amp;RIGHT("0"&amp;MONTH(tblSprzedaz[[#This Row],[Data]]),2)</f>
        <v>2025-05</v>
      </c>
    </row>
    <row r="548" spans="1:19" x14ac:dyDescent="0.25">
      <c r="A548" s="7" t="s">
        <v>1263</v>
      </c>
      <c r="B548" s="10">
        <v>45806</v>
      </c>
      <c r="C548" s="7" t="s">
        <v>1264</v>
      </c>
      <c r="D548" s="8" t="s">
        <v>109</v>
      </c>
      <c r="E548" s="8" t="s">
        <v>67</v>
      </c>
      <c r="F548" s="8" t="s">
        <v>35</v>
      </c>
      <c r="G548" s="8" t="s">
        <v>34</v>
      </c>
      <c r="H548" s="8" t="s">
        <v>44</v>
      </c>
      <c r="I548" s="11">
        <v>7</v>
      </c>
      <c r="J548" s="12">
        <v>78.88</v>
      </c>
      <c r="K548" s="13">
        <v>0.1</v>
      </c>
      <c r="L548" s="12">
        <v>58.4</v>
      </c>
      <c r="M548" s="14">
        <f>ROUND(tblSprzedaz[[#This Row],[Ilość]]*tblSprzedaz[[#This Row],[Cena netto jednostkowa]]*(1-tblSprzedaz[[#This Row],[Rabat %]]),2)</f>
        <v>496.94</v>
      </c>
      <c r="N548" s="14">
        <f>ROUND(tblSprzedaz[[#This Row],[Ilość]]*tblSprzedaz[[#This Row],[Koszt jednostkowy netto]],2)</f>
        <v>408.8</v>
      </c>
      <c r="O548" s="14">
        <f>tblSprzedaz[[#This Row],[Przychód netto]]-tblSprzedaz[[#This Row],[Koszt całkowity netto]]</f>
        <v>88.139999999999986</v>
      </c>
      <c r="P548" s="15">
        <f>IFERROR(tblSprzedaz[[#This Row],[Marża kwotowa]]/tblSprzedaz[[#This Row],[Przychód netto]],0)</f>
        <v>0.17736547671751113</v>
      </c>
      <c r="Q548" s="16">
        <f>YEAR(tblSprzedaz[[#This Row],[Data]])</f>
        <v>2025</v>
      </c>
      <c r="R548" s="16">
        <f>MONTH(tblSprzedaz[[#This Row],[Data]])</f>
        <v>5</v>
      </c>
      <c r="S548" s="9" t="str">
        <f>YEAR(tblSprzedaz[[#This Row],[Data]])&amp;"-"&amp;RIGHT("0"&amp;MONTH(tblSprzedaz[[#This Row],[Data]]),2)</f>
        <v>2025-05</v>
      </c>
    </row>
    <row r="549" spans="1:19" x14ac:dyDescent="0.25">
      <c r="A549" s="7" t="s">
        <v>1265</v>
      </c>
      <c r="B549" s="10">
        <v>45806</v>
      </c>
      <c r="C549" s="7" t="s">
        <v>1266</v>
      </c>
      <c r="D549" s="8" t="s">
        <v>103</v>
      </c>
      <c r="E549" s="8" t="s">
        <v>74</v>
      </c>
      <c r="F549" s="8" t="s">
        <v>37</v>
      </c>
      <c r="G549" s="8" t="s">
        <v>36</v>
      </c>
      <c r="H549" s="8" t="s">
        <v>46</v>
      </c>
      <c r="I549" s="11">
        <v>10</v>
      </c>
      <c r="J549" s="12">
        <v>126.35</v>
      </c>
      <c r="K549" s="13">
        <v>0.15</v>
      </c>
      <c r="L549" s="12">
        <v>99.21</v>
      </c>
      <c r="M549" s="14">
        <f>ROUND(tblSprzedaz[[#This Row],[Ilość]]*tblSprzedaz[[#This Row],[Cena netto jednostkowa]]*(1-tblSprzedaz[[#This Row],[Rabat %]]),2)</f>
        <v>1073.98</v>
      </c>
      <c r="N549" s="14">
        <f>ROUND(tblSprzedaz[[#This Row],[Ilość]]*tblSprzedaz[[#This Row],[Koszt jednostkowy netto]],2)</f>
        <v>992.1</v>
      </c>
      <c r="O549" s="14">
        <f>tblSprzedaz[[#This Row],[Przychód netto]]-tblSprzedaz[[#This Row],[Koszt całkowity netto]]</f>
        <v>81.88</v>
      </c>
      <c r="P549" s="15">
        <f>IFERROR(tblSprzedaz[[#This Row],[Marża kwotowa]]/tblSprzedaz[[#This Row],[Przychód netto]],0)</f>
        <v>7.6239781001508397E-2</v>
      </c>
      <c r="Q549" s="16">
        <f>YEAR(tblSprzedaz[[#This Row],[Data]])</f>
        <v>2025</v>
      </c>
      <c r="R549" s="16">
        <f>MONTH(tblSprzedaz[[#This Row],[Data]])</f>
        <v>5</v>
      </c>
      <c r="S549" s="9" t="str">
        <f>YEAR(tblSprzedaz[[#This Row],[Data]])&amp;"-"&amp;RIGHT("0"&amp;MONTH(tblSprzedaz[[#This Row],[Data]]),2)</f>
        <v>2025-05</v>
      </c>
    </row>
    <row r="550" spans="1:19" x14ac:dyDescent="0.25">
      <c r="A550" s="7" t="s">
        <v>1267</v>
      </c>
      <c r="B550" s="10">
        <v>45807</v>
      </c>
      <c r="C550" s="7" t="s">
        <v>1268</v>
      </c>
      <c r="D550" s="8" t="s">
        <v>148</v>
      </c>
      <c r="E550" s="8" t="s">
        <v>76</v>
      </c>
      <c r="F550" s="8" t="s">
        <v>37</v>
      </c>
      <c r="G550" s="8" t="s">
        <v>34</v>
      </c>
      <c r="H550" s="8" t="s">
        <v>45</v>
      </c>
      <c r="I550" s="11">
        <v>5</v>
      </c>
      <c r="J550" s="12">
        <v>158.65</v>
      </c>
      <c r="K550" s="13">
        <v>0.1</v>
      </c>
      <c r="L550" s="12">
        <v>124.42</v>
      </c>
      <c r="M550" s="14">
        <f>ROUND(tblSprzedaz[[#This Row],[Ilość]]*tblSprzedaz[[#This Row],[Cena netto jednostkowa]]*(1-tblSprzedaz[[#This Row],[Rabat %]]),2)</f>
        <v>713.93</v>
      </c>
      <c r="N550" s="14">
        <f>ROUND(tblSprzedaz[[#This Row],[Ilość]]*tblSprzedaz[[#This Row],[Koszt jednostkowy netto]],2)</f>
        <v>622.1</v>
      </c>
      <c r="O550" s="14">
        <f>tblSprzedaz[[#This Row],[Przychód netto]]-tblSprzedaz[[#This Row],[Koszt całkowity netto]]</f>
        <v>91.829999999999927</v>
      </c>
      <c r="P550" s="15">
        <f>IFERROR(tblSprzedaz[[#This Row],[Marża kwotowa]]/tblSprzedaz[[#This Row],[Przychód netto]],0)</f>
        <v>0.12862605577577624</v>
      </c>
      <c r="Q550" s="16">
        <f>YEAR(tblSprzedaz[[#This Row],[Data]])</f>
        <v>2025</v>
      </c>
      <c r="R550" s="16">
        <f>MONTH(tblSprzedaz[[#This Row],[Data]])</f>
        <v>5</v>
      </c>
      <c r="S550" s="9" t="str">
        <f>YEAR(tblSprzedaz[[#This Row],[Data]])&amp;"-"&amp;RIGHT("0"&amp;MONTH(tblSprzedaz[[#This Row],[Data]]),2)</f>
        <v>2025-05</v>
      </c>
    </row>
    <row r="551" spans="1:19" x14ac:dyDescent="0.25">
      <c r="A551" s="7" t="s">
        <v>1269</v>
      </c>
      <c r="B551" s="10">
        <v>45807</v>
      </c>
      <c r="C551" s="7" t="s">
        <v>1270</v>
      </c>
      <c r="D551" s="8" t="s">
        <v>126</v>
      </c>
      <c r="E551" s="8" t="s">
        <v>61</v>
      </c>
      <c r="F551" s="8" t="s">
        <v>33</v>
      </c>
      <c r="G551" s="8" t="s">
        <v>32</v>
      </c>
      <c r="H551" s="8" t="s">
        <v>42</v>
      </c>
      <c r="I551" s="11">
        <v>9</v>
      </c>
      <c r="J551" s="12">
        <v>533.6</v>
      </c>
      <c r="K551" s="13">
        <v>0.1</v>
      </c>
      <c r="L551" s="12">
        <v>364.81</v>
      </c>
      <c r="M551" s="14">
        <f>ROUND(tblSprzedaz[[#This Row],[Ilość]]*tblSprzedaz[[#This Row],[Cena netto jednostkowa]]*(1-tblSprzedaz[[#This Row],[Rabat %]]),2)</f>
        <v>4322.16</v>
      </c>
      <c r="N551" s="14">
        <f>ROUND(tblSprzedaz[[#This Row],[Ilość]]*tblSprzedaz[[#This Row],[Koszt jednostkowy netto]],2)</f>
        <v>3283.29</v>
      </c>
      <c r="O551" s="14">
        <f>tblSprzedaz[[#This Row],[Przychód netto]]-tblSprzedaz[[#This Row],[Koszt całkowity netto]]</f>
        <v>1038.8699999999999</v>
      </c>
      <c r="P551" s="15">
        <f>IFERROR(tblSprzedaz[[#This Row],[Marża kwotowa]]/tblSprzedaz[[#This Row],[Przychód netto]],0)</f>
        <v>0.2403589871730801</v>
      </c>
      <c r="Q551" s="16">
        <f>YEAR(tblSprzedaz[[#This Row],[Data]])</f>
        <v>2025</v>
      </c>
      <c r="R551" s="16">
        <f>MONTH(tblSprzedaz[[#This Row],[Data]])</f>
        <v>5</v>
      </c>
      <c r="S551" s="9" t="str">
        <f>YEAR(tblSprzedaz[[#This Row],[Data]])&amp;"-"&amp;RIGHT("0"&amp;MONTH(tblSprzedaz[[#This Row],[Data]]),2)</f>
        <v>2025-05</v>
      </c>
    </row>
    <row r="552" spans="1:19" x14ac:dyDescent="0.25">
      <c r="A552" s="7" t="s">
        <v>1271</v>
      </c>
      <c r="B552" s="10">
        <v>45807</v>
      </c>
      <c r="C552" s="7" t="s">
        <v>1272</v>
      </c>
      <c r="D552" s="8" t="s">
        <v>145</v>
      </c>
      <c r="E552" s="8" t="s">
        <v>56</v>
      </c>
      <c r="F552" s="8" t="s">
        <v>31</v>
      </c>
      <c r="G552" s="8" t="s">
        <v>32</v>
      </c>
      <c r="H552" s="8" t="s">
        <v>43</v>
      </c>
      <c r="I552" s="11">
        <v>8</v>
      </c>
      <c r="J552" s="12">
        <v>279.3</v>
      </c>
      <c r="K552" s="13">
        <v>0.1</v>
      </c>
      <c r="L552" s="12">
        <v>184.43</v>
      </c>
      <c r="M552" s="14">
        <f>ROUND(tblSprzedaz[[#This Row],[Ilość]]*tblSprzedaz[[#This Row],[Cena netto jednostkowa]]*(1-tblSprzedaz[[#This Row],[Rabat %]]),2)</f>
        <v>2010.96</v>
      </c>
      <c r="N552" s="14">
        <f>ROUND(tblSprzedaz[[#This Row],[Ilość]]*tblSprzedaz[[#This Row],[Koszt jednostkowy netto]],2)</f>
        <v>1475.44</v>
      </c>
      <c r="O552" s="14">
        <f>tblSprzedaz[[#This Row],[Przychód netto]]-tblSprzedaz[[#This Row],[Koszt całkowity netto]]</f>
        <v>535.52</v>
      </c>
      <c r="P552" s="15">
        <f>IFERROR(tblSprzedaz[[#This Row],[Marża kwotowa]]/tblSprzedaz[[#This Row],[Przychód netto]],0)</f>
        <v>0.26630067231570992</v>
      </c>
      <c r="Q552" s="16">
        <f>YEAR(tblSprzedaz[[#This Row],[Data]])</f>
        <v>2025</v>
      </c>
      <c r="R552" s="16">
        <f>MONTH(tblSprzedaz[[#This Row],[Data]])</f>
        <v>5</v>
      </c>
      <c r="S552" s="9" t="str">
        <f>YEAR(tblSprzedaz[[#This Row],[Data]])&amp;"-"&amp;RIGHT("0"&amp;MONTH(tblSprzedaz[[#This Row],[Data]]),2)</f>
        <v>2025-05</v>
      </c>
    </row>
    <row r="553" spans="1:19" x14ac:dyDescent="0.25">
      <c r="A553" s="7" t="s">
        <v>1273</v>
      </c>
      <c r="B553" s="10">
        <v>45808</v>
      </c>
      <c r="C553" s="7" t="s">
        <v>1274</v>
      </c>
      <c r="D553" s="8" t="s">
        <v>117</v>
      </c>
      <c r="E553" s="8" t="s">
        <v>70</v>
      </c>
      <c r="F553" s="8" t="s">
        <v>35</v>
      </c>
      <c r="G553" s="8" t="s">
        <v>30</v>
      </c>
      <c r="H553" s="8" t="s">
        <v>40</v>
      </c>
      <c r="I553" s="11">
        <v>4</v>
      </c>
      <c r="J553" s="12">
        <v>113.56</v>
      </c>
      <c r="K553" s="13">
        <v>0.15</v>
      </c>
      <c r="L553" s="12">
        <v>80.63</v>
      </c>
      <c r="M553" s="14">
        <f>ROUND(tblSprzedaz[[#This Row],[Ilość]]*tblSprzedaz[[#This Row],[Cena netto jednostkowa]]*(1-tblSprzedaz[[#This Row],[Rabat %]]),2)</f>
        <v>386.1</v>
      </c>
      <c r="N553" s="14">
        <f>ROUND(tblSprzedaz[[#This Row],[Ilość]]*tblSprzedaz[[#This Row],[Koszt jednostkowy netto]],2)</f>
        <v>322.52</v>
      </c>
      <c r="O553" s="14">
        <f>tblSprzedaz[[#This Row],[Przychód netto]]-tblSprzedaz[[#This Row],[Koszt całkowity netto]]</f>
        <v>63.580000000000041</v>
      </c>
      <c r="P553" s="15">
        <f>IFERROR(tblSprzedaz[[#This Row],[Marża kwotowa]]/tblSprzedaz[[#This Row],[Przychód netto]],0)</f>
        <v>0.16467236467236476</v>
      </c>
      <c r="Q553" s="16">
        <f>YEAR(tblSprzedaz[[#This Row],[Data]])</f>
        <v>2025</v>
      </c>
      <c r="R553" s="16">
        <f>MONTH(tblSprzedaz[[#This Row],[Data]])</f>
        <v>5</v>
      </c>
      <c r="S553" s="9" t="str">
        <f>YEAR(tblSprzedaz[[#This Row],[Data]])&amp;"-"&amp;RIGHT("0"&amp;MONTH(tblSprzedaz[[#This Row],[Data]]),2)</f>
        <v>2025-05</v>
      </c>
    </row>
    <row r="554" spans="1:19" x14ac:dyDescent="0.25">
      <c r="A554" s="7" t="s">
        <v>1275</v>
      </c>
      <c r="B554" s="10">
        <v>45808</v>
      </c>
      <c r="C554" s="7" t="s">
        <v>1276</v>
      </c>
      <c r="D554" s="8" t="s">
        <v>135</v>
      </c>
      <c r="E554" s="8" t="s">
        <v>60</v>
      </c>
      <c r="F554" s="8" t="s">
        <v>33</v>
      </c>
      <c r="G554" s="8" t="s">
        <v>36</v>
      </c>
      <c r="H554" s="8" t="s">
        <v>46</v>
      </c>
      <c r="I554" s="11">
        <v>14</v>
      </c>
      <c r="J554" s="12">
        <v>455.4</v>
      </c>
      <c r="K554" s="13">
        <v>0.1</v>
      </c>
      <c r="L554" s="12">
        <v>316.5</v>
      </c>
      <c r="M554" s="14">
        <f>ROUND(tblSprzedaz[[#This Row],[Ilość]]*tblSprzedaz[[#This Row],[Cena netto jednostkowa]]*(1-tblSprzedaz[[#This Row],[Rabat %]]),2)</f>
        <v>5738.04</v>
      </c>
      <c r="N554" s="14">
        <f>ROUND(tblSprzedaz[[#This Row],[Ilość]]*tblSprzedaz[[#This Row],[Koszt jednostkowy netto]],2)</f>
        <v>4431</v>
      </c>
      <c r="O554" s="14">
        <f>tblSprzedaz[[#This Row],[Przychód netto]]-tblSprzedaz[[#This Row],[Koszt całkowity netto]]</f>
        <v>1307.04</v>
      </c>
      <c r="P554" s="15">
        <f>IFERROR(tblSprzedaz[[#This Row],[Marża kwotowa]]/tblSprzedaz[[#This Row],[Przychód netto]],0)</f>
        <v>0.22778509735031474</v>
      </c>
      <c r="Q554" s="16">
        <f>YEAR(tblSprzedaz[[#This Row],[Data]])</f>
        <v>2025</v>
      </c>
      <c r="R554" s="16">
        <f>MONTH(tblSprzedaz[[#This Row],[Data]])</f>
        <v>5</v>
      </c>
      <c r="S554" s="9" t="str">
        <f>YEAR(tblSprzedaz[[#This Row],[Data]])&amp;"-"&amp;RIGHT("0"&amp;MONTH(tblSprzedaz[[#This Row],[Data]]),2)</f>
        <v>2025-05</v>
      </c>
    </row>
    <row r="555" spans="1:19" x14ac:dyDescent="0.25">
      <c r="A555" s="7" t="s">
        <v>1277</v>
      </c>
      <c r="B555" s="10">
        <v>45809</v>
      </c>
      <c r="C555" s="7" t="s">
        <v>1278</v>
      </c>
      <c r="D555" s="8" t="s">
        <v>127</v>
      </c>
      <c r="E555" s="8" t="s">
        <v>51</v>
      </c>
      <c r="F555" s="8" t="s">
        <v>29</v>
      </c>
      <c r="G555" s="8" t="s">
        <v>32</v>
      </c>
      <c r="H555" s="8" t="s">
        <v>42</v>
      </c>
      <c r="I555" s="11">
        <v>2</v>
      </c>
      <c r="J555" s="12">
        <v>51</v>
      </c>
      <c r="K555" s="13">
        <v>0</v>
      </c>
      <c r="L555" s="12">
        <v>30.95</v>
      </c>
      <c r="M555" s="14">
        <f>ROUND(tblSprzedaz[[#This Row],[Ilość]]*tblSprzedaz[[#This Row],[Cena netto jednostkowa]]*(1-tblSprzedaz[[#This Row],[Rabat %]]),2)</f>
        <v>102</v>
      </c>
      <c r="N555" s="14">
        <f>ROUND(tblSprzedaz[[#This Row],[Ilość]]*tblSprzedaz[[#This Row],[Koszt jednostkowy netto]],2)</f>
        <v>61.9</v>
      </c>
      <c r="O555" s="14">
        <f>tblSprzedaz[[#This Row],[Przychód netto]]-tblSprzedaz[[#This Row],[Koszt całkowity netto]]</f>
        <v>40.1</v>
      </c>
      <c r="P555" s="15">
        <f>IFERROR(tblSprzedaz[[#This Row],[Marża kwotowa]]/tblSprzedaz[[#This Row],[Przychód netto]],0)</f>
        <v>0.39313725490196078</v>
      </c>
      <c r="Q555" s="16">
        <f>YEAR(tblSprzedaz[[#This Row],[Data]])</f>
        <v>2025</v>
      </c>
      <c r="R555" s="16">
        <f>MONTH(tblSprzedaz[[#This Row],[Data]])</f>
        <v>6</v>
      </c>
      <c r="S555" s="9" t="str">
        <f>YEAR(tblSprzedaz[[#This Row],[Data]])&amp;"-"&amp;RIGHT("0"&amp;MONTH(tblSprzedaz[[#This Row],[Data]]),2)</f>
        <v>2025-06</v>
      </c>
    </row>
    <row r="556" spans="1:19" x14ac:dyDescent="0.25">
      <c r="A556" s="7" t="s">
        <v>1279</v>
      </c>
      <c r="B556" s="10">
        <v>45810</v>
      </c>
      <c r="C556" s="7" t="s">
        <v>1280</v>
      </c>
      <c r="D556" s="8" t="s">
        <v>97</v>
      </c>
      <c r="E556" s="8" t="s">
        <v>61</v>
      </c>
      <c r="F556" s="8" t="s">
        <v>33</v>
      </c>
      <c r="G556" s="8" t="s">
        <v>32</v>
      </c>
      <c r="H556" s="8" t="s">
        <v>42</v>
      </c>
      <c r="I556" s="11">
        <v>25</v>
      </c>
      <c r="J556" s="12">
        <v>533.6</v>
      </c>
      <c r="K556" s="13">
        <v>0</v>
      </c>
      <c r="L556" s="12">
        <v>344.13</v>
      </c>
      <c r="M556" s="14">
        <f>ROUND(tblSprzedaz[[#This Row],[Ilość]]*tblSprzedaz[[#This Row],[Cena netto jednostkowa]]*(1-tblSprzedaz[[#This Row],[Rabat %]]),2)</f>
        <v>13340</v>
      </c>
      <c r="N556" s="14">
        <f>ROUND(tblSprzedaz[[#This Row],[Ilość]]*tblSprzedaz[[#This Row],[Koszt jednostkowy netto]],2)</f>
        <v>8603.25</v>
      </c>
      <c r="O556" s="14">
        <f>tblSprzedaz[[#This Row],[Przychód netto]]-tblSprzedaz[[#This Row],[Koszt całkowity netto]]</f>
        <v>4736.75</v>
      </c>
      <c r="P556" s="15">
        <f>IFERROR(tblSprzedaz[[#This Row],[Marża kwotowa]]/tblSprzedaz[[#This Row],[Przychód netto]],0)</f>
        <v>0.35507871064467766</v>
      </c>
      <c r="Q556" s="16">
        <f>YEAR(tblSprzedaz[[#This Row],[Data]])</f>
        <v>2025</v>
      </c>
      <c r="R556" s="16">
        <f>MONTH(tblSprzedaz[[#This Row],[Data]])</f>
        <v>6</v>
      </c>
      <c r="S556" s="9" t="str">
        <f>YEAR(tblSprzedaz[[#This Row],[Data]])&amp;"-"&amp;RIGHT("0"&amp;MONTH(tblSprzedaz[[#This Row],[Data]]),2)</f>
        <v>2025-06</v>
      </c>
    </row>
    <row r="557" spans="1:19" x14ac:dyDescent="0.25">
      <c r="A557" s="7" t="s">
        <v>1281</v>
      </c>
      <c r="B557" s="10">
        <v>45810</v>
      </c>
      <c r="C557" s="7" t="s">
        <v>1282</v>
      </c>
      <c r="D557" s="8" t="s">
        <v>116</v>
      </c>
      <c r="E557" s="8" t="s">
        <v>63</v>
      </c>
      <c r="F557" s="8" t="s">
        <v>33</v>
      </c>
      <c r="G557" s="8" t="s">
        <v>34</v>
      </c>
      <c r="H557" s="8" t="s">
        <v>44</v>
      </c>
      <c r="I557" s="11">
        <v>13</v>
      </c>
      <c r="J557" s="12">
        <v>690</v>
      </c>
      <c r="K557" s="13">
        <v>0.05</v>
      </c>
      <c r="L557" s="12">
        <v>456.5</v>
      </c>
      <c r="M557" s="14">
        <f>ROUND(tblSprzedaz[[#This Row],[Ilość]]*tblSprzedaz[[#This Row],[Cena netto jednostkowa]]*(1-tblSprzedaz[[#This Row],[Rabat %]]),2)</f>
        <v>8521.5</v>
      </c>
      <c r="N557" s="14">
        <f>ROUND(tblSprzedaz[[#This Row],[Ilość]]*tblSprzedaz[[#This Row],[Koszt jednostkowy netto]],2)</f>
        <v>5934.5</v>
      </c>
      <c r="O557" s="14">
        <f>tblSprzedaz[[#This Row],[Przychód netto]]-tblSprzedaz[[#This Row],[Koszt całkowity netto]]</f>
        <v>2587</v>
      </c>
      <c r="P557" s="15">
        <f>IFERROR(tblSprzedaz[[#This Row],[Marża kwotowa]]/tblSprzedaz[[#This Row],[Przychód netto]],0)</f>
        <v>0.30358504958047294</v>
      </c>
      <c r="Q557" s="16">
        <f>YEAR(tblSprzedaz[[#This Row],[Data]])</f>
        <v>2025</v>
      </c>
      <c r="R557" s="16">
        <f>MONTH(tblSprzedaz[[#This Row],[Data]])</f>
        <v>6</v>
      </c>
      <c r="S557" s="9" t="str">
        <f>YEAR(tblSprzedaz[[#This Row],[Data]])&amp;"-"&amp;RIGHT("0"&amp;MONTH(tblSprzedaz[[#This Row],[Data]]),2)</f>
        <v>2025-06</v>
      </c>
    </row>
    <row r="558" spans="1:19" x14ac:dyDescent="0.25">
      <c r="A558" s="7" t="s">
        <v>1283</v>
      </c>
      <c r="B558" s="10">
        <v>45810</v>
      </c>
      <c r="C558" s="7" t="s">
        <v>1284</v>
      </c>
      <c r="D558" s="8" t="s">
        <v>102</v>
      </c>
      <c r="E558" s="8" t="s">
        <v>68</v>
      </c>
      <c r="F558" s="8" t="s">
        <v>35</v>
      </c>
      <c r="G558" s="8" t="s">
        <v>30</v>
      </c>
      <c r="H558" s="8" t="s">
        <v>40</v>
      </c>
      <c r="I558" s="11">
        <v>7</v>
      </c>
      <c r="J558" s="12">
        <v>90.44</v>
      </c>
      <c r="K558" s="13">
        <v>0</v>
      </c>
      <c r="L558" s="12">
        <v>65.23</v>
      </c>
      <c r="M558" s="14">
        <f>ROUND(tblSprzedaz[[#This Row],[Ilość]]*tblSprzedaz[[#This Row],[Cena netto jednostkowa]]*(1-tblSprzedaz[[#This Row],[Rabat %]]),2)</f>
        <v>633.08000000000004</v>
      </c>
      <c r="N558" s="14">
        <f>ROUND(tblSprzedaz[[#This Row],[Ilość]]*tblSprzedaz[[#This Row],[Koszt jednostkowy netto]],2)</f>
        <v>456.61</v>
      </c>
      <c r="O558" s="14">
        <f>tblSprzedaz[[#This Row],[Przychód netto]]-tblSprzedaz[[#This Row],[Koszt całkowity netto]]</f>
        <v>176.47000000000003</v>
      </c>
      <c r="P558" s="15">
        <f>IFERROR(tblSprzedaz[[#This Row],[Marża kwotowa]]/tblSprzedaz[[#This Row],[Przychód netto]],0)</f>
        <v>0.27874834144183991</v>
      </c>
      <c r="Q558" s="16">
        <f>YEAR(tblSprzedaz[[#This Row],[Data]])</f>
        <v>2025</v>
      </c>
      <c r="R558" s="16">
        <f>MONTH(tblSprzedaz[[#This Row],[Data]])</f>
        <v>6</v>
      </c>
      <c r="S558" s="9" t="str">
        <f>YEAR(tblSprzedaz[[#This Row],[Data]])&amp;"-"&amp;RIGHT("0"&amp;MONTH(tblSprzedaz[[#This Row],[Data]]),2)</f>
        <v>2025-06</v>
      </c>
    </row>
    <row r="559" spans="1:19" x14ac:dyDescent="0.25">
      <c r="A559" s="7" t="s">
        <v>1285</v>
      </c>
      <c r="B559" s="10">
        <v>45810</v>
      </c>
      <c r="C559" s="7" t="s">
        <v>1286</v>
      </c>
      <c r="D559" s="8" t="s">
        <v>133</v>
      </c>
      <c r="E559" s="8" t="s">
        <v>69</v>
      </c>
      <c r="F559" s="8" t="s">
        <v>35</v>
      </c>
      <c r="G559" s="8" t="s">
        <v>36</v>
      </c>
      <c r="H559" s="8" t="s">
        <v>46</v>
      </c>
      <c r="I559" s="11">
        <v>21</v>
      </c>
      <c r="J559" s="12">
        <v>102</v>
      </c>
      <c r="K559" s="13">
        <v>0</v>
      </c>
      <c r="L559" s="12">
        <v>72.959999999999994</v>
      </c>
      <c r="M559" s="14">
        <f>ROUND(tblSprzedaz[[#This Row],[Ilość]]*tblSprzedaz[[#This Row],[Cena netto jednostkowa]]*(1-tblSprzedaz[[#This Row],[Rabat %]]),2)</f>
        <v>2142</v>
      </c>
      <c r="N559" s="14">
        <f>ROUND(tblSprzedaz[[#This Row],[Ilość]]*tblSprzedaz[[#This Row],[Koszt jednostkowy netto]],2)</f>
        <v>1532.16</v>
      </c>
      <c r="O559" s="14">
        <f>tblSprzedaz[[#This Row],[Przychód netto]]-tblSprzedaz[[#This Row],[Koszt całkowity netto]]</f>
        <v>609.83999999999992</v>
      </c>
      <c r="P559" s="15">
        <f>IFERROR(tblSprzedaz[[#This Row],[Marża kwotowa]]/tblSprzedaz[[#This Row],[Przychód netto]],0)</f>
        <v>0.28470588235294114</v>
      </c>
      <c r="Q559" s="16">
        <f>YEAR(tblSprzedaz[[#This Row],[Data]])</f>
        <v>2025</v>
      </c>
      <c r="R559" s="16">
        <f>MONTH(tblSprzedaz[[#This Row],[Data]])</f>
        <v>6</v>
      </c>
      <c r="S559" s="9" t="str">
        <f>YEAR(tblSprzedaz[[#This Row],[Data]])&amp;"-"&amp;RIGHT("0"&amp;MONTH(tblSprzedaz[[#This Row],[Data]]),2)</f>
        <v>2025-06</v>
      </c>
    </row>
    <row r="560" spans="1:19" x14ac:dyDescent="0.25">
      <c r="A560" s="7" t="s">
        <v>1287</v>
      </c>
      <c r="B560" s="10">
        <v>45810</v>
      </c>
      <c r="C560" s="7" t="s">
        <v>1288</v>
      </c>
      <c r="D560" s="8" t="s">
        <v>112</v>
      </c>
      <c r="E560" s="8" t="s">
        <v>68</v>
      </c>
      <c r="F560" s="8" t="s">
        <v>35</v>
      </c>
      <c r="G560" s="8" t="s">
        <v>30</v>
      </c>
      <c r="H560" s="8" t="s">
        <v>40</v>
      </c>
      <c r="I560" s="11">
        <v>9</v>
      </c>
      <c r="J560" s="12">
        <v>90.44</v>
      </c>
      <c r="K560" s="13">
        <v>0</v>
      </c>
      <c r="L560" s="12">
        <v>67.92</v>
      </c>
      <c r="M560" s="14">
        <f>ROUND(tblSprzedaz[[#This Row],[Ilość]]*tblSprzedaz[[#This Row],[Cena netto jednostkowa]]*(1-tblSprzedaz[[#This Row],[Rabat %]]),2)</f>
        <v>813.96</v>
      </c>
      <c r="N560" s="14">
        <f>ROUND(tblSprzedaz[[#This Row],[Ilość]]*tblSprzedaz[[#This Row],[Koszt jednostkowy netto]],2)</f>
        <v>611.28</v>
      </c>
      <c r="O560" s="14">
        <f>tblSprzedaz[[#This Row],[Przychód netto]]-tblSprzedaz[[#This Row],[Koszt całkowity netto]]</f>
        <v>202.68000000000006</v>
      </c>
      <c r="P560" s="15">
        <f>IFERROR(tblSprzedaz[[#This Row],[Marża kwotowa]]/tblSprzedaz[[#This Row],[Przychód netto]],0)</f>
        <v>0.24900486510393638</v>
      </c>
      <c r="Q560" s="16">
        <f>YEAR(tblSprzedaz[[#This Row],[Data]])</f>
        <v>2025</v>
      </c>
      <c r="R560" s="16">
        <f>MONTH(tblSprzedaz[[#This Row],[Data]])</f>
        <v>6</v>
      </c>
      <c r="S560" s="9" t="str">
        <f>YEAR(tblSprzedaz[[#This Row],[Data]])&amp;"-"&amp;RIGHT("0"&amp;MONTH(tblSprzedaz[[#This Row],[Data]]),2)</f>
        <v>2025-06</v>
      </c>
    </row>
    <row r="561" spans="1:19" x14ac:dyDescent="0.25">
      <c r="A561" s="7" t="s">
        <v>1289</v>
      </c>
      <c r="B561" s="10">
        <v>45811</v>
      </c>
      <c r="C561" s="7" t="s">
        <v>1290</v>
      </c>
      <c r="D561" s="8" t="s">
        <v>142</v>
      </c>
      <c r="E561" s="8" t="s">
        <v>64</v>
      </c>
      <c r="F561" s="8" t="s">
        <v>33</v>
      </c>
      <c r="G561" s="8" t="s">
        <v>28</v>
      </c>
      <c r="H561" s="8" t="s">
        <v>39</v>
      </c>
      <c r="I561" s="11">
        <v>4</v>
      </c>
      <c r="J561" s="12">
        <v>768.2</v>
      </c>
      <c r="K561" s="13">
        <v>0</v>
      </c>
      <c r="L561" s="12">
        <v>550.97</v>
      </c>
      <c r="M561" s="14">
        <f>ROUND(tblSprzedaz[[#This Row],[Ilość]]*tblSprzedaz[[#This Row],[Cena netto jednostkowa]]*(1-tblSprzedaz[[#This Row],[Rabat %]]),2)</f>
        <v>3072.8</v>
      </c>
      <c r="N561" s="14">
        <f>ROUND(tblSprzedaz[[#This Row],[Ilość]]*tblSprzedaz[[#This Row],[Koszt jednostkowy netto]],2)</f>
        <v>2203.88</v>
      </c>
      <c r="O561" s="14">
        <f>tblSprzedaz[[#This Row],[Przychód netto]]-tblSprzedaz[[#This Row],[Koszt całkowity netto]]</f>
        <v>868.92000000000007</v>
      </c>
      <c r="P561" s="15">
        <f>IFERROR(tblSprzedaz[[#This Row],[Marża kwotowa]]/tblSprzedaz[[#This Row],[Przychód netto]],0)</f>
        <v>0.2827779224160375</v>
      </c>
      <c r="Q561" s="16">
        <f>YEAR(tblSprzedaz[[#This Row],[Data]])</f>
        <v>2025</v>
      </c>
      <c r="R561" s="16">
        <f>MONTH(tblSprzedaz[[#This Row],[Data]])</f>
        <v>6</v>
      </c>
      <c r="S561" s="9" t="str">
        <f>YEAR(tblSprzedaz[[#This Row],[Data]])&amp;"-"&amp;RIGHT("0"&amp;MONTH(tblSprzedaz[[#This Row],[Data]]),2)</f>
        <v>2025-06</v>
      </c>
    </row>
    <row r="562" spans="1:19" x14ac:dyDescent="0.25">
      <c r="A562" s="7" t="s">
        <v>1291</v>
      </c>
      <c r="B562" s="10">
        <v>45811</v>
      </c>
      <c r="C562" s="7" t="s">
        <v>1292</v>
      </c>
      <c r="D562" s="8" t="s">
        <v>80</v>
      </c>
      <c r="E562" s="8" t="s">
        <v>53</v>
      </c>
      <c r="F562" s="8" t="s">
        <v>29</v>
      </c>
      <c r="G562" s="8" t="s">
        <v>32</v>
      </c>
      <c r="H562" s="8" t="s">
        <v>42</v>
      </c>
      <c r="I562" s="11">
        <v>23</v>
      </c>
      <c r="J562" s="12">
        <v>27.88</v>
      </c>
      <c r="K562" s="13">
        <v>0.15</v>
      </c>
      <c r="L562" s="12">
        <v>15.46</v>
      </c>
      <c r="M562" s="14">
        <f>ROUND(tblSprzedaz[[#This Row],[Ilość]]*tblSprzedaz[[#This Row],[Cena netto jednostkowa]]*(1-tblSprzedaz[[#This Row],[Rabat %]]),2)</f>
        <v>545.04999999999995</v>
      </c>
      <c r="N562" s="14">
        <f>ROUND(tblSprzedaz[[#This Row],[Ilość]]*tblSprzedaz[[#This Row],[Koszt jednostkowy netto]],2)</f>
        <v>355.58</v>
      </c>
      <c r="O562" s="14">
        <f>tblSprzedaz[[#This Row],[Przychód netto]]-tblSprzedaz[[#This Row],[Koszt całkowity netto]]</f>
        <v>189.46999999999997</v>
      </c>
      <c r="P562" s="15">
        <f>IFERROR(tblSprzedaz[[#This Row],[Marża kwotowa]]/tblSprzedaz[[#This Row],[Przychód netto]],0)</f>
        <v>0.3476194844509678</v>
      </c>
      <c r="Q562" s="16">
        <f>YEAR(tblSprzedaz[[#This Row],[Data]])</f>
        <v>2025</v>
      </c>
      <c r="R562" s="16">
        <f>MONTH(tblSprzedaz[[#This Row],[Data]])</f>
        <v>6</v>
      </c>
      <c r="S562" s="9" t="str">
        <f>YEAR(tblSprzedaz[[#This Row],[Data]])&amp;"-"&amp;RIGHT("0"&amp;MONTH(tblSprzedaz[[#This Row],[Data]]),2)</f>
        <v>2025-06</v>
      </c>
    </row>
    <row r="563" spans="1:19" x14ac:dyDescent="0.25">
      <c r="A563" s="7" t="s">
        <v>1293</v>
      </c>
      <c r="B563" s="10">
        <v>45811</v>
      </c>
      <c r="C563" s="7" t="s">
        <v>1294</v>
      </c>
      <c r="D563" s="8" t="s">
        <v>85</v>
      </c>
      <c r="E563" s="8" t="s">
        <v>49</v>
      </c>
      <c r="F563" s="8" t="s">
        <v>29</v>
      </c>
      <c r="G563" s="8" t="s">
        <v>32</v>
      </c>
      <c r="H563" s="8" t="s">
        <v>42</v>
      </c>
      <c r="I563" s="11">
        <v>5</v>
      </c>
      <c r="J563" s="12">
        <v>39.44</v>
      </c>
      <c r="K563" s="13">
        <v>0.05</v>
      </c>
      <c r="L563" s="12">
        <v>24.42</v>
      </c>
      <c r="M563" s="14">
        <f>ROUND(tblSprzedaz[[#This Row],[Ilość]]*tblSprzedaz[[#This Row],[Cena netto jednostkowa]]*(1-tblSprzedaz[[#This Row],[Rabat %]]),2)</f>
        <v>187.34</v>
      </c>
      <c r="N563" s="14">
        <f>ROUND(tblSprzedaz[[#This Row],[Ilość]]*tblSprzedaz[[#This Row],[Koszt jednostkowy netto]],2)</f>
        <v>122.1</v>
      </c>
      <c r="O563" s="14">
        <f>tblSprzedaz[[#This Row],[Przychód netto]]-tblSprzedaz[[#This Row],[Koszt całkowity netto]]</f>
        <v>65.240000000000009</v>
      </c>
      <c r="P563" s="15">
        <f>IFERROR(tblSprzedaz[[#This Row],[Marża kwotowa]]/tblSprzedaz[[#This Row],[Przychód netto]],0)</f>
        <v>0.3482438347389773</v>
      </c>
      <c r="Q563" s="16">
        <f>YEAR(tblSprzedaz[[#This Row],[Data]])</f>
        <v>2025</v>
      </c>
      <c r="R563" s="16">
        <f>MONTH(tblSprzedaz[[#This Row],[Data]])</f>
        <v>6</v>
      </c>
      <c r="S563" s="9" t="str">
        <f>YEAR(tblSprzedaz[[#This Row],[Data]])&amp;"-"&amp;RIGHT("0"&amp;MONTH(tblSprzedaz[[#This Row],[Data]]),2)</f>
        <v>2025-06</v>
      </c>
    </row>
    <row r="564" spans="1:19" x14ac:dyDescent="0.25">
      <c r="A564" s="7" t="s">
        <v>1295</v>
      </c>
      <c r="B564" s="10">
        <v>45812</v>
      </c>
      <c r="C564" s="7" t="s">
        <v>1296</v>
      </c>
      <c r="D564" s="8" t="s">
        <v>114</v>
      </c>
      <c r="E564" s="8" t="s">
        <v>61</v>
      </c>
      <c r="F564" s="8" t="s">
        <v>33</v>
      </c>
      <c r="G564" s="8" t="s">
        <v>34</v>
      </c>
      <c r="H564" s="8" t="s">
        <v>44</v>
      </c>
      <c r="I564" s="11">
        <v>2</v>
      </c>
      <c r="J564" s="12">
        <v>533.6</v>
      </c>
      <c r="K564" s="13">
        <v>0.05</v>
      </c>
      <c r="L564" s="12">
        <v>353.46</v>
      </c>
      <c r="M564" s="14">
        <f>ROUND(tblSprzedaz[[#This Row],[Ilość]]*tblSprzedaz[[#This Row],[Cena netto jednostkowa]]*(1-tblSprzedaz[[#This Row],[Rabat %]]),2)</f>
        <v>1013.84</v>
      </c>
      <c r="N564" s="14">
        <f>ROUND(tblSprzedaz[[#This Row],[Ilość]]*tblSprzedaz[[#This Row],[Koszt jednostkowy netto]],2)</f>
        <v>706.92</v>
      </c>
      <c r="O564" s="14">
        <f>tblSprzedaz[[#This Row],[Przychód netto]]-tblSprzedaz[[#This Row],[Koszt całkowity netto]]</f>
        <v>306.92000000000007</v>
      </c>
      <c r="P564" s="15">
        <f>IFERROR(tblSprzedaz[[#This Row],[Marża kwotowa]]/tblSprzedaz[[#This Row],[Przychód netto]],0)</f>
        <v>0.30273021384044824</v>
      </c>
      <c r="Q564" s="16">
        <f>YEAR(tblSprzedaz[[#This Row],[Data]])</f>
        <v>2025</v>
      </c>
      <c r="R564" s="16">
        <f>MONTH(tblSprzedaz[[#This Row],[Data]])</f>
        <v>6</v>
      </c>
      <c r="S564" s="9" t="str">
        <f>YEAR(tblSprzedaz[[#This Row],[Data]])&amp;"-"&amp;RIGHT("0"&amp;MONTH(tblSprzedaz[[#This Row],[Data]]),2)</f>
        <v>2025-06</v>
      </c>
    </row>
    <row r="565" spans="1:19" x14ac:dyDescent="0.25">
      <c r="A565" s="7" t="s">
        <v>1297</v>
      </c>
      <c r="B565" s="10">
        <v>45812</v>
      </c>
      <c r="C565" s="7" t="s">
        <v>1298</v>
      </c>
      <c r="D565" s="8" t="s">
        <v>92</v>
      </c>
      <c r="E565" s="8" t="s">
        <v>54</v>
      </c>
      <c r="F565" s="8" t="s">
        <v>31</v>
      </c>
      <c r="G565" s="8" t="s">
        <v>36</v>
      </c>
      <c r="H565" s="8" t="s">
        <v>46</v>
      </c>
      <c r="I565" s="11">
        <v>1</v>
      </c>
      <c r="J565" s="12">
        <v>207.9</v>
      </c>
      <c r="K565" s="13">
        <v>0</v>
      </c>
      <c r="L565" s="12">
        <v>130.91</v>
      </c>
      <c r="M565" s="14">
        <f>ROUND(tblSprzedaz[[#This Row],[Ilość]]*tblSprzedaz[[#This Row],[Cena netto jednostkowa]]*(1-tblSprzedaz[[#This Row],[Rabat %]]),2)</f>
        <v>207.9</v>
      </c>
      <c r="N565" s="14">
        <f>ROUND(tblSprzedaz[[#This Row],[Ilość]]*tblSprzedaz[[#This Row],[Koszt jednostkowy netto]],2)</f>
        <v>130.91</v>
      </c>
      <c r="O565" s="14">
        <f>tblSprzedaz[[#This Row],[Przychód netto]]-tblSprzedaz[[#This Row],[Koszt całkowity netto]]</f>
        <v>76.990000000000009</v>
      </c>
      <c r="P565" s="15">
        <f>IFERROR(tblSprzedaz[[#This Row],[Marża kwotowa]]/tblSprzedaz[[#This Row],[Przychód netto]],0)</f>
        <v>0.37032227032227033</v>
      </c>
      <c r="Q565" s="16">
        <f>YEAR(tblSprzedaz[[#This Row],[Data]])</f>
        <v>2025</v>
      </c>
      <c r="R565" s="16">
        <f>MONTH(tblSprzedaz[[#This Row],[Data]])</f>
        <v>6</v>
      </c>
      <c r="S565" s="9" t="str">
        <f>YEAR(tblSprzedaz[[#This Row],[Data]])&amp;"-"&amp;RIGHT("0"&amp;MONTH(tblSprzedaz[[#This Row],[Data]]),2)</f>
        <v>2025-06</v>
      </c>
    </row>
    <row r="566" spans="1:19" x14ac:dyDescent="0.25">
      <c r="A566" s="7" t="s">
        <v>1299</v>
      </c>
      <c r="B566" s="10">
        <v>45812</v>
      </c>
      <c r="C566" s="7" t="s">
        <v>1300</v>
      </c>
      <c r="D566" s="8" t="s">
        <v>102</v>
      </c>
      <c r="E566" s="8" t="s">
        <v>53</v>
      </c>
      <c r="F566" s="8" t="s">
        <v>29</v>
      </c>
      <c r="G566" s="8" t="s">
        <v>32</v>
      </c>
      <c r="H566" s="8" t="s">
        <v>42</v>
      </c>
      <c r="I566" s="11">
        <v>12</v>
      </c>
      <c r="J566" s="12">
        <v>27.88</v>
      </c>
      <c r="K566" s="13">
        <v>0.05</v>
      </c>
      <c r="L566" s="12">
        <v>15.73</v>
      </c>
      <c r="M566" s="14">
        <f>ROUND(tblSprzedaz[[#This Row],[Ilość]]*tblSprzedaz[[#This Row],[Cena netto jednostkowa]]*(1-tblSprzedaz[[#This Row],[Rabat %]]),2)</f>
        <v>317.83</v>
      </c>
      <c r="N566" s="14">
        <f>ROUND(tblSprzedaz[[#This Row],[Ilość]]*tblSprzedaz[[#This Row],[Koszt jednostkowy netto]],2)</f>
        <v>188.76</v>
      </c>
      <c r="O566" s="14">
        <f>tblSprzedaz[[#This Row],[Przychód netto]]-tblSprzedaz[[#This Row],[Koszt całkowity netto]]</f>
        <v>129.07</v>
      </c>
      <c r="P566" s="15">
        <f>IFERROR(tblSprzedaz[[#This Row],[Marża kwotowa]]/tblSprzedaz[[#This Row],[Przychód netto]],0)</f>
        <v>0.40609759934556211</v>
      </c>
      <c r="Q566" s="16">
        <f>YEAR(tblSprzedaz[[#This Row],[Data]])</f>
        <v>2025</v>
      </c>
      <c r="R566" s="16">
        <f>MONTH(tblSprzedaz[[#This Row],[Data]])</f>
        <v>6</v>
      </c>
      <c r="S566" s="9" t="str">
        <f>YEAR(tblSprzedaz[[#This Row],[Data]])&amp;"-"&amp;RIGHT("0"&amp;MONTH(tblSprzedaz[[#This Row],[Data]]),2)</f>
        <v>2025-06</v>
      </c>
    </row>
    <row r="567" spans="1:19" x14ac:dyDescent="0.25">
      <c r="A567" s="7" t="s">
        <v>1301</v>
      </c>
      <c r="B567" s="10">
        <v>45812</v>
      </c>
      <c r="C567" s="7" t="s">
        <v>1302</v>
      </c>
      <c r="D567" s="8" t="s">
        <v>111</v>
      </c>
      <c r="E567" s="8" t="s">
        <v>63</v>
      </c>
      <c r="F567" s="8" t="s">
        <v>33</v>
      </c>
      <c r="G567" s="8" t="s">
        <v>36</v>
      </c>
      <c r="H567" s="8" t="s">
        <v>47</v>
      </c>
      <c r="I567" s="11">
        <v>3</v>
      </c>
      <c r="J567" s="12">
        <v>690</v>
      </c>
      <c r="K567" s="13">
        <v>0.05</v>
      </c>
      <c r="L567" s="12">
        <v>475.58</v>
      </c>
      <c r="M567" s="14">
        <f>ROUND(tblSprzedaz[[#This Row],[Ilość]]*tblSprzedaz[[#This Row],[Cena netto jednostkowa]]*(1-tblSprzedaz[[#This Row],[Rabat %]]),2)</f>
        <v>1966.5</v>
      </c>
      <c r="N567" s="14">
        <f>ROUND(tblSprzedaz[[#This Row],[Ilość]]*tblSprzedaz[[#This Row],[Koszt jednostkowy netto]],2)</f>
        <v>1426.74</v>
      </c>
      <c r="O567" s="14">
        <f>tblSprzedaz[[#This Row],[Przychód netto]]-tblSprzedaz[[#This Row],[Koszt całkowity netto]]</f>
        <v>539.76</v>
      </c>
      <c r="P567" s="15">
        <f>IFERROR(tblSprzedaz[[#This Row],[Marża kwotowa]]/tblSprzedaz[[#This Row],[Przychód netto]],0)</f>
        <v>0.27447749809305871</v>
      </c>
      <c r="Q567" s="16">
        <f>YEAR(tblSprzedaz[[#This Row],[Data]])</f>
        <v>2025</v>
      </c>
      <c r="R567" s="16">
        <f>MONTH(tblSprzedaz[[#This Row],[Data]])</f>
        <v>6</v>
      </c>
      <c r="S567" s="9" t="str">
        <f>YEAR(tblSprzedaz[[#This Row],[Data]])&amp;"-"&amp;RIGHT("0"&amp;MONTH(tblSprzedaz[[#This Row],[Data]]),2)</f>
        <v>2025-06</v>
      </c>
    </row>
    <row r="568" spans="1:19" x14ac:dyDescent="0.25">
      <c r="A568" s="7" t="s">
        <v>1303</v>
      </c>
      <c r="B568" s="10">
        <v>45812</v>
      </c>
      <c r="C568" s="7" t="s">
        <v>1304</v>
      </c>
      <c r="D568" s="8" t="s">
        <v>115</v>
      </c>
      <c r="E568" s="8" t="s">
        <v>55</v>
      </c>
      <c r="F568" s="8" t="s">
        <v>31</v>
      </c>
      <c r="G568" s="8" t="s">
        <v>34</v>
      </c>
      <c r="H568" s="8" t="s">
        <v>45</v>
      </c>
      <c r="I568" s="11">
        <v>2</v>
      </c>
      <c r="J568" s="12">
        <v>243.6</v>
      </c>
      <c r="K568" s="13">
        <v>0.15</v>
      </c>
      <c r="L568" s="12">
        <v>156.01</v>
      </c>
      <c r="M568" s="14">
        <f>ROUND(tblSprzedaz[[#This Row],[Ilość]]*tblSprzedaz[[#This Row],[Cena netto jednostkowa]]*(1-tblSprzedaz[[#This Row],[Rabat %]]),2)</f>
        <v>414.12</v>
      </c>
      <c r="N568" s="14">
        <f>ROUND(tblSprzedaz[[#This Row],[Ilość]]*tblSprzedaz[[#This Row],[Koszt jednostkowy netto]],2)</f>
        <v>312.02</v>
      </c>
      <c r="O568" s="14">
        <f>tblSprzedaz[[#This Row],[Przychód netto]]-tblSprzedaz[[#This Row],[Koszt całkowity netto]]</f>
        <v>102.10000000000002</v>
      </c>
      <c r="P568" s="15">
        <f>IFERROR(tblSprzedaz[[#This Row],[Marża kwotowa]]/tblSprzedaz[[#This Row],[Przychód netto]],0)</f>
        <v>0.246546894619917</v>
      </c>
      <c r="Q568" s="16">
        <f>YEAR(tblSprzedaz[[#This Row],[Data]])</f>
        <v>2025</v>
      </c>
      <c r="R568" s="16">
        <f>MONTH(tblSprzedaz[[#This Row],[Data]])</f>
        <v>6</v>
      </c>
      <c r="S568" s="9" t="str">
        <f>YEAR(tblSprzedaz[[#This Row],[Data]])&amp;"-"&amp;RIGHT("0"&amp;MONTH(tblSprzedaz[[#This Row],[Data]]),2)</f>
        <v>2025-06</v>
      </c>
    </row>
    <row r="569" spans="1:19" x14ac:dyDescent="0.25">
      <c r="A569" s="7" t="s">
        <v>1305</v>
      </c>
      <c r="B569" s="10">
        <v>45812</v>
      </c>
      <c r="C569" s="7" t="s">
        <v>1306</v>
      </c>
      <c r="D569" s="8" t="s">
        <v>87</v>
      </c>
      <c r="E569" s="8" t="s">
        <v>76</v>
      </c>
      <c r="F569" s="8" t="s">
        <v>37</v>
      </c>
      <c r="G569" s="8" t="s">
        <v>28</v>
      </c>
      <c r="H569" s="8" t="s">
        <v>38</v>
      </c>
      <c r="I569" s="11">
        <v>17</v>
      </c>
      <c r="J569" s="12">
        <v>158.65</v>
      </c>
      <c r="K569" s="13">
        <v>0</v>
      </c>
      <c r="L569" s="12">
        <v>125.77</v>
      </c>
      <c r="M569" s="14">
        <f>ROUND(tblSprzedaz[[#This Row],[Ilość]]*tblSprzedaz[[#This Row],[Cena netto jednostkowa]]*(1-tblSprzedaz[[#This Row],[Rabat %]]),2)</f>
        <v>2697.05</v>
      </c>
      <c r="N569" s="14">
        <f>ROUND(tblSprzedaz[[#This Row],[Ilość]]*tblSprzedaz[[#This Row],[Koszt jednostkowy netto]],2)</f>
        <v>2138.09</v>
      </c>
      <c r="O569" s="14">
        <f>tblSprzedaz[[#This Row],[Przychód netto]]-tblSprzedaz[[#This Row],[Koszt całkowity netto]]</f>
        <v>558.96</v>
      </c>
      <c r="P569" s="15">
        <f>IFERROR(tblSprzedaz[[#This Row],[Marża kwotowa]]/tblSprzedaz[[#This Row],[Przychód netto]],0)</f>
        <v>0.20724866057358965</v>
      </c>
      <c r="Q569" s="16">
        <f>YEAR(tblSprzedaz[[#This Row],[Data]])</f>
        <v>2025</v>
      </c>
      <c r="R569" s="16">
        <f>MONTH(tblSprzedaz[[#This Row],[Data]])</f>
        <v>6</v>
      </c>
      <c r="S569" s="9" t="str">
        <f>YEAR(tblSprzedaz[[#This Row],[Data]])&amp;"-"&amp;RIGHT("0"&amp;MONTH(tblSprzedaz[[#This Row],[Data]]),2)</f>
        <v>2025-06</v>
      </c>
    </row>
    <row r="570" spans="1:19" x14ac:dyDescent="0.25">
      <c r="A570" s="7" t="s">
        <v>1307</v>
      </c>
      <c r="B570" s="10">
        <v>45813</v>
      </c>
      <c r="C570" s="7" t="s">
        <v>1308</v>
      </c>
      <c r="D570" s="8" t="s">
        <v>80</v>
      </c>
      <c r="E570" s="8" t="s">
        <v>68</v>
      </c>
      <c r="F570" s="8" t="s">
        <v>35</v>
      </c>
      <c r="G570" s="8" t="s">
        <v>28</v>
      </c>
      <c r="H570" s="8" t="s">
        <v>39</v>
      </c>
      <c r="I570" s="11">
        <v>1</v>
      </c>
      <c r="J570" s="12">
        <v>90.44</v>
      </c>
      <c r="K570" s="13">
        <v>0</v>
      </c>
      <c r="L570" s="12">
        <v>64.06</v>
      </c>
      <c r="M570" s="14">
        <f>ROUND(tblSprzedaz[[#This Row],[Ilość]]*tblSprzedaz[[#This Row],[Cena netto jednostkowa]]*(1-tblSprzedaz[[#This Row],[Rabat %]]),2)</f>
        <v>90.44</v>
      </c>
      <c r="N570" s="14">
        <f>ROUND(tblSprzedaz[[#This Row],[Ilość]]*tblSprzedaz[[#This Row],[Koszt jednostkowy netto]],2)</f>
        <v>64.06</v>
      </c>
      <c r="O570" s="14">
        <f>tblSprzedaz[[#This Row],[Przychód netto]]-tblSprzedaz[[#This Row],[Koszt całkowity netto]]</f>
        <v>26.379999999999995</v>
      </c>
      <c r="P570" s="15">
        <f>IFERROR(tblSprzedaz[[#This Row],[Marża kwotowa]]/tblSprzedaz[[#This Row],[Przychód netto]],0)</f>
        <v>0.29168509509066781</v>
      </c>
      <c r="Q570" s="16">
        <f>YEAR(tblSprzedaz[[#This Row],[Data]])</f>
        <v>2025</v>
      </c>
      <c r="R570" s="16">
        <f>MONTH(tblSprzedaz[[#This Row],[Data]])</f>
        <v>6</v>
      </c>
      <c r="S570" s="9" t="str">
        <f>YEAR(tblSprzedaz[[#This Row],[Data]])&amp;"-"&amp;RIGHT("0"&amp;MONTH(tblSprzedaz[[#This Row],[Data]]),2)</f>
        <v>2025-06</v>
      </c>
    </row>
    <row r="571" spans="1:19" x14ac:dyDescent="0.25">
      <c r="A571" s="7" t="s">
        <v>1309</v>
      </c>
      <c r="B571" s="10">
        <v>45813</v>
      </c>
      <c r="C571" s="7" t="s">
        <v>1310</v>
      </c>
      <c r="D571" s="8" t="s">
        <v>78</v>
      </c>
      <c r="E571" s="8" t="s">
        <v>56</v>
      </c>
      <c r="F571" s="8" t="s">
        <v>31</v>
      </c>
      <c r="G571" s="8" t="s">
        <v>30</v>
      </c>
      <c r="H571" s="8" t="s">
        <v>40</v>
      </c>
      <c r="I571" s="11">
        <v>12</v>
      </c>
      <c r="J571" s="12">
        <v>279.3</v>
      </c>
      <c r="K571" s="13">
        <v>0</v>
      </c>
      <c r="L571" s="12">
        <v>185.14</v>
      </c>
      <c r="M571" s="14">
        <f>ROUND(tblSprzedaz[[#This Row],[Ilość]]*tblSprzedaz[[#This Row],[Cena netto jednostkowa]]*(1-tblSprzedaz[[#This Row],[Rabat %]]),2)</f>
        <v>3351.6</v>
      </c>
      <c r="N571" s="14">
        <f>ROUND(tblSprzedaz[[#This Row],[Ilość]]*tblSprzedaz[[#This Row],[Koszt jednostkowy netto]],2)</f>
        <v>2221.6799999999998</v>
      </c>
      <c r="O571" s="14">
        <f>tblSprzedaz[[#This Row],[Przychód netto]]-tblSprzedaz[[#This Row],[Koszt całkowity netto]]</f>
        <v>1129.92</v>
      </c>
      <c r="P571" s="15">
        <f>IFERROR(tblSprzedaz[[#This Row],[Marża kwotowa]]/tblSprzedaz[[#This Row],[Przychód netto]],0)</f>
        <v>0.33712853562477624</v>
      </c>
      <c r="Q571" s="16">
        <f>YEAR(tblSprzedaz[[#This Row],[Data]])</f>
        <v>2025</v>
      </c>
      <c r="R571" s="16">
        <f>MONTH(tblSprzedaz[[#This Row],[Data]])</f>
        <v>6</v>
      </c>
      <c r="S571" s="9" t="str">
        <f>YEAR(tblSprzedaz[[#This Row],[Data]])&amp;"-"&amp;RIGHT("0"&amp;MONTH(tblSprzedaz[[#This Row],[Data]]),2)</f>
        <v>2025-06</v>
      </c>
    </row>
    <row r="572" spans="1:19" x14ac:dyDescent="0.25">
      <c r="A572" s="7" t="s">
        <v>1311</v>
      </c>
      <c r="B572" s="10">
        <v>45813</v>
      </c>
      <c r="C572" s="7" t="s">
        <v>1312</v>
      </c>
      <c r="D572" s="8" t="s">
        <v>124</v>
      </c>
      <c r="E572" s="8" t="s">
        <v>66</v>
      </c>
      <c r="F572" s="8" t="s">
        <v>35</v>
      </c>
      <c r="G572" s="8" t="s">
        <v>36</v>
      </c>
      <c r="H572" s="8" t="s">
        <v>46</v>
      </c>
      <c r="I572" s="11">
        <v>9</v>
      </c>
      <c r="J572" s="12">
        <v>67.319999999999993</v>
      </c>
      <c r="K572" s="13">
        <v>0</v>
      </c>
      <c r="L572" s="12">
        <v>50.17</v>
      </c>
      <c r="M572" s="14">
        <f>ROUND(tblSprzedaz[[#This Row],[Ilość]]*tblSprzedaz[[#This Row],[Cena netto jednostkowa]]*(1-tblSprzedaz[[#This Row],[Rabat %]]),2)</f>
        <v>605.88</v>
      </c>
      <c r="N572" s="14">
        <f>ROUND(tblSprzedaz[[#This Row],[Ilość]]*tblSprzedaz[[#This Row],[Koszt jednostkowy netto]],2)</f>
        <v>451.53</v>
      </c>
      <c r="O572" s="14">
        <f>tblSprzedaz[[#This Row],[Przychód netto]]-tblSprzedaz[[#This Row],[Koszt całkowity netto]]</f>
        <v>154.35000000000002</v>
      </c>
      <c r="P572" s="15">
        <f>IFERROR(tblSprzedaz[[#This Row],[Marża kwotowa]]/tblSprzedaz[[#This Row],[Przychód netto]],0)</f>
        <v>0.25475341651812244</v>
      </c>
      <c r="Q572" s="16">
        <f>YEAR(tblSprzedaz[[#This Row],[Data]])</f>
        <v>2025</v>
      </c>
      <c r="R572" s="16">
        <f>MONTH(tblSprzedaz[[#This Row],[Data]])</f>
        <v>6</v>
      </c>
      <c r="S572" s="9" t="str">
        <f>YEAR(tblSprzedaz[[#This Row],[Data]])&amp;"-"&amp;RIGHT("0"&amp;MONTH(tblSprzedaz[[#This Row],[Data]]),2)</f>
        <v>2025-06</v>
      </c>
    </row>
    <row r="573" spans="1:19" x14ac:dyDescent="0.25">
      <c r="A573" s="7" t="s">
        <v>1313</v>
      </c>
      <c r="B573" s="10">
        <v>45813</v>
      </c>
      <c r="C573" s="7" t="s">
        <v>1314</v>
      </c>
      <c r="D573" s="8" t="s">
        <v>136</v>
      </c>
      <c r="E573" s="8" t="s">
        <v>73</v>
      </c>
      <c r="F573" s="8" t="s">
        <v>37</v>
      </c>
      <c r="G573" s="8" t="s">
        <v>28</v>
      </c>
      <c r="H573" s="8" t="s">
        <v>38</v>
      </c>
      <c r="I573" s="11">
        <v>12</v>
      </c>
      <c r="J573" s="12">
        <v>110.2</v>
      </c>
      <c r="K573" s="13">
        <v>0.15</v>
      </c>
      <c r="L573" s="12">
        <v>81.599999999999994</v>
      </c>
      <c r="M573" s="14">
        <f>ROUND(tblSprzedaz[[#This Row],[Ilość]]*tblSprzedaz[[#This Row],[Cena netto jednostkowa]]*(1-tblSprzedaz[[#This Row],[Rabat %]]),2)</f>
        <v>1124.04</v>
      </c>
      <c r="N573" s="14">
        <f>ROUND(tblSprzedaz[[#This Row],[Ilość]]*tblSprzedaz[[#This Row],[Koszt jednostkowy netto]],2)</f>
        <v>979.2</v>
      </c>
      <c r="O573" s="14">
        <f>tblSprzedaz[[#This Row],[Przychód netto]]-tblSprzedaz[[#This Row],[Koszt całkowity netto]]</f>
        <v>144.83999999999992</v>
      </c>
      <c r="P573" s="15">
        <f>IFERROR(tblSprzedaz[[#This Row],[Marża kwotowa]]/tblSprzedaz[[#This Row],[Przychód netto]],0)</f>
        <v>0.12885662431941916</v>
      </c>
      <c r="Q573" s="16">
        <f>YEAR(tblSprzedaz[[#This Row],[Data]])</f>
        <v>2025</v>
      </c>
      <c r="R573" s="16">
        <f>MONTH(tblSprzedaz[[#This Row],[Data]])</f>
        <v>6</v>
      </c>
      <c r="S573" s="9" t="str">
        <f>YEAR(tblSprzedaz[[#This Row],[Data]])&amp;"-"&amp;RIGHT("0"&amp;MONTH(tblSprzedaz[[#This Row],[Data]]),2)</f>
        <v>2025-06</v>
      </c>
    </row>
    <row r="574" spans="1:19" x14ac:dyDescent="0.25">
      <c r="A574" s="7" t="s">
        <v>1315</v>
      </c>
      <c r="B574" s="10">
        <v>45813</v>
      </c>
      <c r="C574" s="7" t="s">
        <v>1316</v>
      </c>
      <c r="D574" s="8" t="s">
        <v>139</v>
      </c>
      <c r="E574" s="8" t="s">
        <v>70</v>
      </c>
      <c r="F574" s="8" t="s">
        <v>35</v>
      </c>
      <c r="G574" s="8" t="s">
        <v>36</v>
      </c>
      <c r="H574" s="8" t="s">
        <v>46</v>
      </c>
      <c r="I574" s="11">
        <v>6</v>
      </c>
      <c r="J574" s="12">
        <v>113.56</v>
      </c>
      <c r="K574" s="13">
        <v>0.05</v>
      </c>
      <c r="L574" s="12">
        <v>78.23</v>
      </c>
      <c r="M574" s="14">
        <f>ROUND(tblSprzedaz[[#This Row],[Ilość]]*tblSprzedaz[[#This Row],[Cena netto jednostkowa]]*(1-tblSprzedaz[[#This Row],[Rabat %]]),2)</f>
        <v>647.29</v>
      </c>
      <c r="N574" s="14">
        <f>ROUND(tblSprzedaz[[#This Row],[Ilość]]*tblSprzedaz[[#This Row],[Koszt jednostkowy netto]],2)</f>
        <v>469.38</v>
      </c>
      <c r="O574" s="14">
        <f>tblSprzedaz[[#This Row],[Przychód netto]]-tblSprzedaz[[#This Row],[Koszt całkowity netto]]</f>
        <v>177.90999999999997</v>
      </c>
      <c r="P574" s="15">
        <f>IFERROR(tblSprzedaz[[#This Row],[Marża kwotowa]]/tblSprzedaz[[#This Row],[Przychód netto]],0)</f>
        <v>0.27485362047922873</v>
      </c>
      <c r="Q574" s="16">
        <f>YEAR(tblSprzedaz[[#This Row],[Data]])</f>
        <v>2025</v>
      </c>
      <c r="R574" s="16">
        <f>MONTH(tblSprzedaz[[#This Row],[Data]])</f>
        <v>6</v>
      </c>
      <c r="S574" s="9" t="str">
        <f>YEAR(tblSprzedaz[[#This Row],[Data]])&amp;"-"&amp;RIGHT("0"&amp;MONTH(tblSprzedaz[[#This Row],[Data]]),2)</f>
        <v>2025-06</v>
      </c>
    </row>
    <row r="575" spans="1:19" x14ac:dyDescent="0.25">
      <c r="A575" s="7" t="s">
        <v>1317</v>
      </c>
      <c r="B575" s="10">
        <v>45814</v>
      </c>
      <c r="C575" s="7" t="s">
        <v>1318</v>
      </c>
      <c r="D575" s="8" t="s">
        <v>143</v>
      </c>
      <c r="E575" s="8" t="s">
        <v>76</v>
      </c>
      <c r="F575" s="8" t="s">
        <v>37</v>
      </c>
      <c r="G575" s="8" t="s">
        <v>32</v>
      </c>
      <c r="H575" s="8" t="s">
        <v>43</v>
      </c>
      <c r="I575" s="11">
        <v>9</v>
      </c>
      <c r="J575" s="12">
        <v>158.65</v>
      </c>
      <c r="K575" s="13">
        <v>0</v>
      </c>
      <c r="L575" s="12">
        <v>117.25</v>
      </c>
      <c r="M575" s="14">
        <f>ROUND(tblSprzedaz[[#This Row],[Ilość]]*tblSprzedaz[[#This Row],[Cena netto jednostkowa]]*(1-tblSprzedaz[[#This Row],[Rabat %]]),2)</f>
        <v>1427.85</v>
      </c>
      <c r="N575" s="14">
        <f>ROUND(tblSprzedaz[[#This Row],[Ilość]]*tblSprzedaz[[#This Row],[Koszt jednostkowy netto]],2)</f>
        <v>1055.25</v>
      </c>
      <c r="O575" s="14">
        <f>tblSprzedaz[[#This Row],[Przychód netto]]-tblSprzedaz[[#This Row],[Koszt całkowity netto]]</f>
        <v>372.59999999999991</v>
      </c>
      <c r="P575" s="15">
        <f>IFERROR(tblSprzedaz[[#This Row],[Marża kwotowa]]/tblSprzedaz[[#This Row],[Przychód netto]],0)</f>
        <v>0.2609517806492278</v>
      </c>
      <c r="Q575" s="16">
        <f>YEAR(tblSprzedaz[[#This Row],[Data]])</f>
        <v>2025</v>
      </c>
      <c r="R575" s="16">
        <f>MONTH(tblSprzedaz[[#This Row],[Data]])</f>
        <v>6</v>
      </c>
      <c r="S575" s="9" t="str">
        <f>YEAR(tblSprzedaz[[#This Row],[Data]])&amp;"-"&amp;RIGHT("0"&amp;MONTH(tblSprzedaz[[#This Row],[Data]]),2)</f>
        <v>2025-06</v>
      </c>
    </row>
    <row r="576" spans="1:19" x14ac:dyDescent="0.25">
      <c r="A576" s="7" t="s">
        <v>1319</v>
      </c>
      <c r="B576" s="10">
        <v>45814</v>
      </c>
      <c r="C576" s="7" t="s">
        <v>1320</v>
      </c>
      <c r="D576" s="8" t="s">
        <v>94</v>
      </c>
      <c r="E576" s="8" t="s">
        <v>76</v>
      </c>
      <c r="F576" s="8" t="s">
        <v>37</v>
      </c>
      <c r="G576" s="8" t="s">
        <v>34</v>
      </c>
      <c r="H576" s="8" t="s">
        <v>44</v>
      </c>
      <c r="I576" s="11">
        <v>4</v>
      </c>
      <c r="J576" s="12">
        <v>158.65</v>
      </c>
      <c r="K576" s="13">
        <v>0</v>
      </c>
      <c r="L576" s="12">
        <v>120.66</v>
      </c>
      <c r="M576" s="14">
        <f>ROUND(tblSprzedaz[[#This Row],[Ilość]]*tblSprzedaz[[#This Row],[Cena netto jednostkowa]]*(1-tblSprzedaz[[#This Row],[Rabat %]]),2)</f>
        <v>634.6</v>
      </c>
      <c r="N576" s="14">
        <f>ROUND(tblSprzedaz[[#This Row],[Ilość]]*tblSprzedaz[[#This Row],[Koszt jednostkowy netto]],2)</f>
        <v>482.64</v>
      </c>
      <c r="O576" s="14">
        <f>tblSprzedaz[[#This Row],[Przychód netto]]-tblSprzedaz[[#This Row],[Koszt całkowity netto]]</f>
        <v>151.96000000000004</v>
      </c>
      <c r="P576" s="15">
        <f>IFERROR(tblSprzedaz[[#This Row],[Marża kwotowa]]/tblSprzedaz[[#This Row],[Przychód netto]],0)</f>
        <v>0.23945792625275769</v>
      </c>
      <c r="Q576" s="16">
        <f>YEAR(tblSprzedaz[[#This Row],[Data]])</f>
        <v>2025</v>
      </c>
      <c r="R576" s="16">
        <f>MONTH(tblSprzedaz[[#This Row],[Data]])</f>
        <v>6</v>
      </c>
      <c r="S576" s="9" t="str">
        <f>YEAR(tblSprzedaz[[#This Row],[Data]])&amp;"-"&amp;RIGHT("0"&amp;MONTH(tblSprzedaz[[#This Row],[Data]]),2)</f>
        <v>2025-06</v>
      </c>
    </row>
    <row r="577" spans="1:19" x14ac:dyDescent="0.25">
      <c r="A577" s="7" t="s">
        <v>1321</v>
      </c>
      <c r="B577" s="10">
        <v>45814</v>
      </c>
      <c r="C577" s="7" t="s">
        <v>1322</v>
      </c>
      <c r="D577" s="8" t="s">
        <v>96</v>
      </c>
      <c r="E577" s="8" t="s">
        <v>65</v>
      </c>
      <c r="F577" s="8" t="s">
        <v>33</v>
      </c>
      <c r="G577" s="8" t="s">
        <v>36</v>
      </c>
      <c r="H577" s="8" t="s">
        <v>46</v>
      </c>
      <c r="I577" s="11">
        <v>5</v>
      </c>
      <c r="J577" s="12">
        <v>377.2</v>
      </c>
      <c r="K577" s="13">
        <v>0.05</v>
      </c>
      <c r="L577" s="12">
        <v>252.51</v>
      </c>
      <c r="M577" s="14">
        <f>ROUND(tblSprzedaz[[#This Row],[Ilość]]*tblSprzedaz[[#This Row],[Cena netto jednostkowa]]*(1-tblSprzedaz[[#This Row],[Rabat %]]),2)</f>
        <v>1791.7</v>
      </c>
      <c r="N577" s="14">
        <f>ROUND(tblSprzedaz[[#This Row],[Ilość]]*tblSprzedaz[[#This Row],[Koszt jednostkowy netto]],2)</f>
        <v>1262.55</v>
      </c>
      <c r="O577" s="14">
        <f>tblSprzedaz[[#This Row],[Przychód netto]]-tblSprzedaz[[#This Row],[Koszt całkowity netto]]</f>
        <v>529.15000000000009</v>
      </c>
      <c r="P577" s="15">
        <f>IFERROR(tblSprzedaz[[#This Row],[Marża kwotowa]]/tblSprzedaz[[#This Row],[Przychód netto]],0)</f>
        <v>0.29533404029692473</v>
      </c>
      <c r="Q577" s="16">
        <f>YEAR(tblSprzedaz[[#This Row],[Data]])</f>
        <v>2025</v>
      </c>
      <c r="R577" s="16">
        <f>MONTH(tblSprzedaz[[#This Row],[Data]])</f>
        <v>6</v>
      </c>
      <c r="S577" s="9" t="str">
        <f>YEAR(tblSprzedaz[[#This Row],[Data]])&amp;"-"&amp;RIGHT("0"&amp;MONTH(tblSprzedaz[[#This Row],[Data]]),2)</f>
        <v>2025-06</v>
      </c>
    </row>
    <row r="578" spans="1:19" x14ac:dyDescent="0.25">
      <c r="A578" s="7" t="s">
        <v>1323</v>
      </c>
      <c r="B578" s="10">
        <v>45814</v>
      </c>
      <c r="C578" s="7" t="s">
        <v>1324</v>
      </c>
      <c r="D578" s="8" t="s">
        <v>124</v>
      </c>
      <c r="E578" s="8" t="s">
        <v>61</v>
      </c>
      <c r="F578" s="8" t="s">
        <v>33</v>
      </c>
      <c r="G578" s="8" t="s">
        <v>36</v>
      </c>
      <c r="H578" s="8" t="s">
        <v>46</v>
      </c>
      <c r="I578" s="11">
        <v>9</v>
      </c>
      <c r="J578" s="12">
        <v>533.6</v>
      </c>
      <c r="K578" s="13">
        <v>0</v>
      </c>
      <c r="L578" s="12">
        <v>348.85</v>
      </c>
      <c r="M578" s="14">
        <f>ROUND(tblSprzedaz[[#This Row],[Ilość]]*tblSprzedaz[[#This Row],[Cena netto jednostkowa]]*(1-tblSprzedaz[[#This Row],[Rabat %]]),2)</f>
        <v>4802.3999999999996</v>
      </c>
      <c r="N578" s="14">
        <f>ROUND(tblSprzedaz[[#This Row],[Ilość]]*tblSprzedaz[[#This Row],[Koszt jednostkowy netto]],2)</f>
        <v>3139.65</v>
      </c>
      <c r="O578" s="14">
        <f>tblSprzedaz[[#This Row],[Przychód netto]]-tblSprzedaz[[#This Row],[Koszt całkowity netto]]</f>
        <v>1662.7499999999995</v>
      </c>
      <c r="P578" s="15">
        <f>IFERROR(tblSprzedaz[[#This Row],[Marża kwotowa]]/tblSprzedaz[[#This Row],[Przychód netto]],0)</f>
        <v>0.34623313343328327</v>
      </c>
      <c r="Q578" s="16">
        <f>YEAR(tblSprzedaz[[#This Row],[Data]])</f>
        <v>2025</v>
      </c>
      <c r="R578" s="16">
        <f>MONTH(tblSprzedaz[[#This Row],[Data]])</f>
        <v>6</v>
      </c>
      <c r="S578" s="9" t="str">
        <f>YEAR(tblSprzedaz[[#This Row],[Data]])&amp;"-"&amp;RIGHT("0"&amp;MONTH(tblSprzedaz[[#This Row],[Data]]),2)</f>
        <v>2025-06</v>
      </c>
    </row>
    <row r="579" spans="1:19" x14ac:dyDescent="0.25">
      <c r="A579" s="7" t="s">
        <v>1325</v>
      </c>
      <c r="B579" s="10">
        <v>45814</v>
      </c>
      <c r="C579" s="7" t="s">
        <v>1326</v>
      </c>
      <c r="D579" s="8" t="s">
        <v>113</v>
      </c>
      <c r="E579" s="8" t="s">
        <v>48</v>
      </c>
      <c r="F579" s="8" t="s">
        <v>29</v>
      </c>
      <c r="G579" s="8" t="s">
        <v>28</v>
      </c>
      <c r="H579" s="8" t="s">
        <v>38</v>
      </c>
      <c r="I579" s="11">
        <v>14</v>
      </c>
      <c r="J579" s="12">
        <v>33.659999999999997</v>
      </c>
      <c r="K579" s="13">
        <v>0</v>
      </c>
      <c r="L579" s="12">
        <v>21.03</v>
      </c>
      <c r="M579" s="14">
        <f>ROUND(tblSprzedaz[[#This Row],[Ilość]]*tblSprzedaz[[#This Row],[Cena netto jednostkowa]]*(1-tblSprzedaz[[#This Row],[Rabat %]]),2)</f>
        <v>471.24</v>
      </c>
      <c r="N579" s="14">
        <f>ROUND(tblSprzedaz[[#This Row],[Ilość]]*tblSprzedaz[[#This Row],[Koszt jednostkowy netto]],2)</f>
        <v>294.42</v>
      </c>
      <c r="O579" s="14">
        <f>tblSprzedaz[[#This Row],[Przychód netto]]-tblSprzedaz[[#This Row],[Koszt całkowity netto]]</f>
        <v>176.82</v>
      </c>
      <c r="P579" s="15">
        <f>IFERROR(tblSprzedaz[[#This Row],[Marża kwotowa]]/tblSprzedaz[[#This Row],[Przychód netto]],0)</f>
        <v>0.37522281639928695</v>
      </c>
      <c r="Q579" s="16">
        <f>YEAR(tblSprzedaz[[#This Row],[Data]])</f>
        <v>2025</v>
      </c>
      <c r="R579" s="16">
        <f>MONTH(tblSprzedaz[[#This Row],[Data]])</f>
        <v>6</v>
      </c>
      <c r="S579" s="9" t="str">
        <f>YEAR(tblSprzedaz[[#This Row],[Data]])&amp;"-"&amp;RIGHT("0"&amp;MONTH(tblSprzedaz[[#This Row],[Data]]),2)</f>
        <v>2025-06</v>
      </c>
    </row>
    <row r="580" spans="1:19" x14ac:dyDescent="0.25">
      <c r="A580" s="7" t="s">
        <v>1327</v>
      </c>
      <c r="B580" s="10">
        <v>45815</v>
      </c>
      <c r="C580" s="7" t="s">
        <v>1328</v>
      </c>
      <c r="D580" s="8" t="s">
        <v>82</v>
      </c>
      <c r="E580" s="8" t="s">
        <v>67</v>
      </c>
      <c r="F580" s="8" t="s">
        <v>35</v>
      </c>
      <c r="G580" s="8" t="s">
        <v>36</v>
      </c>
      <c r="H580" s="8" t="s">
        <v>47</v>
      </c>
      <c r="I580" s="11">
        <v>6</v>
      </c>
      <c r="J580" s="12">
        <v>78.88</v>
      </c>
      <c r="K580" s="13">
        <v>0</v>
      </c>
      <c r="L580" s="12">
        <v>59.88</v>
      </c>
      <c r="M580" s="14">
        <f>ROUND(tblSprzedaz[[#This Row],[Ilość]]*tblSprzedaz[[#This Row],[Cena netto jednostkowa]]*(1-tblSprzedaz[[#This Row],[Rabat %]]),2)</f>
        <v>473.28</v>
      </c>
      <c r="N580" s="14">
        <f>ROUND(tblSprzedaz[[#This Row],[Ilość]]*tblSprzedaz[[#This Row],[Koszt jednostkowy netto]],2)</f>
        <v>359.28</v>
      </c>
      <c r="O580" s="14">
        <f>tblSprzedaz[[#This Row],[Przychód netto]]-tblSprzedaz[[#This Row],[Koszt całkowity netto]]</f>
        <v>114</v>
      </c>
      <c r="P580" s="15">
        <f>IFERROR(tblSprzedaz[[#This Row],[Marża kwotowa]]/tblSprzedaz[[#This Row],[Przychód netto]],0)</f>
        <v>0.24087221095334688</v>
      </c>
      <c r="Q580" s="16">
        <f>YEAR(tblSprzedaz[[#This Row],[Data]])</f>
        <v>2025</v>
      </c>
      <c r="R580" s="16">
        <f>MONTH(tblSprzedaz[[#This Row],[Data]])</f>
        <v>6</v>
      </c>
      <c r="S580" s="9" t="str">
        <f>YEAR(tblSprzedaz[[#This Row],[Data]])&amp;"-"&amp;RIGHT("0"&amp;MONTH(tblSprzedaz[[#This Row],[Data]]),2)</f>
        <v>2025-06</v>
      </c>
    </row>
    <row r="581" spans="1:19" x14ac:dyDescent="0.25">
      <c r="A581" s="7" t="s">
        <v>1329</v>
      </c>
      <c r="B581" s="10">
        <v>45815</v>
      </c>
      <c r="C581" s="7" t="s">
        <v>1330</v>
      </c>
      <c r="D581" s="8" t="s">
        <v>78</v>
      </c>
      <c r="E581" s="8" t="s">
        <v>76</v>
      </c>
      <c r="F581" s="8" t="s">
        <v>37</v>
      </c>
      <c r="G581" s="8" t="s">
        <v>28</v>
      </c>
      <c r="H581" s="8" t="s">
        <v>38</v>
      </c>
      <c r="I581" s="11">
        <v>19</v>
      </c>
      <c r="J581" s="12">
        <v>158.65</v>
      </c>
      <c r="K581" s="13">
        <v>0</v>
      </c>
      <c r="L581" s="12">
        <v>122.38</v>
      </c>
      <c r="M581" s="14">
        <f>ROUND(tblSprzedaz[[#This Row],[Ilość]]*tblSprzedaz[[#This Row],[Cena netto jednostkowa]]*(1-tblSprzedaz[[#This Row],[Rabat %]]),2)</f>
        <v>3014.35</v>
      </c>
      <c r="N581" s="14">
        <f>ROUND(tblSprzedaz[[#This Row],[Ilość]]*tblSprzedaz[[#This Row],[Koszt jednostkowy netto]],2)</f>
        <v>2325.2199999999998</v>
      </c>
      <c r="O581" s="14">
        <f>tblSprzedaz[[#This Row],[Przychód netto]]-tblSprzedaz[[#This Row],[Koszt całkowity netto]]</f>
        <v>689.13000000000011</v>
      </c>
      <c r="P581" s="15">
        <f>IFERROR(tblSprzedaz[[#This Row],[Marża kwotowa]]/tblSprzedaz[[#This Row],[Przychód netto]],0)</f>
        <v>0.22861645130791053</v>
      </c>
      <c r="Q581" s="16">
        <f>YEAR(tblSprzedaz[[#This Row],[Data]])</f>
        <v>2025</v>
      </c>
      <c r="R581" s="16">
        <f>MONTH(tblSprzedaz[[#This Row],[Data]])</f>
        <v>6</v>
      </c>
      <c r="S581" s="9" t="str">
        <f>YEAR(tblSprzedaz[[#This Row],[Data]])&amp;"-"&amp;RIGHT("0"&amp;MONTH(tblSprzedaz[[#This Row],[Data]]),2)</f>
        <v>2025-06</v>
      </c>
    </row>
    <row r="582" spans="1:19" x14ac:dyDescent="0.25">
      <c r="A582" s="7" t="s">
        <v>1331</v>
      </c>
      <c r="B582" s="10">
        <v>45816</v>
      </c>
      <c r="C582" s="7" t="s">
        <v>1332</v>
      </c>
      <c r="D582" s="8" t="s">
        <v>137</v>
      </c>
      <c r="E582" s="8" t="s">
        <v>55</v>
      </c>
      <c r="F582" s="8" t="s">
        <v>31</v>
      </c>
      <c r="G582" s="8" t="s">
        <v>28</v>
      </c>
      <c r="H582" s="8" t="s">
        <v>39</v>
      </c>
      <c r="I582" s="11">
        <v>3</v>
      </c>
      <c r="J582" s="12">
        <v>243.6</v>
      </c>
      <c r="K582" s="13">
        <v>0.05</v>
      </c>
      <c r="L582" s="12">
        <v>159.26</v>
      </c>
      <c r="M582" s="14">
        <f>ROUND(tblSprzedaz[[#This Row],[Ilość]]*tblSprzedaz[[#This Row],[Cena netto jednostkowa]]*(1-tblSprzedaz[[#This Row],[Rabat %]]),2)</f>
        <v>694.26</v>
      </c>
      <c r="N582" s="14">
        <f>ROUND(tblSprzedaz[[#This Row],[Ilość]]*tblSprzedaz[[#This Row],[Koszt jednostkowy netto]],2)</f>
        <v>477.78</v>
      </c>
      <c r="O582" s="14">
        <f>tblSprzedaz[[#This Row],[Przychód netto]]-tblSprzedaz[[#This Row],[Koszt całkowity netto]]</f>
        <v>216.48000000000002</v>
      </c>
      <c r="P582" s="15">
        <f>IFERROR(tblSprzedaz[[#This Row],[Marża kwotowa]]/tblSprzedaz[[#This Row],[Przychód netto]],0)</f>
        <v>0.31181401780312856</v>
      </c>
      <c r="Q582" s="16">
        <f>YEAR(tblSprzedaz[[#This Row],[Data]])</f>
        <v>2025</v>
      </c>
      <c r="R582" s="16">
        <f>MONTH(tblSprzedaz[[#This Row],[Data]])</f>
        <v>6</v>
      </c>
      <c r="S582" s="9" t="str">
        <f>YEAR(tblSprzedaz[[#This Row],[Data]])&amp;"-"&amp;RIGHT("0"&amp;MONTH(tblSprzedaz[[#This Row],[Data]]),2)</f>
        <v>2025-06</v>
      </c>
    </row>
    <row r="583" spans="1:19" x14ac:dyDescent="0.25">
      <c r="A583" s="7" t="s">
        <v>1333</v>
      </c>
      <c r="B583" s="10">
        <v>45816</v>
      </c>
      <c r="C583" s="7" t="s">
        <v>1334</v>
      </c>
      <c r="D583" s="8" t="s">
        <v>122</v>
      </c>
      <c r="E583" s="8" t="s">
        <v>58</v>
      </c>
      <c r="F583" s="8" t="s">
        <v>31</v>
      </c>
      <c r="G583" s="8" t="s">
        <v>32</v>
      </c>
      <c r="H583" s="8" t="s">
        <v>43</v>
      </c>
      <c r="I583" s="11">
        <v>18</v>
      </c>
      <c r="J583" s="12">
        <v>350.7</v>
      </c>
      <c r="K583" s="13">
        <v>0</v>
      </c>
      <c r="L583" s="12">
        <v>215.8</v>
      </c>
      <c r="M583" s="14">
        <f>ROUND(tblSprzedaz[[#This Row],[Ilość]]*tblSprzedaz[[#This Row],[Cena netto jednostkowa]]*(1-tblSprzedaz[[#This Row],[Rabat %]]),2)</f>
        <v>6312.6</v>
      </c>
      <c r="N583" s="14">
        <f>ROUND(tblSprzedaz[[#This Row],[Ilość]]*tblSprzedaz[[#This Row],[Koszt jednostkowy netto]],2)</f>
        <v>3884.4</v>
      </c>
      <c r="O583" s="14">
        <f>tblSprzedaz[[#This Row],[Przychód netto]]-tblSprzedaz[[#This Row],[Koszt całkowity netto]]</f>
        <v>2428.2000000000003</v>
      </c>
      <c r="P583" s="15">
        <f>IFERROR(tblSprzedaz[[#This Row],[Marża kwotowa]]/tblSprzedaz[[#This Row],[Przychód netto]],0)</f>
        <v>0.38465925292272601</v>
      </c>
      <c r="Q583" s="16">
        <f>YEAR(tblSprzedaz[[#This Row],[Data]])</f>
        <v>2025</v>
      </c>
      <c r="R583" s="16">
        <f>MONTH(tblSprzedaz[[#This Row],[Data]])</f>
        <v>6</v>
      </c>
      <c r="S583" s="9" t="str">
        <f>YEAR(tblSprzedaz[[#This Row],[Data]])&amp;"-"&amp;RIGHT("0"&amp;MONTH(tblSprzedaz[[#This Row],[Data]]),2)</f>
        <v>2025-06</v>
      </c>
    </row>
    <row r="584" spans="1:19" x14ac:dyDescent="0.25">
      <c r="A584" s="7" t="s">
        <v>1335</v>
      </c>
      <c r="B584" s="10">
        <v>45817</v>
      </c>
      <c r="C584" s="7" t="s">
        <v>1336</v>
      </c>
      <c r="D584" s="8" t="s">
        <v>85</v>
      </c>
      <c r="E584" s="8" t="s">
        <v>58</v>
      </c>
      <c r="F584" s="8" t="s">
        <v>31</v>
      </c>
      <c r="G584" s="8" t="s">
        <v>36</v>
      </c>
      <c r="H584" s="8" t="s">
        <v>46</v>
      </c>
      <c r="I584" s="11">
        <v>18</v>
      </c>
      <c r="J584" s="12">
        <v>350.7</v>
      </c>
      <c r="K584" s="13">
        <v>0</v>
      </c>
      <c r="L584" s="12">
        <v>225.91</v>
      </c>
      <c r="M584" s="14">
        <f>ROUND(tblSprzedaz[[#This Row],[Ilość]]*tblSprzedaz[[#This Row],[Cena netto jednostkowa]]*(1-tblSprzedaz[[#This Row],[Rabat %]]),2)</f>
        <v>6312.6</v>
      </c>
      <c r="N584" s="14">
        <f>ROUND(tblSprzedaz[[#This Row],[Ilość]]*tblSprzedaz[[#This Row],[Koszt jednostkowy netto]],2)</f>
        <v>4066.38</v>
      </c>
      <c r="O584" s="14">
        <f>tblSprzedaz[[#This Row],[Przychód netto]]-tblSprzedaz[[#This Row],[Koszt całkowity netto]]</f>
        <v>2246.2200000000003</v>
      </c>
      <c r="P584" s="15">
        <f>IFERROR(tblSprzedaz[[#This Row],[Marża kwotowa]]/tblSprzedaz[[#This Row],[Przychód netto]],0)</f>
        <v>0.35583119475335045</v>
      </c>
      <c r="Q584" s="16">
        <f>YEAR(tblSprzedaz[[#This Row],[Data]])</f>
        <v>2025</v>
      </c>
      <c r="R584" s="16">
        <f>MONTH(tblSprzedaz[[#This Row],[Data]])</f>
        <v>6</v>
      </c>
      <c r="S584" s="9" t="str">
        <f>YEAR(tblSprzedaz[[#This Row],[Data]])&amp;"-"&amp;RIGHT("0"&amp;MONTH(tblSprzedaz[[#This Row],[Data]]),2)</f>
        <v>2025-06</v>
      </c>
    </row>
    <row r="585" spans="1:19" x14ac:dyDescent="0.25">
      <c r="A585" s="7" t="s">
        <v>1337</v>
      </c>
      <c r="B585" s="10">
        <v>45817</v>
      </c>
      <c r="C585" s="7" t="s">
        <v>1338</v>
      </c>
      <c r="D585" s="8" t="s">
        <v>124</v>
      </c>
      <c r="E585" s="8" t="s">
        <v>59</v>
      </c>
      <c r="F585" s="8" t="s">
        <v>31</v>
      </c>
      <c r="G585" s="8" t="s">
        <v>32</v>
      </c>
      <c r="H585" s="8" t="s">
        <v>42</v>
      </c>
      <c r="I585" s="11">
        <v>18</v>
      </c>
      <c r="J585" s="12">
        <v>172.2</v>
      </c>
      <c r="K585" s="13">
        <v>0.1</v>
      </c>
      <c r="L585" s="12">
        <v>107.61</v>
      </c>
      <c r="M585" s="14">
        <f>ROUND(tblSprzedaz[[#This Row],[Ilość]]*tblSprzedaz[[#This Row],[Cena netto jednostkowa]]*(1-tblSprzedaz[[#This Row],[Rabat %]]),2)</f>
        <v>2789.64</v>
      </c>
      <c r="N585" s="14">
        <f>ROUND(tblSprzedaz[[#This Row],[Ilość]]*tblSprzedaz[[#This Row],[Koszt jednostkowy netto]],2)</f>
        <v>1936.98</v>
      </c>
      <c r="O585" s="14">
        <f>tblSprzedaz[[#This Row],[Przychód netto]]-tblSprzedaz[[#This Row],[Koszt całkowity netto]]</f>
        <v>852.65999999999985</v>
      </c>
      <c r="P585" s="15">
        <f>IFERROR(tblSprzedaz[[#This Row],[Marża kwotowa]]/tblSprzedaz[[#This Row],[Przychód netto]],0)</f>
        <v>0.30565234223770804</v>
      </c>
      <c r="Q585" s="16">
        <f>YEAR(tblSprzedaz[[#This Row],[Data]])</f>
        <v>2025</v>
      </c>
      <c r="R585" s="16">
        <f>MONTH(tblSprzedaz[[#This Row],[Data]])</f>
        <v>6</v>
      </c>
      <c r="S585" s="9" t="str">
        <f>YEAR(tblSprzedaz[[#This Row],[Data]])&amp;"-"&amp;RIGHT("0"&amp;MONTH(tblSprzedaz[[#This Row],[Data]]),2)</f>
        <v>2025-06</v>
      </c>
    </row>
    <row r="586" spans="1:19" x14ac:dyDescent="0.25">
      <c r="A586" s="7" t="s">
        <v>1339</v>
      </c>
      <c r="B586" s="10">
        <v>45817</v>
      </c>
      <c r="C586" s="7" t="s">
        <v>1340</v>
      </c>
      <c r="D586" s="8" t="s">
        <v>103</v>
      </c>
      <c r="E586" s="8" t="s">
        <v>51</v>
      </c>
      <c r="F586" s="8" t="s">
        <v>29</v>
      </c>
      <c r="G586" s="8" t="s">
        <v>28</v>
      </c>
      <c r="H586" s="8" t="s">
        <v>39</v>
      </c>
      <c r="I586" s="11">
        <v>18</v>
      </c>
      <c r="J586" s="12">
        <v>51</v>
      </c>
      <c r="K586" s="13">
        <v>0</v>
      </c>
      <c r="L586" s="12">
        <v>31.77</v>
      </c>
      <c r="M586" s="14">
        <f>ROUND(tblSprzedaz[[#This Row],[Ilość]]*tblSprzedaz[[#This Row],[Cena netto jednostkowa]]*(1-tblSprzedaz[[#This Row],[Rabat %]]),2)</f>
        <v>918</v>
      </c>
      <c r="N586" s="14">
        <f>ROUND(tblSprzedaz[[#This Row],[Ilość]]*tblSprzedaz[[#This Row],[Koszt jednostkowy netto]],2)</f>
        <v>571.86</v>
      </c>
      <c r="O586" s="14">
        <f>tblSprzedaz[[#This Row],[Przychód netto]]-tblSprzedaz[[#This Row],[Koszt całkowity netto]]</f>
        <v>346.14</v>
      </c>
      <c r="P586" s="15">
        <f>IFERROR(tblSprzedaz[[#This Row],[Marża kwotowa]]/tblSprzedaz[[#This Row],[Przychód netto]],0)</f>
        <v>0.37705882352941172</v>
      </c>
      <c r="Q586" s="16">
        <f>YEAR(tblSprzedaz[[#This Row],[Data]])</f>
        <v>2025</v>
      </c>
      <c r="R586" s="16">
        <f>MONTH(tblSprzedaz[[#This Row],[Data]])</f>
        <v>6</v>
      </c>
      <c r="S586" s="9" t="str">
        <f>YEAR(tblSprzedaz[[#This Row],[Data]])&amp;"-"&amp;RIGHT("0"&amp;MONTH(tblSprzedaz[[#This Row],[Data]]),2)</f>
        <v>2025-06</v>
      </c>
    </row>
    <row r="587" spans="1:19" x14ac:dyDescent="0.25">
      <c r="A587" s="7" t="s">
        <v>1341</v>
      </c>
      <c r="B587" s="10">
        <v>45817</v>
      </c>
      <c r="C587" s="7" t="s">
        <v>1342</v>
      </c>
      <c r="D587" s="8" t="s">
        <v>124</v>
      </c>
      <c r="E587" s="8" t="s">
        <v>56</v>
      </c>
      <c r="F587" s="8" t="s">
        <v>31</v>
      </c>
      <c r="G587" s="8" t="s">
        <v>30</v>
      </c>
      <c r="H587" s="8" t="s">
        <v>40</v>
      </c>
      <c r="I587" s="11">
        <v>13</v>
      </c>
      <c r="J587" s="12">
        <v>279.3</v>
      </c>
      <c r="K587" s="13">
        <v>0</v>
      </c>
      <c r="L587" s="12">
        <v>185.24</v>
      </c>
      <c r="M587" s="14">
        <f>ROUND(tblSprzedaz[[#This Row],[Ilość]]*tblSprzedaz[[#This Row],[Cena netto jednostkowa]]*(1-tblSprzedaz[[#This Row],[Rabat %]]),2)</f>
        <v>3630.9</v>
      </c>
      <c r="N587" s="14">
        <f>ROUND(tblSprzedaz[[#This Row],[Ilość]]*tblSprzedaz[[#This Row],[Koszt jednostkowy netto]],2)</f>
        <v>2408.12</v>
      </c>
      <c r="O587" s="14">
        <f>tblSprzedaz[[#This Row],[Przychód netto]]-tblSprzedaz[[#This Row],[Koszt całkowity netto]]</f>
        <v>1222.7800000000002</v>
      </c>
      <c r="P587" s="15">
        <f>IFERROR(tblSprzedaz[[#This Row],[Marża kwotowa]]/tblSprzedaz[[#This Row],[Przychód netto]],0)</f>
        <v>0.33677049767275336</v>
      </c>
      <c r="Q587" s="16">
        <f>YEAR(tblSprzedaz[[#This Row],[Data]])</f>
        <v>2025</v>
      </c>
      <c r="R587" s="16">
        <f>MONTH(tblSprzedaz[[#This Row],[Data]])</f>
        <v>6</v>
      </c>
      <c r="S587" s="9" t="str">
        <f>YEAR(tblSprzedaz[[#This Row],[Data]])&amp;"-"&amp;RIGHT("0"&amp;MONTH(tblSprzedaz[[#This Row],[Data]]),2)</f>
        <v>2025-06</v>
      </c>
    </row>
    <row r="588" spans="1:19" x14ac:dyDescent="0.25">
      <c r="A588" s="7" t="s">
        <v>1343</v>
      </c>
      <c r="B588" s="10">
        <v>45817</v>
      </c>
      <c r="C588" s="7" t="s">
        <v>1344</v>
      </c>
      <c r="D588" s="8" t="s">
        <v>141</v>
      </c>
      <c r="E588" s="8" t="s">
        <v>49</v>
      </c>
      <c r="F588" s="8" t="s">
        <v>29</v>
      </c>
      <c r="G588" s="8" t="s">
        <v>36</v>
      </c>
      <c r="H588" s="8" t="s">
        <v>47</v>
      </c>
      <c r="I588" s="11">
        <v>17</v>
      </c>
      <c r="J588" s="12">
        <v>39.44</v>
      </c>
      <c r="K588" s="13">
        <v>0.1</v>
      </c>
      <c r="L588" s="12">
        <v>22.97</v>
      </c>
      <c r="M588" s="14">
        <f>ROUND(tblSprzedaz[[#This Row],[Ilość]]*tblSprzedaz[[#This Row],[Cena netto jednostkowa]]*(1-tblSprzedaz[[#This Row],[Rabat %]]),2)</f>
        <v>603.42999999999995</v>
      </c>
      <c r="N588" s="14">
        <f>ROUND(tblSprzedaz[[#This Row],[Ilość]]*tblSprzedaz[[#This Row],[Koszt jednostkowy netto]],2)</f>
        <v>390.49</v>
      </c>
      <c r="O588" s="14">
        <f>tblSprzedaz[[#This Row],[Przychód netto]]-tblSprzedaz[[#This Row],[Koszt całkowity netto]]</f>
        <v>212.93999999999994</v>
      </c>
      <c r="P588" s="15">
        <f>IFERROR(tblSprzedaz[[#This Row],[Marża kwotowa]]/tblSprzedaz[[#This Row],[Przychód netto]],0)</f>
        <v>0.35288268730424399</v>
      </c>
      <c r="Q588" s="16">
        <f>YEAR(tblSprzedaz[[#This Row],[Data]])</f>
        <v>2025</v>
      </c>
      <c r="R588" s="16">
        <f>MONTH(tblSprzedaz[[#This Row],[Data]])</f>
        <v>6</v>
      </c>
      <c r="S588" s="9" t="str">
        <f>YEAR(tblSprzedaz[[#This Row],[Data]])&amp;"-"&amp;RIGHT("0"&amp;MONTH(tblSprzedaz[[#This Row],[Data]]),2)</f>
        <v>2025-06</v>
      </c>
    </row>
    <row r="589" spans="1:19" x14ac:dyDescent="0.25">
      <c r="A589" s="7" t="s">
        <v>1345</v>
      </c>
      <c r="B589" s="10">
        <v>45817</v>
      </c>
      <c r="C589" s="7" t="s">
        <v>1346</v>
      </c>
      <c r="D589" s="8" t="s">
        <v>91</v>
      </c>
      <c r="E589" s="8" t="s">
        <v>61</v>
      </c>
      <c r="F589" s="8" t="s">
        <v>33</v>
      </c>
      <c r="G589" s="8" t="s">
        <v>32</v>
      </c>
      <c r="H589" s="8" t="s">
        <v>42</v>
      </c>
      <c r="I589" s="11">
        <v>7</v>
      </c>
      <c r="J589" s="12">
        <v>533.6</v>
      </c>
      <c r="K589" s="13">
        <v>0.1</v>
      </c>
      <c r="L589" s="12">
        <v>378.21</v>
      </c>
      <c r="M589" s="14">
        <f>ROUND(tblSprzedaz[[#This Row],[Ilość]]*tblSprzedaz[[#This Row],[Cena netto jednostkowa]]*(1-tblSprzedaz[[#This Row],[Rabat %]]),2)</f>
        <v>3361.68</v>
      </c>
      <c r="N589" s="14">
        <f>ROUND(tblSprzedaz[[#This Row],[Ilość]]*tblSprzedaz[[#This Row],[Koszt jednostkowy netto]],2)</f>
        <v>2647.47</v>
      </c>
      <c r="O589" s="14">
        <f>tblSprzedaz[[#This Row],[Przychód netto]]-tblSprzedaz[[#This Row],[Koszt całkowity netto]]</f>
        <v>714.21</v>
      </c>
      <c r="P589" s="15">
        <f>IFERROR(tblSprzedaz[[#This Row],[Marża kwotowa]]/tblSprzedaz[[#This Row],[Przychód netto]],0)</f>
        <v>0.21245627186406799</v>
      </c>
      <c r="Q589" s="16">
        <f>YEAR(tblSprzedaz[[#This Row],[Data]])</f>
        <v>2025</v>
      </c>
      <c r="R589" s="16">
        <f>MONTH(tblSprzedaz[[#This Row],[Data]])</f>
        <v>6</v>
      </c>
      <c r="S589" s="9" t="str">
        <f>YEAR(tblSprzedaz[[#This Row],[Data]])&amp;"-"&amp;RIGHT("0"&amp;MONTH(tblSprzedaz[[#This Row],[Data]]),2)</f>
        <v>2025-06</v>
      </c>
    </row>
    <row r="590" spans="1:19" x14ac:dyDescent="0.25">
      <c r="A590" s="7" t="s">
        <v>1347</v>
      </c>
      <c r="B590" s="10">
        <v>45818</v>
      </c>
      <c r="C590" s="7" t="s">
        <v>1348</v>
      </c>
      <c r="D590" s="8" t="s">
        <v>109</v>
      </c>
      <c r="E590" s="8" t="s">
        <v>57</v>
      </c>
      <c r="F590" s="8" t="s">
        <v>31</v>
      </c>
      <c r="G590" s="8" t="s">
        <v>32</v>
      </c>
      <c r="H590" s="8" t="s">
        <v>42</v>
      </c>
      <c r="I590" s="11">
        <v>10</v>
      </c>
      <c r="J590" s="12">
        <v>315</v>
      </c>
      <c r="K590" s="13">
        <v>0.15</v>
      </c>
      <c r="L590" s="12">
        <v>208.04</v>
      </c>
      <c r="M590" s="14">
        <f>ROUND(tblSprzedaz[[#This Row],[Ilość]]*tblSprzedaz[[#This Row],[Cena netto jednostkowa]]*(1-tblSprzedaz[[#This Row],[Rabat %]]),2)</f>
        <v>2677.5</v>
      </c>
      <c r="N590" s="14">
        <f>ROUND(tblSprzedaz[[#This Row],[Ilość]]*tblSprzedaz[[#This Row],[Koszt jednostkowy netto]],2)</f>
        <v>2080.4</v>
      </c>
      <c r="O590" s="14">
        <f>tblSprzedaz[[#This Row],[Przychód netto]]-tblSprzedaz[[#This Row],[Koszt całkowity netto]]</f>
        <v>597.09999999999991</v>
      </c>
      <c r="P590" s="15">
        <f>IFERROR(tblSprzedaz[[#This Row],[Marża kwotowa]]/tblSprzedaz[[#This Row],[Przychód netto]],0)</f>
        <v>0.22300653594771239</v>
      </c>
      <c r="Q590" s="16">
        <f>YEAR(tblSprzedaz[[#This Row],[Data]])</f>
        <v>2025</v>
      </c>
      <c r="R590" s="16">
        <f>MONTH(tblSprzedaz[[#This Row],[Data]])</f>
        <v>6</v>
      </c>
      <c r="S590" s="9" t="str">
        <f>YEAR(tblSprzedaz[[#This Row],[Data]])&amp;"-"&amp;RIGHT("0"&amp;MONTH(tblSprzedaz[[#This Row],[Data]]),2)</f>
        <v>2025-06</v>
      </c>
    </row>
    <row r="591" spans="1:19" x14ac:dyDescent="0.25">
      <c r="A591" s="7" t="s">
        <v>1349</v>
      </c>
      <c r="B591" s="10">
        <v>45818</v>
      </c>
      <c r="C591" s="7" t="s">
        <v>1350</v>
      </c>
      <c r="D591" s="8" t="s">
        <v>107</v>
      </c>
      <c r="E591" s="8" t="s">
        <v>52</v>
      </c>
      <c r="F591" s="8" t="s">
        <v>29</v>
      </c>
      <c r="G591" s="8" t="s">
        <v>30</v>
      </c>
      <c r="H591" s="8" t="s">
        <v>40</v>
      </c>
      <c r="I591" s="11">
        <v>3</v>
      </c>
      <c r="J591" s="12">
        <v>56.78</v>
      </c>
      <c r="K591" s="13">
        <v>0.05</v>
      </c>
      <c r="L591" s="12">
        <v>35.49</v>
      </c>
      <c r="M591" s="14">
        <f>ROUND(tblSprzedaz[[#This Row],[Ilość]]*tblSprzedaz[[#This Row],[Cena netto jednostkowa]]*(1-tblSprzedaz[[#This Row],[Rabat %]]),2)</f>
        <v>161.82</v>
      </c>
      <c r="N591" s="14">
        <f>ROUND(tblSprzedaz[[#This Row],[Ilość]]*tblSprzedaz[[#This Row],[Koszt jednostkowy netto]],2)</f>
        <v>106.47</v>
      </c>
      <c r="O591" s="14">
        <f>tblSprzedaz[[#This Row],[Przychód netto]]-tblSprzedaz[[#This Row],[Koszt całkowity netto]]</f>
        <v>55.349999999999994</v>
      </c>
      <c r="P591" s="15">
        <f>IFERROR(tblSprzedaz[[#This Row],[Marża kwotowa]]/tblSprzedaz[[#This Row],[Przychód netto]],0)</f>
        <v>0.34204671857619573</v>
      </c>
      <c r="Q591" s="16">
        <f>YEAR(tblSprzedaz[[#This Row],[Data]])</f>
        <v>2025</v>
      </c>
      <c r="R591" s="16">
        <f>MONTH(tblSprzedaz[[#This Row],[Data]])</f>
        <v>6</v>
      </c>
      <c r="S591" s="9" t="str">
        <f>YEAR(tblSprzedaz[[#This Row],[Data]])&amp;"-"&amp;RIGHT("0"&amp;MONTH(tblSprzedaz[[#This Row],[Data]]),2)</f>
        <v>2025-06</v>
      </c>
    </row>
    <row r="592" spans="1:19" x14ac:dyDescent="0.25">
      <c r="A592" s="7" t="s">
        <v>1351</v>
      </c>
      <c r="B592" s="10">
        <v>45818</v>
      </c>
      <c r="C592" s="7" t="s">
        <v>1352</v>
      </c>
      <c r="D592" s="8" t="s">
        <v>143</v>
      </c>
      <c r="E592" s="8" t="s">
        <v>64</v>
      </c>
      <c r="F592" s="8" t="s">
        <v>33</v>
      </c>
      <c r="G592" s="8" t="s">
        <v>36</v>
      </c>
      <c r="H592" s="8" t="s">
        <v>46</v>
      </c>
      <c r="I592" s="11">
        <v>20</v>
      </c>
      <c r="J592" s="12">
        <v>768.2</v>
      </c>
      <c r="K592" s="13">
        <v>0.05</v>
      </c>
      <c r="L592" s="12">
        <v>496.14</v>
      </c>
      <c r="M592" s="14">
        <f>ROUND(tblSprzedaz[[#This Row],[Ilość]]*tblSprzedaz[[#This Row],[Cena netto jednostkowa]]*(1-tblSprzedaz[[#This Row],[Rabat %]]),2)</f>
        <v>14595.8</v>
      </c>
      <c r="N592" s="14">
        <f>ROUND(tblSprzedaz[[#This Row],[Ilość]]*tblSprzedaz[[#This Row],[Koszt jednostkowy netto]],2)</f>
        <v>9922.7999999999993</v>
      </c>
      <c r="O592" s="14">
        <f>tblSprzedaz[[#This Row],[Przychód netto]]-tblSprzedaz[[#This Row],[Koszt całkowity netto]]</f>
        <v>4673</v>
      </c>
      <c r="P592" s="15">
        <f>IFERROR(tblSprzedaz[[#This Row],[Marża kwotowa]]/tblSprzedaz[[#This Row],[Przychód netto]],0)</f>
        <v>0.32016059414352077</v>
      </c>
      <c r="Q592" s="16">
        <f>YEAR(tblSprzedaz[[#This Row],[Data]])</f>
        <v>2025</v>
      </c>
      <c r="R592" s="16">
        <f>MONTH(tblSprzedaz[[#This Row],[Data]])</f>
        <v>6</v>
      </c>
      <c r="S592" s="9" t="str">
        <f>YEAR(tblSprzedaz[[#This Row],[Data]])&amp;"-"&amp;RIGHT("0"&amp;MONTH(tblSprzedaz[[#This Row],[Data]]),2)</f>
        <v>2025-06</v>
      </c>
    </row>
    <row r="593" spans="1:19" x14ac:dyDescent="0.25">
      <c r="A593" s="7" t="s">
        <v>1353</v>
      </c>
      <c r="B593" s="10">
        <v>45818</v>
      </c>
      <c r="C593" s="7" t="s">
        <v>1354</v>
      </c>
      <c r="D593" s="8" t="s">
        <v>116</v>
      </c>
      <c r="E593" s="8" t="s">
        <v>66</v>
      </c>
      <c r="F593" s="8" t="s">
        <v>35</v>
      </c>
      <c r="G593" s="8" t="s">
        <v>30</v>
      </c>
      <c r="H593" s="8" t="s">
        <v>40</v>
      </c>
      <c r="I593" s="11">
        <v>22</v>
      </c>
      <c r="J593" s="12">
        <v>67.319999999999993</v>
      </c>
      <c r="K593" s="13">
        <v>0</v>
      </c>
      <c r="L593" s="12">
        <v>50.36</v>
      </c>
      <c r="M593" s="14">
        <f>ROUND(tblSprzedaz[[#This Row],[Ilość]]*tblSprzedaz[[#This Row],[Cena netto jednostkowa]]*(1-tblSprzedaz[[#This Row],[Rabat %]]),2)</f>
        <v>1481.04</v>
      </c>
      <c r="N593" s="14">
        <f>ROUND(tblSprzedaz[[#This Row],[Ilość]]*tblSprzedaz[[#This Row],[Koszt jednostkowy netto]],2)</f>
        <v>1107.92</v>
      </c>
      <c r="O593" s="14">
        <f>tblSprzedaz[[#This Row],[Przychód netto]]-tblSprzedaz[[#This Row],[Koszt całkowity netto]]</f>
        <v>373.11999999999989</v>
      </c>
      <c r="P593" s="15">
        <f>IFERROR(tblSprzedaz[[#This Row],[Marża kwotowa]]/tblSprzedaz[[#This Row],[Przychód netto]],0)</f>
        <v>0.25193107546048715</v>
      </c>
      <c r="Q593" s="16">
        <f>YEAR(tblSprzedaz[[#This Row],[Data]])</f>
        <v>2025</v>
      </c>
      <c r="R593" s="16">
        <f>MONTH(tblSprzedaz[[#This Row],[Data]])</f>
        <v>6</v>
      </c>
      <c r="S593" s="9" t="str">
        <f>YEAR(tblSprzedaz[[#This Row],[Data]])&amp;"-"&amp;RIGHT("0"&amp;MONTH(tblSprzedaz[[#This Row],[Data]]),2)</f>
        <v>2025-06</v>
      </c>
    </row>
    <row r="594" spans="1:19" x14ac:dyDescent="0.25">
      <c r="A594" s="7" t="s">
        <v>1355</v>
      </c>
      <c r="B594" s="10">
        <v>45818</v>
      </c>
      <c r="C594" s="7" t="s">
        <v>1356</v>
      </c>
      <c r="D594" s="8" t="s">
        <v>147</v>
      </c>
      <c r="E594" s="8" t="s">
        <v>71</v>
      </c>
      <c r="F594" s="8" t="s">
        <v>35</v>
      </c>
      <c r="G594" s="8" t="s">
        <v>30</v>
      </c>
      <c r="H594" s="8" t="s">
        <v>41</v>
      </c>
      <c r="I594" s="11">
        <v>9</v>
      </c>
      <c r="J594" s="12">
        <v>55.76</v>
      </c>
      <c r="K594" s="13">
        <v>0.1</v>
      </c>
      <c r="L594" s="12">
        <v>39.99</v>
      </c>
      <c r="M594" s="14">
        <f>ROUND(tblSprzedaz[[#This Row],[Ilość]]*tblSprzedaz[[#This Row],[Cena netto jednostkowa]]*(1-tblSprzedaz[[#This Row],[Rabat %]]),2)</f>
        <v>451.66</v>
      </c>
      <c r="N594" s="14">
        <f>ROUND(tblSprzedaz[[#This Row],[Ilość]]*tblSprzedaz[[#This Row],[Koszt jednostkowy netto]],2)</f>
        <v>359.91</v>
      </c>
      <c r="O594" s="14">
        <f>tblSprzedaz[[#This Row],[Przychód netto]]-tblSprzedaz[[#This Row],[Koszt całkowity netto]]</f>
        <v>91.75</v>
      </c>
      <c r="P594" s="15">
        <f>IFERROR(tblSprzedaz[[#This Row],[Marża kwotowa]]/tblSprzedaz[[#This Row],[Przychód netto]],0)</f>
        <v>0.20313952973475621</v>
      </c>
      <c r="Q594" s="16">
        <f>YEAR(tblSprzedaz[[#This Row],[Data]])</f>
        <v>2025</v>
      </c>
      <c r="R594" s="16">
        <f>MONTH(tblSprzedaz[[#This Row],[Data]])</f>
        <v>6</v>
      </c>
      <c r="S594" s="9" t="str">
        <f>YEAR(tblSprzedaz[[#This Row],[Data]])&amp;"-"&amp;RIGHT("0"&amp;MONTH(tblSprzedaz[[#This Row],[Data]]),2)</f>
        <v>2025-06</v>
      </c>
    </row>
    <row r="595" spans="1:19" x14ac:dyDescent="0.25">
      <c r="A595" s="7" t="s">
        <v>1357</v>
      </c>
      <c r="B595" s="10">
        <v>45818</v>
      </c>
      <c r="C595" s="7" t="s">
        <v>1358</v>
      </c>
      <c r="D595" s="8" t="s">
        <v>105</v>
      </c>
      <c r="E595" s="8" t="s">
        <v>48</v>
      </c>
      <c r="F595" s="8" t="s">
        <v>29</v>
      </c>
      <c r="G595" s="8" t="s">
        <v>30</v>
      </c>
      <c r="H595" s="8" t="s">
        <v>41</v>
      </c>
      <c r="I595" s="11">
        <v>3</v>
      </c>
      <c r="J595" s="12">
        <v>33.659999999999997</v>
      </c>
      <c r="K595" s="13">
        <v>0.1</v>
      </c>
      <c r="L595" s="12">
        <v>19.38</v>
      </c>
      <c r="M595" s="14">
        <f>ROUND(tblSprzedaz[[#This Row],[Ilość]]*tblSprzedaz[[#This Row],[Cena netto jednostkowa]]*(1-tblSprzedaz[[#This Row],[Rabat %]]),2)</f>
        <v>90.88</v>
      </c>
      <c r="N595" s="14">
        <f>ROUND(tblSprzedaz[[#This Row],[Ilość]]*tblSprzedaz[[#This Row],[Koszt jednostkowy netto]],2)</f>
        <v>58.14</v>
      </c>
      <c r="O595" s="14">
        <f>tblSprzedaz[[#This Row],[Przychód netto]]-tblSprzedaz[[#This Row],[Koszt całkowity netto]]</f>
        <v>32.739999999999995</v>
      </c>
      <c r="P595" s="15">
        <f>IFERROR(tblSprzedaz[[#This Row],[Marża kwotowa]]/tblSprzedaz[[#This Row],[Przychód netto]],0)</f>
        <v>0.36025528169014082</v>
      </c>
      <c r="Q595" s="16">
        <f>YEAR(tblSprzedaz[[#This Row],[Data]])</f>
        <v>2025</v>
      </c>
      <c r="R595" s="16">
        <f>MONTH(tblSprzedaz[[#This Row],[Data]])</f>
        <v>6</v>
      </c>
      <c r="S595" s="9" t="str">
        <f>YEAR(tblSprzedaz[[#This Row],[Data]])&amp;"-"&amp;RIGHT("0"&amp;MONTH(tblSprzedaz[[#This Row],[Data]]),2)</f>
        <v>2025-06</v>
      </c>
    </row>
    <row r="596" spans="1:19" x14ac:dyDescent="0.25">
      <c r="A596" s="7" t="s">
        <v>1359</v>
      </c>
      <c r="B596" s="10">
        <v>45819</v>
      </c>
      <c r="C596" s="7" t="s">
        <v>1360</v>
      </c>
      <c r="D596" s="8" t="s">
        <v>96</v>
      </c>
      <c r="E596" s="8" t="s">
        <v>76</v>
      </c>
      <c r="F596" s="8" t="s">
        <v>37</v>
      </c>
      <c r="G596" s="8" t="s">
        <v>32</v>
      </c>
      <c r="H596" s="8" t="s">
        <v>42</v>
      </c>
      <c r="I596" s="11">
        <v>12</v>
      </c>
      <c r="J596" s="12">
        <v>158.65</v>
      </c>
      <c r="K596" s="13">
        <v>0.15</v>
      </c>
      <c r="L596" s="12">
        <v>125.07</v>
      </c>
      <c r="M596" s="14">
        <f>ROUND(tblSprzedaz[[#This Row],[Ilość]]*tblSprzedaz[[#This Row],[Cena netto jednostkowa]]*(1-tblSprzedaz[[#This Row],[Rabat %]]),2)</f>
        <v>1618.23</v>
      </c>
      <c r="N596" s="14">
        <f>ROUND(tblSprzedaz[[#This Row],[Ilość]]*tblSprzedaz[[#This Row],[Koszt jednostkowy netto]],2)</f>
        <v>1500.84</v>
      </c>
      <c r="O596" s="14">
        <f>tblSprzedaz[[#This Row],[Przychód netto]]-tblSprzedaz[[#This Row],[Koszt całkowity netto]]</f>
        <v>117.3900000000001</v>
      </c>
      <c r="P596" s="15">
        <f>IFERROR(tblSprzedaz[[#This Row],[Marża kwotowa]]/tblSprzedaz[[#This Row],[Przychód netto]],0)</f>
        <v>7.2542222057433187E-2</v>
      </c>
      <c r="Q596" s="16">
        <f>YEAR(tblSprzedaz[[#This Row],[Data]])</f>
        <v>2025</v>
      </c>
      <c r="R596" s="16">
        <f>MONTH(tblSprzedaz[[#This Row],[Data]])</f>
        <v>6</v>
      </c>
      <c r="S596" s="9" t="str">
        <f>YEAR(tblSprzedaz[[#This Row],[Data]])&amp;"-"&amp;RIGHT("0"&amp;MONTH(tblSprzedaz[[#This Row],[Data]]),2)</f>
        <v>2025-06</v>
      </c>
    </row>
    <row r="597" spans="1:19" x14ac:dyDescent="0.25">
      <c r="A597" s="7" t="s">
        <v>1361</v>
      </c>
      <c r="B597" s="10">
        <v>45819</v>
      </c>
      <c r="C597" s="7" t="s">
        <v>1362</v>
      </c>
      <c r="D597" s="8" t="s">
        <v>104</v>
      </c>
      <c r="E597" s="8" t="s">
        <v>77</v>
      </c>
      <c r="F597" s="8" t="s">
        <v>37</v>
      </c>
      <c r="G597" s="8" t="s">
        <v>34</v>
      </c>
      <c r="H597" s="8" t="s">
        <v>45</v>
      </c>
      <c r="I597" s="11">
        <v>5</v>
      </c>
      <c r="J597" s="12">
        <v>77.900000000000006</v>
      </c>
      <c r="K597" s="13">
        <v>0.1</v>
      </c>
      <c r="L597" s="12">
        <v>62.87</v>
      </c>
      <c r="M597" s="14">
        <f>ROUND(tblSprzedaz[[#This Row],[Ilość]]*tblSprzedaz[[#This Row],[Cena netto jednostkowa]]*(1-tblSprzedaz[[#This Row],[Rabat %]]),2)</f>
        <v>350.55</v>
      </c>
      <c r="N597" s="14">
        <f>ROUND(tblSprzedaz[[#This Row],[Ilość]]*tblSprzedaz[[#This Row],[Koszt jednostkowy netto]],2)</f>
        <v>314.35000000000002</v>
      </c>
      <c r="O597" s="14">
        <f>tblSprzedaz[[#This Row],[Przychód netto]]-tblSprzedaz[[#This Row],[Koszt całkowity netto]]</f>
        <v>36.199999999999989</v>
      </c>
      <c r="P597" s="15">
        <f>IFERROR(tblSprzedaz[[#This Row],[Marża kwotowa]]/tblSprzedaz[[#This Row],[Przychód netto]],0)</f>
        <v>0.10326629582085291</v>
      </c>
      <c r="Q597" s="16">
        <f>YEAR(tblSprzedaz[[#This Row],[Data]])</f>
        <v>2025</v>
      </c>
      <c r="R597" s="16">
        <f>MONTH(tblSprzedaz[[#This Row],[Data]])</f>
        <v>6</v>
      </c>
      <c r="S597" s="9" t="str">
        <f>YEAR(tblSprzedaz[[#This Row],[Data]])&amp;"-"&amp;RIGHT("0"&amp;MONTH(tblSprzedaz[[#This Row],[Data]]),2)</f>
        <v>2025-06</v>
      </c>
    </row>
    <row r="598" spans="1:19" x14ac:dyDescent="0.25">
      <c r="A598" s="7" t="s">
        <v>1363</v>
      </c>
      <c r="B598" s="10">
        <v>45819</v>
      </c>
      <c r="C598" s="7" t="s">
        <v>1364</v>
      </c>
      <c r="D598" s="8" t="s">
        <v>83</v>
      </c>
      <c r="E598" s="8" t="s">
        <v>50</v>
      </c>
      <c r="F598" s="8" t="s">
        <v>29</v>
      </c>
      <c r="G598" s="8" t="s">
        <v>30</v>
      </c>
      <c r="H598" s="8" t="s">
        <v>41</v>
      </c>
      <c r="I598" s="11">
        <v>15</v>
      </c>
      <c r="J598" s="12">
        <v>45.22</v>
      </c>
      <c r="K598" s="13">
        <v>0.1</v>
      </c>
      <c r="L598" s="12">
        <v>25</v>
      </c>
      <c r="M598" s="14">
        <f>ROUND(tblSprzedaz[[#This Row],[Ilość]]*tblSprzedaz[[#This Row],[Cena netto jednostkowa]]*(1-tblSprzedaz[[#This Row],[Rabat %]]),2)</f>
        <v>610.47</v>
      </c>
      <c r="N598" s="14">
        <f>ROUND(tblSprzedaz[[#This Row],[Ilość]]*tblSprzedaz[[#This Row],[Koszt jednostkowy netto]],2)</f>
        <v>375</v>
      </c>
      <c r="O598" s="14">
        <f>tblSprzedaz[[#This Row],[Przychód netto]]-tblSprzedaz[[#This Row],[Koszt całkowity netto]]</f>
        <v>235.47000000000003</v>
      </c>
      <c r="P598" s="15">
        <f>IFERROR(tblSprzedaz[[#This Row],[Marża kwotowa]]/tblSprzedaz[[#This Row],[Przychód netto]],0)</f>
        <v>0.38571919996068604</v>
      </c>
      <c r="Q598" s="16">
        <f>YEAR(tblSprzedaz[[#This Row],[Data]])</f>
        <v>2025</v>
      </c>
      <c r="R598" s="16">
        <f>MONTH(tblSprzedaz[[#This Row],[Data]])</f>
        <v>6</v>
      </c>
      <c r="S598" s="9" t="str">
        <f>YEAR(tblSprzedaz[[#This Row],[Data]])&amp;"-"&amp;RIGHT("0"&amp;MONTH(tblSprzedaz[[#This Row],[Data]]),2)</f>
        <v>2025-06</v>
      </c>
    </row>
    <row r="599" spans="1:19" x14ac:dyDescent="0.25">
      <c r="A599" s="7" t="s">
        <v>1365</v>
      </c>
      <c r="B599" s="10">
        <v>45819</v>
      </c>
      <c r="C599" s="7" t="s">
        <v>1366</v>
      </c>
      <c r="D599" s="8" t="s">
        <v>134</v>
      </c>
      <c r="E599" s="8" t="s">
        <v>70</v>
      </c>
      <c r="F599" s="8" t="s">
        <v>35</v>
      </c>
      <c r="G599" s="8" t="s">
        <v>30</v>
      </c>
      <c r="H599" s="8" t="s">
        <v>41</v>
      </c>
      <c r="I599" s="11">
        <v>4</v>
      </c>
      <c r="J599" s="12">
        <v>113.56</v>
      </c>
      <c r="K599" s="13">
        <v>0.05</v>
      </c>
      <c r="L599" s="12">
        <v>80.48</v>
      </c>
      <c r="M599" s="14">
        <f>ROUND(tblSprzedaz[[#This Row],[Ilość]]*tblSprzedaz[[#This Row],[Cena netto jednostkowa]]*(1-tblSprzedaz[[#This Row],[Rabat %]]),2)</f>
        <v>431.53</v>
      </c>
      <c r="N599" s="14">
        <f>ROUND(tblSprzedaz[[#This Row],[Ilość]]*tblSprzedaz[[#This Row],[Koszt jednostkowy netto]],2)</f>
        <v>321.92</v>
      </c>
      <c r="O599" s="14">
        <f>tblSprzedaz[[#This Row],[Przychód netto]]-tblSprzedaz[[#This Row],[Koszt całkowity netto]]</f>
        <v>109.60999999999996</v>
      </c>
      <c r="P599" s="15">
        <f>IFERROR(tblSprzedaz[[#This Row],[Marża kwotowa]]/tblSprzedaz[[#This Row],[Przychód netto]],0)</f>
        <v>0.25400319792366688</v>
      </c>
      <c r="Q599" s="16">
        <f>YEAR(tblSprzedaz[[#This Row],[Data]])</f>
        <v>2025</v>
      </c>
      <c r="R599" s="16">
        <f>MONTH(tblSprzedaz[[#This Row],[Data]])</f>
        <v>6</v>
      </c>
      <c r="S599" s="9" t="str">
        <f>YEAR(tblSprzedaz[[#This Row],[Data]])&amp;"-"&amp;RIGHT("0"&amp;MONTH(tblSprzedaz[[#This Row],[Data]]),2)</f>
        <v>2025-06</v>
      </c>
    </row>
    <row r="600" spans="1:19" x14ac:dyDescent="0.25">
      <c r="A600" s="7" t="s">
        <v>1367</v>
      </c>
      <c r="B600" s="10">
        <v>45820</v>
      </c>
      <c r="C600" s="7" t="s">
        <v>1368</v>
      </c>
      <c r="D600" s="8" t="s">
        <v>147</v>
      </c>
      <c r="E600" s="8" t="s">
        <v>52</v>
      </c>
      <c r="F600" s="8" t="s">
        <v>29</v>
      </c>
      <c r="G600" s="8" t="s">
        <v>30</v>
      </c>
      <c r="H600" s="8" t="s">
        <v>40</v>
      </c>
      <c r="I600" s="11">
        <v>8</v>
      </c>
      <c r="J600" s="12">
        <v>56.78</v>
      </c>
      <c r="K600" s="13">
        <v>0.05</v>
      </c>
      <c r="L600" s="12">
        <v>34.369999999999997</v>
      </c>
      <c r="M600" s="14">
        <f>ROUND(tblSprzedaz[[#This Row],[Ilość]]*tblSprzedaz[[#This Row],[Cena netto jednostkowa]]*(1-tblSprzedaz[[#This Row],[Rabat %]]),2)</f>
        <v>431.53</v>
      </c>
      <c r="N600" s="14">
        <f>ROUND(tblSprzedaz[[#This Row],[Ilość]]*tblSprzedaz[[#This Row],[Koszt jednostkowy netto]],2)</f>
        <v>274.95999999999998</v>
      </c>
      <c r="O600" s="14">
        <f>tblSprzedaz[[#This Row],[Przychód netto]]-tblSprzedaz[[#This Row],[Koszt całkowity netto]]</f>
        <v>156.57</v>
      </c>
      <c r="P600" s="15">
        <f>IFERROR(tblSprzedaz[[#This Row],[Marża kwotowa]]/tblSprzedaz[[#This Row],[Przychód netto]],0)</f>
        <v>0.36282529603967278</v>
      </c>
      <c r="Q600" s="16">
        <f>YEAR(tblSprzedaz[[#This Row],[Data]])</f>
        <v>2025</v>
      </c>
      <c r="R600" s="16">
        <f>MONTH(tblSprzedaz[[#This Row],[Data]])</f>
        <v>6</v>
      </c>
      <c r="S600" s="9" t="str">
        <f>YEAR(tblSprzedaz[[#This Row],[Data]])&amp;"-"&amp;RIGHT("0"&amp;MONTH(tblSprzedaz[[#This Row],[Data]]),2)</f>
        <v>2025-06</v>
      </c>
    </row>
    <row r="601" spans="1:19" x14ac:dyDescent="0.25">
      <c r="A601" s="7" t="s">
        <v>1369</v>
      </c>
      <c r="B601" s="10">
        <v>45820</v>
      </c>
      <c r="C601" s="7" t="s">
        <v>1370</v>
      </c>
      <c r="D601" s="8" t="s">
        <v>144</v>
      </c>
      <c r="E601" s="8" t="s">
        <v>61</v>
      </c>
      <c r="F601" s="8" t="s">
        <v>33</v>
      </c>
      <c r="G601" s="8" t="s">
        <v>36</v>
      </c>
      <c r="H601" s="8" t="s">
        <v>46</v>
      </c>
      <c r="I601" s="11">
        <v>10</v>
      </c>
      <c r="J601" s="12">
        <v>533.6</v>
      </c>
      <c r="K601" s="13">
        <v>0</v>
      </c>
      <c r="L601" s="12">
        <v>356.64</v>
      </c>
      <c r="M601" s="14">
        <f>ROUND(tblSprzedaz[[#This Row],[Ilość]]*tblSprzedaz[[#This Row],[Cena netto jednostkowa]]*(1-tblSprzedaz[[#This Row],[Rabat %]]),2)</f>
        <v>5336</v>
      </c>
      <c r="N601" s="14">
        <f>ROUND(tblSprzedaz[[#This Row],[Ilość]]*tblSprzedaz[[#This Row],[Koszt jednostkowy netto]],2)</f>
        <v>3566.4</v>
      </c>
      <c r="O601" s="14">
        <f>tblSprzedaz[[#This Row],[Przychód netto]]-tblSprzedaz[[#This Row],[Koszt całkowity netto]]</f>
        <v>1769.6</v>
      </c>
      <c r="P601" s="15">
        <f>IFERROR(tblSprzedaz[[#This Row],[Marża kwotowa]]/tblSprzedaz[[#This Row],[Przychód netto]],0)</f>
        <v>0.33163418290854568</v>
      </c>
      <c r="Q601" s="16">
        <f>YEAR(tblSprzedaz[[#This Row],[Data]])</f>
        <v>2025</v>
      </c>
      <c r="R601" s="16">
        <f>MONTH(tblSprzedaz[[#This Row],[Data]])</f>
        <v>6</v>
      </c>
      <c r="S601" s="9" t="str">
        <f>YEAR(tblSprzedaz[[#This Row],[Data]])&amp;"-"&amp;RIGHT("0"&amp;MONTH(tblSprzedaz[[#This Row],[Data]]),2)</f>
        <v>2025-06</v>
      </c>
    </row>
    <row r="602" spans="1:19" x14ac:dyDescent="0.25">
      <c r="A602" s="7" t="s">
        <v>1371</v>
      </c>
      <c r="B602" s="10">
        <v>45820</v>
      </c>
      <c r="C602" s="7" t="s">
        <v>1372</v>
      </c>
      <c r="D602" s="8" t="s">
        <v>88</v>
      </c>
      <c r="E602" s="8" t="s">
        <v>60</v>
      </c>
      <c r="F602" s="8" t="s">
        <v>33</v>
      </c>
      <c r="G602" s="8" t="s">
        <v>34</v>
      </c>
      <c r="H602" s="8" t="s">
        <v>44</v>
      </c>
      <c r="I602" s="11">
        <v>5</v>
      </c>
      <c r="J602" s="12">
        <v>455.4</v>
      </c>
      <c r="K602" s="13">
        <v>0</v>
      </c>
      <c r="L602" s="12">
        <v>298.60000000000002</v>
      </c>
      <c r="M602" s="14">
        <f>ROUND(tblSprzedaz[[#This Row],[Ilość]]*tblSprzedaz[[#This Row],[Cena netto jednostkowa]]*(1-tblSprzedaz[[#This Row],[Rabat %]]),2)</f>
        <v>2277</v>
      </c>
      <c r="N602" s="14">
        <f>ROUND(tblSprzedaz[[#This Row],[Ilość]]*tblSprzedaz[[#This Row],[Koszt jednostkowy netto]],2)</f>
        <v>1493</v>
      </c>
      <c r="O602" s="14">
        <f>tblSprzedaz[[#This Row],[Przychód netto]]-tblSprzedaz[[#This Row],[Koszt całkowity netto]]</f>
        <v>784</v>
      </c>
      <c r="P602" s="15">
        <f>IFERROR(tblSprzedaz[[#This Row],[Marża kwotowa]]/tblSprzedaz[[#This Row],[Przychód netto]],0)</f>
        <v>0.34431269213877908</v>
      </c>
      <c r="Q602" s="16">
        <f>YEAR(tblSprzedaz[[#This Row],[Data]])</f>
        <v>2025</v>
      </c>
      <c r="R602" s="16">
        <f>MONTH(tblSprzedaz[[#This Row],[Data]])</f>
        <v>6</v>
      </c>
      <c r="S602" s="9" t="str">
        <f>YEAR(tblSprzedaz[[#This Row],[Data]])&amp;"-"&amp;RIGHT("0"&amp;MONTH(tblSprzedaz[[#This Row],[Data]]),2)</f>
        <v>2025-06</v>
      </c>
    </row>
    <row r="603" spans="1:19" x14ac:dyDescent="0.25">
      <c r="A603" s="7" t="s">
        <v>1373</v>
      </c>
      <c r="B603" s="10">
        <v>45820</v>
      </c>
      <c r="C603" s="7" t="s">
        <v>1374</v>
      </c>
      <c r="D603" s="8" t="s">
        <v>89</v>
      </c>
      <c r="E603" s="8" t="s">
        <v>67</v>
      </c>
      <c r="F603" s="8" t="s">
        <v>35</v>
      </c>
      <c r="G603" s="8" t="s">
        <v>32</v>
      </c>
      <c r="H603" s="8" t="s">
        <v>42</v>
      </c>
      <c r="I603" s="11">
        <v>11</v>
      </c>
      <c r="J603" s="12">
        <v>78.88</v>
      </c>
      <c r="K603" s="13">
        <v>0.05</v>
      </c>
      <c r="L603" s="12">
        <v>55.61</v>
      </c>
      <c r="M603" s="14">
        <f>ROUND(tblSprzedaz[[#This Row],[Ilość]]*tblSprzedaz[[#This Row],[Cena netto jednostkowa]]*(1-tblSprzedaz[[#This Row],[Rabat %]]),2)</f>
        <v>824.3</v>
      </c>
      <c r="N603" s="14">
        <f>ROUND(tblSprzedaz[[#This Row],[Ilość]]*tblSprzedaz[[#This Row],[Koszt jednostkowy netto]],2)</f>
        <v>611.71</v>
      </c>
      <c r="O603" s="14">
        <f>tblSprzedaz[[#This Row],[Przychód netto]]-tblSprzedaz[[#This Row],[Koszt całkowity netto]]</f>
        <v>212.58999999999992</v>
      </c>
      <c r="P603" s="15">
        <f>IFERROR(tblSprzedaz[[#This Row],[Marża kwotowa]]/tblSprzedaz[[#This Row],[Przychód netto]],0)</f>
        <v>0.25790367584617241</v>
      </c>
      <c r="Q603" s="16">
        <f>YEAR(tblSprzedaz[[#This Row],[Data]])</f>
        <v>2025</v>
      </c>
      <c r="R603" s="16">
        <f>MONTH(tblSprzedaz[[#This Row],[Data]])</f>
        <v>6</v>
      </c>
      <c r="S603" s="9" t="str">
        <f>YEAR(tblSprzedaz[[#This Row],[Data]])&amp;"-"&amp;RIGHT("0"&amp;MONTH(tblSprzedaz[[#This Row],[Data]]),2)</f>
        <v>2025-06</v>
      </c>
    </row>
    <row r="604" spans="1:19" x14ac:dyDescent="0.25">
      <c r="A604" s="7" t="s">
        <v>1375</v>
      </c>
      <c r="B604" s="10">
        <v>45821</v>
      </c>
      <c r="C604" s="7" t="s">
        <v>1376</v>
      </c>
      <c r="D604" s="8" t="s">
        <v>123</v>
      </c>
      <c r="E604" s="8" t="s">
        <v>74</v>
      </c>
      <c r="F604" s="8" t="s">
        <v>37</v>
      </c>
      <c r="G604" s="8" t="s">
        <v>34</v>
      </c>
      <c r="H604" s="8" t="s">
        <v>45</v>
      </c>
      <c r="I604" s="11">
        <v>7</v>
      </c>
      <c r="J604" s="12">
        <v>126.35</v>
      </c>
      <c r="K604" s="13">
        <v>0</v>
      </c>
      <c r="L604" s="12">
        <v>94.33</v>
      </c>
      <c r="M604" s="14">
        <f>ROUND(tblSprzedaz[[#This Row],[Ilość]]*tblSprzedaz[[#This Row],[Cena netto jednostkowa]]*(1-tblSprzedaz[[#This Row],[Rabat %]]),2)</f>
        <v>884.45</v>
      </c>
      <c r="N604" s="14">
        <f>ROUND(tblSprzedaz[[#This Row],[Ilość]]*tblSprzedaz[[#This Row],[Koszt jednostkowy netto]],2)</f>
        <v>660.31</v>
      </c>
      <c r="O604" s="14">
        <f>tblSprzedaz[[#This Row],[Przychód netto]]-tblSprzedaz[[#This Row],[Koszt całkowity netto]]</f>
        <v>224.1400000000001</v>
      </c>
      <c r="P604" s="15">
        <f>IFERROR(tblSprzedaz[[#This Row],[Marża kwotowa]]/tblSprzedaz[[#This Row],[Przychód netto]],0)</f>
        <v>0.25342303126236654</v>
      </c>
      <c r="Q604" s="16">
        <f>YEAR(tblSprzedaz[[#This Row],[Data]])</f>
        <v>2025</v>
      </c>
      <c r="R604" s="16">
        <f>MONTH(tblSprzedaz[[#This Row],[Data]])</f>
        <v>6</v>
      </c>
      <c r="S604" s="9" t="str">
        <f>YEAR(tblSprzedaz[[#This Row],[Data]])&amp;"-"&amp;RIGHT("0"&amp;MONTH(tblSprzedaz[[#This Row],[Data]]),2)</f>
        <v>2025-06</v>
      </c>
    </row>
    <row r="605" spans="1:19" x14ac:dyDescent="0.25">
      <c r="A605" s="7" t="s">
        <v>1377</v>
      </c>
      <c r="B605" s="10">
        <v>45821</v>
      </c>
      <c r="C605" s="7" t="s">
        <v>1378</v>
      </c>
      <c r="D605" s="8" t="s">
        <v>140</v>
      </c>
      <c r="E605" s="8" t="s">
        <v>56</v>
      </c>
      <c r="F605" s="8" t="s">
        <v>31</v>
      </c>
      <c r="G605" s="8" t="s">
        <v>30</v>
      </c>
      <c r="H605" s="8" t="s">
        <v>40</v>
      </c>
      <c r="I605" s="11">
        <v>18</v>
      </c>
      <c r="J605" s="12">
        <v>279.3</v>
      </c>
      <c r="K605" s="13">
        <v>0.15</v>
      </c>
      <c r="L605" s="12">
        <v>167.26</v>
      </c>
      <c r="M605" s="14">
        <f>ROUND(tblSprzedaz[[#This Row],[Ilość]]*tblSprzedaz[[#This Row],[Cena netto jednostkowa]]*(1-tblSprzedaz[[#This Row],[Rabat %]]),2)</f>
        <v>4273.29</v>
      </c>
      <c r="N605" s="14">
        <f>ROUND(tblSprzedaz[[#This Row],[Ilość]]*tblSprzedaz[[#This Row],[Koszt jednostkowy netto]],2)</f>
        <v>3010.68</v>
      </c>
      <c r="O605" s="14">
        <f>tblSprzedaz[[#This Row],[Przychód netto]]-tblSprzedaz[[#This Row],[Koszt całkowity netto]]</f>
        <v>1262.6100000000001</v>
      </c>
      <c r="P605" s="15">
        <f>IFERROR(tblSprzedaz[[#This Row],[Marża kwotowa]]/tblSprzedaz[[#This Row],[Przychód netto]],0)</f>
        <v>0.2954655546429098</v>
      </c>
      <c r="Q605" s="16">
        <f>YEAR(tblSprzedaz[[#This Row],[Data]])</f>
        <v>2025</v>
      </c>
      <c r="R605" s="16">
        <f>MONTH(tblSprzedaz[[#This Row],[Data]])</f>
        <v>6</v>
      </c>
      <c r="S605" s="9" t="str">
        <f>YEAR(tblSprzedaz[[#This Row],[Data]])&amp;"-"&amp;RIGHT("0"&amp;MONTH(tblSprzedaz[[#This Row],[Data]]),2)</f>
        <v>2025-06</v>
      </c>
    </row>
    <row r="606" spans="1:19" x14ac:dyDescent="0.25">
      <c r="A606" s="7" t="s">
        <v>1379</v>
      </c>
      <c r="B606" s="10">
        <v>45821</v>
      </c>
      <c r="C606" s="7" t="s">
        <v>1380</v>
      </c>
      <c r="D606" s="8" t="s">
        <v>120</v>
      </c>
      <c r="E606" s="8" t="s">
        <v>48</v>
      </c>
      <c r="F606" s="8" t="s">
        <v>29</v>
      </c>
      <c r="G606" s="8" t="s">
        <v>34</v>
      </c>
      <c r="H606" s="8" t="s">
        <v>44</v>
      </c>
      <c r="I606" s="11">
        <v>14</v>
      </c>
      <c r="J606" s="12">
        <v>33.659999999999997</v>
      </c>
      <c r="K606" s="13">
        <v>0.05</v>
      </c>
      <c r="L606" s="12">
        <v>19.64</v>
      </c>
      <c r="M606" s="14">
        <f>ROUND(tblSprzedaz[[#This Row],[Ilość]]*tblSprzedaz[[#This Row],[Cena netto jednostkowa]]*(1-tblSprzedaz[[#This Row],[Rabat %]]),2)</f>
        <v>447.68</v>
      </c>
      <c r="N606" s="14">
        <f>ROUND(tblSprzedaz[[#This Row],[Ilość]]*tblSprzedaz[[#This Row],[Koszt jednostkowy netto]],2)</f>
        <v>274.95999999999998</v>
      </c>
      <c r="O606" s="14">
        <f>tblSprzedaz[[#This Row],[Przychód netto]]-tblSprzedaz[[#This Row],[Koszt całkowity netto]]</f>
        <v>172.72000000000003</v>
      </c>
      <c r="P606" s="15">
        <f>IFERROR(tblSprzedaz[[#This Row],[Marża kwotowa]]/tblSprzedaz[[#This Row],[Przychód netto]],0)</f>
        <v>0.38581129378127238</v>
      </c>
      <c r="Q606" s="16">
        <f>YEAR(tblSprzedaz[[#This Row],[Data]])</f>
        <v>2025</v>
      </c>
      <c r="R606" s="16">
        <f>MONTH(tblSprzedaz[[#This Row],[Data]])</f>
        <v>6</v>
      </c>
      <c r="S606" s="9" t="str">
        <f>YEAR(tblSprzedaz[[#This Row],[Data]])&amp;"-"&amp;RIGHT("0"&amp;MONTH(tblSprzedaz[[#This Row],[Data]]),2)</f>
        <v>2025-06</v>
      </c>
    </row>
    <row r="607" spans="1:19" x14ac:dyDescent="0.25">
      <c r="A607" s="7" t="s">
        <v>1381</v>
      </c>
      <c r="B607" s="10">
        <v>45821</v>
      </c>
      <c r="C607" s="7" t="s">
        <v>1382</v>
      </c>
      <c r="D607" s="8" t="s">
        <v>122</v>
      </c>
      <c r="E607" s="8" t="s">
        <v>73</v>
      </c>
      <c r="F607" s="8" t="s">
        <v>37</v>
      </c>
      <c r="G607" s="8" t="s">
        <v>36</v>
      </c>
      <c r="H607" s="8" t="s">
        <v>46</v>
      </c>
      <c r="I607" s="11">
        <v>6</v>
      </c>
      <c r="J607" s="12">
        <v>110.2</v>
      </c>
      <c r="K607" s="13">
        <v>0.15</v>
      </c>
      <c r="L607" s="12">
        <v>83.1</v>
      </c>
      <c r="M607" s="14">
        <f>ROUND(tblSprzedaz[[#This Row],[Ilość]]*tblSprzedaz[[#This Row],[Cena netto jednostkowa]]*(1-tblSprzedaz[[#This Row],[Rabat %]]),2)</f>
        <v>562.02</v>
      </c>
      <c r="N607" s="14">
        <f>ROUND(tblSprzedaz[[#This Row],[Ilość]]*tblSprzedaz[[#This Row],[Koszt jednostkowy netto]],2)</f>
        <v>498.6</v>
      </c>
      <c r="O607" s="14">
        <f>tblSprzedaz[[#This Row],[Przychód netto]]-tblSprzedaz[[#This Row],[Koszt całkowity netto]]</f>
        <v>63.419999999999959</v>
      </c>
      <c r="P607" s="15">
        <f>IFERROR(tblSprzedaz[[#This Row],[Marża kwotowa]]/tblSprzedaz[[#This Row],[Przychód netto]],0)</f>
        <v>0.11284295932529084</v>
      </c>
      <c r="Q607" s="16">
        <f>YEAR(tblSprzedaz[[#This Row],[Data]])</f>
        <v>2025</v>
      </c>
      <c r="R607" s="16">
        <f>MONTH(tblSprzedaz[[#This Row],[Data]])</f>
        <v>6</v>
      </c>
      <c r="S607" s="9" t="str">
        <f>YEAR(tblSprzedaz[[#This Row],[Data]])&amp;"-"&amp;RIGHT("0"&amp;MONTH(tblSprzedaz[[#This Row],[Data]]),2)</f>
        <v>2025-06</v>
      </c>
    </row>
    <row r="608" spans="1:19" x14ac:dyDescent="0.25">
      <c r="A608" s="7" t="s">
        <v>1383</v>
      </c>
      <c r="B608" s="10">
        <v>45821</v>
      </c>
      <c r="C608" s="7" t="s">
        <v>1384</v>
      </c>
      <c r="D608" s="8" t="s">
        <v>136</v>
      </c>
      <c r="E608" s="8" t="s">
        <v>60</v>
      </c>
      <c r="F608" s="8" t="s">
        <v>33</v>
      </c>
      <c r="G608" s="8" t="s">
        <v>30</v>
      </c>
      <c r="H608" s="8" t="s">
        <v>41</v>
      </c>
      <c r="I608" s="11">
        <v>8</v>
      </c>
      <c r="J608" s="12">
        <v>455.4</v>
      </c>
      <c r="K608" s="13">
        <v>0</v>
      </c>
      <c r="L608" s="12">
        <v>313.26</v>
      </c>
      <c r="M608" s="14">
        <f>ROUND(tblSprzedaz[[#This Row],[Ilość]]*tblSprzedaz[[#This Row],[Cena netto jednostkowa]]*(1-tblSprzedaz[[#This Row],[Rabat %]]),2)</f>
        <v>3643.2</v>
      </c>
      <c r="N608" s="14">
        <f>ROUND(tblSprzedaz[[#This Row],[Ilość]]*tblSprzedaz[[#This Row],[Koszt jednostkowy netto]],2)</f>
        <v>2506.08</v>
      </c>
      <c r="O608" s="14">
        <f>tblSprzedaz[[#This Row],[Przychód netto]]-tblSprzedaz[[#This Row],[Koszt całkowity netto]]</f>
        <v>1137.1199999999999</v>
      </c>
      <c r="P608" s="15">
        <f>IFERROR(tblSprzedaz[[#This Row],[Marża kwotowa]]/tblSprzedaz[[#This Row],[Przychód netto]],0)</f>
        <v>0.31212121212121213</v>
      </c>
      <c r="Q608" s="16">
        <f>YEAR(tblSprzedaz[[#This Row],[Data]])</f>
        <v>2025</v>
      </c>
      <c r="R608" s="16">
        <f>MONTH(tblSprzedaz[[#This Row],[Data]])</f>
        <v>6</v>
      </c>
      <c r="S608" s="9" t="str">
        <f>YEAR(tblSprzedaz[[#This Row],[Data]])&amp;"-"&amp;RIGHT("0"&amp;MONTH(tblSprzedaz[[#This Row],[Data]]),2)</f>
        <v>2025-06</v>
      </c>
    </row>
    <row r="609" spans="1:19" x14ac:dyDescent="0.25">
      <c r="A609" s="7" t="s">
        <v>1385</v>
      </c>
      <c r="B609" s="10">
        <v>45821</v>
      </c>
      <c r="C609" s="7" t="s">
        <v>1386</v>
      </c>
      <c r="D609" s="8" t="s">
        <v>122</v>
      </c>
      <c r="E609" s="8" t="s">
        <v>48</v>
      </c>
      <c r="F609" s="8" t="s">
        <v>29</v>
      </c>
      <c r="G609" s="8" t="s">
        <v>34</v>
      </c>
      <c r="H609" s="8" t="s">
        <v>44</v>
      </c>
      <c r="I609" s="11">
        <v>13</v>
      </c>
      <c r="J609" s="12">
        <v>33.659999999999997</v>
      </c>
      <c r="K609" s="13">
        <v>0</v>
      </c>
      <c r="L609" s="12">
        <v>20.36</v>
      </c>
      <c r="M609" s="14">
        <f>ROUND(tblSprzedaz[[#This Row],[Ilość]]*tblSprzedaz[[#This Row],[Cena netto jednostkowa]]*(1-tblSprzedaz[[#This Row],[Rabat %]]),2)</f>
        <v>437.58</v>
      </c>
      <c r="N609" s="14">
        <f>ROUND(tblSprzedaz[[#This Row],[Ilość]]*tblSprzedaz[[#This Row],[Koszt jednostkowy netto]],2)</f>
        <v>264.68</v>
      </c>
      <c r="O609" s="14">
        <f>tblSprzedaz[[#This Row],[Przychód netto]]-tblSprzedaz[[#This Row],[Koszt całkowity netto]]</f>
        <v>172.89999999999998</v>
      </c>
      <c r="P609" s="15">
        <f>IFERROR(tblSprzedaz[[#This Row],[Marża kwotowa]]/tblSprzedaz[[#This Row],[Przychód netto]],0)</f>
        <v>0.39512774806892448</v>
      </c>
      <c r="Q609" s="16">
        <f>YEAR(tblSprzedaz[[#This Row],[Data]])</f>
        <v>2025</v>
      </c>
      <c r="R609" s="16">
        <f>MONTH(tblSprzedaz[[#This Row],[Data]])</f>
        <v>6</v>
      </c>
      <c r="S609" s="9" t="str">
        <f>YEAR(tblSprzedaz[[#This Row],[Data]])&amp;"-"&amp;RIGHT("0"&amp;MONTH(tblSprzedaz[[#This Row],[Data]]),2)</f>
        <v>2025-06</v>
      </c>
    </row>
    <row r="610" spans="1:19" x14ac:dyDescent="0.25">
      <c r="A610" s="7" t="s">
        <v>1387</v>
      </c>
      <c r="B610" s="10">
        <v>45821</v>
      </c>
      <c r="C610" s="7" t="s">
        <v>1388</v>
      </c>
      <c r="D610" s="8" t="s">
        <v>152</v>
      </c>
      <c r="E610" s="8" t="s">
        <v>64</v>
      </c>
      <c r="F610" s="8" t="s">
        <v>33</v>
      </c>
      <c r="G610" s="8" t="s">
        <v>36</v>
      </c>
      <c r="H610" s="8" t="s">
        <v>46</v>
      </c>
      <c r="I610" s="11">
        <v>20</v>
      </c>
      <c r="J610" s="12">
        <v>768.2</v>
      </c>
      <c r="K610" s="13">
        <v>0</v>
      </c>
      <c r="L610" s="12">
        <v>527.51</v>
      </c>
      <c r="M610" s="14">
        <f>ROUND(tblSprzedaz[[#This Row],[Ilość]]*tblSprzedaz[[#This Row],[Cena netto jednostkowa]]*(1-tblSprzedaz[[#This Row],[Rabat %]]),2)</f>
        <v>15364</v>
      </c>
      <c r="N610" s="14">
        <f>ROUND(tblSprzedaz[[#This Row],[Ilość]]*tblSprzedaz[[#This Row],[Koszt jednostkowy netto]],2)</f>
        <v>10550.2</v>
      </c>
      <c r="O610" s="14">
        <f>tblSprzedaz[[#This Row],[Przychód netto]]-tblSprzedaz[[#This Row],[Koszt całkowity netto]]</f>
        <v>4813.7999999999993</v>
      </c>
      <c r="P610" s="15">
        <f>IFERROR(tblSprzedaz[[#This Row],[Marża kwotowa]]/tblSprzedaz[[#This Row],[Przychód netto]],0)</f>
        <v>0.31331684457172604</v>
      </c>
      <c r="Q610" s="16">
        <f>YEAR(tblSprzedaz[[#This Row],[Data]])</f>
        <v>2025</v>
      </c>
      <c r="R610" s="16">
        <f>MONTH(tblSprzedaz[[#This Row],[Data]])</f>
        <v>6</v>
      </c>
      <c r="S610" s="9" t="str">
        <f>YEAR(tblSprzedaz[[#This Row],[Data]])&amp;"-"&amp;RIGHT("0"&amp;MONTH(tblSprzedaz[[#This Row],[Data]]),2)</f>
        <v>2025-06</v>
      </c>
    </row>
    <row r="611" spans="1:19" x14ac:dyDescent="0.25">
      <c r="A611" s="7" t="s">
        <v>1389</v>
      </c>
      <c r="B611" s="10">
        <v>45822</v>
      </c>
      <c r="C611" s="7" t="s">
        <v>1390</v>
      </c>
      <c r="D611" s="8" t="s">
        <v>83</v>
      </c>
      <c r="E611" s="8" t="s">
        <v>58</v>
      </c>
      <c r="F611" s="8" t="s">
        <v>31</v>
      </c>
      <c r="G611" s="8" t="s">
        <v>36</v>
      </c>
      <c r="H611" s="8" t="s">
        <v>47</v>
      </c>
      <c r="I611" s="11">
        <v>20</v>
      </c>
      <c r="J611" s="12">
        <v>350.7</v>
      </c>
      <c r="K611" s="13">
        <v>0.05</v>
      </c>
      <c r="L611" s="12">
        <v>234.02</v>
      </c>
      <c r="M611" s="14">
        <f>ROUND(tblSprzedaz[[#This Row],[Ilość]]*tblSprzedaz[[#This Row],[Cena netto jednostkowa]]*(1-tblSprzedaz[[#This Row],[Rabat %]]),2)</f>
        <v>6663.3</v>
      </c>
      <c r="N611" s="14">
        <f>ROUND(tblSprzedaz[[#This Row],[Ilość]]*tblSprzedaz[[#This Row],[Koszt jednostkowy netto]],2)</f>
        <v>4680.3999999999996</v>
      </c>
      <c r="O611" s="14">
        <f>tblSprzedaz[[#This Row],[Przychód netto]]-tblSprzedaz[[#This Row],[Koszt całkowity netto]]</f>
        <v>1982.9000000000005</v>
      </c>
      <c r="P611" s="15">
        <f>IFERROR(tblSprzedaz[[#This Row],[Marża kwotowa]]/tblSprzedaz[[#This Row],[Przychód netto]],0)</f>
        <v>0.29758528056668626</v>
      </c>
      <c r="Q611" s="16">
        <f>YEAR(tblSprzedaz[[#This Row],[Data]])</f>
        <v>2025</v>
      </c>
      <c r="R611" s="16">
        <f>MONTH(tblSprzedaz[[#This Row],[Data]])</f>
        <v>6</v>
      </c>
      <c r="S611" s="9" t="str">
        <f>YEAR(tblSprzedaz[[#This Row],[Data]])&amp;"-"&amp;RIGHT("0"&amp;MONTH(tblSprzedaz[[#This Row],[Data]]),2)</f>
        <v>2025-06</v>
      </c>
    </row>
    <row r="612" spans="1:19" x14ac:dyDescent="0.25">
      <c r="A612" s="7" t="s">
        <v>1391</v>
      </c>
      <c r="B612" s="10">
        <v>45823</v>
      </c>
      <c r="C612" s="7" t="s">
        <v>1392</v>
      </c>
      <c r="D612" s="8" t="s">
        <v>147</v>
      </c>
      <c r="E612" s="8" t="s">
        <v>68</v>
      </c>
      <c r="F612" s="8" t="s">
        <v>35</v>
      </c>
      <c r="G612" s="8" t="s">
        <v>34</v>
      </c>
      <c r="H612" s="8" t="s">
        <v>45</v>
      </c>
      <c r="I612" s="11">
        <v>14</v>
      </c>
      <c r="J612" s="12">
        <v>90.44</v>
      </c>
      <c r="K612" s="13">
        <v>0.15</v>
      </c>
      <c r="L612" s="12">
        <v>62.88</v>
      </c>
      <c r="M612" s="14">
        <f>ROUND(tblSprzedaz[[#This Row],[Ilość]]*tblSprzedaz[[#This Row],[Cena netto jednostkowa]]*(1-tblSprzedaz[[#This Row],[Rabat %]]),2)</f>
        <v>1076.24</v>
      </c>
      <c r="N612" s="14">
        <f>ROUND(tblSprzedaz[[#This Row],[Ilość]]*tblSprzedaz[[#This Row],[Koszt jednostkowy netto]],2)</f>
        <v>880.32</v>
      </c>
      <c r="O612" s="14">
        <f>tblSprzedaz[[#This Row],[Przychód netto]]-tblSprzedaz[[#This Row],[Koszt całkowity netto]]</f>
        <v>195.91999999999996</v>
      </c>
      <c r="P612" s="15">
        <f>IFERROR(tblSprzedaz[[#This Row],[Marża kwotowa]]/tblSprzedaz[[#This Row],[Przychód netto]],0)</f>
        <v>0.1820411804058574</v>
      </c>
      <c r="Q612" s="16">
        <f>YEAR(tblSprzedaz[[#This Row],[Data]])</f>
        <v>2025</v>
      </c>
      <c r="R612" s="16">
        <f>MONTH(tblSprzedaz[[#This Row],[Data]])</f>
        <v>6</v>
      </c>
      <c r="S612" s="9" t="str">
        <f>YEAR(tblSprzedaz[[#This Row],[Data]])&amp;"-"&amp;RIGHT("0"&amp;MONTH(tblSprzedaz[[#This Row],[Data]]),2)</f>
        <v>2025-06</v>
      </c>
    </row>
    <row r="613" spans="1:19" x14ac:dyDescent="0.25">
      <c r="A613" s="7" t="s">
        <v>1393</v>
      </c>
      <c r="B613" s="10">
        <v>45823</v>
      </c>
      <c r="C613" s="7" t="s">
        <v>1394</v>
      </c>
      <c r="D613" s="8" t="s">
        <v>140</v>
      </c>
      <c r="E613" s="8" t="s">
        <v>51</v>
      </c>
      <c r="F613" s="8" t="s">
        <v>29</v>
      </c>
      <c r="G613" s="8" t="s">
        <v>34</v>
      </c>
      <c r="H613" s="8" t="s">
        <v>45</v>
      </c>
      <c r="I613" s="11">
        <v>5</v>
      </c>
      <c r="J613" s="12">
        <v>51</v>
      </c>
      <c r="K613" s="13">
        <v>0.05</v>
      </c>
      <c r="L613" s="12">
        <v>29.21</v>
      </c>
      <c r="M613" s="14">
        <f>ROUND(tblSprzedaz[[#This Row],[Ilość]]*tblSprzedaz[[#This Row],[Cena netto jednostkowa]]*(1-tblSprzedaz[[#This Row],[Rabat %]]),2)</f>
        <v>242.25</v>
      </c>
      <c r="N613" s="14">
        <f>ROUND(tblSprzedaz[[#This Row],[Ilość]]*tblSprzedaz[[#This Row],[Koszt jednostkowy netto]],2)</f>
        <v>146.05000000000001</v>
      </c>
      <c r="O613" s="14">
        <f>tblSprzedaz[[#This Row],[Przychód netto]]-tblSprzedaz[[#This Row],[Koszt całkowity netto]]</f>
        <v>96.199999999999989</v>
      </c>
      <c r="P613" s="15">
        <f>IFERROR(tblSprzedaz[[#This Row],[Marża kwotowa]]/tblSprzedaz[[#This Row],[Przychód netto]],0)</f>
        <v>0.39711042311661504</v>
      </c>
      <c r="Q613" s="16">
        <f>YEAR(tblSprzedaz[[#This Row],[Data]])</f>
        <v>2025</v>
      </c>
      <c r="R613" s="16">
        <f>MONTH(tblSprzedaz[[#This Row],[Data]])</f>
        <v>6</v>
      </c>
      <c r="S613" s="9" t="str">
        <f>YEAR(tblSprzedaz[[#This Row],[Data]])&amp;"-"&amp;RIGHT("0"&amp;MONTH(tblSprzedaz[[#This Row],[Data]]),2)</f>
        <v>2025-06</v>
      </c>
    </row>
    <row r="614" spans="1:19" x14ac:dyDescent="0.25">
      <c r="A614" s="7" t="s">
        <v>1395</v>
      </c>
      <c r="B614" s="10">
        <v>45824</v>
      </c>
      <c r="C614" s="7" t="s">
        <v>1396</v>
      </c>
      <c r="D614" s="8" t="s">
        <v>126</v>
      </c>
      <c r="E614" s="8" t="s">
        <v>72</v>
      </c>
      <c r="F614" s="8" t="s">
        <v>37</v>
      </c>
      <c r="G614" s="8" t="s">
        <v>32</v>
      </c>
      <c r="H614" s="8" t="s">
        <v>43</v>
      </c>
      <c r="I614" s="11">
        <v>15</v>
      </c>
      <c r="J614" s="12">
        <v>94.05</v>
      </c>
      <c r="K614" s="13">
        <v>0.05</v>
      </c>
      <c r="L614" s="12">
        <v>71.790000000000006</v>
      </c>
      <c r="M614" s="14">
        <f>ROUND(tblSprzedaz[[#This Row],[Ilość]]*tblSprzedaz[[#This Row],[Cena netto jednostkowa]]*(1-tblSprzedaz[[#This Row],[Rabat %]]),2)</f>
        <v>1340.21</v>
      </c>
      <c r="N614" s="14">
        <f>ROUND(tblSprzedaz[[#This Row],[Ilość]]*tblSprzedaz[[#This Row],[Koszt jednostkowy netto]],2)</f>
        <v>1076.8499999999999</v>
      </c>
      <c r="O614" s="14">
        <f>tblSprzedaz[[#This Row],[Przychód netto]]-tblSprzedaz[[#This Row],[Koszt całkowity netto]]</f>
        <v>263.36000000000013</v>
      </c>
      <c r="P614" s="15">
        <f>IFERROR(tblSprzedaz[[#This Row],[Marża kwotowa]]/tblSprzedaz[[#This Row],[Przychód netto]],0)</f>
        <v>0.19650651763529606</v>
      </c>
      <c r="Q614" s="16">
        <f>YEAR(tblSprzedaz[[#This Row],[Data]])</f>
        <v>2025</v>
      </c>
      <c r="R614" s="16">
        <f>MONTH(tblSprzedaz[[#This Row],[Data]])</f>
        <v>6</v>
      </c>
      <c r="S614" s="9" t="str">
        <f>YEAR(tblSprzedaz[[#This Row],[Data]])&amp;"-"&amp;RIGHT("0"&amp;MONTH(tblSprzedaz[[#This Row],[Data]]),2)</f>
        <v>2025-06</v>
      </c>
    </row>
    <row r="615" spans="1:19" x14ac:dyDescent="0.25">
      <c r="A615" s="7" t="s">
        <v>1397</v>
      </c>
      <c r="B615" s="10">
        <v>45824</v>
      </c>
      <c r="C615" s="7" t="s">
        <v>1398</v>
      </c>
      <c r="D615" s="8" t="s">
        <v>123</v>
      </c>
      <c r="E615" s="8" t="s">
        <v>57</v>
      </c>
      <c r="F615" s="8" t="s">
        <v>31</v>
      </c>
      <c r="G615" s="8" t="s">
        <v>28</v>
      </c>
      <c r="H615" s="8" t="s">
        <v>39</v>
      </c>
      <c r="I615" s="11">
        <v>7</v>
      </c>
      <c r="J615" s="12">
        <v>315</v>
      </c>
      <c r="K615" s="13">
        <v>0</v>
      </c>
      <c r="L615" s="12">
        <v>199.47</v>
      </c>
      <c r="M615" s="14">
        <f>ROUND(tblSprzedaz[[#This Row],[Ilość]]*tblSprzedaz[[#This Row],[Cena netto jednostkowa]]*(1-tblSprzedaz[[#This Row],[Rabat %]]),2)</f>
        <v>2205</v>
      </c>
      <c r="N615" s="14">
        <f>ROUND(tblSprzedaz[[#This Row],[Ilość]]*tblSprzedaz[[#This Row],[Koszt jednostkowy netto]],2)</f>
        <v>1396.29</v>
      </c>
      <c r="O615" s="14">
        <f>tblSprzedaz[[#This Row],[Przychód netto]]-tblSprzedaz[[#This Row],[Koszt całkowity netto]]</f>
        <v>808.71</v>
      </c>
      <c r="P615" s="15">
        <f>IFERROR(tblSprzedaz[[#This Row],[Marża kwotowa]]/tblSprzedaz[[#This Row],[Przychód netto]],0)</f>
        <v>0.36676190476190479</v>
      </c>
      <c r="Q615" s="16">
        <f>YEAR(tblSprzedaz[[#This Row],[Data]])</f>
        <v>2025</v>
      </c>
      <c r="R615" s="16">
        <f>MONTH(tblSprzedaz[[#This Row],[Data]])</f>
        <v>6</v>
      </c>
      <c r="S615" s="9" t="str">
        <f>YEAR(tblSprzedaz[[#This Row],[Data]])&amp;"-"&amp;RIGHT("0"&amp;MONTH(tblSprzedaz[[#This Row],[Data]]),2)</f>
        <v>2025-06</v>
      </c>
    </row>
    <row r="616" spans="1:19" x14ac:dyDescent="0.25">
      <c r="A616" s="7" t="s">
        <v>1399</v>
      </c>
      <c r="B616" s="10">
        <v>45824</v>
      </c>
      <c r="C616" s="7" t="s">
        <v>1400</v>
      </c>
      <c r="D616" s="8" t="s">
        <v>149</v>
      </c>
      <c r="E616" s="8" t="s">
        <v>75</v>
      </c>
      <c r="F616" s="8" t="s">
        <v>37</v>
      </c>
      <c r="G616" s="8" t="s">
        <v>36</v>
      </c>
      <c r="H616" s="8" t="s">
        <v>46</v>
      </c>
      <c r="I616" s="11">
        <v>6</v>
      </c>
      <c r="J616" s="12">
        <v>142.5</v>
      </c>
      <c r="K616" s="13">
        <v>0.15</v>
      </c>
      <c r="L616" s="12">
        <v>114.46</v>
      </c>
      <c r="M616" s="14">
        <f>ROUND(tblSprzedaz[[#This Row],[Ilość]]*tblSprzedaz[[#This Row],[Cena netto jednostkowa]]*(1-tblSprzedaz[[#This Row],[Rabat %]]),2)</f>
        <v>726.75</v>
      </c>
      <c r="N616" s="14">
        <f>ROUND(tblSprzedaz[[#This Row],[Ilość]]*tblSprzedaz[[#This Row],[Koszt jednostkowy netto]],2)</f>
        <v>686.76</v>
      </c>
      <c r="O616" s="14">
        <f>tblSprzedaz[[#This Row],[Przychód netto]]-tblSprzedaz[[#This Row],[Koszt całkowity netto]]</f>
        <v>39.990000000000009</v>
      </c>
      <c r="P616" s="15">
        <f>IFERROR(tblSprzedaz[[#This Row],[Marża kwotowa]]/tblSprzedaz[[#This Row],[Przychód netto]],0)</f>
        <v>5.5025799793601664E-2</v>
      </c>
      <c r="Q616" s="16">
        <f>YEAR(tblSprzedaz[[#This Row],[Data]])</f>
        <v>2025</v>
      </c>
      <c r="R616" s="16">
        <f>MONTH(tblSprzedaz[[#This Row],[Data]])</f>
        <v>6</v>
      </c>
      <c r="S616" s="9" t="str">
        <f>YEAR(tblSprzedaz[[#This Row],[Data]])&amp;"-"&amp;RIGHT("0"&amp;MONTH(tblSprzedaz[[#This Row],[Data]]),2)</f>
        <v>2025-06</v>
      </c>
    </row>
    <row r="617" spans="1:19" x14ac:dyDescent="0.25">
      <c r="A617" s="7" t="s">
        <v>1401</v>
      </c>
      <c r="B617" s="10">
        <v>45825</v>
      </c>
      <c r="C617" s="7" t="s">
        <v>1402</v>
      </c>
      <c r="D617" s="8" t="s">
        <v>117</v>
      </c>
      <c r="E617" s="8" t="s">
        <v>68</v>
      </c>
      <c r="F617" s="8" t="s">
        <v>35</v>
      </c>
      <c r="G617" s="8" t="s">
        <v>28</v>
      </c>
      <c r="H617" s="8" t="s">
        <v>38</v>
      </c>
      <c r="I617" s="11">
        <v>10</v>
      </c>
      <c r="J617" s="12">
        <v>90.44</v>
      </c>
      <c r="K617" s="13">
        <v>0</v>
      </c>
      <c r="L617" s="12">
        <v>65.61</v>
      </c>
      <c r="M617" s="14">
        <f>ROUND(tblSprzedaz[[#This Row],[Ilość]]*tblSprzedaz[[#This Row],[Cena netto jednostkowa]]*(1-tblSprzedaz[[#This Row],[Rabat %]]),2)</f>
        <v>904.4</v>
      </c>
      <c r="N617" s="14">
        <f>ROUND(tblSprzedaz[[#This Row],[Ilość]]*tblSprzedaz[[#This Row],[Koszt jednostkowy netto]],2)</f>
        <v>656.1</v>
      </c>
      <c r="O617" s="14">
        <f>tblSprzedaz[[#This Row],[Przychód netto]]-tblSprzedaz[[#This Row],[Koszt całkowity netto]]</f>
        <v>248.29999999999995</v>
      </c>
      <c r="P617" s="15">
        <f>IFERROR(tblSprzedaz[[#This Row],[Marża kwotowa]]/tblSprzedaz[[#This Row],[Przychód netto]],0)</f>
        <v>0.27454666076957096</v>
      </c>
      <c r="Q617" s="16">
        <f>YEAR(tblSprzedaz[[#This Row],[Data]])</f>
        <v>2025</v>
      </c>
      <c r="R617" s="16">
        <f>MONTH(tblSprzedaz[[#This Row],[Data]])</f>
        <v>6</v>
      </c>
      <c r="S617" s="9" t="str">
        <f>YEAR(tblSprzedaz[[#This Row],[Data]])&amp;"-"&amp;RIGHT("0"&amp;MONTH(tblSprzedaz[[#This Row],[Data]]),2)</f>
        <v>2025-06</v>
      </c>
    </row>
    <row r="618" spans="1:19" x14ac:dyDescent="0.25">
      <c r="A618" s="7" t="s">
        <v>1403</v>
      </c>
      <c r="B618" s="10">
        <v>45825</v>
      </c>
      <c r="C618" s="7" t="s">
        <v>1404</v>
      </c>
      <c r="D618" s="8" t="s">
        <v>121</v>
      </c>
      <c r="E618" s="8" t="s">
        <v>49</v>
      </c>
      <c r="F618" s="8" t="s">
        <v>29</v>
      </c>
      <c r="G618" s="8" t="s">
        <v>34</v>
      </c>
      <c r="H618" s="8" t="s">
        <v>44</v>
      </c>
      <c r="I618" s="11">
        <v>6</v>
      </c>
      <c r="J618" s="12">
        <v>39.44</v>
      </c>
      <c r="K618" s="13">
        <v>0.15</v>
      </c>
      <c r="L618" s="12">
        <v>23.24</v>
      </c>
      <c r="M618" s="14">
        <f>ROUND(tblSprzedaz[[#This Row],[Ilość]]*tblSprzedaz[[#This Row],[Cena netto jednostkowa]]*(1-tblSprzedaz[[#This Row],[Rabat %]]),2)</f>
        <v>201.14</v>
      </c>
      <c r="N618" s="14">
        <f>ROUND(tblSprzedaz[[#This Row],[Ilość]]*tblSprzedaz[[#This Row],[Koszt jednostkowy netto]],2)</f>
        <v>139.44</v>
      </c>
      <c r="O618" s="14">
        <f>tblSprzedaz[[#This Row],[Przychód netto]]-tblSprzedaz[[#This Row],[Koszt całkowity netto]]</f>
        <v>61.699999999999989</v>
      </c>
      <c r="P618" s="15">
        <f>IFERROR(tblSprzedaz[[#This Row],[Marża kwotowa]]/tblSprzedaz[[#This Row],[Przychód netto]],0)</f>
        <v>0.3067515163567664</v>
      </c>
      <c r="Q618" s="16">
        <f>YEAR(tblSprzedaz[[#This Row],[Data]])</f>
        <v>2025</v>
      </c>
      <c r="R618" s="16">
        <f>MONTH(tblSprzedaz[[#This Row],[Data]])</f>
        <v>6</v>
      </c>
      <c r="S618" s="9" t="str">
        <f>YEAR(tblSprzedaz[[#This Row],[Data]])&amp;"-"&amp;RIGHT("0"&amp;MONTH(tblSprzedaz[[#This Row],[Data]]),2)</f>
        <v>2025-06</v>
      </c>
    </row>
    <row r="619" spans="1:19" x14ac:dyDescent="0.25">
      <c r="A619" s="7" t="s">
        <v>1405</v>
      </c>
      <c r="B619" s="10">
        <v>45825</v>
      </c>
      <c r="C619" s="7" t="s">
        <v>1406</v>
      </c>
      <c r="D619" s="8" t="s">
        <v>129</v>
      </c>
      <c r="E619" s="8" t="s">
        <v>77</v>
      </c>
      <c r="F619" s="8" t="s">
        <v>37</v>
      </c>
      <c r="G619" s="8" t="s">
        <v>34</v>
      </c>
      <c r="H619" s="8" t="s">
        <v>44</v>
      </c>
      <c r="I619" s="11">
        <v>1</v>
      </c>
      <c r="J619" s="12">
        <v>77.900000000000006</v>
      </c>
      <c r="K619" s="13">
        <v>0.15</v>
      </c>
      <c r="L619" s="12">
        <v>57.14</v>
      </c>
      <c r="M619" s="14">
        <f>ROUND(tblSprzedaz[[#This Row],[Ilość]]*tblSprzedaz[[#This Row],[Cena netto jednostkowa]]*(1-tblSprzedaz[[#This Row],[Rabat %]]),2)</f>
        <v>66.22</v>
      </c>
      <c r="N619" s="14">
        <f>ROUND(tblSprzedaz[[#This Row],[Ilość]]*tblSprzedaz[[#This Row],[Koszt jednostkowy netto]],2)</f>
        <v>57.14</v>
      </c>
      <c r="O619" s="14">
        <f>tblSprzedaz[[#This Row],[Przychód netto]]-tblSprzedaz[[#This Row],[Koszt całkowity netto]]</f>
        <v>9.0799999999999983</v>
      </c>
      <c r="P619" s="15">
        <f>IFERROR(tblSprzedaz[[#This Row],[Marża kwotowa]]/tblSprzedaz[[#This Row],[Przychód netto]],0)</f>
        <v>0.13711869525823012</v>
      </c>
      <c r="Q619" s="16">
        <f>YEAR(tblSprzedaz[[#This Row],[Data]])</f>
        <v>2025</v>
      </c>
      <c r="R619" s="16">
        <f>MONTH(tblSprzedaz[[#This Row],[Data]])</f>
        <v>6</v>
      </c>
      <c r="S619" s="9" t="str">
        <f>YEAR(tblSprzedaz[[#This Row],[Data]])&amp;"-"&amp;RIGHT("0"&amp;MONTH(tblSprzedaz[[#This Row],[Data]]),2)</f>
        <v>2025-06</v>
      </c>
    </row>
    <row r="620" spans="1:19" x14ac:dyDescent="0.25">
      <c r="A620" s="7" t="s">
        <v>1407</v>
      </c>
      <c r="B620" s="10">
        <v>45825</v>
      </c>
      <c r="C620" s="7" t="s">
        <v>1408</v>
      </c>
      <c r="D620" s="8" t="s">
        <v>98</v>
      </c>
      <c r="E620" s="8" t="s">
        <v>51</v>
      </c>
      <c r="F620" s="8" t="s">
        <v>29</v>
      </c>
      <c r="G620" s="8" t="s">
        <v>34</v>
      </c>
      <c r="H620" s="8" t="s">
        <v>44</v>
      </c>
      <c r="I620" s="11">
        <v>6</v>
      </c>
      <c r="J620" s="12">
        <v>51</v>
      </c>
      <c r="K620" s="13">
        <v>0.1</v>
      </c>
      <c r="L620" s="12">
        <v>29.46</v>
      </c>
      <c r="M620" s="14">
        <f>ROUND(tblSprzedaz[[#This Row],[Ilość]]*tblSprzedaz[[#This Row],[Cena netto jednostkowa]]*(1-tblSprzedaz[[#This Row],[Rabat %]]),2)</f>
        <v>275.39999999999998</v>
      </c>
      <c r="N620" s="14">
        <f>ROUND(tblSprzedaz[[#This Row],[Ilość]]*tblSprzedaz[[#This Row],[Koszt jednostkowy netto]],2)</f>
        <v>176.76</v>
      </c>
      <c r="O620" s="14">
        <f>tblSprzedaz[[#This Row],[Przychód netto]]-tblSprzedaz[[#This Row],[Koszt całkowity netto]]</f>
        <v>98.639999999999986</v>
      </c>
      <c r="P620" s="15">
        <f>IFERROR(tblSprzedaz[[#This Row],[Marża kwotowa]]/tblSprzedaz[[#This Row],[Przychód netto]],0)</f>
        <v>0.35816993464052288</v>
      </c>
      <c r="Q620" s="16">
        <f>YEAR(tblSprzedaz[[#This Row],[Data]])</f>
        <v>2025</v>
      </c>
      <c r="R620" s="16">
        <f>MONTH(tblSprzedaz[[#This Row],[Data]])</f>
        <v>6</v>
      </c>
      <c r="S620" s="9" t="str">
        <f>YEAR(tblSprzedaz[[#This Row],[Data]])&amp;"-"&amp;RIGHT("0"&amp;MONTH(tblSprzedaz[[#This Row],[Data]]),2)</f>
        <v>2025-06</v>
      </c>
    </row>
    <row r="621" spans="1:19" x14ac:dyDescent="0.25">
      <c r="A621" s="7" t="s">
        <v>1409</v>
      </c>
      <c r="B621" s="10">
        <v>45826</v>
      </c>
      <c r="C621" s="7" t="s">
        <v>1410</v>
      </c>
      <c r="D621" s="8" t="s">
        <v>124</v>
      </c>
      <c r="E621" s="8" t="s">
        <v>56</v>
      </c>
      <c r="F621" s="8" t="s">
        <v>31</v>
      </c>
      <c r="G621" s="8" t="s">
        <v>32</v>
      </c>
      <c r="H621" s="8" t="s">
        <v>42</v>
      </c>
      <c r="I621" s="11">
        <v>18</v>
      </c>
      <c r="J621" s="12">
        <v>279.3</v>
      </c>
      <c r="K621" s="13">
        <v>0</v>
      </c>
      <c r="L621" s="12">
        <v>181.62</v>
      </c>
      <c r="M621" s="14">
        <f>ROUND(tblSprzedaz[[#This Row],[Ilość]]*tblSprzedaz[[#This Row],[Cena netto jednostkowa]]*(1-tblSprzedaz[[#This Row],[Rabat %]]),2)</f>
        <v>5027.3999999999996</v>
      </c>
      <c r="N621" s="14">
        <f>ROUND(tblSprzedaz[[#This Row],[Ilość]]*tblSprzedaz[[#This Row],[Koszt jednostkowy netto]],2)</f>
        <v>3269.16</v>
      </c>
      <c r="O621" s="14">
        <f>tblSprzedaz[[#This Row],[Przychód netto]]-tblSprzedaz[[#This Row],[Koszt całkowity netto]]</f>
        <v>1758.2399999999998</v>
      </c>
      <c r="P621" s="15">
        <f>IFERROR(tblSprzedaz[[#This Row],[Marża kwotowa]]/tblSprzedaz[[#This Row],[Przychód netto]],0)</f>
        <v>0.34973147153598277</v>
      </c>
      <c r="Q621" s="16">
        <f>YEAR(tblSprzedaz[[#This Row],[Data]])</f>
        <v>2025</v>
      </c>
      <c r="R621" s="16">
        <f>MONTH(tblSprzedaz[[#This Row],[Data]])</f>
        <v>6</v>
      </c>
      <c r="S621" s="9" t="str">
        <f>YEAR(tblSprzedaz[[#This Row],[Data]])&amp;"-"&amp;RIGHT("0"&amp;MONTH(tblSprzedaz[[#This Row],[Data]]),2)</f>
        <v>2025-06</v>
      </c>
    </row>
    <row r="622" spans="1:19" x14ac:dyDescent="0.25">
      <c r="A622" s="7" t="s">
        <v>1411</v>
      </c>
      <c r="B622" s="10">
        <v>45826</v>
      </c>
      <c r="C622" s="7" t="s">
        <v>1412</v>
      </c>
      <c r="D622" s="8" t="s">
        <v>145</v>
      </c>
      <c r="E622" s="8" t="s">
        <v>57</v>
      </c>
      <c r="F622" s="8" t="s">
        <v>31</v>
      </c>
      <c r="G622" s="8" t="s">
        <v>28</v>
      </c>
      <c r="H622" s="8" t="s">
        <v>38</v>
      </c>
      <c r="I622" s="11">
        <v>18</v>
      </c>
      <c r="J622" s="12">
        <v>315</v>
      </c>
      <c r="K622" s="13">
        <v>0</v>
      </c>
      <c r="L622" s="12">
        <v>197.3</v>
      </c>
      <c r="M622" s="14">
        <f>ROUND(tblSprzedaz[[#This Row],[Ilość]]*tblSprzedaz[[#This Row],[Cena netto jednostkowa]]*(1-tblSprzedaz[[#This Row],[Rabat %]]),2)</f>
        <v>5670</v>
      </c>
      <c r="N622" s="14">
        <f>ROUND(tblSprzedaz[[#This Row],[Ilość]]*tblSprzedaz[[#This Row],[Koszt jednostkowy netto]],2)</f>
        <v>3551.4</v>
      </c>
      <c r="O622" s="14">
        <f>tblSprzedaz[[#This Row],[Przychód netto]]-tblSprzedaz[[#This Row],[Koszt całkowity netto]]</f>
        <v>2118.6</v>
      </c>
      <c r="P622" s="15">
        <f>IFERROR(tblSprzedaz[[#This Row],[Marża kwotowa]]/tblSprzedaz[[#This Row],[Przychód netto]],0)</f>
        <v>0.37365079365079362</v>
      </c>
      <c r="Q622" s="16">
        <f>YEAR(tblSprzedaz[[#This Row],[Data]])</f>
        <v>2025</v>
      </c>
      <c r="R622" s="16">
        <f>MONTH(tblSprzedaz[[#This Row],[Data]])</f>
        <v>6</v>
      </c>
      <c r="S622" s="9" t="str">
        <f>YEAR(tblSprzedaz[[#This Row],[Data]])&amp;"-"&amp;RIGHT("0"&amp;MONTH(tblSprzedaz[[#This Row],[Data]]),2)</f>
        <v>2025-06</v>
      </c>
    </row>
    <row r="623" spans="1:19" x14ac:dyDescent="0.25">
      <c r="A623" s="7" t="s">
        <v>1413</v>
      </c>
      <c r="B623" s="10">
        <v>45826</v>
      </c>
      <c r="C623" s="7" t="s">
        <v>1414</v>
      </c>
      <c r="D623" s="8" t="s">
        <v>130</v>
      </c>
      <c r="E623" s="8" t="s">
        <v>50</v>
      </c>
      <c r="F623" s="8" t="s">
        <v>29</v>
      </c>
      <c r="G623" s="8" t="s">
        <v>30</v>
      </c>
      <c r="H623" s="8" t="s">
        <v>40</v>
      </c>
      <c r="I623" s="11">
        <v>9</v>
      </c>
      <c r="J623" s="12">
        <v>45.22</v>
      </c>
      <c r="K623" s="13">
        <v>0.15</v>
      </c>
      <c r="L623" s="12">
        <v>27.46</v>
      </c>
      <c r="M623" s="14">
        <f>ROUND(tblSprzedaz[[#This Row],[Ilość]]*tblSprzedaz[[#This Row],[Cena netto jednostkowa]]*(1-tblSprzedaz[[#This Row],[Rabat %]]),2)</f>
        <v>345.93</v>
      </c>
      <c r="N623" s="14">
        <f>ROUND(tblSprzedaz[[#This Row],[Ilość]]*tblSprzedaz[[#This Row],[Koszt jednostkowy netto]],2)</f>
        <v>247.14</v>
      </c>
      <c r="O623" s="14">
        <f>tblSprzedaz[[#This Row],[Przychód netto]]-tblSprzedaz[[#This Row],[Koszt całkowity netto]]</f>
        <v>98.79000000000002</v>
      </c>
      <c r="P623" s="15">
        <f>IFERROR(tblSprzedaz[[#This Row],[Marża kwotowa]]/tblSprzedaz[[#This Row],[Przychód netto]],0)</f>
        <v>0.28557800711126535</v>
      </c>
      <c r="Q623" s="16">
        <f>YEAR(tblSprzedaz[[#This Row],[Data]])</f>
        <v>2025</v>
      </c>
      <c r="R623" s="16">
        <f>MONTH(tblSprzedaz[[#This Row],[Data]])</f>
        <v>6</v>
      </c>
      <c r="S623" s="9" t="str">
        <f>YEAR(tblSprzedaz[[#This Row],[Data]])&amp;"-"&amp;RIGHT("0"&amp;MONTH(tblSprzedaz[[#This Row],[Data]]),2)</f>
        <v>2025-06</v>
      </c>
    </row>
    <row r="624" spans="1:19" x14ac:dyDescent="0.25">
      <c r="A624" s="7" t="s">
        <v>1415</v>
      </c>
      <c r="B624" s="10">
        <v>45827</v>
      </c>
      <c r="C624" s="7" t="s">
        <v>1416</v>
      </c>
      <c r="D624" s="8" t="s">
        <v>126</v>
      </c>
      <c r="E624" s="8" t="s">
        <v>65</v>
      </c>
      <c r="F624" s="8" t="s">
        <v>33</v>
      </c>
      <c r="G624" s="8" t="s">
        <v>32</v>
      </c>
      <c r="H624" s="8" t="s">
        <v>42</v>
      </c>
      <c r="I624" s="11">
        <v>10</v>
      </c>
      <c r="J624" s="12">
        <v>377.2</v>
      </c>
      <c r="K624" s="13">
        <v>0</v>
      </c>
      <c r="L624" s="12">
        <v>245.86</v>
      </c>
      <c r="M624" s="14">
        <f>ROUND(tblSprzedaz[[#This Row],[Ilość]]*tblSprzedaz[[#This Row],[Cena netto jednostkowa]]*(1-tblSprzedaz[[#This Row],[Rabat %]]),2)</f>
        <v>3772</v>
      </c>
      <c r="N624" s="14">
        <f>ROUND(tblSprzedaz[[#This Row],[Ilość]]*tblSprzedaz[[#This Row],[Koszt jednostkowy netto]],2)</f>
        <v>2458.6</v>
      </c>
      <c r="O624" s="14">
        <f>tblSprzedaz[[#This Row],[Przychód netto]]-tblSprzedaz[[#This Row],[Koszt całkowity netto]]</f>
        <v>1313.4</v>
      </c>
      <c r="P624" s="15">
        <f>IFERROR(tblSprzedaz[[#This Row],[Marża kwotowa]]/tblSprzedaz[[#This Row],[Przychód netto]],0)</f>
        <v>0.34819724284199366</v>
      </c>
      <c r="Q624" s="16">
        <f>YEAR(tblSprzedaz[[#This Row],[Data]])</f>
        <v>2025</v>
      </c>
      <c r="R624" s="16">
        <f>MONTH(tblSprzedaz[[#This Row],[Data]])</f>
        <v>6</v>
      </c>
      <c r="S624" s="9" t="str">
        <f>YEAR(tblSprzedaz[[#This Row],[Data]])&amp;"-"&amp;RIGHT("0"&amp;MONTH(tblSprzedaz[[#This Row],[Data]]),2)</f>
        <v>2025-06</v>
      </c>
    </row>
    <row r="625" spans="1:19" x14ac:dyDescent="0.25">
      <c r="A625" s="7" t="s">
        <v>1417</v>
      </c>
      <c r="B625" s="10">
        <v>45827</v>
      </c>
      <c r="C625" s="7" t="s">
        <v>1418</v>
      </c>
      <c r="D625" s="8" t="s">
        <v>147</v>
      </c>
      <c r="E625" s="8" t="s">
        <v>52</v>
      </c>
      <c r="F625" s="8" t="s">
        <v>29</v>
      </c>
      <c r="G625" s="8" t="s">
        <v>30</v>
      </c>
      <c r="H625" s="8" t="s">
        <v>41</v>
      </c>
      <c r="I625" s="11">
        <v>22</v>
      </c>
      <c r="J625" s="12">
        <v>56.78</v>
      </c>
      <c r="K625" s="13">
        <v>0.15</v>
      </c>
      <c r="L625" s="12">
        <v>33.130000000000003</v>
      </c>
      <c r="M625" s="14">
        <f>ROUND(tblSprzedaz[[#This Row],[Ilość]]*tblSprzedaz[[#This Row],[Cena netto jednostkowa]]*(1-tblSprzedaz[[#This Row],[Rabat %]]),2)</f>
        <v>1061.79</v>
      </c>
      <c r="N625" s="14">
        <f>ROUND(tblSprzedaz[[#This Row],[Ilość]]*tblSprzedaz[[#This Row],[Koszt jednostkowy netto]],2)</f>
        <v>728.86</v>
      </c>
      <c r="O625" s="14">
        <f>tblSprzedaz[[#This Row],[Przychód netto]]-tblSprzedaz[[#This Row],[Koszt całkowity netto]]</f>
        <v>332.92999999999995</v>
      </c>
      <c r="P625" s="15">
        <f>IFERROR(tblSprzedaz[[#This Row],[Marża kwotowa]]/tblSprzedaz[[#This Row],[Przychód netto]],0)</f>
        <v>0.31355541114533003</v>
      </c>
      <c r="Q625" s="16">
        <f>YEAR(tblSprzedaz[[#This Row],[Data]])</f>
        <v>2025</v>
      </c>
      <c r="R625" s="16">
        <f>MONTH(tblSprzedaz[[#This Row],[Data]])</f>
        <v>6</v>
      </c>
      <c r="S625" s="9" t="str">
        <f>YEAR(tblSprzedaz[[#This Row],[Data]])&amp;"-"&amp;RIGHT("0"&amp;MONTH(tblSprzedaz[[#This Row],[Data]]),2)</f>
        <v>2025-06</v>
      </c>
    </row>
    <row r="626" spans="1:19" x14ac:dyDescent="0.25">
      <c r="A626" s="7" t="s">
        <v>1419</v>
      </c>
      <c r="B626" s="10">
        <v>45827</v>
      </c>
      <c r="C626" s="7" t="s">
        <v>1420</v>
      </c>
      <c r="D626" s="8" t="s">
        <v>93</v>
      </c>
      <c r="E626" s="8" t="s">
        <v>61</v>
      </c>
      <c r="F626" s="8" t="s">
        <v>33</v>
      </c>
      <c r="G626" s="8" t="s">
        <v>28</v>
      </c>
      <c r="H626" s="8" t="s">
        <v>38</v>
      </c>
      <c r="I626" s="11">
        <v>13</v>
      </c>
      <c r="J626" s="12">
        <v>533.6</v>
      </c>
      <c r="K626" s="13">
        <v>0.1</v>
      </c>
      <c r="L626" s="12">
        <v>352.83</v>
      </c>
      <c r="M626" s="14">
        <f>ROUND(tblSprzedaz[[#This Row],[Ilość]]*tblSprzedaz[[#This Row],[Cena netto jednostkowa]]*(1-tblSprzedaz[[#This Row],[Rabat %]]),2)</f>
        <v>6243.12</v>
      </c>
      <c r="N626" s="14">
        <f>ROUND(tblSprzedaz[[#This Row],[Ilość]]*tblSprzedaz[[#This Row],[Koszt jednostkowy netto]],2)</f>
        <v>4586.79</v>
      </c>
      <c r="O626" s="14">
        <f>tblSprzedaz[[#This Row],[Przychód netto]]-tblSprzedaz[[#This Row],[Koszt całkowity netto]]</f>
        <v>1656.33</v>
      </c>
      <c r="P626" s="15">
        <f>IFERROR(tblSprzedaz[[#This Row],[Marża kwotowa]]/tblSprzedaz[[#This Row],[Przychód netto]],0)</f>
        <v>0.26530484757621187</v>
      </c>
      <c r="Q626" s="16">
        <f>YEAR(tblSprzedaz[[#This Row],[Data]])</f>
        <v>2025</v>
      </c>
      <c r="R626" s="16">
        <f>MONTH(tblSprzedaz[[#This Row],[Data]])</f>
        <v>6</v>
      </c>
      <c r="S626" s="9" t="str">
        <f>YEAR(tblSprzedaz[[#This Row],[Data]])&amp;"-"&amp;RIGHT("0"&amp;MONTH(tblSprzedaz[[#This Row],[Data]]),2)</f>
        <v>2025-06</v>
      </c>
    </row>
    <row r="627" spans="1:19" x14ac:dyDescent="0.25">
      <c r="A627" s="7" t="s">
        <v>1421</v>
      </c>
      <c r="B627" s="10">
        <v>45827</v>
      </c>
      <c r="C627" s="7" t="s">
        <v>1422</v>
      </c>
      <c r="D627" s="8" t="s">
        <v>128</v>
      </c>
      <c r="E627" s="8" t="s">
        <v>67</v>
      </c>
      <c r="F627" s="8" t="s">
        <v>35</v>
      </c>
      <c r="G627" s="8" t="s">
        <v>30</v>
      </c>
      <c r="H627" s="8" t="s">
        <v>40</v>
      </c>
      <c r="I627" s="11">
        <v>11</v>
      </c>
      <c r="J627" s="12">
        <v>78.88</v>
      </c>
      <c r="K627" s="13">
        <v>0.05</v>
      </c>
      <c r="L627" s="12">
        <v>56.48</v>
      </c>
      <c r="M627" s="14">
        <f>ROUND(tblSprzedaz[[#This Row],[Ilość]]*tblSprzedaz[[#This Row],[Cena netto jednostkowa]]*(1-tblSprzedaz[[#This Row],[Rabat %]]),2)</f>
        <v>824.3</v>
      </c>
      <c r="N627" s="14">
        <f>ROUND(tblSprzedaz[[#This Row],[Ilość]]*tblSprzedaz[[#This Row],[Koszt jednostkowy netto]],2)</f>
        <v>621.28</v>
      </c>
      <c r="O627" s="14">
        <f>tblSprzedaz[[#This Row],[Przychód netto]]-tblSprzedaz[[#This Row],[Koszt całkowity netto]]</f>
        <v>203.01999999999998</v>
      </c>
      <c r="P627" s="15">
        <f>IFERROR(tblSprzedaz[[#This Row],[Marża kwotowa]]/tblSprzedaz[[#This Row],[Przychód netto]],0)</f>
        <v>0.24629382506369041</v>
      </c>
      <c r="Q627" s="16">
        <f>YEAR(tblSprzedaz[[#This Row],[Data]])</f>
        <v>2025</v>
      </c>
      <c r="R627" s="16">
        <f>MONTH(tblSprzedaz[[#This Row],[Data]])</f>
        <v>6</v>
      </c>
      <c r="S627" s="9" t="str">
        <f>YEAR(tblSprzedaz[[#This Row],[Data]])&amp;"-"&amp;RIGHT("0"&amp;MONTH(tblSprzedaz[[#This Row],[Data]]),2)</f>
        <v>2025-06</v>
      </c>
    </row>
    <row r="628" spans="1:19" x14ac:dyDescent="0.25">
      <c r="A628" s="7" t="s">
        <v>1423</v>
      </c>
      <c r="B628" s="10">
        <v>45827</v>
      </c>
      <c r="C628" s="7" t="s">
        <v>1424</v>
      </c>
      <c r="D628" s="8" t="s">
        <v>79</v>
      </c>
      <c r="E628" s="8" t="s">
        <v>63</v>
      </c>
      <c r="F628" s="8" t="s">
        <v>33</v>
      </c>
      <c r="G628" s="8" t="s">
        <v>36</v>
      </c>
      <c r="H628" s="8" t="s">
        <v>46</v>
      </c>
      <c r="I628" s="11">
        <v>3</v>
      </c>
      <c r="J628" s="12">
        <v>690</v>
      </c>
      <c r="K628" s="13">
        <v>0.15</v>
      </c>
      <c r="L628" s="12">
        <v>481.36</v>
      </c>
      <c r="M628" s="14">
        <f>ROUND(tblSprzedaz[[#This Row],[Ilość]]*tblSprzedaz[[#This Row],[Cena netto jednostkowa]]*(1-tblSprzedaz[[#This Row],[Rabat %]]),2)</f>
        <v>1759.5</v>
      </c>
      <c r="N628" s="14">
        <f>ROUND(tblSprzedaz[[#This Row],[Ilość]]*tblSprzedaz[[#This Row],[Koszt jednostkowy netto]],2)</f>
        <v>1444.08</v>
      </c>
      <c r="O628" s="14">
        <f>tblSprzedaz[[#This Row],[Przychód netto]]-tblSprzedaz[[#This Row],[Koszt całkowity netto]]</f>
        <v>315.42000000000007</v>
      </c>
      <c r="P628" s="15">
        <f>IFERROR(tblSprzedaz[[#This Row],[Marża kwotowa]]/tblSprzedaz[[#This Row],[Przychód netto]],0)</f>
        <v>0.1792668371696505</v>
      </c>
      <c r="Q628" s="16">
        <f>YEAR(tblSprzedaz[[#This Row],[Data]])</f>
        <v>2025</v>
      </c>
      <c r="R628" s="16">
        <f>MONTH(tblSprzedaz[[#This Row],[Data]])</f>
        <v>6</v>
      </c>
      <c r="S628" s="9" t="str">
        <f>YEAR(tblSprzedaz[[#This Row],[Data]])&amp;"-"&amp;RIGHT("0"&amp;MONTH(tblSprzedaz[[#This Row],[Data]]),2)</f>
        <v>2025-06</v>
      </c>
    </row>
    <row r="629" spans="1:19" x14ac:dyDescent="0.25">
      <c r="A629" s="7" t="s">
        <v>1425</v>
      </c>
      <c r="B629" s="10">
        <v>45827</v>
      </c>
      <c r="C629" s="7" t="s">
        <v>1426</v>
      </c>
      <c r="D629" s="8" t="s">
        <v>151</v>
      </c>
      <c r="E629" s="8" t="s">
        <v>58</v>
      </c>
      <c r="F629" s="8" t="s">
        <v>31</v>
      </c>
      <c r="G629" s="8" t="s">
        <v>30</v>
      </c>
      <c r="H629" s="8" t="s">
        <v>40</v>
      </c>
      <c r="I629" s="11">
        <v>16</v>
      </c>
      <c r="J629" s="12">
        <v>350.7</v>
      </c>
      <c r="K629" s="13">
        <v>0</v>
      </c>
      <c r="L629" s="12">
        <v>236.57</v>
      </c>
      <c r="M629" s="14">
        <f>ROUND(tblSprzedaz[[#This Row],[Ilość]]*tblSprzedaz[[#This Row],[Cena netto jednostkowa]]*(1-tblSprzedaz[[#This Row],[Rabat %]]),2)</f>
        <v>5611.2</v>
      </c>
      <c r="N629" s="14">
        <f>ROUND(tblSprzedaz[[#This Row],[Ilość]]*tblSprzedaz[[#This Row],[Koszt jednostkowy netto]],2)</f>
        <v>3785.12</v>
      </c>
      <c r="O629" s="14">
        <f>tblSprzedaz[[#This Row],[Przychód netto]]-tblSprzedaz[[#This Row],[Koszt całkowity netto]]</f>
        <v>1826.08</v>
      </c>
      <c r="P629" s="15">
        <f>IFERROR(tblSprzedaz[[#This Row],[Marża kwotowa]]/tblSprzedaz[[#This Row],[Przychód netto]],0)</f>
        <v>0.32543484459652122</v>
      </c>
      <c r="Q629" s="16">
        <f>YEAR(tblSprzedaz[[#This Row],[Data]])</f>
        <v>2025</v>
      </c>
      <c r="R629" s="16">
        <f>MONTH(tblSprzedaz[[#This Row],[Data]])</f>
        <v>6</v>
      </c>
      <c r="S629" s="9" t="str">
        <f>YEAR(tblSprzedaz[[#This Row],[Data]])&amp;"-"&amp;RIGHT("0"&amp;MONTH(tblSprzedaz[[#This Row],[Data]]),2)</f>
        <v>2025-06</v>
      </c>
    </row>
    <row r="630" spans="1:19" x14ac:dyDescent="0.25">
      <c r="A630" s="7" t="s">
        <v>1427</v>
      </c>
      <c r="B630" s="10">
        <v>45828</v>
      </c>
      <c r="C630" s="7" t="s">
        <v>1428</v>
      </c>
      <c r="D630" s="8" t="s">
        <v>137</v>
      </c>
      <c r="E630" s="8" t="s">
        <v>55</v>
      </c>
      <c r="F630" s="8" t="s">
        <v>31</v>
      </c>
      <c r="G630" s="8" t="s">
        <v>28</v>
      </c>
      <c r="H630" s="8" t="s">
        <v>39</v>
      </c>
      <c r="I630" s="11">
        <v>4</v>
      </c>
      <c r="J630" s="12">
        <v>243.6</v>
      </c>
      <c r="K630" s="13">
        <v>0</v>
      </c>
      <c r="L630" s="12">
        <v>147.29</v>
      </c>
      <c r="M630" s="14">
        <f>ROUND(tblSprzedaz[[#This Row],[Ilość]]*tblSprzedaz[[#This Row],[Cena netto jednostkowa]]*(1-tblSprzedaz[[#This Row],[Rabat %]]),2)</f>
        <v>974.4</v>
      </c>
      <c r="N630" s="14">
        <f>ROUND(tblSprzedaz[[#This Row],[Ilość]]*tblSprzedaz[[#This Row],[Koszt jednostkowy netto]],2)</f>
        <v>589.16</v>
      </c>
      <c r="O630" s="14">
        <f>tblSprzedaz[[#This Row],[Przychód netto]]-tblSprzedaz[[#This Row],[Koszt całkowity netto]]</f>
        <v>385.24</v>
      </c>
      <c r="P630" s="15">
        <f>IFERROR(tblSprzedaz[[#This Row],[Marża kwotowa]]/tblSprzedaz[[#This Row],[Przychód netto]],0)</f>
        <v>0.39536124794745486</v>
      </c>
      <c r="Q630" s="16">
        <f>YEAR(tblSprzedaz[[#This Row],[Data]])</f>
        <v>2025</v>
      </c>
      <c r="R630" s="16">
        <f>MONTH(tblSprzedaz[[#This Row],[Data]])</f>
        <v>6</v>
      </c>
      <c r="S630" s="9" t="str">
        <f>YEAR(tblSprzedaz[[#This Row],[Data]])&amp;"-"&amp;RIGHT("0"&amp;MONTH(tblSprzedaz[[#This Row],[Data]]),2)</f>
        <v>2025-06</v>
      </c>
    </row>
    <row r="631" spans="1:19" x14ac:dyDescent="0.25">
      <c r="A631" s="7" t="s">
        <v>1429</v>
      </c>
      <c r="B631" s="10">
        <v>45828</v>
      </c>
      <c r="C631" s="7" t="s">
        <v>1430</v>
      </c>
      <c r="D631" s="8" t="s">
        <v>95</v>
      </c>
      <c r="E631" s="8" t="s">
        <v>54</v>
      </c>
      <c r="F631" s="8" t="s">
        <v>31</v>
      </c>
      <c r="G631" s="8" t="s">
        <v>34</v>
      </c>
      <c r="H631" s="8" t="s">
        <v>44</v>
      </c>
      <c r="I631" s="11">
        <v>15</v>
      </c>
      <c r="J631" s="12">
        <v>207.9</v>
      </c>
      <c r="K631" s="13">
        <v>0</v>
      </c>
      <c r="L631" s="12">
        <v>137.22</v>
      </c>
      <c r="M631" s="14">
        <f>ROUND(tblSprzedaz[[#This Row],[Ilość]]*tblSprzedaz[[#This Row],[Cena netto jednostkowa]]*(1-tblSprzedaz[[#This Row],[Rabat %]]),2)</f>
        <v>3118.5</v>
      </c>
      <c r="N631" s="14">
        <f>ROUND(tblSprzedaz[[#This Row],[Ilość]]*tblSprzedaz[[#This Row],[Koszt jednostkowy netto]],2)</f>
        <v>2058.3000000000002</v>
      </c>
      <c r="O631" s="14">
        <f>tblSprzedaz[[#This Row],[Przychód netto]]-tblSprzedaz[[#This Row],[Koszt całkowity netto]]</f>
        <v>1060.1999999999998</v>
      </c>
      <c r="P631" s="15">
        <f>IFERROR(tblSprzedaz[[#This Row],[Marża kwotowa]]/tblSprzedaz[[#This Row],[Przychód netto]],0)</f>
        <v>0.33997113997113992</v>
      </c>
      <c r="Q631" s="16">
        <f>YEAR(tblSprzedaz[[#This Row],[Data]])</f>
        <v>2025</v>
      </c>
      <c r="R631" s="16">
        <f>MONTH(tblSprzedaz[[#This Row],[Data]])</f>
        <v>6</v>
      </c>
      <c r="S631" s="9" t="str">
        <f>YEAR(tblSprzedaz[[#This Row],[Data]])&amp;"-"&amp;RIGHT("0"&amp;MONTH(tblSprzedaz[[#This Row],[Data]]),2)</f>
        <v>2025-06</v>
      </c>
    </row>
    <row r="632" spans="1:19" x14ac:dyDescent="0.25">
      <c r="A632" s="7" t="s">
        <v>1431</v>
      </c>
      <c r="B632" s="10">
        <v>45828</v>
      </c>
      <c r="C632" s="7" t="s">
        <v>1432</v>
      </c>
      <c r="D632" s="8" t="s">
        <v>119</v>
      </c>
      <c r="E632" s="8" t="s">
        <v>63</v>
      </c>
      <c r="F632" s="8" t="s">
        <v>33</v>
      </c>
      <c r="G632" s="8" t="s">
        <v>36</v>
      </c>
      <c r="H632" s="8" t="s">
        <v>47</v>
      </c>
      <c r="I632" s="11">
        <v>16</v>
      </c>
      <c r="J632" s="12">
        <v>690</v>
      </c>
      <c r="K632" s="13">
        <v>0.1</v>
      </c>
      <c r="L632" s="12">
        <v>478.47</v>
      </c>
      <c r="M632" s="14">
        <f>ROUND(tblSprzedaz[[#This Row],[Ilość]]*tblSprzedaz[[#This Row],[Cena netto jednostkowa]]*(1-tblSprzedaz[[#This Row],[Rabat %]]),2)</f>
        <v>9936</v>
      </c>
      <c r="N632" s="14">
        <f>ROUND(tblSprzedaz[[#This Row],[Ilość]]*tblSprzedaz[[#This Row],[Koszt jednostkowy netto]],2)</f>
        <v>7655.52</v>
      </c>
      <c r="O632" s="14">
        <f>tblSprzedaz[[#This Row],[Przychód netto]]-tblSprzedaz[[#This Row],[Koszt całkowity netto]]</f>
        <v>2280.4799999999996</v>
      </c>
      <c r="P632" s="15">
        <f>IFERROR(tblSprzedaz[[#This Row],[Marża kwotowa]]/tblSprzedaz[[#This Row],[Przychód netto]],0)</f>
        <v>0.22951690821256035</v>
      </c>
      <c r="Q632" s="16">
        <f>YEAR(tblSprzedaz[[#This Row],[Data]])</f>
        <v>2025</v>
      </c>
      <c r="R632" s="16">
        <f>MONTH(tblSprzedaz[[#This Row],[Data]])</f>
        <v>6</v>
      </c>
      <c r="S632" s="9" t="str">
        <f>YEAR(tblSprzedaz[[#This Row],[Data]])&amp;"-"&amp;RIGHT("0"&amp;MONTH(tblSprzedaz[[#This Row],[Data]]),2)</f>
        <v>2025-06</v>
      </c>
    </row>
    <row r="633" spans="1:19" x14ac:dyDescent="0.25">
      <c r="A633" s="7" t="s">
        <v>1433</v>
      </c>
      <c r="B633" s="10">
        <v>45828</v>
      </c>
      <c r="C633" s="7" t="s">
        <v>1434</v>
      </c>
      <c r="D633" s="8" t="s">
        <v>149</v>
      </c>
      <c r="E633" s="8" t="s">
        <v>77</v>
      </c>
      <c r="F633" s="8" t="s">
        <v>37</v>
      </c>
      <c r="G633" s="8" t="s">
        <v>36</v>
      </c>
      <c r="H633" s="8" t="s">
        <v>46</v>
      </c>
      <c r="I633" s="11">
        <v>10</v>
      </c>
      <c r="J633" s="12">
        <v>77.900000000000006</v>
      </c>
      <c r="K633" s="13">
        <v>0</v>
      </c>
      <c r="L633" s="12">
        <v>60.05</v>
      </c>
      <c r="M633" s="14">
        <f>ROUND(tblSprzedaz[[#This Row],[Ilość]]*tblSprzedaz[[#This Row],[Cena netto jednostkowa]]*(1-tblSprzedaz[[#This Row],[Rabat %]]),2)</f>
        <v>779</v>
      </c>
      <c r="N633" s="14">
        <f>ROUND(tblSprzedaz[[#This Row],[Ilość]]*tblSprzedaz[[#This Row],[Koszt jednostkowy netto]],2)</f>
        <v>600.5</v>
      </c>
      <c r="O633" s="14">
        <f>tblSprzedaz[[#This Row],[Przychód netto]]-tblSprzedaz[[#This Row],[Koszt całkowity netto]]</f>
        <v>178.5</v>
      </c>
      <c r="P633" s="15">
        <f>IFERROR(tblSprzedaz[[#This Row],[Marża kwotowa]]/tblSprzedaz[[#This Row],[Przychód netto]],0)</f>
        <v>0.22913992297817715</v>
      </c>
      <c r="Q633" s="16">
        <f>YEAR(tblSprzedaz[[#This Row],[Data]])</f>
        <v>2025</v>
      </c>
      <c r="R633" s="16">
        <f>MONTH(tblSprzedaz[[#This Row],[Data]])</f>
        <v>6</v>
      </c>
      <c r="S633" s="9" t="str">
        <f>YEAR(tblSprzedaz[[#This Row],[Data]])&amp;"-"&amp;RIGHT("0"&amp;MONTH(tblSprzedaz[[#This Row],[Data]]),2)</f>
        <v>2025-06</v>
      </c>
    </row>
    <row r="634" spans="1:19" x14ac:dyDescent="0.25">
      <c r="A634" s="7" t="s">
        <v>1435</v>
      </c>
      <c r="B634" s="10">
        <v>45828</v>
      </c>
      <c r="C634" s="7" t="s">
        <v>1436</v>
      </c>
      <c r="D634" s="8" t="s">
        <v>95</v>
      </c>
      <c r="E634" s="8" t="s">
        <v>53</v>
      </c>
      <c r="F634" s="8" t="s">
        <v>29</v>
      </c>
      <c r="G634" s="8" t="s">
        <v>32</v>
      </c>
      <c r="H634" s="8" t="s">
        <v>43</v>
      </c>
      <c r="I634" s="11">
        <v>19</v>
      </c>
      <c r="J634" s="12">
        <v>27.88</v>
      </c>
      <c r="K634" s="13">
        <v>0.15</v>
      </c>
      <c r="L634" s="12">
        <v>16.72</v>
      </c>
      <c r="M634" s="14">
        <f>ROUND(tblSprzedaz[[#This Row],[Ilość]]*tblSprzedaz[[#This Row],[Cena netto jednostkowa]]*(1-tblSprzedaz[[#This Row],[Rabat %]]),2)</f>
        <v>450.26</v>
      </c>
      <c r="N634" s="14">
        <f>ROUND(tblSprzedaz[[#This Row],[Ilość]]*tblSprzedaz[[#This Row],[Koszt jednostkowy netto]],2)</f>
        <v>317.68</v>
      </c>
      <c r="O634" s="14">
        <f>tblSprzedaz[[#This Row],[Przychód netto]]-tblSprzedaz[[#This Row],[Koszt całkowity netto]]</f>
        <v>132.57999999999998</v>
      </c>
      <c r="P634" s="15">
        <f>IFERROR(tblSprzedaz[[#This Row],[Marża kwotowa]]/tblSprzedaz[[#This Row],[Przychód netto]],0)</f>
        <v>0.29445209434548925</v>
      </c>
      <c r="Q634" s="16">
        <f>YEAR(tblSprzedaz[[#This Row],[Data]])</f>
        <v>2025</v>
      </c>
      <c r="R634" s="16">
        <f>MONTH(tblSprzedaz[[#This Row],[Data]])</f>
        <v>6</v>
      </c>
      <c r="S634" s="9" t="str">
        <f>YEAR(tblSprzedaz[[#This Row],[Data]])&amp;"-"&amp;RIGHT("0"&amp;MONTH(tblSprzedaz[[#This Row],[Data]]),2)</f>
        <v>2025-06</v>
      </c>
    </row>
    <row r="635" spans="1:19" x14ac:dyDescent="0.25">
      <c r="A635" s="7" t="s">
        <v>1437</v>
      </c>
      <c r="B635" s="10">
        <v>45829</v>
      </c>
      <c r="C635" s="7" t="s">
        <v>1438</v>
      </c>
      <c r="D635" s="8" t="s">
        <v>131</v>
      </c>
      <c r="E635" s="8" t="s">
        <v>70</v>
      </c>
      <c r="F635" s="8" t="s">
        <v>35</v>
      </c>
      <c r="G635" s="8" t="s">
        <v>36</v>
      </c>
      <c r="H635" s="8" t="s">
        <v>47</v>
      </c>
      <c r="I635" s="11">
        <v>11</v>
      </c>
      <c r="J635" s="12">
        <v>113.56</v>
      </c>
      <c r="K635" s="13">
        <v>0.15</v>
      </c>
      <c r="L635" s="12">
        <v>86.52</v>
      </c>
      <c r="M635" s="14">
        <f>ROUND(tblSprzedaz[[#This Row],[Ilość]]*tblSprzedaz[[#This Row],[Cena netto jednostkowa]]*(1-tblSprzedaz[[#This Row],[Rabat %]]),2)</f>
        <v>1061.79</v>
      </c>
      <c r="N635" s="14">
        <f>ROUND(tblSprzedaz[[#This Row],[Ilość]]*tblSprzedaz[[#This Row],[Koszt jednostkowy netto]],2)</f>
        <v>951.72</v>
      </c>
      <c r="O635" s="14">
        <f>tblSprzedaz[[#This Row],[Przychód netto]]-tblSprzedaz[[#This Row],[Koszt całkowity netto]]</f>
        <v>110.06999999999994</v>
      </c>
      <c r="P635" s="15">
        <f>IFERROR(tblSprzedaz[[#This Row],[Marża kwotowa]]/tblSprzedaz[[#This Row],[Przychód netto]],0)</f>
        <v>0.10366456643969141</v>
      </c>
      <c r="Q635" s="16">
        <f>YEAR(tblSprzedaz[[#This Row],[Data]])</f>
        <v>2025</v>
      </c>
      <c r="R635" s="16">
        <f>MONTH(tblSprzedaz[[#This Row],[Data]])</f>
        <v>6</v>
      </c>
      <c r="S635" s="9" t="str">
        <f>YEAR(tblSprzedaz[[#This Row],[Data]])&amp;"-"&amp;RIGHT("0"&amp;MONTH(tblSprzedaz[[#This Row],[Data]]),2)</f>
        <v>2025-06</v>
      </c>
    </row>
    <row r="636" spans="1:19" x14ac:dyDescent="0.25">
      <c r="A636" s="7" t="s">
        <v>1439</v>
      </c>
      <c r="B636" s="10">
        <v>45829</v>
      </c>
      <c r="C636" s="7" t="s">
        <v>1440</v>
      </c>
      <c r="D636" s="8" t="s">
        <v>124</v>
      </c>
      <c r="E636" s="8" t="s">
        <v>76</v>
      </c>
      <c r="F636" s="8" t="s">
        <v>37</v>
      </c>
      <c r="G636" s="8" t="s">
        <v>30</v>
      </c>
      <c r="H636" s="8" t="s">
        <v>40</v>
      </c>
      <c r="I636" s="11">
        <v>17</v>
      </c>
      <c r="J636" s="12">
        <v>158.65</v>
      </c>
      <c r="K636" s="13">
        <v>0.05</v>
      </c>
      <c r="L636" s="12">
        <v>120.25</v>
      </c>
      <c r="M636" s="14">
        <f>ROUND(tblSprzedaz[[#This Row],[Ilość]]*tblSprzedaz[[#This Row],[Cena netto jednostkowa]]*(1-tblSprzedaz[[#This Row],[Rabat %]]),2)</f>
        <v>2562.1999999999998</v>
      </c>
      <c r="N636" s="14">
        <f>ROUND(tblSprzedaz[[#This Row],[Ilość]]*tblSprzedaz[[#This Row],[Koszt jednostkowy netto]],2)</f>
        <v>2044.25</v>
      </c>
      <c r="O636" s="14">
        <f>tblSprzedaz[[#This Row],[Przychód netto]]-tblSprzedaz[[#This Row],[Koszt całkowity netto]]</f>
        <v>517.94999999999982</v>
      </c>
      <c r="P636" s="15">
        <f>IFERROR(tblSprzedaz[[#This Row],[Marża kwotowa]]/tblSprzedaz[[#This Row],[Przychód netto]],0)</f>
        <v>0.20215049566778545</v>
      </c>
      <c r="Q636" s="16">
        <f>YEAR(tblSprzedaz[[#This Row],[Data]])</f>
        <v>2025</v>
      </c>
      <c r="R636" s="16">
        <f>MONTH(tblSprzedaz[[#This Row],[Data]])</f>
        <v>6</v>
      </c>
      <c r="S636" s="9" t="str">
        <f>YEAR(tblSprzedaz[[#This Row],[Data]])&amp;"-"&amp;RIGHT("0"&amp;MONTH(tblSprzedaz[[#This Row],[Data]]),2)</f>
        <v>2025-06</v>
      </c>
    </row>
    <row r="637" spans="1:19" x14ac:dyDescent="0.25">
      <c r="A637" s="7" t="s">
        <v>1441</v>
      </c>
      <c r="B637" s="10">
        <v>45830</v>
      </c>
      <c r="C637" s="7" t="s">
        <v>1442</v>
      </c>
      <c r="D637" s="8" t="s">
        <v>106</v>
      </c>
      <c r="E637" s="8" t="s">
        <v>69</v>
      </c>
      <c r="F637" s="8" t="s">
        <v>35</v>
      </c>
      <c r="G637" s="8" t="s">
        <v>36</v>
      </c>
      <c r="H637" s="8" t="s">
        <v>46</v>
      </c>
      <c r="I637" s="11">
        <v>2</v>
      </c>
      <c r="J637" s="12">
        <v>102</v>
      </c>
      <c r="K637" s="13">
        <v>0</v>
      </c>
      <c r="L637" s="12">
        <v>74.650000000000006</v>
      </c>
      <c r="M637" s="14">
        <f>ROUND(tblSprzedaz[[#This Row],[Ilość]]*tblSprzedaz[[#This Row],[Cena netto jednostkowa]]*(1-tblSprzedaz[[#This Row],[Rabat %]]),2)</f>
        <v>204</v>
      </c>
      <c r="N637" s="14">
        <f>ROUND(tblSprzedaz[[#This Row],[Ilość]]*tblSprzedaz[[#This Row],[Koszt jednostkowy netto]],2)</f>
        <v>149.30000000000001</v>
      </c>
      <c r="O637" s="14">
        <f>tblSprzedaz[[#This Row],[Przychód netto]]-tblSprzedaz[[#This Row],[Koszt całkowity netto]]</f>
        <v>54.699999999999989</v>
      </c>
      <c r="P637" s="15">
        <f>IFERROR(tblSprzedaz[[#This Row],[Marża kwotowa]]/tblSprzedaz[[#This Row],[Przychód netto]],0)</f>
        <v>0.26813725490196072</v>
      </c>
      <c r="Q637" s="16">
        <f>YEAR(tblSprzedaz[[#This Row],[Data]])</f>
        <v>2025</v>
      </c>
      <c r="R637" s="16">
        <f>MONTH(tblSprzedaz[[#This Row],[Data]])</f>
        <v>6</v>
      </c>
      <c r="S637" s="9" t="str">
        <f>YEAR(tblSprzedaz[[#This Row],[Data]])&amp;"-"&amp;RIGHT("0"&amp;MONTH(tblSprzedaz[[#This Row],[Data]]),2)</f>
        <v>2025-06</v>
      </c>
    </row>
    <row r="638" spans="1:19" x14ac:dyDescent="0.25">
      <c r="A638" s="7" t="s">
        <v>1443</v>
      </c>
      <c r="B638" s="10">
        <v>45831</v>
      </c>
      <c r="C638" s="7" t="s">
        <v>1444</v>
      </c>
      <c r="D638" s="8" t="s">
        <v>146</v>
      </c>
      <c r="E638" s="8" t="s">
        <v>64</v>
      </c>
      <c r="F638" s="8" t="s">
        <v>33</v>
      </c>
      <c r="G638" s="8" t="s">
        <v>30</v>
      </c>
      <c r="H638" s="8" t="s">
        <v>40</v>
      </c>
      <c r="I638" s="11">
        <v>18</v>
      </c>
      <c r="J638" s="12">
        <v>768.2</v>
      </c>
      <c r="K638" s="13">
        <v>0.05</v>
      </c>
      <c r="L638" s="12">
        <v>497.85</v>
      </c>
      <c r="M638" s="14">
        <f>ROUND(tblSprzedaz[[#This Row],[Ilość]]*tblSprzedaz[[#This Row],[Cena netto jednostkowa]]*(1-tblSprzedaz[[#This Row],[Rabat %]]),2)</f>
        <v>13136.22</v>
      </c>
      <c r="N638" s="14">
        <f>ROUND(tblSprzedaz[[#This Row],[Ilość]]*tblSprzedaz[[#This Row],[Koszt jednostkowy netto]],2)</f>
        <v>8961.2999999999993</v>
      </c>
      <c r="O638" s="14">
        <f>tblSprzedaz[[#This Row],[Przychód netto]]-tblSprzedaz[[#This Row],[Koszt całkowity netto]]</f>
        <v>4174.92</v>
      </c>
      <c r="P638" s="15">
        <f>IFERROR(tblSprzedaz[[#This Row],[Marża kwotowa]]/tblSprzedaz[[#This Row],[Przychód netto]],0)</f>
        <v>0.31781745433617892</v>
      </c>
      <c r="Q638" s="16">
        <f>YEAR(tblSprzedaz[[#This Row],[Data]])</f>
        <v>2025</v>
      </c>
      <c r="R638" s="16">
        <f>MONTH(tblSprzedaz[[#This Row],[Data]])</f>
        <v>6</v>
      </c>
      <c r="S638" s="9" t="str">
        <f>YEAR(tblSprzedaz[[#This Row],[Data]])&amp;"-"&amp;RIGHT("0"&amp;MONTH(tblSprzedaz[[#This Row],[Data]]),2)</f>
        <v>2025-06</v>
      </c>
    </row>
    <row r="639" spans="1:19" x14ac:dyDescent="0.25">
      <c r="A639" s="7" t="s">
        <v>1445</v>
      </c>
      <c r="B639" s="10">
        <v>45831</v>
      </c>
      <c r="C639" s="7" t="s">
        <v>1446</v>
      </c>
      <c r="D639" s="8" t="s">
        <v>133</v>
      </c>
      <c r="E639" s="8" t="s">
        <v>57</v>
      </c>
      <c r="F639" s="8" t="s">
        <v>31</v>
      </c>
      <c r="G639" s="8" t="s">
        <v>32</v>
      </c>
      <c r="H639" s="8" t="s">
        <v>42</v>
      </c>
      <c r="I639" s="11">
        <v>14</v>
      </c>
      <c r="J639" s="12">
        <v>315</v>
      </c>
      <c r="K639" s="13">
        <v>0.15</v>
      </c>
      <c r="L639" s="12">
        <v>207.26</v>
      </c>
      <c r="M639" s="14">
        <f>ROUND(tblSprzedaz[[#This Row],[Ilość]]*tblSprzedaz[[#This Row],[Cena netto jednostkowa]]*(1-tblSprzedaz[[#This Row],[Rabat %]]),2)</f>
        <v>3748.5</v>
      </c>
      <c r="N639" s="14">
        <f>ROUND(tblSprzedaz[[#This Row],[Ilość]]*tblSprzedaz[[#This Row],[Koszt jednostkowy netto]],2)</f>
        <v>2901.64</v>
      </c>
      <c r="O639" s="14">
        <f>tblSprzedaz[[#This Row],[Przychód netto]]-tblSprzedaz[[#This Row],[Koszt całkowity netto]]</f>
        <v>846.86000000000013</v>
      </c>
      <c r="P639" s="15">
        <f>IFERROR(tblSprzedaz[[#This Row],[Marża kwotowa]]/tblSprzedaz[[#This Row],[Przychód netto]],0)</f>
        <v>0.22591970121381891</v>
      </c>
      <c r="Q639" s="16">
        <f>YEAR(tblSprzedaz[[#This Row],[Data]])</f>
        <v>2025</v>
      </c>
      <c r="R639" s="16">
        <f>MONTH(tblSprzedaz[[#This Row],[Data]])</f>
        <v>6</v>
      </c>
      <c r="S639" s="9" t="str">
        <f>YEAR(tblSprzedaz[[#This Row],[Data]])&amp;"-"&amp;RIGHT("0"&amp;MONTH(tblSprzedaz[[#This Row],[Data]]),2)</f>
        <v>2025-06</v>
      </c>
    </row>
    <row r="640" spans="1:19" x14ac:dyDescent="0.25">
      <c r="A640" s="7" t="s">
        <v>1447</v>
      </c>
      <c r="B640" s="10">
        <v>45831</v>
      </c>
      <c r="C640" s="7" t="s">
        <v>1448</v>
      </c>
      <c r="D640" s="8" t="s">
        <v>128</v>
      </c>
      <c r="E640" s="8" t="s">
        <v>72</v>
      </c>
      <c r="F640" s="8" t="s">
        <v>37</v>
      </c>
      <c r="G640" s="8" t="s">
        <v>36</v>
      </c>
      <c r="H640" s="8" t="s">
        <v>46</v>
      </c>
      <c r="I640" s="11">
        <v>9</v>
      </c>
      <c r="J640" s="12">
        <v>94.05</v>
      </c>
      <c r="K640" s="13">
        <v>0.1</v>
      </c>
      <c r="L640" s="12">
        <v>76.02</v>
      </c>
      <c r="M640" s="14">
        <f>ROUND(tblSprzedaz[[#This Row],[Ilość]]*tblSprzedaz[[#This Row],[Cena netto jednostkowa]]*(1-tblSprzedaz[[#This Row],[Rabat %]]),2)</f>
        <v>761.81</v>
      </c>
      <c r="N640" s="14">
        <f>ROUND(tblSprzedaz[[#This Row],[Ilość]]*tblSprzedaz[[#This Row],[Koszt jednostkowy netto]],2)</f>
        <v>684.18</v>
      </c>
      <c r="O640" s="14">
        <f>tblSprzedaz[[#This Row],[Przychód netto]]-tblSprzedaz[[#This Row],[Koszt całkowity netto]]</f>
        <v>77.63</v>
      </c>
      <c r="P640" s="15">
        <f>IFERROR(tblSprzedaz[[#This Row],[Marża kwotowa]]/tblSprzedaz[[#This Row],[Przychód netto]],0)</f>
        <v>0.10190204906735276</v>
      </c>
      <c r="Q640" s="16">
        <f>YEAR(tblSprzedaz[[#This Row],[Data]])</f>
        <v>2025</v>
      </c>
      <c r="R640" s="16">
        <f>MONTH(tblSprzedaz[[#This Row],[Data]])</f>
        <v>6</v>
      </c>
      <c r="S640" s="9" t="str">
        <f>YEAR(tblSprzedaz[[#This Row],[Data]])&amp;"-"&amp;RIGHT("0"&amp;MONTH(tblSprzedaz[[#This Row],[Data]]),2)</f>
        <v>2025-06</v>
      </c>
    </row>
    <row r="641" spans="1:19" x14ac:dyDescent="0.25">
      <c r="A641" s="7" t="s">
        <v>1449</v>
      </c>
      <c r="B641" s="10">
        <v>45831</v>
      </c>
      <c r="C641" s="7" t="s">
        <v>1450</v>
      </c>
      <c r="D641" s="8" t="s">
        <v>125</v>
      </c>
      <c r="E641" s="8" t="s">
        <v>55</v>
      </c>
      <c r="F641" s="8" t="s">
        <v>31</v>
      </c>
      <c r="G641" s="8" t="s">
        <v>32</v>
      </c>
      <c r="H641" s="8" t="s">
        <v>43</v>
      </c>
      <c r="I641" s="11">
        <v>15</v>
      </c>
      <c r="J641" s="12">
        <v>243.6</v>
      </c>
      <c r="K641" s="13">
        <v>0.15</v>
      </c>
      <c r="L641" s="12">
        <v>153.22999999999999</v>
      </c>
      <c r="M641" s="14">
        <f>ROUND(tblSprzedaz[[#This Row],[Ilość]]*tblSprzedaz[[#This Row],[Cena netto jednostkowa]]*(1-tblSprzedaz[[#This Row],[Rabat %]]),2)</f>
        <v>3105.9</v>
      </c>
      <c r="N641" s="14">
        <f>ROUND(tblSprzedaz[[#This Row],[Ilość]]*tblSprzedaz[[#This Row],[Koszt jednostkowy netto]],2)</f>
        <v>2298.4499999999998</v>
      </c>
      <c r="O641" s="14">
        <f>tblSprzedaz[[#This Row],[Przychód netto]]-tblSprzedaz[[#This Row],[Koszt całkowity netto]]</f>
        <v>807.45000000000027</v>
      </c>
      <c r="P641" s="15">
        <f>IFERROR(tblSprzedaz[[#This Row],[Marża kwotowa]]/tblSprzedaz[[#This Row],[Przychód netto]],0)</f>
        <v>0.25997295469912113</v>
      </c>
      <c r="Q641" s="16">
        <f>YEAR(tblSprzedaz[[#This Row],[Data]])</f>
        <v>2025</v>
      </c>
      <c r="R641" s="16">
        <f>MONTH(tblSprzedaz[[#This Row],[Data]])</f>
        <v>6</v>
      </c>
      <c r="S641" s="9" t="str">
        <f>YEAR(tblSprzedaz[[#This Row],[Data]])&amp;"-"&amp;RIGHT("0"&amp;MONTH(tblSprzedaz[[#This Row],[Data]]),2)</f>
        <v>2025-06</v>
      </c>
    </row>
    <row r="642" spans="1:19" x14ac:dyDescent="0.25">
      <c r="A642" s="7" t="s">
        <v>1451</v>
      </c>
      <c r="B642" s="10">
        <v>45832</v>
      </c>
      <c r="C642" s="7" t="s">
        <v>1452</v>
      </c>
      <c r="D642" s="8" t="s">
        <v>79</v>
      </c>
      <c r="E642" s="8" t="s">
        <v>49</v>
      </c>
      <c r="F642" s="8" t="s">
        <v>29</v>
      </c>
      <c r="G642" s="8" t="s">
        <v>28</v>
      </c>
      <c r="H642" s="8" t="s">
        <v>38</v>
      </c>
      <c r="I642" s="11">
        <v>12</v>
      </c>
      <c r="J642" s="12">
        <v>39.44</v>
      </c>
      <c r="K642" s="13">
        <v>0.1</v>
      </c>
      <c r="L642" s="12">
        <v>24.79</v>
      </c>
      <c r="M642" s="14">
        <f>ROUND(tblSprzedaz[[#This Row],[Ilość]]*tblSprzedaz[[#This Row],[Cena netto jednostkowa]]*(1-tblSprzedaz[[#This Row],[Rabat %]]),2)</f>
        <v>425.95</v>
      </c>
      <c r="N642" s="14">
        <f>ROUND(tblSprzedaz[[#This Row],[Ilość]]*tblSprzedaz[[#This Row],[Koszt jednostkowy netto]],2)</f>
        <v>297.48</v>
      </c>
      <c r="O642" s="14">
        <f>tblSprzedaz[[#This Row],[Przychód netto]]-tblSprzedaz[[#This Row],[Koszt całkowity netto]]</f>
        <v>128.46999999999997</v>
      </c>
      <c r="P642" s="15">
        <f>IFERROR(tblSprzedaz[[#This Row],[Marża kwotowa]]/tblSprzedaz[[#This Row],[Przychód netto]],0)</f>
        <v>0.30160816997300144</v>
      </c>
      <c r="Q642" s="16">
        <f>YEAR(tblSprzedaz[[#This Row],[Data]])</f>
        <v>2025</v>
      </c>
      <c r="R642" s="16">
        <f>MONTH(tblSprzedaz[[#This Row],[Data]])</f>
        <v>6</v>
      </c>
      <c r="S642" s="9" t="str">
        <f>YEAR(tblSprzedaz[[#This Row],[Data]])&amp;"-"&amp;RIGHT("0"&amp;MONTH(tblSprzedaz[[#This Row],[Data]]),2)</f>
        <v>2025-06</v>
      </c>
    </row>
    <row r="643" spans="1:19" x14ac:dyDescent="0.25">
      <c r="A643" s="7" t="s">
        <v>1453</v>
      </c>
      <c r="B643" s="10">
        <v>45832</v>
      </c>
      <c r="C643" s="7" t="s">
        <v>1454</v>
      </c>
      <c r="D643" s="8" t="s">
        <v>93</v>
      </c>
      <c r="E643" s="8" t="s">
        <v>52</v>
      </c>
      <c r="F643" s="8" t="s">
        <v>29</v>
      </c>
      <c r="G643" s="8" t="s">
        <v>34</v>
      </c>
      <c r="H643" s="8" t="s">
        <v>45</v>
      </c>
      <c r="I643" s="11">
        <v>3</v>
      </c>
      <c r="J643" s="12">
        <v>56.78</v>
      </c>
      <c r="K643" s="13">
        <v>0.1</v>
      </c>
      <c r="L643" s="12">
        <v>34.659999999999997</v>
      </c>
      <c r="M643" s="14">
        <f>ROUND(tblSprzedaz[[#This Row],[Ilość]]*tblSprzedaz[[#This Row],[Cena netto jednostkowa]]*(1-tblSprzedaz[[#This Row],[Rabat %]]),2)</f>
        <v>153.31</v>
      </c>
      <c r="N643" s="14">
        <f>ROUND(tblSprzedaz[[#This Row],[Ilość]]*tblSprzedaz[[#This Row],[Koszt jednostkowy netto]],2)</f>
        <v>103.98</v>
      </c>
      <c r="O643" s="14">
        <f>tblSprzedaz[[#This Row],[Przychód netto]]-tblSprzedaz[[#This Row],[Koszt całkowity netto]]</f>
        <v>49.33</v>
      </c>
      <c r="P643" s="15">
        <f>IFERROR(tblSprzedaz[[#This Row],[Marża kwotowa]]/tblSprzedaz[[#This Row],[Przychód netto]],0)</f>
        <v>0.32176635574978801</v>
      </c>
      <c r="Q643" s="16">
        <f>YEAR(tblSprzedaz[[#This Row],[Data]])</f>
        <v>2025</v>
      </c>
      <c r="R643" s="16">
        <f>MONTH(tblSprzedaz[[#This Row],[Data]])</f>
        <v>6</v>
      </c>
      <c r="S643" s="9" t="str">
        <f>YEAR(tblSprzedaz[[#This Row],[Data]])&amp;"-"&amp;RIGHT("0"&amp;MONTH(tblSprzedaz[[#This Row],[Data]]),2)</f>
        <v>2025-06</v>
      </c>
    </row>
    <row r="644" spans="1:19" x14ac:dyDescent="0.25">
      <c r="A644" s="7" t="s">
        <v>1455</v>
      </c>
      <c r="B644" s="10">
        <v>45832</v>
      </c>
      <c r="C644" s="7" t="s">
        <v>1456</v>
      </c>
      <c r="D644" s="8" t="s">
        <v>84</v>
      </c>
      <c r="E644" s="8" t="s">
        <v>62</v>
      </c>
      <c r="F644" s="8" t="s">
        <v>33</v>
      </c>
      <c r="G644" s="8" t="s">
        <v>34</v>
      </c>
      <c r="H644" s="8" t="s">
        <v>45</v>
      </c>
      <c r="I644" s="11">
        <v>9</v>
      </c>
      <c r="J644" s="12">
        <v>611.79999999999995</v>
      </c>
      <c r="K644" s="13">
        <v>0.1</v>
      </c>
      <c r="L644" s="12">
        <v>430.49</v>
      </c>
      <c r="M644" s="14">
        <f>ROUND(tblSprzedaz[[#This Row],[Ilość]]*tblSprzedaz[[#This Row],[Cena netto jednostkowa]]*(1-tblSprzedaz[[#This Row],[Rabat %]]),2)</f>
        <v>4955.58</v>
      </c>
      <c r="N644" s="14">
        <f>ROUND(tblSprzedaz[[#This Row],[Ilość]]*tblSprzedaz[[#This Row],[Koszt jednostkowy netto]],2)</f>
        <v>3874.41</v>
      </c>
      <c r="O644" s="14">
        <f>tblSprzedaz[[#This Row],[Przychód netto]]-tblSprzedaz[[#This Row],[Koszt całkowity netto]]</f>
        <v>1081.17</v>
      </c>
      <c r="P644" s="15">
        <f>IFERROR(tblSprzedaz[[#This Row],[Marża kwotowa]]/tblSprzedaz[[#This Row],[Przychód netto]],0)</f>
        <v>0.21817224219970216</v>
      </c>
      <c r="Q644" s="16">
        <f>YEAR(tblSprzedaz[[#This Row],[Data]])</f>
        <v>2025</v>
      </c>
      <c r="R644" s="16">
        <f>MONTH(tblSprzedaz[[#This Row],[Data]])</f>
        <v>6</v>
      </c>
      <c r="S644" s="9" t="str">
        <f>YEAR(tblSprzedaz[[#This Row],[Data]])&amp;"-"&amp;RIGHT("0"&amp;MONTH(tblSprzedaz[[#This Row],[Data]]),2)</f>
        <v>2025-06</v>
      </c>
    </row>
    <row r="645" spans="1:19" x14ac:dyDescent="0.25">
      <c r="A645" s="7" t="s">
        <v>1457</v>
      </c>
      <c r="B645" s="10">
        <v>45833</v>
      </c>
      <c r="C645" s="7" t="s">
        <v>1458</v>
      </c>
      <c r="D645" s="8" t="s">
        <v>140</v>
      </c>
      <c r="E645" s="8" t="s">
        <v>67</v>
      </c>
      <c r="F645" s="8" t="s">
        <v>35</v>
      </c>
      <c r="G645" s="8" t="s">
        <v>32</v>
      </c>
      <c r="H645" s="8" t="s">
        <v>43</v>
      </c>
      <c r="I645" s="11">
        <v>27</v>
      </c>
      <c r="J645" s="12">
        <v>78.88</v>
      </c>
      <c r="K645" s="13">
        <v>0.05</v>
      </c>
      <c r="L645" s="12">
        <v>55.51</v>
      </c>
      <c r="M645" s="14">
        <f>ROUND(tblSprzedaz[[#This Row],[Ilość]]*tblSprzedaz[[#This Row],[Cena netto jednostkowa]]*(1-tblSprzedaz[[#This Row],[Rabat %]]),2)</f>
        <v>2023.27</v>
      </c>
      <c r="N645" s="14">
        <f>ROUND(tblSprzedaz[[#This Row],[Ilość]]*tblSprzedaz[[#This Row],[Koszt jednostkowy netto]],2)</f>
        <v>1498.77</v>
      </c>
      <c r="O645" s="14">
        <f>tblSprzedaz[[#This Row],[Przychód netto]]-tblSprzedaz[[#This Row],[Koszt całkowity netto]]</f>
        <v>524.5</v>
      </c>
      <c r="P645" s="15">
        <f>IFERROR(tblSprzedaz[[#This Row],[Marża kwotowa]]/tblSprzedaz[[#This Row],[Przychód netto]],0)</f>
        <v>0.25923381456750705</v>
      </c>
      <c r="Q645" s="16">
        <f>YEAR(tblSprzedaz[[#This Row],[Data]])</f>
        <v>2025</v>
      </c>
      <c r="R645" s="16">
        <f>MONTH(tblSprzedaz[[#This Row],[Data]])</f>
        <v>6</v>
      </c>
      <c r="S645" s="9" t="str">
        <f>YEAR(tblSprzedaz[[#This Row],[Data]])&amp;"-"&amp;RIGHT("0"&amp;MONTH(tblSprzedaz[[#This Row],[Data]]),2)</f>
        <v>2025-06</v>
      </c>
    </row>
    <row r="646" spans="1:19" x14ac:dyDescent="0.25">
      <c r="A646" s="7" t="s">
        <v>1459</v>
      </c>
      <c r="B646" s="10">
        <v>45833</v>
      </c>
      <c r="C646" s="7" t="s">
        <v>1460</v>
      </c>
      <c r="D646" s="8" t="s">
        <v>117</v>
      </c>
      <c r="E646" s="8" t="s">
        <v>69</v>
      </c>
      <c r="F646" s="8" t="s">
        <v>35</v>
      </c>
      <c r="G646" s="8" t="s">
        <v>30</v>
      </c>
      <c r="H646" s="8" t="s">
        <v>40</v>
      </c>
      <c r="I646" s="11">
        <v>4</v>
      </c>
      <c r="J646" s="12">
        <v>102</v>
      </c>
      <c r="K646" s="13">
        <v>0.15</v>
      </c>
      <c r="L646" s="12">
        <v>71.8</v>
      </c>
      <c r="M646" s="14">
        <f>ROUND(tblSprzedaz[[#This Row],[Ilość]]*tblSprzedaz[[#This Row],[Cena netto jednostkowa]]*(1-tblSprzedaz[[#This Row],[Rabat %]]),2)</f>
        <v>346.8</v>
      </c>
      <c r="N646" s="14">
        <f>ROUND(tblSprzedaz[[#This Row],[Ilość]]*tblSprzedaz[[#This Row],[Koszt jednostkowy netto]],2)</f>
        <v>287.2</v>
      </c>
      <c r="O646" s="14">
        <f>tblSprzedaz[[#This Row],[Przychód netto]]-tblSprzedaz[[#This Row],[Koszt całkowity netto]]</f>
        <v>59.600000000000023</v>
      </c>
      <c r="P646" s="15">
        <f>IFERROR(tblSprzedaz[[#This Row],[Marża kwotowa]]/tblSprzedaz[[#This Row],[Przychód netto]],0)</f>
        <v>0.17185697808535186</v>
      </c>
      <c r="Q646" s="16">
        <f>YEAR(tblSprzedaz[[#This Row],[Data]])</f>
        <v>2025</v>
      </c>
      <c r="R646" s="16">
        <f>MONTH(tblSprzedaz[[#This Row],[Data]])</f>
        <v>6</v>
      </c>
      <c r="S646" s="9" t="str">
        <f>YEAR(tblSprzedaz[[#This Row],[Data]])&amp;"-"&amp;RIGHT("0"&amp;MONTH(tblSprzedaz[[#This Row],[Data]]),2)</f>
        <v>2025-06</v>
      </c>
    </row>
    <row r="647" spans="1:19" x14ac:dyDescent="0.25">
      <c r="A647" s="7" t="s">
        <v>1461</v>
      </c>
      <c r="B647" s="10">
        <v>45833</v>
      </c>
      <c r="C647" s="7" t="s">
        <v>1462</v>
      </c>
      <c r="D647" s="8" t="s">
        <v>114</v>
      </c>
      <c r="E647" s="8" t="s">
        <v>54</v>
      </c>
      <c r="F647" s="8" t="s">
        <v>31</v>
      </c>
      <c r="G647" s="8" t="s">
        <v>36</v>
      </c>
      <c r="H647" s="8" t="s">
        <v>46</v>
      </c>
      <c r="I647" s="11">
        <v>8</v>
      </c>
      <c r="J647" s="12">
        <v>207.9</v>
      </c>
      <c r="K647" s="13">
        <v>0.05</v>
      </c>
      <c r="L647" s="12">
        <v>135.94</v>
      </c>
      <c r="M647" s="14">
        <f>ROUND(tblSprzedaz[[#This Row],[Ilość]]*tblSprzedaz[[#This Row],[Cena netto jednostkowa]]*(1-tblSprzedaz[[#This Row],[Rabat %]]),2)</f>
        <v>1580.04</v>
      </c>
      <c r="N647" s="14">
        <f>ROUND(tblSprzedaz[[#This Row],[Ilość]]*tblSprzedaz[[#This Row],[Koszt jednostkowy netto]],2)</f>
        <v>1087.52</v>
      </c>
      <c r="O647" s="14">
        <f>tblSprzedaz[[#This Row],[Przychód netto]]-tblSprzedaz[[#This Row],[Koszt całkowity netto]]</f>
        <v>492.52</v>
      </c>
      <c r="P647" s="15">
        <f>IFERROR(tblSprzedaz[[#This Row],[Marża kwotowa]]/tblSprzedaz[[#This Row],[Przychód netto]],0)</f>
        <v>0.31171362750310116</v>
      </c>
      <c r="Q647" s="16">
        <f>YEAR(tblSprzedaz[[#This Row],[Data]])</f>
        <v>2025</v>
      </c>
      <c r="R647" s="16">
        <f>MONTH(tblSprzedaz[[#This Row],[Data]])</f>
        <v>6</v>
      </c>
      <c r="S647" s="9" t="str">
        <f>YEAR(tblSprzedaz[[#This Row],[Data]])&amp;"-"&amp;RIGHT("0"&amp;MONTH(tblSprzedaz[[#This Row],[Data]]),2)</f>
        <v>2025-06</v>
      </c>
    </row>
    <row r="648" spans="1:19" x14ac:dyDescent="0.25">
      <c r="A648" s="7" t="s">
        <v>1463</v>
      </c>
      <c r="B648" s="10">
        <v>45833</v>
      </c>
      <c r="C648" s="7" t="s">
        <v>1464</v>
      </c>
      <c r="D648" s="8" t="s">
        <v>147</v>
      </c>
      <c r="E648" s="8" t="s">
        <v>72</v>
      </c>
      <c r="F648" s="8" t="s">
        <v>37</v>
      </c>
      <c r="G648" s="8" t="s">
        <v>32</v>
      </c>
      <c r="H648" s="8" t="s">
        <v>42</v>
      </c>
      <c r="I648" s="11">
        <v>18</v>
      </c>
      <c r="J648" s="12">
        <v>94.05</v>
      </c>
      <c r="K648" s="13">
        <v>0.15</v>
      </c>
      <c r="L648" s="12">
        <v>73.430000000000007</v>
      </c>
      <c r="M648" s="14">
        <f>ROUND(tblSprzedaz[[#This Row],[Ilość]]*tblSprzedaz[[#This Row],[Cena netto jednostkowa]]*(1-tblSprzedaz[[#This Row],[Rabat %]]),2)</f>
        <v>1438.97</v>
      </c>
      <c r="N648" s="14">
        <f>ROUND(tblSprzedaz[[#This Row],[Ilość]]*tblSprzedaz[[#This Row],[Koszt jednostkowy netto]],2)</f>
        <v>1321.74</v>
      </c>
      <c r="O648" s="14">
        <f>tblSprzedaz[[#This Row],[Przychód netto]]-tblSprzedaz[[#This Row],[Koszt całkowity netto]]</f>
        <v>117.23000000000002</v>
      </c>
      <c r="P648" s="15">
        <f>IFERROR(tblSprzedaz[[#This Row],[Marża kwotowa]]/tblSprzedaz[[#This Row],[Przychód netto]],0)</f>
        <v>8.1467994468265512E-2</v>
      </c>
      <c r="Q648" s="16">
        <f>YEAR(tblSprzedaz[[#This Row],[Data]])</f>
        <v>2025</v>
      </c>
      <c r="R648" s="16">
        <f>MONTH(tblSprzedaz[[#This Row],[Data]])</f>
        <v>6</v>
      </c>
      <c r="S648" s="9" t="str">
        <f>YEAR(tblSprzedaz[[#This Row],[Data]])&amp;"-"&amp;RIGHT("0"&amp;MONTH(tblSprzedaz[[#This Row],[Data]]),2)</f>
        <v>2025-06</v>
      </c>
    </row>
    <row r="649" spans="1:19" x14ac:dyDescent="0.25">
      <c r="A649" s="7" t="s">
        <v>1465</v>
      </c>
      <c r="B649" s="10">
        <v>45833</v>
      </c>
      <c r="C649" s="7" t="s">
        <v>1466</v>
      </c>
      <c r="D649" s="8" t="s">
        <v>145</v>
      </c>
      <c r="E649" s="8" t="s">
        <v>74</v>
      </c>
      <c r="F649" s="8" t="s">
        <v>37</v>
      </c>
      <c r="G649" s="8" t="s">
        <v>28</v>
      </c>
      <c r="H649" s="8" t="s">
        <v>39</v>
      </c>
      <c r="I649" s="11">
        <v>19</v>
      </c>
      <c r="J649" s="12">
        <v>126.35</v>
      </c>
      <c r="K649" s="13">
        <v>0</v>
      </c>
      <c r="L649" s="12">
        <v>100.44</v>
      </c>
      <c r="M649" s="14">
        <f>ROUND(tblSprzedaz[[#This Row],[Ilość]]*tblSprzedaz[[#This Row],[Cena netto jednostkowa]]*(1-tblSprzedaz[[#This Row],[Rabat %]]),2)</f>
        <v>2400.65</v>
      </c>
      <c r="N649" s="14">
        <f>ROUND(tblSprzedaz[[#This Row],[Ilość]]*tblSprzedaz[[#This Row],[Koszt jednostkowy netto]],2)</f>
        <v>1908.36</v>
      </c>
      <c r="O649" s="14">
        <f>tblSprzedaz[[#This Row],[Przychód netto]]-tblSprzedaz[[#This Row],[Koszt całkowity netto]]</f>
        <v>492.29000000000019</v>
      </c>
      <c r="P649" s="15">
        <f>IFERROR(tblSprzedaz[[#This Row],[Marża kwotowa]]/tblSprzedaz[[#This Row],[Przychód netto]],0)</f>
        <v>0.2050652948159874</v>
      </c>
      <c r="Q649" s="16">
        <f>YEAR(tblSprzedaz[[#This Row],[Data]])</f>
        <v>2025</v>
      </c>
      <c r="R649" s="16">
        <f>MONTH(tblSprzedaz[[#This Row],[Data]])</f>
        <v>6</v>
      </c>
      <c r="S649" s="9" t="str">
        <f>YEAR(tblSprzedaz[[#This Row],[Data]])&amp;"-"&amp;RIGHT("0"&amp;MONTH(tblSprzedaz[[#This Row],[Data]]),2)</f>
        <v>2025-06</v>
      </c>
    </row>
    <row r="650" spans="1:19" x14ac:dyDescent="0.25">
      <c r="A650" s="7" t="s">
        <v>1467</v>
      </c>
      <c r="B650" s="10">
        <v>45833</v>
      </c>
      <c r="C650" s="7" t="s">
        <v>1468</v>
      </c>
      <c r="D650" s="8" t="s">
        <v>136</v>
      </c>
      <c r="E650" s="8" t="s">
        <v>63</v>
      </c>
      <c r="F650" s="8" t="s">
        <v>33</v>
      </c>
      <c r="G650" s="8" t="s">
        <v>30</v>
      </c>
      <c r="H650" s="8" t="s">
        <v>40</v>
      </c>
      <c r="I650" s="11">
        <v>1</v>
      </c>
      <c r="J650" s="12">
        <v>690</v>
      </c>
      <c r="K650" s="13">
        <v>0</v>
      </c>
      <c r="L650" s="12">
        <v>482.15</v>
      </c>
      <c r="M650" s="14">
        <f>ROUND(tblSprzedaz[[#This Row],[Ilość]]*tblSprzedaz[[#This Row],[Cena netto jednostkowa]]*(1-tblSprzedaz[[#This Row],[Rabat %]]),2)</f>
        <v>690</v>
      </c>
      <c r="N650" s="14">
        <f>ROUND(tblSprzedaz[[#This Row],[Ilość]]*tblSprzedaz[[#This Row],[Koszt jednostkowy netto]],2)</f>
        <v>482.15</v>
      </c>
      <c r="O650" s="14">
        <f>tblSprzedaz[[#This Row],[Przychód netto]]-tblSprzedaz[[#This Row],[Koszt całkowity netto]]</f>
        <v>207.85000000000002</v>
      </c>
      <c r="P650" s="15">
        <f>IFERROR(tblSprzedaz[[#This Row],[Marża kwotowa]]/tblSprzedaz[[#This Row],[Przychód netto]],0)</f>
        <v>0.30123188405797102</v>
      </c>
      <c r="Q650" s="16">
        <f>YEAR(tblSprzedaz[[#This Row],[Data]])</f>
        <v>2025</v>
      </c>
      <c r="R650" s="16">
        <f>MONTH(tblSprzedaz[[#This Row],[Data]])</f>
        <v>6</v>
      </c>
      <c r="S650" s="9" t="str">
        <f>YEAR(tblSprzedaz[[#This Row],[Data]])&amp;"-"&amp;RIGHT("0"&amp;MONTH(tblSprzedaz[[#This Row],[Data]]),2)</f>
        <v>2025-06</v>
      </c>
    </row>
    <row r="651" spans="1:19" x14ac:dyDescent="0.25">
      <c r="A651" s="7" t="s">
        <v>1469</v>
      </c>
      <c r="B651" s="10">
        <v>45833</v>
      </c>
      <c r="C651" s="7" t="s">
        <v>1470</v>
      </c>
      <c r="D651" s="8" t="s">
        <v>86</v>
      </c>
      <c r="E651" s="8" t="s">
        <v>65</v>
      </c>
      <c r="F651" s="8" t="s">
        <v>33</v>
      </c>
      <c r="G651" s="8" t="s">
        <v>34</v>
      </c>
      <c r="H651" s="8" t="s">
        <v>44</v>
      </c>
      <c r="I651" s="11">
        <v>14</v>
      </c>
      <c r="J651" s="12">
        <v>377.2</v>
      </c>
      <c r="K651" s="13">
        <v>0.15</v>
      </c>
      <c r="L651" s="12">
        <v>243.6</v>
      </c>
      <c r="M651" s="14">
        <f>ROUND(tblSprzedaz[[#This Row],[Ilość]]*tblSprzedaz[[#This Row],[Cena netto jednostkowa]]*(1-tblSprzedaz[[#This Row],[Rabat %]]),2)</f>
        <v>4488.68</v>
      </c>
      <c r="N651" s="14">
        <f>ROUND(tblSprzedaz[[#This Row],[Ilość]]*tblSprzedaz[[#This Row],[Koszt jednostkowy netto]],2)</f>
        <v>3410.4</v>
      </c>
      <c r="O651" s="14">
        <f>tblSprzedaz[[#This Row],[Przychód netto]]-tblSprzedaz[[#This Row],[Koszt całkowity netto]]</f>
        <v>1078.2800000000002</v>
      </c>
      <c r="P651" s="15">
        <f>IFERROR(tblSprzedaz[[#This Row],[Marża kwotowa]]/tblSprzedaz[[#This Row],[Przychód netto]],0)</f>
        <v>0.240222069739879</v>
      </c>
      <c r="Q651" s="16">
        <f>YEAR(tblSprzedaz[[#This Row],[Data]])</f>
        <v>2025</v>
      </c>
      <c r="R651" s="16">
        <f>MONTH(tblSprzedaz[[#This Row],[Data]])</f>
        <v>6</v>
      </c>
      <c r="S651" s="9" t="str">
        <f>YEAR(tblSprzedaz[[#This Row],[Data]])&amp;"-"&amp;RIGHT("0"&amp;MONTH(tblSprzedaz[[#This Row],[Data]]),2)</f>
        <v>2025-06</v>
      </c>
    </row>
    <row r="652" spans="1:19" x14ac:dyDescent="0.25">
      <c r="A652" s="7" t="s">
        <v>1471</v>
      </c>
      <c r="B652" s="10">
        <v>45834</v>
      </c>
      <c r="C652" s="7" t="s">
        <v>1472</v>
      </c>
      <c r="D652" s="8" t="s">
        <v>126</v>
      </c>
      <c r="E652" s="8" t="s">
        <v>48</v>
      </c>
      <c r="F652" s="8" t="s">
        <v>29</v>
      </c>
      <c r="G652" s="8" t="s">
        <v>28</v>
      </c>
      <c r="H652" s="8" t="s">
        <v>38</v>
      </c>
      <c r="I652" s="11">
        <v>10</v>
      </c>
      <c r="J652" s="12">
        <v>33.659999999999997</v>
      </c>
      <c r="K652" s="13">
        <v>0.1</v>
      </c>
      <c r="L652" s="12">
        <v>19.8</v>
      </c>
      <c r="M652" s="14">
        <f>ROUND(tblSprzedaz[[#This Row],[Ilość]]*tblSprzedaz[[#This Row],[Cena netto jednostkowa]]*(1-tblSprzedaz[[#This Row],[Rabat %]]),2)</f>
        <v>302.94</v>
      </c>
      <c r="N652" s="14">
        <f>ROUND(tblSprzedaz[[#This Row],[Ilość]]*tblSprzedaz[[#This Row],[Koszt jednostkowy netto]],2)</f>
        <v>198</v>
      </c>
      <c r="O652" s="14">
        <f>tblSprzedaz[[#This Row],[Przychód netto]]-tblSprzedaz[[#This Row],[Koszt całkowity netto]]</f>
        <v>104.94</v>
      </c>
      <c r="P652" s="15">
        <f>IFERROR(tblSprzedaz[[#This Row],[Marża kwotowa]]/tblSprzedaz[[#This Row],[Przychód netto]],0)</f>
        <v>0.34640522875816993</v>
      </c>
      <c r="Q652" s="16">
        <f>YEAR(tblSprzedaz[[#This Row],[Data]])</f>
        <v>2025</v>
      </c>
      <c r="R652" s="16">
        <f>MONTH(tblSprzedaz[[#This Row],[Data]])</f>
        <v>6</v>
      </c>
      <c r="S652" s="9" t="str">
        <f>YEAR(tblSprzedaz[[#This Row],[Data]])&amp;"-"&amp;RIGHT("0"&amp;MONTH(tblSprzedaz[[#This Row],[Data]]),2)</f>
        <v>2025-06</v>
      </c>
    </row>
    <row r="653" spans="1:19" x14ac:dyDescent="0.25">
      <c r="A653" s="7" t="s">
        <v>1473</v>
      </c>
      <c r="B653" s="10">
        <v>45834</v>
      </c>
      <c r="C653" s="7" t="s">
        <v>1474</v>
      </c>
      <c r="D653" s="8" t="s">
        <v>119</v>
      </c>
      <c r="E653" s="8" t="s">
        <v>72</v>
      </c>
      <c r="F653" s="8" t="s">
        <v>37</v>
      </c>
      <c r="G653" s="8" t="s">
        <v>28</v>
      </c>
      <c r="H653" s="8" t="s">
        <v>39</v>
      </c>
      <c r="I653" s="11">
        <v>15</v>
      </c>
      <c r="J653" s="12">
        <v>94.05</v>
      </c>
      <c r="K653" s="13">
        <v>0</v>
      </c>
      <c r="L653" s="12">
        <v>71.22</v>
      </c>
      <c r="M653" s="14">
        <f>ROUND(tblSprzedaz[[#This Row],[Ilość]]*tblSprzedaz[[#This Row],[Cena netto jednostkowa]]*(1-tblSprzedaz[[#This Row],[Rabat %]]),2)</f>
        <v>1410.75</v>
      </c>
      <c r="N653" s="14">
        <f>ROUND(tblSprzedaz[[#This Row],[Ilość]]*tblSprzedaz[[#This Row],[Koszt jednostkowy netto]],2)</f>
        <v>1068.3</v>
      </c>
      <c r="O653" s="14">
        <f>tblSprzedaz[[#This Row],[Przychód netto]]-tblSprzedaz[[#This Row],[Koszt całkowity netto]]</f>
        <v>342.45000000000005</v>
      </c>
      <c r="P653" s="15">
        <f>IFERROR(tblSprzedaz[[#This Row],[Marża kwotowa]]/tblSprzedaz[[#This Row],[Przychód netto]],0)</f>
        <v>0.24274322169059015</v>
      </c>
      <c r="Q653" s="16">
        <f>YEAR(tblSprzedaz[[#This Row],[Data]])</f>
        <v>2025</v>
      </c>
      <c r="R653" s="16">
        <f>MONTH(tblSprzedaz[[#This Row],[Data]])</f>
        <v>6</v>
      </c>
      <c r="S653" s="9" t="str">
        <f>YEAR(tblSprzedaz[[#This Row],[Data]])&amp;"-"&amp;RIGHT("0"&amp;MONTH(tblSprzedaz[[#This Row],[Data]]),2)</f>
        <v>2025-06</v>
      </c>
    </row>
    <row r="654" spans="1:19" x14ac:dyDescent="0.25">
      <c r="A654" s="7" t="s">
        <v>1475</v>
      </c>
      <c r="B654" s="10">
        <v>45834</v>
      </c>
      <c r="C654" s="7" t="s">
        <v>1476</v>
      </c>
      <c r="D654" s="8" t="s">
        <v>113</v>
      </c>
      <c r="E654" s="8" t="s">
        <v>53</v>
      </c>
      <c r="F654" s="8" t="s">
        <v>29</v>
      </c>
      <c r="G654" s="8" t="s">
        <v>34</v>
      </c>
      <c r="H654" s="8" t="s">
        <v>44</v>
      </c>
      <c r="I654" s="11">
        <v>2</v>
      </c>
      <c r="J654" s="12">
        <v>27.88</v>
      </c>
      <c r="K654" s="13">
        <v>0.1</v>
      </c>
      <c r="L654" s="12">
        <v>15.43</v>
      </c>
      <c r="M654" s="14">
        <f>ROUND(tblSprzedaz[[#This Row],[Ilość]]*tblSprzedaz[[#This Row],[Cena netto jednostkowa]]*(1-tblSprzedaz[[#This Row],[Rabat %]]),2)</f>
        <v>50.18</v>
      </c>
      <c r="N654" s="14">
        <f>ROUND(tblSprzedaz[[#This Row],[Ilość]]*tblSprzedaz[[#This Row],[Koszt jednostkowy netto]],2)</f>
        <v>30.86</v>
      </c>
      <c r="O654" s="14">
        <f>tblSprzedaz[[#This Row],[Przychód netto]]-tblSprzedaz[[#This Row],[Koszt całkowity netto]]</f>
        <v>19.32</v>
      </c>
      <c r="P654" s="15">
        <f>IFERROR(tblSprzedaz[[#This Row],[Marża kwotowa]]/tblSprzedaz[[#This Row],[Przychód netto]],0)</f>
        <v>0.38501394978078918</v>
      </c>
      <c r="Q654" s="16">
        <f>YEAR(tblSprzedaz[[#This Row],[Data]])</f>
        <v>2025</v>
      </c>
      <c r="R654" s="16">
        <f>MONTH(tblSprzedaz[[#This Row],[Data]])</f>
        <v>6</v>
      </c>
      <c r="S654" s="9" t="str">
        <f>YEAR(tblSprzedaz[[#This Row],[Data]])&amp;"-"&amp;RIGHT("0"&amp;MONTH(tblSprzedaz[[#This Row],[Data]]),2)</f>
        <v>2025-06</v>
      </c>
    </row>
    <row r="655" spans="1:19" x14ac:dyDescent="0.25">
      <c r="A655" s="7" t="s">
        <v>1477</v>
      </c>
      <c r="B655" s="10">
        <v>45834</v>
      </c>
      <c r="C655" s="7" t="s">
        <v>1478</v>
      </c>
      <c r="D655" s="8" t="s">
        <v>112</v>
      </c>
      <c r="E655" s="8" t="s">
        <v>72</v>
      </c>
      <c r="F655" s="8" t="s">
        <v>37</v>
      </c>
      <c r="G655" s="8" t="s">
        <v>36</v>
      </c>
      <c r="H655" s="8" t="s">
        <v>47</v>
      </c>
      <c r="I655" s="11">
        <v>1</v>
      </c>
      <c r="J655" s="12">
        <v>94.05</v>
      </c>
      <c r="K655" s="13">
        <v>0.05</v>
      </c>
      <c r="L655" s="12">
        <v>75.91</v>
      </c>
      <c r="M655" s="14">
        <f>ROUND(tblSprzedaz[[#This Row],[Ilość]]*tblSprzedaz[[#This Row],[Cena netto jednostkowa]]*(1-tblSprzedaz[[#This Row],[Rabat %]]),2)</f>
        <v>89.35</v>
      </c>
      <c r="N655" s="14">
        <f>ROUND(tblSprzedaz[[#This Row],[Ilość]]*tblSprzedaz[[#This Row],[Koszt jednostkowy netto]],2)</f>
        <v>75.91</v>
      </c>
      <c r="O655" s="14">
        <f>tblSprzedaz[[#This Row],[Przychód netto]]-tblSprzedaz[[#This Row],[Koszt całkowity netto]]</f>
        <v>13.439999999999998</v>
      </c>
      <c r="P655" s="15">
        <f>IFERROR(tblSprzedaz[[#This Row],[Marża kwotowa]]/tblSprzedaz[[#This Row],[Przychód netto]],0)</f>
        <v>0.15041969781757134</v>
      </c>
      <c r="Q655" s="16">
        <f>YEAR(tblSprzedaz[[#This Row],[Data]])</f>
        <v>2025</v>
      </c>
      <c r="R655" s="16">
        <f>MONTH(tblSprzedaz[[#This Row],[Data]])</f>
        <v>6</v>
      </c>
      <c r="S655" s="9" t="str">
        <f>YEAR(tblSprzedaz[[#This Row],[Data]])&amp;"-"&amp;RIGHT("0"&amp;MONTH(tblSprzedaz[[#This Row],[Data]]),2)</f>
        <v>2025-06</v>
      </c>
    </row>
    <row r="656" spans="1:19" x14ac:dyDescent="0.25">
      <c r="A656" s="7" t="s">
        <v>1479</v>
      </c>
      <c r="B656" s="10">
        <v>45834</v>
      </c>
      <c r="C656" s="7" t="s">
        <v>1480</v>
      </c>
      <c r="D656" s="8" t="s">
        <v>80</v>
      </c>
      <c r="E656" s="8" t="s">
        <v>74</v>
      </c>
      <c r="F656" s="8" t="s">
        <v>37</v>
      </c>
      <c r="G656" s="8" t="s">
        <v>30</v>
      </c>
      <c r="H656" s="8" t="s">
        <v>41</v>
      </c>
      <c r="I656" s="11">
        <v>14</v>
      </c>
      <c r="J656" s="12">
        <v>126.35</v>
      </c>
      <c r="K656" s="13">
        <v>0</v>
      </c>
      <c r="L656" s="12">
        <v>93.06</v>
      </c>
      <c r="M656" s="14">
        <f>ROUND(tblSprzedaz[[#This Row],[Ilość]]*tblSprzedaz[[#This Row],[Cena netto jednostkowa]]*(1-tblSprzedaz[[#This Row],[Rabat %]]),2)</f>
        <v>1768.9</v>
      </c>
      <c r="N656" s="14">
        <f>ROUND(tblSprzedaz[[#This Row],[Ilość]]*tblSprzedaz[[#This Row],[Koszt jednostkowy netto]],2)</f>
        <v>1302.8399999999999</v>
      </c>
      <c r="O656" s="14">
        <f>tblSprzedaz[[#This Row],[Przychód netto]]-tblSprzedaz[[#This Row],[Koszt całkowity netto]]</f>
        <v>466.06000000000017</v>
      </c>
      <c r="P656" s="15">
        <f>IFERROR(tblSprzedaz[[#This Row],[Marża kwotowa]]/tblSprzedaz[[#This Row],[Przychód netto]],0)</f>
        <v>0.26347447566284138</v>
      </c>
      <c r="Q656" s="16">
        <f>YEAR(tblSprzedaz[[#This Row],[Data]])</f>
        <v>2025</v>
      </c>
      <c r="R656" s="16">
        <f>MONTH(tblSprzedaz[[#This Row],[Data]])</f>
        <v>6</v>
      </c>
      <c r="S656" s="9" t="str">
        <f>YEAR(tblSprzedaz[[#This Row],[Data]])&amp;"-"&amp;RIGHT("0"&amp;MONTH(tblSprzedaz[[#This Row],[Data]]),2)</f>
        <v>2025-06</v>
      </c>
    </row>
    <row r="657" spans="1:19" x14ac:dyDescent="0.25">
      <c r="A657" s="7" t="s">
        <v>1481</v>
      </c>
      <c r="B657" s="10">
        <v>45834</v>
      </c>
      <c r="C657" s="7" t="s">
        <v>1482</v>
      </c>
      <c r="D657" s="8" t="s">
        <v>138</v>
      </c>
      <c r="E657" s="8" t="s">
        <v>51</v>
      </c>
      <c r="F657" s="8" t="s">
        <v>29</v>
      </c>
      <c r="G657" s="8" t="s">
        <v>28</v>
      </c>
      <c r="H657" s="8" t="s">
        <v>38</v>
      </c>
      <c r="I657" s="11">
        <v>12</v>
      </c>
      <c r="J657" s="12">
        <v>51</v>
      </c>
      <c r="K657" s="13">
        <v>0.05</v>
      </c>
      <c r="L657" s="12">
        <v>29.35</v>
      </c>
      <c r="M657" s="14">
        <f>ROUND(tblSprzedaz[[#This Row],[Ilość]]*tblSprzedaz[[#This Row],[Cena netto jednostkowa]]*(1-tblSprzedaz[[#This Row],[Rabat %]]),2)</f>
        <v>581.4</v>
      </c>
      <c r="N657" s="14">
        <f>ROUND(tblSprzedaz[[#This Row],[Ilość]]*tblSprzedaz[[#This Row],[Koszt jednostkowy netto]],2)</f>
        <v>352.2</v>
      </c>
      <c r="O657" s="14">
        <f>tblSprzedaz[[#This Row],[Przychód netto]]-tblSprzedaz[[#This Row],[Koszt całkowity netto]]</f>
        <v>229.2</v>
      </c>
      <c r="P657" s="15">
        <f>IFERROR(tblSprzedaz[[#This Row],[Marża kwotowa]]/tblSprzedaz[[#This Row],[Przychód netto]],0)</f>
        <v>0.39422084623323012</v>
      </c>
      <c r="Q657" s="16">
        <f>YEAR(tblSprzedaz[[#This Row],[Data]])</f>
        <v>2025</v>
      </c>
      <c r="R657" s="16">
        <f>MONTH(tblSprzedaz[[#This Row],[Data]])</f>
        <v>6</v>
      </c>
      <c r="S657" s="9" t="str">
        <f>YEAR(tblSprzedaz[[#This Row],[Data]])&amp;"-"&amp;RIGHT("0"&amp;MONTH(tblSprzedaz[[#This Row],[Data]]),2)</f>
        <v>2025-06</v>
      </c>
    </row>
    <row r="658" spans="1:19" x14ac:dyDescent="0.25">
      <c r="A658" s="7" t="s">
        <v>1483</v>
      </c>
      <c r="B658" s="10">
        <v>45835</v>
      </c>
      <c r="C658" s="7" t="s">
        <v>1484</v>
      </c>
      <c r="D658" s="8" t="s">
        <v>105</v>
      </c>
      <c r="E658" s="8" t="s">
        <v>65</v>
      </c>
      <c r="F658" s="8" t="s">
        <v>33</v>
      </c>
      <c r="G658" s="8" t="s">
        <v>30</v>
      </c>
      <c r="H658" s="8" t="s">
        <v>41</v>
      </c>
      <c r="I658" s="11">
        <v>19</v>
      </c>
      <c r="J658" s="12">
        <v>377.2</v>
      </c>
      <c r="K658" s="13">
        <v>0.1</v>
      </c>
      <c r="L658" s="12">
        <v>257.99</v>
      </c>
      <c r="M658" s="14">
        <f>ROUND(tblSprzedaz[[#This Row],[Ilość]]*tblSprzedaz[[#This Row],[Cena netto jednostkowa]]*(1-tblSprzedaz[[#This Row],[Rabat %]]),2)</f>
        <v>6450.12</v>
      </c>
      <c r="N658" s="14">
        <f>ROUND(tblSprzedaz[[#This Row],[Ilość]]*tblSprzedaz[[#This Row],[Koszt jednostkowy netto]],2)</f>
        <v>4901.8100000000004</v>
      </c>
      <c r="O658" s="14">
        <f>tblSprzedaz[[#This Row],[Przychód netto]]-tblSprzedaz[[#This Row],[Koszt całkowity netto]]</f>
        <v>1548.3099999999995</v>
      </c>
      <c r="P658" s="15">
        <f>IFERROR(tblSprzedaz[[#This Row],[Marża kwotowa]]/tblSprzedaz[[#This Row],[Przychód netto]],0)</f>
        <v>0.24004359608813472</v>
      </c>
      <c r="Q658" s="16">
        <f>YEAR(tblSprzedaz[[#This Row],[Data]])</f>
        <v>2025</v>
      </c>
      <c r="R658" s="16">
        <f>MONTH(tblSprzedaz[[#This Row],[Data]])</f>
        <v>6</v>
      </c>
      <c r="S658" s="9" t="str">
        <f>YEAR(tblSprzedaz[[#This Row],[Data]])&amp;"-"&amp;RIGHT("0"&amp;MONTH(tblSprzedaz[[#This Row],[Data]]),2)</f>
        <v>2025-06</v>
      </c>
    </row>
    <row r="659" spans="1:19" x14ac:dyDescent="0.25">
      <c r="A659" s="7" t="s">
        <v>1485</v>
      </c>
      <c r="B659" s="10">
        <v>45835</v>
      </c>
      <c r="C659" s="7" t="s">
        <v>1486</v>
      </c>
      <c r="D659" s="8" t="s">
        <v>122</v>
      </c>
      <c r="E659" s="8" t="s">
        <v>56</v>
      </c>
      <c r="F659" s="8" t="s">
        <v>31</v>
      </c>
      <c r="G659" s="8" t="s">
        <v>30</v>
      </c>
      <c r="H659" s="8" t="s">
        <v>41</v>
      </c>
      <c r="I659" s="11">
        <v>22</v>
      </c>
      <c r="J659" s="12">
        <v>279.3</v>
      </c>
      <c r="K659" s="13">
        <v>0.1</v>
      </c>
      <c r="L659" s="12">
        <v>185.42</v>
      </c>
      <c r="M659" s="14">
        <f>ROUND(tblSprzedaz[[#This Row],[Ilość]]*tblSprzedaz[[#This Row],[Cena netto jednostkowa]]*(1-tblSprzedaz[[#This Row],[Rabat %]]),2)</f>
        <v>5530.14</v>
      </c>
      <c r="N659" s="14">
        <f>ROUND(tblSprzedaz[[#This Row],[Ilość]]*tblSprzedaz[[#This Row],[Koszt jednostkowy netto]],2)</f>
        <v>4079.24</v>
      </c>
      <c r="O659" s="14">
        <f>tblSprzedaz[[#This Row],[Przychód netto]]-tblSprzedaz[[#This Row],[Koszt całkowity netto]]</f>
        <v>1450.9000000000005</v>
      </c>
      <c r="P659" s="15">
        <f>IFERROR(tblSprzedaz[[#This Row],[Marża kwotowa]]/tblSprzedaz[[#This Row],[Przychód netto]],0)</f>
        <v>0.26236225484345793</v>
      </c>
      <c r="Q659" s="16">
        <f>YEAR(tblSprzedaz[[#This Row],[Data]])</f>
        <v>2025</v>
      </c>
      <c r="R659" s="16">
        <f>MONTH(tblSprzedaz[[#This Row],[Data]])</f>
        <v>6</v>
      </c>
      <c r="S659" s="9" t="str">
        <f>YEAR(tblSprzedaz[[#This Row],[Data]])&amp;"-"&amp;RIGHT("0"&amp;MONTH(tblSprzedaz[[#This Row],[Data]]),2)</f>
        <v>2025-06</v>
      </c>
    </row>
    <row r="660" spans="1:19" x14ac:dyDescent="0.25">
      <c r="A660" s="7" t="s">
        <v>1487</v>
      </c>
      <c r="B660" s="10">
        <v>45835</v>
      </c>
      <c r="C660" s="7" t="s">
        <v>1488</v>
      </c>
      <c r="D660" s="8" t="s">
        <v>113</v>
      </c>
      <c r="E660" s="8" t="s">
        <v>77</v>
      </c>
      <c r="F660" s="8" t="s">
        <v>37</v>
      </c>
      <c r="G660" s="8" t="s">
        <v>30</v>
      </c>
      <c r="H660" s="8" t="s">
        <v>40</v>
      </c>
      <c r="I660" s="11">
        <v>16</v>
      </c>
      <c r="J660" s="12">
        <v>77.900000000000006</v>
      </c>
      <c r="K660" s="13">
        <v>0</v>
      </c>
      <c r="L660" s="12">
        <v>61.78</v>
      </c>
      <c r="M660" s="14">
        <f>ROUND(tblSprzedaz[[#This Row],[Ilość]]*tblSprzedaz[[#This Row],[Cena netto jednostkowa]]*(1-tblSprzedaz[[#This Row],[Rabat %]]),2)</f>
        <v>1246.4000000000001</v>
      </c>
      <c r="N660" s="14">
        <f>ROUND(tblSprzedaz[[#This Row],[Ilość]]*tblSprzedaz[[#This Row],[Koszt jednostkowy netto]],2)</f>
        <v>988.48</v>
      </c>
      <c r="O660" s="14">
        <f>tblSprzedaz[[#This Row],[Przychód netto]]-tblSprzedaz[[#This Row],[Koszt całkowity netto]]</f>
        <v>257.92000000000007</v>
      </c>
      <c r="P660" s="15">
        <f>IFERROR(tblSprzedaz[[#This Row],[Marża kwotowa]]/tblSprzedaz[[#This Row],[Przychód netto]],0)</f>
        <v>0.2069319640564827</v>
      </c>
      <c r="Q660" s="16">
        <f>YEAR(tblSprzedaz[[#This Row],[Data]])</f>
        <v>2025</v>
      </c>
      <c r="R660" s="16">
        <f>MONTH(tblSprzedaz[[#This Row],[Data]])</f>
        <v>6</v>
      </c>
      <c r="S660" s="9" t="str">
        <f>YEAR(tblSprzedaz[[#This Row],[Data]])&amp;"-"&amp;RIGHT("0"&amp;MONTH(tblSprzedaz[[#This Row],[Data]]),2)</f>
        <v>2025-06</v>
      </c>
    </row>
    <row r="661" spans="1:19" x14ac:dyDescent="0.25">
      <c r="A661" s="7" t="s">
        <v>1489</v>
      </c>
      <c r="B661" s="10">
        <v>45835</v>
      </c>
      <c r="C661" s="7" t="s">
        <v>1490</v>
      </c>
      <c r="D661" s="8" t="s">
        <v>134</v>
      </c>
      <c r="E661" s="8" t="s">
        <v>66</v>
      </c>
      <c r="F661" s="8" t="s">
        <v>35</v>
      </c>
      <c r="G661" s="8" t="s">
        <v>30</v>
      </c>
      <c r="H661" s="8" t="s">
        <v>40</v>
      </c>
      <c r="I661" s="11">
        <v>14</v>
      </c>
      <c r="J661" s="12">
        <v>67.319999999999993</v>
      </c>
      <c r="K661" s="13">
        <v>0</v>
      </c>
      <c r="L661" s="12">
        <v>50.29</v>
      </c>
      <c r="M661" s="14">
        <f>ROUND(tblSprzedaz[[#This Row],[Ilość]]*tblSprzedaz[[#This Row],[Cena netto jednostkowa]]*(1-tblSprzedaz[[#This Row],[Rabat %]]),2)</f>
        <v>942.48</v>
      </c>
      <c r="N661" s="14">
        <f>ROUND(tblSprzedaz[[#This Row],[Ilość]]*tblSprzedaz[[#This Row],[Koszt jednostkowy netto]],2)</f>
        <v>704.06</v>
      </c>
      <c r="O661" s="14">
        <f>tblSprzedaz[[#This Row],[Przychód netto]]-tblSprzedaz[[#This Row],[Koszt całkowity netto]]</f>
        <v>238.42000000000007</v>
      </c>
      <c r="P661" s="15">
        <f>IFERROR(tblSprzedaz[[#This Row],[Marża kwotowa]]/tblSprzedaz[[#This Row],[Przychód netto]],0)</f>
        <v>0.25297088532382656</v>
      </c>
      <c r="Q661" s="16">
        <f>YEAR(tblSprzedaz[[#This Row],[Data]])</f>
        <v>2025</v>
      </c>
      <c r="R661" s="16">
        <f>MONTH(tblSprzedaz[[#This Row],[Data]])</f>
        <v>6</v>
      </c>
      <c r="S661" s="9" t="str">
        <f>YEAR(tblSprzedaz[[#This Row],[Data]])&amp;"-"&amp;RIGHT("0"&amp;MONTH(tblSprzedaz[[#This Row],[Data]]),2)</f>
        <v>2025-06</v>
      </c>
    </row>
    <row r="662" spans="1:19" x14ac:dyDescent="0.25">
      <c r="A662" s="7" t="s">
        <v>1491</v>
      </c>
      <c r="B662" s="10">
        <v>45836</v>
      </c>
      <c r="C662" s="7" t="s">
        <v>1492</v>
      </c>
      <c r="D662" s="8" t="s">
        <v>108</v>
      </c>
      <c r="E662" s="8" t="s">
        <v>61</v>
      </c>
      <c r="F662" s="8" t="s">
        <v>33</v>
      </c>
      <c r="G662" s="8" t="s">
        <v>30</v>
      </c>
      <c r="H662" s="8" t="s">
        <v>40</v>
      </c>
      <c r="I662" s="11">
        <v>11</v>
      </c>
      <c r="J662" s="12">
        <v>533.6</v>
      </c>
      <c r="K662" s="13">
        <v>0.15</v>
      </c>
      <c r="L662" s="12">
        <v>366.25</v>
      </c>
      <c r="M662" s="14">
        <f>ROUND(tblSprzedaz[[#This Row],[Ilość]]*tblSprzedaz[[#This Row],[Cena netto jednostkowa]]*(1-tblSprzedaz[[#This Row],[Rabat %]]),2)</f>
        <v>4989.16</v>
      </c>
      <c r="N662" s="14">
        <f>ROUND(tblSprzedaz[[#This Row],[Ilość]]*tblSprzedaz[[#This Row],[Koszt jednostkowy netto]],2)</f>
        <v>4028.75</v>
      </c>
      <c r="O662" s="14">
        <f>tblSprzedaz[[#This Row],[Przychód netto]]-tblSprzedaz[[#This Row],[Koszt całkowity netto]]</f>
        <v>960.40999999999985</v>
      </c>
      <c r="P662" s="15">
        <f>IFERROR(tblSprzedaz[[#This Row],[Marża kwotowa]]/tblSprzedaz[[#This Row],[Przychód netto]],0)</f>
        <v>0.19249933856601109</v>
      </c>
      <c r="Q662" s="16">
        <f>YEAR(tblSprzedaz[[#This Row],[Data]])</f>
        <v>2025</v>
      </c>
      <c r="R662" s="16">
        <f>MONTH(tblSprzedaz[[#This Row],[Data]])</f>
        <v>6</v>
      </c>
      <c r="S662" s="9" t="str">
        <f>YEAR(tblSprzedaz[[#This Row],[Data]])&amp;"-"&amp;RIGHT("0"&amp;MONTH(tblSprzedaz[[#This Row],[Data]]),2)</f>
        <v>2025-06</v>
      </c>
    </row>
    <row r="663" spans="1:19" x14ac:dyDescent="0.25">
      <c r="A663" s="7" t="s">
        <v>1493</v>
      </c>
      <c r="B663" s="10">
        <v>45837</v>
      </c>
      <c r="C663" s="7" t="s">
        <v>1494</v>
      </c>
      <c r="D663" s="8" t="s">
        <v>127</v>
      </c>
      <c r="E663" s="8" t="s">
        <v>76</v>
      </c>
      <c r="F663" s="8" t="s">
        <v>37</v>
      </c>
      <c r="G663" s="8" t="s">
        <v>32</v>
      </c>
      <c r="H663" s="8" t="s">
        <v>42</v>
      </c>
      <c r="I663" s="11">
        <v>3</v>
      </c>
      <c r="J663" s="12">
        <v>158.65</v>
      </c>
      <c r="K663" s="13">
        <v>0.15</v>
      </c>
      <c r="L663" s="12">
        <v>127.59</v>
      </c>
      <c r="M663" s="14">
        <f>ROUND(tblSprzedaz[[#This Row],[Ilość]]*tblSprzedaz[[#This Row],[Cena netto jednostkowa]]*(1-tblSprzedaz[[#This Row],[Rabat %]]),2)</f>
        <v>404.56</v>
      </c>
      <c r="N663" s="14">
        <f>ROUND(tblSprzedaz[[#This Row],[Ilość]]*tblSprzedaz[[#This Row],[Koszt jednostkowy netto]],2)</f>
        <v>382.77</v>
      </c>
      <c r="O663" s="14">
        <f>tblSprzedaz[[#This Row],[Przychód netto]]-tblSprzedaz[[#This Row],[Koszt całkowity netto]]</f>
        <v>21.79000000000002</v>
      </c>
      <c r="P663" s="15">
        <f>IFERROR(tblSprzedaz[[#This Row],[Marża kwotowa]]/tblSprzedaz[[#This Row],[Przychód netto]],0)</f>
        <v>5.3860984773581227E-2</v>
      </c>
      <c r="Q663" s="16">
        <f>YEAR(tblSprzedaz[[#This Row],[Data]])</f>
        <v>2025</v>
      </c>
      <c r="R663" s="16">
        <f>MONTH(tblSprzedaz[[#This Row],[Data]])</f>
        <v>6</v>
      </c>
      <c r="S663" s="9" t="str">
        <f>YEAR(tblSprzedaz[[#This Row],[Data]])&amp;"-"&amp;RIGHT("0"&amp;MONTH(tblSprzedaz[[#This Row],[Data]]),2)</f>
        <v>2025-06</v>
      </c>
    </row>
    <row r="664" spans="1:19" x14ac:dyDescent="0.25">
      <c r="A664" s="7" t="s">
        <v>1495</v>
      </c>
      <c r="B664" s="10">
        <v>45838</v>
      </c>
      <c r="C664" s="7" t="s">
        <v>1496</v>
      </c>
      <c r="D664" s="8" t="s">
        <v>123</v>
      </c>
      <c r="E664" s="8" t="s">
        <v>64</v>
      </c>
      <c r="F664" s="8" t="s">
        <v>33</v>
      </c>
      <c r="G664" s="8" t="s">
        <v>30</v>
      </c>
      <c r="H664" s="8" t="s">
        <v>41</v>
      </c>
      <c r="I664" s="11">
        <v>22</v>
      </c>
      <c r="J664" s="12">
        <v>768.2</v>
      </c>
      <c r="K664" s="13">
        <v>0.15</v>
      </c>
      <c r="L664" s="12">
        <v>513.1</v>
      </c>
      <c r="M664" s="14">
        <f>ROUND(tblSprzedaz[[#This Row],[Ilość]]*tblSprzedaz[[#This Row],[Cena netto jednostkowa]]*(1-tblSprzedaz[[#This Row],[Rabat %]]),2)</f>
        <v>14365.34</v>
      </c>
      <c r="N664" s="14">
        <f>ROUND(tblSprzedaz[[#This Row],[Ilość]]*tblSprzedaz[[#This Row],[Koszt jednostkowy netto]],2)</f>
        <v>11288.2</v>
      </c>
      <c r="O664" s="14">
        <f>tblSprzedaz[[#This Row],[Przychód netto]]-tblSprzedaz[[#This Row],[Koszt całkowity netto]]</f>
        <v>3077.1399999999994</v>
      </c>
      <c r="P664" s="15">
        <f>IFERROR(tblSprzedaz[[#This Row],[Marża kwotowa]]/tblSprzedaz[[#This Row],[Przychód netto]],0)</f>
        <v>0.21420585938098224</v>
      </c>
      <c r="Q664" s="16">
        <f>YEAR(tblSprzedaz[[#This Row],[Data]])</f>
        <v>2025</v>
      </c>
      <c r="R664" s="16">
        <f>MONTH(tblSprzedaz[[#This Row],[Data]])</f>
        <v>6</v>
      </c>
      <c r="S664" s="9" t="str">
        <f>YEAR(tblSprzedaz[[#This Row],[Data]])&amp;"-"&amp;RIGHT("0"&amp;MONTH(tblSprzedaz[[#This Row],[Data]]),2)</f>
        <v>2025-06</v>
      </c>
    </row>
    <row r="665" spans="1:19" x14ac:dyDescent="0.25">
      <c r="A665" s="7" t="s">
        <v>1497</v>
      </c>
      <c r="B665" s="10">
        <v>45838</v>
      </c>
      <c r="C665" s="7" t="s">
        <v>1498</v>
      </c>
      <c r="D665" s="8" t="s">
        <v>95</v>
      </c>
      <c r="E665" s="8" t="s">
        <v>59</v>
      </c>
      <c r="F665" s="8" t="s">
        <v>31</v>
      </c>
      <c r="G665" s="8" t="s">
        <v>28</v>
      </c>
      <c r="H665" s="8" t="s">
        <v>39</v>
      </c>
      <c r="I665" s="11">
        <v>8</v>
      </c>
      <c r="J665" s="12">
        <v>172.2</v>
      </c>
      <c r="K665" s="13">
        <v>0.05</v>
      </c>
      <c r="L665" s="12">
        <v>106.9</v>
      </c>
      <c r="M665" s="14">
        <f>ROUND(tblSprzedaz[[#This Row],[Ilość]]*tblSprzedaz[[#This Row],[Cena netto jednostkowa]]*(1-tblSprzedaz[[#This Row],[Rabat %]]),2)</f>
        <v>1308.72</v>
      </c>
      <c r="N665" s="14">
        <f>ROUND(tblSprzedaz[[#This Row],[Ilość]]*tblSprzedaz[[#This Row],[Koszt jednostkowy netto]],2)</f>
        <v>855.2</v>
      </c>
      <c r="O665" s="14">
        <f>tblSprzedaz[[#This Row],[Przychód netto]]-tblSprzedaz[[#This Row],[Koszt całkowity netto]]</f>
        <v>453.52</v>
      </c>
      <c r="P665" s="15">
        <f>IFERROR(tblSprzedaz[[#This Row],[Marża kwotowa]]/tblSprzedaz[[#This Row],[Przychód netto]],0)</f>
        <v>0.34653707439330028</v>
      </c>
      <c r="Q665" s="16">
        <f>YEAR(tblSprzedaz[[#This Row],[Data]])</f>
        <v>2025</v>
      </c>
      <c r="R665" s="16">
        <f>MONTH(tblSprzedaz[[#This Row],[Data]])</f>
        <v>6</v>
      </c>
      <c r="S665" s="9" t="str">
        <f>YEAR(tblSprzedaz[[#This Row],[Data]])&amp;"-"&amp;RIGHT("0"&amp;MONTH(tblSprzedaz[[#This Row],[Data]]),2)</f>
        <v>2025-06</v>
      </c>
    </row>
    <row r="666" spans="1:19" x14ac:dyDescent="0.25">
      <c r="A666" s="7" t="s">
        <v>1499</v>
      </c>
      <c r="B666" s="10">
        <v>45838</v>
      </c>
      <c r="C666" s="7" t="s">
        <v>1500</v>
      </c>
      <c r="D666" s="8" t="s">
        <v>131</v>
      </c>
      <c r="E666" s="8" t="s">
        <v>53</v>
      </c>
      <c r="F666" s="8" t="s">
        <v>29</v>
      </c>
      <c r="G666" s="8" t="s">
        <v>28</v>
      </c>
      <c r="H666" s="8" t="s">
        <v>38</v>
      </c>
      <c r="I666" s="11">
        <v>14</v>
      </c>
      <c r="J666" s="12">
        <v>27.88</v>
      </c>
      <c r="K666" s="13">
        <v>0</v>
      </c>
      <c r="L666" s="12">
        <v>16.829999999999998</v>
      </c>
      <c r="M666" s="14">
        <f>ROUND(tblSprzedaz[[#This Row],[Ilość]]*tblSprzedaz[[#This Row],[Cena netto jednostkowa]]*(1-tblSprzedaz[[#This Row],[Rabat %]]),2)</f>
        <v>390.32</v>
      </c>
      <c r="N666" s="14">
        <f>ROUND(tblSprzedaz[[#This Row],[Ilość]]*tblSprzedaz[[#This Row],[Koszt jednostkowy netto]],2)</f>
        <v>235.62</v>
      </c>
      <c r="O666" s="14">
        <f>tblSprzedaz[[#This Row],[Przychód netto]]-tblSprzedaz[[#This Row],[Koszt całkowity netto]]</f>
        <v>154.69999999999999</v>
      </c>
      <c r="P666" s="15">
        <f>IFERROR(tblSprzedaz[[#This Row],[Marża kwotowa]]/tblSprzedaz[[#This Row],[Przychód netto]],0)</f>
        <v>0.39634146341463411</v>
      </c>
      <c r="Q666" s="16">
        <f>YEAR(tblSprzedaz[[#This Row],[Data]])</f>
        <v>2025</v>
      </c>
      <c r="R666" s="16">
        <f>MONTH(tblSprzedaz[[#This Row],[Data]])</f>
        <v>6</v>
      </c>
      <c r="S666" s="9" t="str">
        <f>YEAR(tblSprzedaz[[#This Row],[Data]])&amp;"-"&amp;RIGHT("0"&amp;MONTH(tblSprzedaz[[#This Row],[Data]]),2)</f>
        <v>2025-06</v>
      </c>
    </row>
    <row r="667" spans="1:19" x14ac:dyDescent="0.25">
      <c r="A667" s="7" t="s">
        <v>1501</v>
      </c>
      <c r="B667" s="10">
        <v>45838</v>
      </c>
      <c r="C667" s="7" t="s">
        <v>1502</v>
      </c>
      <c r="D667" s="8" t="s">
        <v>83</v>
      </c>
      <c r="E667" s="8" t="s">
        <v>74</v>
      </c>
      <c r="F667" s="8" t="s">
        <v>37</v>
      </c>
      <c r="G667" s="8" t="s">
        <v>28</v>
      </c>
      <c r="H667" s="8" t="s">
        <v>38</v>
      </c>
      <c r="I667" s="11">
        <v>12</v>
      </c>
      <c r="J667" s="12">
        <v>126.35</v>
      </c>
      <c r="K667" s="13">
        <v>0</v>
      </c>
      <c r="L667" s="12">
        <v>100.29</v>
      </c>
      <c r="M667" s="14">
        <f>ROUND(tblSprzedaz[[#This Row],[Ilość]]*tblSprzedaz[[#This Row],[Cena netto jednostkowa]]*(1-tblSprzedaz[[#This Row],[Rabat %]]),2)</f>
        <v>1516.2</v>
      </c>
      <c r="N667" s="14">
        <f>ROUND(tblSprzedaz[[#This Row],[Ilość]]*tblSprzedaz[[#This Row],[Koszt jednostkowy netto]],2)</f>
        <v>1203.48</v>
      </c>
      <c r="O667" s="14">
        <f>tblSprzedaz[[#This Row],[Przychód netto]]-tblSprzedaz[[#This Row],[Koszt całkowity netto]]</f>
        <v>312.72000000000003</v>
      </c>
      <c r="P667" s="15">
        <f>IFERROR(tblSprzedaz[[#This Row],[Marża kwotowa]]/tblSprzedaz[[#This Row],[Przychód netto]],0)</f>
        <v>0.20625247328848437</v>
      </c>
      <c r="Q667" s="16">
        <f>YEAR(tblSprzedaz[[#This Row],[Data]])</f>
        <v>2025</v>
      </c>
      <c r="R667" s="16">
        <f>MONTH(tblSprzedaz[[#This Row],[Data]])</f>
        <v>6</v>
      </c>
      <c r="S667" s="9" t="str">
        <f>YEAR(tblSprzedaz[[#This Row],[Data]])&amp;"-"&amp;RIGHT("0"&amp;MONTH(tblSprzedaz[[#This Row],[Data]]),2)</f>
        <v>2025-06</v>
      </c>
    </row>
    <row r="668" spans="1:19" x14ac:dyDescent="0.25">
      <c r="A668" s="7" t="s">
        <v>1503</v>
      </c>
      <c r="B668" s="10">
        <v>45838</v>
      </c>
      <c r="C668" s="7" t="s">
        <v>1504</v>
      </c>
      <c r="D668" s="8" t="s">
        <v>144</v>
      </c>
      <c r="E668" s="8" t="s">
        <v>74</v>
      </c>
      <c r="F668" s="8" t="s">
        <v>37</v>
      </c>
      <c r="G668" s="8" t="s">
        <v>36</v>
      </c>
      <c r="H668" s="8" t="s">
        <v>47</v>
      </c>
      <c r="I668" s="11">
        <v>4</v>
      </c>
      <c r="J668" s="12">
        <v>126.35</v>
      </c>
      <c r="K668" s="13">
        <v>0.15</v>
      </c>
      <c r="L668" s="12">
        <v>100.19</v>
      </c>
      <c r="M668" s="14">
        <f>ROUND(tblSprzedaz[[#This Row],[Ilość]]*tblSprzedaz[[#This Row],[Cena netto jednostkowa]]*(1-tblSprzedaz[[#This Row],[Rabat %]]),2)</f>
        <v>429.59</v>
      </c>
      <c r="N668" s="14">
        <f>ROUND(tblSprzedaz[[#This Row],[Ilość]]*tblSprzedaz[[#This Row],[Koszt jednostkowy netto]],2)</f>
        <v>400.76</v>
      </c>
      <c r="O668" s="14">
        <f>tblSprzedaz[[#This Row],[Przychód netto]]-tblSprzedaz[[#This Row],[Koszt całkowity netto]]</f>
        <v>28.829999999999984</v>
      </c>
      <c r="P668" s="15">
        <f>IFERROR(tblSprzedaz[[#This Row],[Marża kwotowa]]/tblSprzedaz[[#This Row],[Przychód netto]],0)</f>
        <v>6.7110500709979246E-2</v>
      </c>
      <c r="Q668" s="16">
        <f>YEAR(tblSprzedaz[[#This Row],[Data]])</f>
        <v>2025</v>
      </c>
      <c r="R668" s="16">
        <f>MONTH(tblSprzedaz[[#This Row],[Data]])</f>
        <v>6</v>
      </c>
      <c r="S668" s="9" t="str">
        <f>YEAR(tblSprzedaz[[#This Row],[Data]])&amp;"-"&amp;RIGHT("0"&amp;MONTH(tblSprzedaz[[#This Row],[Data]]),2)</f>
        <v>2025-06</v>
      </c>
    </row>
    <row r="669" spans="1:19" x14ac:dyDescent="0.25">
      <c r="A669" s="7" t="s">
        <v>1505</v>
      </c>
      <c r="B669" s="10">
        <v>45838</v>
      </c>
      <c r="C669" s="7" t="s">
        <v>1506</v>
      </c>
      <c r="D669" s="8" t="s">
        <v>129</v>
      </c>
      <c r="E669" s="8" t="s">
        <v>49</v>
      </c>
      <c r="F669" s="8" t="s">
        <v>29</v>
      </c>
      <c r="G669" s="8" t="s">
        <v>34</v>
      </c>
      <c r="H669" s="8" t="s">
        <v>45</v>
      </c>
      <c r="I669" s="11">
        <v>3</v>
      </c>
      <c r="J669" s="12">
        <v>39.44</v>
      </c>
      <c r="K669" s="13">
        <v>0.15</v>
      </c>
      <c r="L669" s="12">
        <v>21.76</v>
      </c>
      <c r="M669" s="14">
        <f>ROUND(tblSprzedaz[[#This Row],[Ilość]]*tblSprzedaz[[#This Row],[Cena netto jednostkowa]]*(1-tblSprzedaz[[#This Row],[Rabat %]]),2)</f>
        <v>100.57</v>
      </c>
      <c r="N669" s="14">
        <f>ROUND(tblSprzedaz[[#This Row],[Ilość]]*tblSprzedaz[[#This Row],[Koszt jednostkowy netto]],2)</f>
        <v>65.28</v>
      </c>
      <c r="O669" s="14">
        <f>tblSprzedaz[[#This Row],[Przychód netto]]-tblSprzedaz[[#This Row],[Koszt całkowity netto]]</f>
        <v>35.289999999999992</v>
      </c>
      <c r="P669" s="15">
        <f>IFERROR(tblSprzedaz[[#This Row],[Marża kwotowa]]/tblSprzedaz[[#This Row],[Przychód netto]],0)</f>
        <v>0.35089987073680018</v>
      </c>
      <c r="Q669" s="16">
        <f>YEAR(tblSprzedaz[[#This Row],[Data]])</f>
        <v>2025</v>
      </c>
      <c r="R669" s="16">
        <f>MONTH(tblSprzedaz[[#This Row],[Data]])</f>
        <v>6</v>
      </c>
      <c r="S669" s="9" t="str">
        <f>YEAR(tblSprzedaz[[#This Row],[Data]])&amp;"-"&amp;RIGHT("0"&amp;MONTH(tblSprzedaz[[#This Row],[Data]]),2)</f>
        <v>2025-06</v>
      </c>
    </row>
    <row r="670" spans="1:19" x14ac:dyDescent="0.25">
      <c r="A670" s="7" t="s">
        <v>1507</v>
      </c>
      <c r="B670" s="10">
        <v>45839</v>
      </c>
      <c r="C670" s="7" t="s">
        <v>1508</v>
      </c>
      <c r="D670" s="8" t="s">
        <v>123</v>
      </c>
      <c r="E670" s="8" t="s">
        <v>48</v>
      </c>
      <c r="F670" s="8" t="s">
        <v>29</v>
      </c>
      <c r="G670" s="8" t="s">
        <v>36</v>
      </c>
      <c r="H670" s="8" t="s">
        <v>46</v>
      </c>
      <c r="I670" s="11">
        <v>8</v>
      </c>
      <c r="J670" s="12">
        <v>33.659999999999997</v>
      </c>
      <c r="K670" s="13">
        <v>0.1</v>
      </c>
      <c r="L670" s="12">
        <v>19.940000000000001</v>
      </c>
      <c r="M670" s="14">
        <f>ROUND(tblSprzedaz[[#This Row],[Ilość]]*tblSprzedaz[[#This Row],[Cena netto jednostkowa]]*(1-tblSprzedaz[[#This Row],[Rabat %]]),2)</f>
        <v>242.35</v>
      </c>
      <c r="N670" s="14">
        <f>ROUND(tblSprzedaz[[#This Row],[Ilość]]*tblSprzedaz[[#This Row],[Koszt jednostkowy netto]],2)</f>
        <v>159.52000000000001</v>
      </c>
      <c r="O670" s="14">
        <f>tblSprzedaz[[#This Row],[Przychód netto]]-tblSprzedaz[[#This Row],[Koszt całkowity netto]]</f>
        <v>82.829999999999984</v>
      </c>
      <c r="P670" s="15">
        <f>IFERROR(tblSprzedaz[[#This Row],[Marża kwotowa]]/tblSprzedaz[[#This Row],[Przychód netto]],0)</f>
        <v>0.34177841964101502</v>
      </c>
      <c r="Q670" s="16">
        <f>YEAR(tblSprzedaz[[#This Row],[Data]])</f>
        <v>2025</v>
      </c>
      <c r="R670" s="16">
        <f>MONTH(tblSprzedaz[[#This Row],[Data]])</f>
        <v>7</v>
      </c>
      <c r="S670" s="9" t="str">
        <f>YEAR(tblSprzedaz[[#This Row],[Data]])&amp;"-"&amp;RIGHT("0"&amp;MONTH(tblSprzedaz[[#This Row],[Data]]),2)</f>
        <v>2025-07</v>
      </c>
    </row>
    <row r="671" spans="1:19" x14ac:dyDescent="0.25">
      <c r="A671" s="7" t="s">
        <v>1509</v>
      </c>
      <c r="B671" s="10">
        <v>45839</v>
      </c>
      <c r="C671" s="7" t="s">
        <v>1510</v>
      </c>
      <c r="D671" s="8" t="s">
        <v>79</v>
      </c>
      <c r="E671" s="8" t="s">
        <v>76</v>
      </c>
      <c r="F671" s="8" t="s">
        <v>37</v>
      </c>
      <c r="G671" s="8" t="s">
        <v>28</v>
      </c>
      <c r="H671" s="8" t="s">
        <v>39</v>
      </c>
      <c r="I671" s="11">
        <v>3</v>
      </c>
      <c r="J671" s="12">
        <v>158.65</v>
      </c>
      <c r="K671" s="13">
        <v>0.15</v>
      </c>
      <c r="L671" s="12">
        <v>122.02</v>
      </c>
      <c r="M671" s="14">
        <f>ROUND(tblSprzedaz[[#This Row],[Ilość]]*tblSprzedaz[[#This Row],[Cena netto jednostkowa]]*(1-tblSprzedaz[[#This Row],[Rabat %]]),2)</f>
        <v>404.56</v>
      </c>
      <c r="N671" s="14">
        <f>ROUND(tblSprzedaz[[#This Row],[Ilość]]*tblSprzedaz[[#This Row],[Koszt jednostkowy netto]],2)</f>
        <v>366.06</v>
      </c>
      <c r="O671" s="14">
        <f>tblSprzedaz[[#This Row],[Przychód netto]]-tblSprzedaz[[#This Row],[Koszt całkowity netto]]</f>
        <v>38.5</v>
      </c>
      <c r="P671" s="15">
        <f>IFERROR(tblSprzedaz[[#This Row],[Marża kwotowa]]/tblSprzedaz[[#This Row],[Przychód netto]],0)</f>
        <v>9.5165117658690929E-2</v>
      </c>
      <c r="Q671" s="16">
        <f>YEAR(tblSprzedaz[[#This Row],[Data]])</f>
        <v>2025</v>
      </c>
      <c r="R671" s="16">
        <f>MONTH(tblSprzedaz[[#This Row],[Data]])</f>
        <v>7</v>
      </c>
      <c r="S671" s="9" t="str">
        <f>YEAR(tblSprzedaz[[#This Row],[Data]])&amp;"-"&amp;RIGHT("0"&amp;MONTH(tblSprzedaz[[#This Row],[Data]]),2)</f>
        <v>2025-07</v>
      </c>
    </row>
    <row r="672" spans="1:19" x14ac:dyDescent="0.25">
      <c r="A672" s="7" t="s">
        <v>1511</v>
      </c>
      <c r="B672" s="10">
        <v>45839</v>
      </c>
      <c r="C672" s="7" t="s">
        <v>1512</v>
      </c>
      <c r="D672" s="8" t="s">
        <v>90</v>
      </c>
      <c r="E672" s="8" t="s">
        <v>49</v>
      </c>
      <c r="F672" s="8" t="s">
        <v>29</v>
      </c>
      <c r="G672" s="8" t="s">
        <v>36</v>
      </c>
      <c r="H672" s="8" t="s">
        <v>47</v>
      </c>
      <c r="I672" s="11">
        <v>5</v>
      </c>
      <c r="J672" s="12">
        <v>39.44</v>
      </c>
      <c r="K672" s="13">
        <v>0.15</v>
      </c>
      <c r="L672" s="12">
        <v>23.55</v>
      </c>
      <c r="M672" s="14">
        <f>ROUND(tblSprzedaz[[#This Row],[Ilość]]*tblSprzedaz[[#This Row],[Cena netto jednostkowa]]*(1-tblSprzedaz[[#This Row],[Rabat %]]),2)</f>
        <v>167.62</v>
      </c>
      <c r="N672" s="14">
        <f>ROUND(tblSprzedaz[[#This Row],[Ilość]]*tblSprzedaz[[#This Row],[Koszt jednostkowy netto]],2)</f>
        <v>117.75</v>
      </c>
      <c r="O672" s="14">
        <f>tblSprzedaz[[#This Row],[Przychód netto]]-tblSprzedaz[[#This Row],[Koszt całkowity netto]]</f>
        <v>49.870000000000005</v>
      </c>
      <c r="P672" s="15">
        <f>IFERROR(tblSprzedaz[[#This Row],[Marża kwotowa]]/tblSprzedaz[[#This Row],[Przychód netto]],0)</f>
        <v>0.29751819591934137</v>
      </c>
      <c r="Q672" s="16">
        <f>YEAR(tblSprzedaz[[#This Row],[Data]])</f>
        <v>2025</v>
      </c>
      <c r="R672" s="16">
        <f>MONTH(tblSprzedaz[[#This Row],[Data]])</f>
        <v>7</v>
      </c>
      <c r="S672" s="9" t="str">
        <f>YEAR(tblSprzedaz[[#This Row],[Data]])&amp;"-"&amp;RIGHT("0"&amp;MONTH(tblSprzedaz[[#This Row],[Data]]),2)</f>
        <v>2025-07</v>
      </c>
    </row>
    <row r="673" spans="1:19" x14ac:dyDescent="0.25">
      <c r="A673" s="7" t="s">
        <v>1513</v>
      </c>
      <c r="B673" s="10">
        <v>45839</v>
      </c>
      <c r="C673" s="7" t="s">
        <v>1514</v>
      </c>
      <c r="D673" s="8" t="s">
        <v>108</v>
      </c>
      <c r="E673" s="8" t="s">
        <v>62</v>
      </c>
      <c r="F673" s="8" t="s">
        <v>33</v>
      </c>
      <c r="G673" s="8" t="s">
        <v>34</v>
      </c>
      <c r="H673" s="8" t="s">
        <v>45</v>
      </c>
      <c r="I673" s="11">
        <v>4</v>
      </c>
      <c r="J673" s="12">
        <v>611.79999999999995</v>
      </c>
      <c r="K673" s="13">
        <v>0.15</v>
      </c>
      <c r="L673" s="12">
        <v>407.91</v>
      </c>
      <c r="M673" s="14">
        <f>ROUND(tblSprzedaz[[#This Row],[Ilość]]*tblSprzedaz[[#This Row],[Cena netto jednostkowa]]*(1-tblSprzedaz[[#This Row],[Rabat %]]),2)</f>
        <v>2080.12</v>
      </c>
      <c r="N673" s="14">
        <f>ROUND(tblSprzedaz[[#This Row],[Ilość]]*tblSprzedaz[[#This Row],[Koszt jednostkowy netto]],2)</f>
        <v>1631.64</v>
      </c>
      <c r="O673" s="14">
        <f>tblSprzedaz[[#This Row],[Przychód netto]]-tblSprzedaz[[#This Row],[Koszt całkowity netto]]</f>
        <v>448.47999999999979</v>
      </c>
      <c r="P673" s="15">
        <f>IFERROR(tblSprzedaz[[#This Row],[Marża kwotowa]]/tblSprzedaz[[#This Row],[Przychód netto]],0)</f>
        <v>0.21560294598388546</v>
      </c>
      <c r="Q673" s="16">
        <f>YEAR(tblSprzedaz[[#This Row],[Data]])</f>
        <v>2025</v>
      </c>
      <c r="R673" s="16">
        <f>MONTH(tblSprzedaz[[#This Row],[Data]])</f>
        <v>7</v>
      </c>
      <c r="S673" s="9" t="str">
        <f>YEAR(tblSprzedaz[[#This Row],[Data]])&amp;"-"&amp;RIGHT("0"&amp;MONTH(tblSprzedaz[[#This Row],[Data]]),2)</f>
        <v>2025-07</v>
      </c>
    </row>
    <row r="674" spans="1:19" x14ac:dyDescent="0.25">
      <c r="A674" s="7" t="s">
        <v>1515</v>
      </c>
      <c r="B674" s="10">
        <v>45840</v>
      </c>
      <c r="C674" s="7" t="s">
        <v>1516</v>
      </c>
      <c r="D674" s="8" t="s">
        <v>118</v>
      </c>
      <c r="E674" s="8" t="s">
        <v>59</v>
      </c>
      <c r="F674" s="8" t="s">
        <v>31</v>
      </c>
      <c r="G674" s="8" t="s">
        <v>28</v>
      </c>
      <c r="H674" s="8" t="s">
        <v>38</v>
      </c>
      <c r="I674" s="11">
        <v>4</v>
      </c>
      <c r="J674" s="12">
        <v>172.2</v>
      </c>
      <c r="K674" s="13">
        <v>0.1</v>
      </c>
      <c r="L674" s="12">
        <v>109.96</v>
      </c>
      <c r="M674" s="14">
        <f>ROUND(tblSprzedaz[[#This Row],[Ilość]]*tblSprzedaz[[#This Row],[Cena netto jednostkowa]]*(1-tblSprzedaz[[#This Row],[Rabat %]]),2)</f>
        <v>619.91999999999996</v>
      </c>
      <c r="N674" s="14">
        <f>ROUND(tblSprzedaz[[#This Row],[Ilość]]*tblSprzedaz[[#This Row],[Koszt jednostkowy netto]],2)</f>
        <v>439.84</v>
      </c>
      <c r="O674" s="14">
        <f>tblSprzedaz[[#This Row],[Przychód netto]]-tblSprzedaz[[#This Row],[Koszt całkowity netto]]</f>
        <v>180.07999999999998</v>
      </c>
      <c r="P674" s="15">
        <f>IFERROR(tblSprzedaz[[#This Row],[Marża kwotowa]]/tblSprzedaz[[#This Row],[Przychód netto]],0)</f>
        <v>0.29048909536714412</v>
      </c>
      <c r="Q674" s="16">
        <f>YEAR(tblSprzedaz[[#This Row],[Data]])</f>
        <v>2025</v>
      </c>
      <c r="R674" s="16">
        <f>MONTH(tblSprzedaz[[#This Row],[Data]])</f>
        <v>7</v>
      </c>
      <c r="S674" s="9" t="str">
        <f>YEAR(tblSprzedaz[[#This Row],[Data]])&amp;"-"&amp;RIGHT("0"&amp;MONTH(tblSprzedaz[[#This Row],[Data]]),2)</f>
        <v>2025-07</v>
      </c>
    </row>
    <row r="675" spans="1:19" x14ac:dyDescent="0.25">
      <c r="A675" s="7" t="s">
        <v>1517</v>
      </c>
      <c r="B675" s="10">
        <v>45840</v>
      </c>
      <c r="C675" s="7" t="s">
        <v>1518</v>
      </c>
      <c r="D675" s="8" t="s">
        <v>106</v>
      </c>
      <c r="E675" s="8" t="s">
        <v>73</v>
      </c>
      <c r="F675" s="8" t="s">
        <v>37</v>
      </c>
      <c r="G675" s="8" t="s">
        <v>36</v>
      </c>
      <c r="H675" s="8" t="s">
        <v>47</v>
      </c>
      <c r="I675" s="11">
        <v>9</v>
      </c>
      <c r="J675" s="12">
        <v>110.2</v>
      </c>
      <c r="K675" s="13">
        <v>0.1</v>
      </c>
      <c r="L675" s="12">
        <v>80.84</v>
      </c>
      <c r="M675" s="14">
        <f>ROUND(tblSprzedaz[[#This Row],[Ilość]]*tblSprzedaz[[#This Row],[Cena netto jednostkowa]]*(1-tblSprzedaz[[#This Row],[Rabat %]]),2)</f>
        <v>892.62</v>
      </c>
      <c r="N675" s="14">
        <f>ROUND(tblSprzedaz[[#This Row],[Ilość]]*tblSprzedaz[[#This Row],[Koszt jednostkowy netto]],2)</f>
        <v>727.56</v>
      </c>
      <c r="O675" s="14">
        <f>tblSprzedaz[[#This Row],[Przychód netto]]-tblSprzedaz[[#This Row],[Koszt całkowity netto]]</f>
        <v>165.06000000000006</v>
      </c>
      <c r="P675" s="15">
        <f>IFERROR(tblSprzedaz[[#This Row],[Marża kwotowa]]/tblSprzedaz[[#This Row],[Przychód netto]],0)</f>
        <v>0.18491631377293816</v>
      </c>
      <c r="Q675" s="16">
        <f>YEAR(tblSprzedaz[[#This Row],[Data]])</f>
        <v>2025</v>
      </c>
      <c r="R675" s="16">
        <f>MONTH(tblSprzedaz[[#This Row],[Data]])</f>
        <v>7</v>
      </c>
      <c r="S675" s="9" t="str">
        <f>YEAR(tblSprzedaz[[#This Row],[Data]])&amp;"-"&amp;RIGHT("0"&amp;MONTH(tblSprzedaz[[#This Row],[Data]]),2)</f>
        <v>2025-07</v>
      </c>
    </row>
    <row r="676" spans="1:19" x14ac:dyDescent="0.25">
      <c r="A676" s="7" t="s">
        <v>1519</v>
      </c>
      <c r="B676" s="10">
        <v>45840</v>
      </c>
      <c r="C676" s="7" t="s">
        <v>1520</v>
      </c>
      <c r="D676" s="8" t="s">
        <v>142</v>
      </c>
      <c r="E676" s="8" t="s">
        <v>76</v>
      </c>
      <c r="F676" s="8" t="s">
        <v>37</v>
      </c>
      <c r="G676" s="8" t="s">
        <v>36</v>
      </c>
      <c r="H676" s="8" t="s">
        <v>46</v>
      </c>
      <c r="I676" s="11">
        <v>13</v>
      </c>
      <c r="J676" s="12">
        <v>158.65</v>
      </c>
      <c r="K676" s="13">
        <v>0</v>
      </c>
      <c r="L676" s="12">
        <v>118.56</v>
      </c>
      <c r="M676" s="14">
        <f>ROUND(tblSprzedaz[[#This Row],[Ilość]]*tblSprzedaz[[#This Row],[Cena netto jednostkowa]]*(1-tblSprzedaz[[#This Row],[Rabat %]]),2)</f>
        <v>2062.4499999999998</v>
      </c>
      <c r="N676" s="14">
        <f>ROUND(tblSprzedaz[[#This Row],[Ilość]]*tblSprzedaz[[#This Row],[Koszt jednostkowy netto]],2)</f>
        <v>1541.28</v>
      </c>
      <c r="O676" s="14">
        <f>tblSprzedaz[[#This Row],[Przychód netto]]-tblSprzedaz[[#This Row],[Koszt całkowity netto]]</f>
        <v>521.16999999999985</v>
      </c>
      <c r="P676" s="15">
        <f>IFERROR(tblSprzedaz[[#This Row],[Marża kwotowa]]/tblSprzedaz[[#This Row],[Przychód netto]],0)</f>
        <v>0.25269461077844307</v>
      </c>
      <c r="Q676" s="16">
        <f>YEAR(tblSprzedaz[[#This Row],[Data]])</f>
        <v>2025</v>
      </c>
      <c r="R676" s="16">
        <f>MONTH(tblSprzedaz[[#This Row],[Data]])</f>
        <v>7</v>
      </c>
      <c r="S676" s="9" t="str">
        <f>YEAR(tblSprzedaz[[#This Row],[Data]])&amp;"-"&amp;RIGHT("0"&amp;MONTH(tblSprzedaz[[#This Row],[Data]]),2)</f>
        <v>2025-07</v>
      </c>
    </row>
    <row r="677" spans="1:19" x14ac:dyDescent="0.25">
      <c r="A677" s="7" t="s">
        <v>1521</v>
      </c>
      <c r="B677" s="10">
        <v>45840</v>
      </c>
      <c r="C677" s="7" t="s">
        <v>1522</v>
      </c>
      <c r="D677" s="8" t="s">
        <v>128</v>
      </c>
      <c r="E677" s="8" t="s">
        <v>65</v>
      </c>
      <c r="F677" s="8" t="s">
        <v>33</v>
      </c>
      <c r="G677" s="8" t="s">
        <v>34</v>
      </c>
      <c r="H677" s="8" t="s">
        <v>45</v>
      </c>
      <c r="I677" s="11">
        <v>8</v>
      </c>
      <c r="J677" s="12">
        <v>377.2</v>
      </c>
      <c r="K677" s="13">
        <v>0.05</v>
      </c>
      <c r="L677" s="12">
        <v>248.48</v>
      </c>
      <c r="M677" s="14">
        <f>ROUND(tblSprzedaz[[#This Row],[Ilość]]*tblSprzedaz[[#This Row],[Cena netto jednostkowa]]*(1-tblSprzedaz[[#This Row],[Rabat %]]),2)</f>
        <v>2866.72</v>
      </c>
      <c r="N677" s="14">
        <f>ROUND(tblSprzedaz[[#This Row],[Ilość]]*tblSprzedaz[[#This Row],[Koszt jednostkowy netto]],2)</f>
        <v>1987.84</v>
      </c>
      <c r="O677" s="14">
        <f>tblSprzedaz[[#This Row],[Przychód netto]]-tblSprzedaz[[#This Row],[Koszt całkowity netto]]</f>
        <v>878.87999999999988</v>
      </c>
      <c r="P677" s="15">
        <f>IFERROR(tblSprzedaz[[#This Row],[Marża kwotowa]]/tblSprzedaz[[#This Row],[Przychód netto]],0)</f>
        <v>0.30658034269129875</v>
      </c>
      <c r="Q677" s="16">
        <f>YEAR(tblSprzedaz[[#This Row],[Data]])</f>
        <v>2025</v>
      </c>
      <c r="R677" s="16">
        <f>MONTH(tblSprzedaz[[#This Row],[Data]])</f>
        <v>7</v>
      </c>
      <c r="S677" s="9" t="str">
        <f>YEAR(tblSprzedaz[[#This Row],[Data]])&amp;"-"&amp;RIGHT("0"&amp;MONTH(tblSprzedaz[[#This Row],[Data]]),2)</f>
        <v>2025-07</v>
      </c>
    </row>
    <row r="678" spans="1:19" x14ac:dyDescent="0.25">
      <c r="A678" s="7" t="s">
        <v>1523</v>
      </c>
      <c r="B678" s="10">
        <v>45840</v>
      </c>
      <c r="C678" s="7" t="s">
        <v>1524</v>
      </c>
      <c r="D678" s="8" t="s">
        <v>124</v>
      </c>
      <c r="E678" s="8" t="s">
        <v>71</v>
      </c>
      <c r="F678" s="8" t="s">
        <v>35</v>
      </c>
      <c r="G678" s="8" t="s">
        <v>34</v>
      </c>
      <c r="H678" s="8" t="s">
        <v>44</v>
      </c>
      <c r="I678" s="11">
        <v>5</v>
      </c>
      <c r="J678" s="12">
        <v>55.76</v>
      </c>
      <c r="K678" s="13">
        <v>0</v>
      </c>
      <c r="L678" s="12">
        <v>42.04</v>
      </c>
      <c r="M678" s="14">
        <f>ROUND(tblSprzedaz[[#This Row],[Ilość]]*tblSprzedaz[[#This Row],[Cena netto jednostkowa]]*(1-tblSprzedaz[[#This Row],[Rabat %]]),2)</f>
        <v>278.8</v>
      </c>
      <c r="N678" s="14">
        <f>ROUND(tblSprzedaz[[#This Row],[Ilość]]*tblSprzedaz[[#This Row],[Koszt jednostkowy netto]],2)</f>
        <v>210.2</v>
      </c>
      <c r="O678" s="14">
        <f>tblSprzedaz[[#This Row],[Przychód netto]]-tblSprzedaz[[#This Row],[Koszt całkowity netto]]</f>
        <v>68.600000000000023</v>
      </c>
      <c r="P678" s="15">
        <f>IFERROR(tblSprzedaz[[#This Row],[Marża kwotowa]]/tblSprzedaz[[#This Row],[Przychód netto]],0)</f>
        <v>0.24605451936872316</v>
      </c>
      <c r="Q678" s="16">
        <f>YEAR(tblSprzedaz[[#This Row],[Data]])</f>
        <v>2025</v>
      </c>
      <c r="R678" s="16">
        <f>MONTH(tblSprzedaz[[#This Row],[Data]])</f>
        <v>7</v>
      </c>
      <c r="S678" s="9" t="str">
        <f>YEAR(tblSprzedaz[[#This Row],[Data]])&amp;"-"&amp;RIGHT("0"&amp;MONTH(tblSprzedaz[[#This Row],[Data]]),2)</f>
        <v>2025-07</v>
      </c>
    </row>
    <row r="679" spans="1:19" x14ac:dyDescent="0.25">
      <c r="A679" s="7" t="s">
        <v>1525</v>
      </c>
      <c r="B679" s="10">
        <v>45841</v>
      </c>
      <c r="C679" s="7" t="s">
        <v>1526</v>
      </c>
      <c r="D679" s="8" t="s">
        <v>89</v>
      </c>
      <c r="E679" s="8" t="s">
        <v>64</v>
      </c>
      <c r="F679" s="8" t="s">
        <v>33</v>
      </c>
      <c r="G679" s="8" t="s">
        <v>30</v>
      </c>
      <c r="H679" s="8" t="s">
        <v>40</v>
      </c>
      <c r="I679" s="11">
        <v>9</v>
      </c>
      <c r="J679" s="12">
        <v>768.2</v>
      </c>
      <c r="K679" s="13">
        <v>0.05</v>
      </c>
      <c r="L679" s="12">
        <v>538.59</v>
      </c>
      <c r="M679" s="14">
        <f>ROUND(tblSprzedaz[[#This Row],[Ilość]]*tblSprzedaz[[#This Row],[Cena netto jednostkowa]]*(1-tblSprzedaz[[#This Row],[Rabat %]]),2)</f>
        <v>6568.11</v>
      </c>
      <c r="N679" s="14">
        <f>ROUND(tblSprzedaz[[#This Row],[Ilość]]*tblSprzedaz[[#This Row],[Koszt jednostkowy netto]],2)</f>
        <v>4847.3100000000004</v>
      </c>
      <c r="O679" s="14">
        <f>tblSprzedaz[[#This Row],[Przychód netto]]-tblSprzedaz[[#This Row],[Koszt całkowity netto]]</f>
        <v>1720.7999999999993</v>
      </c>
      <c r="P679" s="15">
        <f>IFERROR(tblSprzedaz[[#This Row],[Marża kwotowa]]/tblSprzedaz[[#This Row],[Przychód netto]],0)</f>
        <v>0.26199317611915746</v>
      </c>
      <c r="Q679" s="16">
        <f>YEAR(tblSprzedaz[[#This Row],[Data]])</f>
        <v>2025</v>
      </c>
      <c r="R679" s="16">
        <f>MONTH(tblSprzedaz[[#This Row],[Data]])</f>
        <v>7</v>
      </c>
      <c r="S679" s="9" t="str">
        <f>YEAR(tblSprzedaz[[#This Row],[Data]])&amp;"-"&amp;RIGHT("0"&amp;MONTH(tblSprzedaz[[#This Row],[Data]]),2)</f>
        <v>2025-07</v>
      </c>
    </row>
    <row r="680" spans="1:19" x14ac:dyDescent="0.25">
      <c r="A680" s="7" t="s">
        <v>1527</v>
      </c>
      <c r="B680" s="10">
        <v>45841</v>
      </c>
      <c r="C680" s="7" t="s">
        <v>1528</v>
      </c>
      <c r="D680" s="8" t="s">
        <v>102</v>
      </c>
      <c r="E680" s="8" t="s">
        <v>49</v>
      </c>
      <c r="F680" s="8" t="s">
        <v>29</v>
      </c>
      <c r="G680" s="8" t="s">
        <v>34</v>
      </c>
      <c r="H680" s="8" t="s">
        <v>45</v>
      </c>
      <c r="I680" s="11">
        <v>5</v>
      </c>
      <c r="J680" s="12">
        <v>39.44</v>
      </c>
      <c r="K680" s="13">
        <v>0.05</v>
      </c>
      <c r="L680" s="12">
        <v>22.06</v>
      </c>
      <c r="M680" s="14">
        <f>ROUND(tblSprzedaz[[#This Row],[Ilość]]*tblSprzedaz[[#This Row],[Cena netto jednostkowa]]*(1-tblSprzedaz[[#This Row],[Rabat %]]),2)</f>
        <v>187.34</v>
      </c>
      <c r="N680" s="14">
        <f>ROUND(tblSprzedaz[[#This Row],[Ilość]]*tblSprzedaz[[#This Row],[Koszt jednostkowy netto]],2)</f>
        <v>110.3</v>
      </c>
      <c r="O680" s="14">
        <f>tblSprzedaz[[#This Row],[Przychód netto]]-tblSprzedaz[[#This Row],[Koszt całkowity netto]]</f>
        <v>77.040000000000006</v>
      </c>
      <c r="P680" s="15">
        <f>IFERROR(tblSprzedaz[[#This Row],[Marża kwotowa]]/tblSprzedaz[[#This Row],[Przychód netto]],0)</f>
        <v>0.41123091704921538</v>
      </c>
      <c r="Q680" s="16">
        <f>YEAR(tblSprzedaz[[#This Row],[Data]])</f>
        <v>2025</v>
      </c>
      <c r="R680" s="16">
        <f>MONTH(tblSprzedaz[[#This Row],[Data]])</f>
        <v>7</v>
      </c>
      <c r="S680" s="9" t="str">
        <f>YEAR(tblSprzedaz[[#This Row],[Data]])&amp;"-"&amp;RIGHT("0"&amp;MONTH(tblSprzedaz[[#This Row],[Data]]),2)</f>
        <v>2025-07</v>
      </c>
    </row>
    <row r="681" spans="1:19" x14ac:dyDescent="0.25">
      <c r="A681" s="7" t="s">
        <v>1529</v>
      </c>
      <c r="B681" s="10">
        <v>45841</v>
      </c>
      <c r="C681" s="7" t="s">
        <v>1530</v>
      </c>
      <c r="D681" s="8" t="s">
        <v>88</v>
      </c>
      <c r="E681" s="8" t="s">
        <v>51</v>
      </c>
      <c r="F681" s="8" t="s">
        <v>29</v>
      </c>
      <c r="G681" s="8" t="s">
        <v>36</v>
      </c>
      <c r="H681" s="8" t="s">
        <v>46</v>
      </c>
      <c r="I681" s="11">
        <v>1</v>
      </c>
      <c r="J681" s="12">
        <v>51</v>
      </c>
      <c r="K681" s="13">
        <v>0</v>
      </c>
      <c r="L681" s="12">
        <v>31.4</v>
      </c>
      <c r="M681" s="14">
        <f>ROUND(tblSprzedaz[[#This Row],[Ilość]]*tblSprzedaz[[#This Row],[Cena netto jednostkowa]]*(1-tblSprzedaz[[#This Row],[Rabat %]]),2)</f>
        <v>51</v>
      </c>
      <c r="N681" s="14">
        <f>ROUND(tblSprzedaz[[#This Row],[Ilość]]*tblSprzedaz[[#This Row],[Koszt jednostkowy netto]],2)</f>
        <v>31.4</v>
      </c>
      <c r="O681" s="14">
        <f>tblSprzedaz[[#This Row],[Przychód netto]]-tblSprzedaz[[#This Row],[Koszt całkowity netto]]</f>
        <v>19.600000000000001</v>
      </c>
      <c r="P681" s="15">
        <f>IFERROR(tblSprzedaz[[#This Row],[Marża kwotowa]]/tblSprzedaz[[#This Row],[Przychód netto]],0)</f>
        <v>0.3843137254901961</v>
      </c>
      <c r="Q681" s="16">
        <f>YEAR(tblSprzedaz[[#This Row],[Data]])</f>
        <v>2025</v>
      </c>
      <c r="R681" s="16">
        <f>MONTH(tblSprzedaz[[#This Row],[Data]])</f>
        <v>7</v>
      </c>
      <c r="S681" s="9" t="str">
        <f>YEAR(tblSprzedaz[[#This Row],[Data]])&amp;"-"&amp;RIGHT("0"&amp;MONTH(tblSprzedaz[[#This Row],[Data]]),2)</f>
        <v>2025-07</v>
      </c>
    </row>
    <row r="682" spans="1:19" x14ac:dyDescent="0.25">
      <c r="A682" s="7" t="s">
        <v>1531</v>
      </c>
      <c r="B682" s="10">
        <v>45841</v>
      </c>
      <c r="C682" s="7" t="s">
        <v>1532</v>
      </c>
      <c r="D682" s="8" t="s">
        <v>104</v>
      </c>
      <c r="E682" s="8" t="s">
        <v>58</v>
      </c>
      <c r="F682" s="8" t="s">
        <v>31</v>
      </c>
      <c r="G682" s="8" t="s">
        <v>30</v>
      </c>
      <c r="H682" s="8" t="s">
        <v>41</v>
      </c>
      <c r="I682" s="11">
        <v>11</v>
      </c>
      <c r="J682" s="12">
        <v>350.7</v>
      </c>
      <c r="K682" s="13">
        <v>0</v>
      </c>
      <c r="L682" s="12">
        <v>221.26</v>
      </c>
      <c r="M682" s="14">
        <f>ROUND(tblSprzedaz[[#This Row],[Ilość]]*tblSprzedaz[[#This Row],[Cena netto jednostkowa]]*(1-tblSprzedaz[[#This Row],[Rabat %]]),2)</f>
        <v>3857.7</v>
      </c>
      <c r="N682" s="14">
        <f>ROUND(tblSprzedaz[[#This Row],[Ilość]]*tblSprzedaz[[#This Row],[Koszt jednostkowy netto]],2)</f>
        <v>2433.86</v>
      </c>
      <c r="O682" s="14">
        <f>tblSprzedaz[[#This Row],[Przychód netto]]-tblSprzedaz[[#This Row],[Koszt całkowity netto]]</f>
        <v>1423.8399999999997</v>
      </c>
      <c r="P682" s="15">
        <f>IFERROR(tblSprzedaz[[#This Row],[Marża kwotowa]]/tblSprzedaz[[#This Row],[Przychód netto]],0)</f>
        <v>0.36909039064727683</v>
      </c>
      <c r="Q682" s="16">
        <f>YEAR(tblSprzedaz[[#This Row],[Data]])</f>
        <v>2025</v>
      </c>
      <c r="R682" s="16">
        <f>MONTH(tblSprzedaz[[#This Row],[Data]])</f>
        <v>7</v>
      </c>
      <c r="S682" s="9" t="str">
        <f>YEAR(tblSprzedaz[[#This Row],[Data]])&amp;"-"&amp;RIGHT("0"&amp;MONTH(tblSprzedaz[[#This Row],[Data]]),2)</f>
        <v>2025-07</v>
      </c>
    </row>
    <row r="683" spans="1:19" x14ac:dyDescent="0.25">
      <c r="A683" s="7" t="s">
        <v>1533</v>
      </c>
      <c r="B683" s="10">
        <v>45842</v>
      </c>
      <c r="C683" s="7" t="s">
        <v>1534</v>
      </c>
      <c r="D683" s="8" t="s">
        <v>109</v>
      </c>
      <c r="E683" s="8" t="s">
        <v>68</v>
      </c>
      <c r="F683" s="8" t="s">
        <v>35</v>
      </c>
      <c r="G683" s="8" t="s">
        <v>34</v>
      </c>
      <c r="H683" s="8" t="s">
        <v>44</v>
      </c>
      <c r="I683" s="11">
        <v>8</v>
      </c>
      <c r="J683" s="12">
        <v>90.44</v>
      </c>
      <c r="K683" s="13">
        <v>0</v>
      </c>
      <c r="L683" s="12">
        <v>68.87</v>
      </c>
      <c r="M683" s="14">
        <f>ROUND(tblSprzedaz[[#This Row],[Ilość]]*tblSprzedaz[[#This Row],[Cena netto jednostkowa]]*(1-tblSprzedaz[[#This Row],[Rabat %]]),2)</f>
        <v>723.52</v>
      </c>
      <c r="N683" s="14">
        <f>ROUND(tblSprzedaz[[#This Row],[Ilość]]*tblSprzedaz[[#This Row],[Koszt jednostkowy netto]],2)</f>
        <v>550.96</v>
      </c>
      <c r="O683" s="14">
        <f>tblSprzedaz[[#This Row],[Przychód netto]]-tblSprzedaz[[#This Row],[Koszt całkowity netto]]</f>
        <v>172.55999999999995</v>
      </c>
      <c r="P683" s="15">
        <f>IFERROR(tblSprzedaz[[#This Row],[Marża kwotowa]]/tblSprzedaz[[#This Row],[Przychód netto]],0)</f>
        <v>0.23850066342326398</v>
      </c>
      <c r="Q683" s="16">
        <f>YEAR(tblSprzedaz[[#This Row],[Data]])</f>
        <v>2025</v>
      </c>
      <c r="R683" s="16">
        <f>MONTH(tblSprzedaz[[#This Row],[Data]])</f>
        <v>7</v>
      </c>
      <c r="S683" s="9" t="str">
        <f>YEAR(tblSprzedaz[[#This Row],[Data]])&amp;"-"&amp;RIGHT("0"&amp;MONTH(tblSprzedaz[[#This Row],[Data]]),2)</f>
        <v>2025-07</v>
      </c>
    </row>
    <row r="684" spans="1:19" x14ac:dyDescent="0.25">
      <c r="A684" s="7" t="s">
        <v>1535</v>
      </c>
      <c r="B684" s="10">
        <v>45842</v>
      </c>
      <c r="C684" s="7" t="s">
        <v>1536</v>
      </c>
      <c r="D684" s="8" t="s">
        <v>85</v>
      </c>
      <c r="E684" s="8" t="s">
        <v>52</v>
      </c>
      <c r="F684" s="8" t="s">
        <v>29</v>
      </c>
      <c r="G684" s="8" t="s">
        <v>36</v>
      </c>
      <c r="H684" s="8" t="s">
        <v>47</v>
      </c>
      <c r="I684" s="11">
        <v>6</v>
      </c>
      <c r="J684" s="12">
        <v>56.78</v>
      </c>
      <c r="K684" s="13">
        <v>0.1</v>
      </c>
      <c r="L684" s="12">
        <v>33.700000000000003</v>
      </c>
      <c r="M684" s="14">
        <f>ROUND(tblSprzedaz[[#This Row],[Ilość]]*tblSprzedaz[[#This Row],[Cena netto jednostkowa]]*(1-tblSprzedaz[[#This Row],[Rabat %]]),2)</f>
        <v>306.61</v>
      </c>
      <c r="N684" s="14">
        <f>ROUND(tblSprzedaz[[#This Row],[Ilość]]*tblSprzedaz[[#This Row],[Koszt jednostkowy netto]],2)</f>
        <v>202.2</v>
      </c>
      <c r="O684" s="14">
        <f>tblSprzedaz[[#This Row],[Przychód netto]]-tblSprzedaz[[#This Row],[Koszt całkowity netto]]</f>
        <v>104.41000000000003</v>
      </c>
      <c r="P684" s="15">
        <f>IFERROR(tblSprzedaz[[#This Row],[Marża kwotowa]]/tblSprzedaz[[#This Row],[Przychód netto]],0)</f>
        <v>0.34053031538436457</v>
      </c>
      <c r="Q684" s="16">
        <f>YEAR(tblSprzedaz[[#This Row],[Data]])</f>
        <v>2025</v>
      </c>
      <c r="R684" s="16">
        <f>MONTH(tblSprzedaz[[#This Row],[Data]])</f>
        <v>7</v>
      </c>
      <c r="S684" s="9" t="str">
        <f>YEAR(tblSprzedaz[[#This Row],[Data]])&amp;"-"&amp;RIGHT("0"&amp;MONTH(tblSprzedaz[[#This Row],[Data]]),2)</f>
        <v>2025-07</v>
      </c>
    </row>
    <row r="685" spans="1:19" x14ac:dyDescent="0.25">
      <c r="A685" s="7" t="s">
        <v>1537</v>
      </c>
      <c r="B685" s="10">
        <v>45842</v>
      </c>
      <c r="C685" s="7" t="s">
        <v>1538</v>
      </c>
      <c r="D685" s="8" t="s">
        <v>143</v>
      </c>
      <c r="E685" s="8" t="s">
        <v>49</v>
      </c>
      <c r="F685" s="8" t="s">
        <v>29</v>
      </c>
      <c r="G685" s="8" t="s">
        <v>30</v>
      </c>
      <c r="H685" s="8" t="s">
        <v>40</v>
      </c>
      <c r="I685" s="11">
        <v>4</v>
      </c>
      <c r="J685" s="12">
        <v>39.44</v>
      </c>
      <c r="K685" s="13">
        <v>0</v>
      </c>
      <c r="L685" s="12">
        <v>21.86</v>
      </c>
      <c r="M685" s="14">
        <f>ROUND(tblSprzedaz[[#This Row],[Ilość]]*tblSprzedaz[[#This Row],[Cena netto jednostkowa]]*(1-tblSprzedaz[[#This Row],[Rabat %]]),2)</f>
        <v>157.76</v>
      </c>
      <c r="N685" s="14">
        <f>ROUND(tblSprzedaz[[#This Row],[Ilość]]*tblSprzedaz[[#This Row],[Koszt jednostkowy netto]],2)</f>
        <v>87.44</v>
      </c>
      <c r="O685" s="14">
        <f>tblSprzedaz[[#This Row],[Przychód netto]]-tblSprzedaz[[#This Row],[Koszt całkowity netto]]</f>
        <v>70.319999999999993</v>
      </c>
      <c r="P685" s="15">
        <f>IFERROR(tblSprzedaz[[#This Row],[Marża kwotowa]]/tblSprzedaz[[#This Row],[Przychód netto]],0)</f>
        <v>0.44574036511156184</v>
      </c>
      <c r="Q685" s="16">
        <f>YEAR(tblSprzedaz[[#This Row],[Data]])</f>
        <v>2025</v>
      </c>
      <c r="R685" s="16">
        <f>MONTH(tblSprzedaz[[#This Row],[Data]])</f>
        <v>7</v>
      </c>
      <c r="S685" s="9" t="str">
        <f>YEAR(tblSprzedaz[[#This Row],[Data]])&amp;"-"&amp;RIGHT("0"&amp;MONTH(tblSprzedaz[[#This Row],[Data]]),2)</f>
        <v>2025-07</v>
      </c>
    </row>
    <row r="686" spans="1:19" x14ac:dyDescent="0.25">
      <c r="A686" s="7" t="s">
        <v>1539</v>
      </c>
      <c r="B686" s="10">
        <v>45843</v>
      </c>
      <c r="C686" s="7" t="s">
        <v>1540</v>
      </c>
      <c r="D686" s="8" t="s">
        <v>131</v>
      </c>
      <c r="E686" s="8" t="s">
        <v>60</v>
      </c>
      <c r="F686" s="8" t="s">
        <v>33</v>
      </c>
      <c r="G686" s="8" t="s">
        <v>28</v>
      </c>
      <c r="H686" s="8" t="s">
        <v>39</v>
      </c>
      <c r="I686" s="11">
        <v>14</v>
      </c>
      <c r="J686" s="12">
        <v>455.4</v>
      </c>
      <c r="K686" s="13">
        <v>0.15</v>
      </c>
      <c r="L686" s="12">
        <v>327.58</v>
      </c>
      <c r="M686" s="14">
        <f>ROUND(tblSprzedaz[[#This Row],[Ilość]]*tblSprzedaz[[#This Row],[Cena netto jednostkowa]]*(1-tblSprzedaz[[#This Row],[Rabat %]]),2)</f>
        <v>5419.26</v>
      </c>
      <c r="N686" s="14">
        <f>ROUND(tblSprzedaz[[#This Row],[Ilość]]*tblSprzedaz[[#This Row],[Koszt jednostkowy netto]],2)</f>
        <v>4586.12</v>
      </c>
      <c r="O686" s="14">
        <f>tblSprzedaz[[#This Row],[Przychód netto]]-tblSprzedaz[[#This Row],[Koszt całkowity netto]]</f>
        <v>833.14000000000033</v>
      </c>
      <c r="P686" s="15">
        <f>IFERROR(tblSprzedaz[[#This Row],[Marża kwotowa]]/tblSprzedaz[[#This Row],[Przychód netto]],0)</f>
        <v>0.15373685706166529</v>
      </c>
      <c r="Q686" s="16">
        <f>YEAR(tblSprzedaz[[#This Row],[Data]])</f>
        <v>2025</v>
      </c>
      <c r="R686" s="16">
        <f>MONTH(tblSprzedaz[[#This Row],[Data]])</f>
        <v>7</v>
      </c>
      <c r="S686" s="9" t="str">
        <f>YEAR(tblSprzedaz[[#This Row],[Data]])&amp;"-"&amp;RIGHT("0"&amp;MONTH(tblSprzedaz[[#This Row],[Data]]),2)</f>
        <v>2025-07</v>
      </c>
    </row>
    <row r="687" spans="1:19" x14ac:dyDescent="0.25">
      <c r="A687" s="7" t="s">
        <v>1541</v>
      </c>
      <c r="B687" s="10">
        <v>45844</v>
      </c>
      <c r="C687" s="7" t="s">
        <v>1542</v>
      </c>
      <c r="D687" s="8" t="s">
        <v>120</v>
      </c>
      <c r="E687" s="8" t="s">
        <v>52</v>
      </c>
      <c r="F687" s="8" t="s">
        <v>29</v>
      </c>
      <c r="G687" s="8" t="s">
        <v>36</v>
      </c>
      <c r="H687" s="8" t="s">
        <v>46</v>
      </c>
      <c r="I687" s="11">
        <v>16</v>
      </c>
      <c r="J687" s="12">
        <v>56.78</v>
      </c>
      <c r="K687" s="13">
        <v>0</v>
      </c>
      <c r="L687" s="12">
        <v>35.520000000000003</v>
      </c>
      <c r="M687" s="14">
        <f>ROUND(tblSprzedaz[[#This Row],[Ilość]]*tblSprzedaz[[#This Row],[Cena netto jednostkowa]]*(1-tblSprzedaz[[#This Row],[Rabat %]]),2)</f>
        <v>908.48</v>
      </c>
      <c r="N687" s="14">
        <f>ROUND(tblSprzedaz[[#This Row],[Ilość]]*tblSprzedaz[[#This Row],[Koszt jednostkowy netto]],2)</f>
        <v>568.32000000000005</v>
      </c>
      <c r="O687" s="14">
        <f>tblSprzedaz[[#This Row],[Przychód netto]]-tblSprzedaz[[#This Row],[Koszt całkowity netto]]</f>
        <v>340.15999999999997</v>
      </c>
      <c r="P687" s="15">
        <f>IFERROR(tblSprzedaz[[#This Row],[Marża kwotowa]]/tblSprzedaz[[#This Row],[Przychód netto]],0)</f>
        <v>0.37442761535752023</v>
      </c>
      <c r="Q687" s="16">
        <f>YEAR(tblSprzedaz[[#This Row],[Data]])</f>
        <v>2025</v>
      </c>
      <c r="R687" s="16">
        <f>MONTH(tblSprzedaz[[#This Row],[Data]])</f>
        <v>7</v>
      </c>
      <c r="S687" s="9" t="str">
        <f>YEAR(tblSprzedaz[[#This Row],[Data]])&amp;"-"&amp;RIGHT("0"&amp;MONTH(tblSprzedaz[[#This Row],[Data]]),2)</f>
        <v>2025-07</v>
      </c>
    </row>
    <row r="688" spans="1:19" x14ac:dyDescent="0.25">
      <c r="A688" s="7" t="s">
        <v>1543</v>
      </c>
      <c r="B688" s="10">
        <v>45845</v>
      </c>
      <c r="C688" s="7" t="s">
        <v>1544</v>
      </c>
      <c r="D688" s="8" t="s">
        <v>145</v>
      </c>
      <c r="E688" s="8" t="s">
        <v>72</v>
      </c>
      <c r="F688" s="8" t="s">
        <v>37</v>
      </c>
      <c r="G688" s="8" t="s">
        <v>32</v>
      </c>
      <c r="H688" s="8" t="s">
        <v>43</v>
      </c>
      <c r="I688" s="11">
        <v>17</v>
      </c>
      <c r="J688" s="12">
        <v>94.05</v>
      </c>
      <c r="K688" s="13">
        <v>0.1</v>
      </c>
      <c r="L688" s="12">
        <v>69.17</v>
      </c>
      <c r="M688" s="14">
        <f>ROUND(tblSprzedaz[[#This Row],[Ilość]]*tblSprzedaz[[#This Row],[Cena netto jednostkowa]]*(1-tblSprzedaz[[#This Row],[Rabat %]]),2)</f>
        <v>1438.97</v>
      </c>
      <c r="N688" s="14">
        <f>ROUND(tblSprzedaz[[#This Row],[Ilość]]*tblSprzedaz[[#This Row],[Koszt jednostkowy netto]],2)</f>
        <v>1175.8900000000001</v>
      </c>
      <c r="O688" s="14">
        <f>tblSprzedaz[[#This Row],[Przychód netto]]-tblSprzedaz[[#This Row],[Koszt całkowity netto]]</f>
        <v>263.07999999999993</v>
      </c>
      <c r="P688" s="15">
        <f>IFERROR(tblSprzedaz[[#This Row],[Marża kwotowa]]/tblSprzedaz[[#This Row],[Przychód netto]],0)</f>
        <v>0.18282521525813597</v>
      </c>
      <c r="Q688" s="16">
        <f>YEAR(tblSprzedaz[[#This Row],[Data]])</f>
        <v>2025</v>
      </c>
      <c r="R688" s="16">
        <f>MONTH(tblSprzedaz[[#This Row],[Data]])</f>
        <v>7</v>
      </c>
      <c r="S688" s="9" t="str">
        <f>YEAR(tblSprzedaz[[#This Row],[Data]])&amp;"-"&amp;RIGHT("0"&amp;MONTH(tblSprzedaz[[#This Row],[Data]]),2)</f>
        <v>2025-07</v>
      </c>
    </row>
    <row r="689" spans="1:19" x14ac:dyDescent="0.25">
      <c r="A689" s="7" t="s">
        <v>1545</v>
      </c>
      <c r="B689" s="10">
        <v>45845</v>
      </c>
      <c r="C689" s="7" t="s">
        <v>1546</v>
      </c>
      <c r="D689" s="8" t="s">
        <v>145</v>
      </c>
      <c r="E689" s="8" t="s">
        <v>58</v>
      </c>
      <c r="F689" s="8" t="s">
        <v>31</v>
      </c>
      <c r="G689" s="8" t="s">
        <v>34</v>
      </c>
      <c r="H689" s="8" t="s">
        <v>44</v>
      </c>
      <c r="I689" s="11">
        <v>2</v>
      </c>
      <c r="J689" s="12">
        <v>350.7</v>
      </c>
      <c r="K689" s="13">
        <v>0.15</v>
      </c>
      <c r="L689" s="12">
        <v>218.64</v>
      </c>
      <c r="M689" s="14">
        <f>ROUND(tblSprzedaz[[#This Row],[Ilość]]*tblSprzedaz[[#This Row],[Cena netto jednostkowa]]*(1-tblSprzedaz[[#This Row],[Rabat %]]),2)</f>
        <v>596.19000000000005</v>
      </c>
      <c r="N689" s="14">
        <f>ROUND(tblSprzedaz[[#This Row],[Ilość]]*tblSprzedaz[[#This Row],[Koszt jednostkowy netto]],2)</f>
        <v>437.28</v>
      </c>
      <c r="O689" s="14">
        <f>tblSprzedaz[[#This Row],[Przychód netto]]-tblSprzedaz[[#This Row],[Koszt całkowity netto]]</f>
        <v>158.91000000000008</v>
      </c>
      <c r="P689" s="15">
        <f>IFERROR(tblSprzedaz[[#This Row],[Marża kwotowa]]/tblSprzedaz[[#This Row],[Przychód netto]],0)</f>
        <v>0.26654254516177739</v>
      </c>
      <c r="Q689" s="16">
        <f>YEAR(tblSprzedaz[[#This Row],[Data]])</f>
        <v>2025</v>
      </c>
      <c r="R689" s="16">
        <f>MONTH(tblSprzedaz[[#This Row],[Data]])</f>
        <v>7</v>
      </c>
      <c r="S689" s="9" t="str">
        <f>YEAR(tblSprzedaz[[#This Row],[Data]])&amp;"-"&amp;RIGHT("0"&amp;MONTH(tblSprzedaz[[#This Row],[Data]]),2)</f>
        <v>2025-07</v>
      </c>
    </row>
    <row r="690" spans="1:19" x14ac:dyDescent="0.25">
      <c r="A690" s="7" t="s">
        <v>1547</v>
      </c>
      <c r="B690" s="10">
        <v>45845</v>
      </c>
      <c r="C690" s="7" t="s">
        <v>1548</v>
      </c>
      <c r="D690" s="8" t="s">
        <v>116</v>
      </c>
      <c r="E690" s="8" t="s">
        <v>54</v>
      </c>
      <c r="F690" s="8" t="s">
        <v>31</v>
      </c>
      <c r="G690" s="8" t="s">
        <v>34</v>
      </c>
      <c r="H690" s="8" t="s">
        <v>44</v>
      </c>
      <c r="I690" s="11">
        <v>4</v>
      </c>
      <c r="J690" s="12">
        <v>207.9</v>
      </c>
      <c r="K690" s="13">
        <v>0.15</v>
      </c>
      <c r="L690" s="12">
        <v>136.21</v>
      </c>
      <c r="M690" s="14">
        <f>ROUND(tblSprzedaz[[#This Row],[Ilość]]*tblSprzedaz[[#This Row],[Cena netto jednostkowa]]*(1-tblSprzedaz[[#This Row],[Rabat %]]),2)</f>
        <v>706.86</v>
      </c>
      <c r="N690" s="14">
        <f>ROUND(tblSprzedaz[[#This Row],[Ilość]]*tblSprzedaz[[#This Row],[Koszt jednostkowy netto]],2)</f>
        <v>544.84</v>
      </c>
      <c r="O690" s="14">
        <f>tblSprzedaz[[#This Row],[Przychód netto]]-tblSprzedaz[[#This Row],[Koszt całkowity netto]]</f>
        <v>162.01999999999998</v>
      </c>
      <c r="P690" s="15">
        <f>IFERROR(tblSprzedaz[[#This Row],[Marża kwotowa]]/tblSprzedaz[[#This Row],[Przychód netto]],0)</f>
        <v>0.22921087626969977</v>
      </c>
      <c r="Q690" s="16">
        <f>YEAR(tblSprzedaz[[#This Row],[Data]])</f>
        <v>2025</v>
      </c>
      <c r="R690" s="16">
        <f>MONTH(tblSprzedaz[[#This Row],[Data]])</f>
        <v>7</v>
      </c>
      <c r="S690" s="9" t="str">
        <f>YEAR(tblSprzedaz[[#This Row],[Data]])&amp;"-"&amp;RIGHT("0"&amp;MONTH(tblSprzedaz[[#This Row],[Data]]),2)</f>
        <v>2025-07</v>
      </c>
    </row>
    <row r="691" spans="1:19" x14ac:dyDescent="0.25">
      <c r="A691" s="7" t="s">
        <v>1549</v>
      </c>
      <c r="B691" s="10">
        <v>45845</v>
      </c>
      <c r="C691" s="7" t="s">
        <v>1550</v>
      </c>
      <c r="D691" s="8" t="s">
        <v>149</v>
      </c>
      <c r="E691" s="8" t="s">
        <v>75</v>
      </c>
      <c r="F691" s="8" t="s">
        <v>37</v>
      </c>
      <c r="G691" s="8" t="s">
        <v>34</v>
      </c>
      <c r="H691" s="8" t="s">
        <v>44</v>
      </c>
      <c r="I691" s="11">
        <v>1</v>
      </c>
      <c r="J691" s="12">
        <v>142.5</v>
      </c>
      <c r="K691" s="13">
        <v>0.15</v>
      </c>
      <c r="L691" s="12">
        <v>112.26</v>
      </c>
      <c r="M691" s="14">
        <f>ROUND(tblSprzedaz[[#This Row],[Ilość]]*tblSprzedaz[[#This Row],[Cena netto jednostkowa]]*(1-tblSprzedaz[[#This Row],[Rabat %]]),2)</f>
        <v>121.13</v>
      </c>
      <c r="N691" s="14">
        <f>ROUND(tblSprzedaz[[#This Row],[Ilość]]*tblSprzedaz[[#This Row],[Koszt jednostkowy netto]],2)</f>
        <v>112.26</v>
      </c>
      <c r="O691" s="14">
        <f>tblSprzedaz[[#This Row],[Przychód netto]]-tblSprzedaz[[#This Row],[Koszt całkowity netto]]</f>
        <v>8.8699999999999903</v>
      </c>
      <c r="P691" s="15">
        <f>IFERROR(tblSprzedaz[[#This Row],[Marża kwotowa]]/tblSprzedaz[[#This Row],[Przychód netto]],0)</f>
        <v>7.3227111367951708E-2</v>
      </c>
      <c r="Q691" s="16">
        <f>YEAR(tblSprzedaz[[#This Row],[Data]])</f>
        <v>2025</v>
      </c>
      <c r="R691" s="16">
        <f>MONTH(tblSprzedaz[[#This Row],[Data]])</f>
        <v>7</v>
      </c>
      <c r="S691" s="9" t="str">
        <f>YEAR(tblSprzedaz[[#This Row],[Data]])&amp;"-"&amp;RIGHT("0"&amp;MONTH(tblSprzedaz[[#This Row],[Data]]),2)</f>
        <v>2025-07</v>
      </c>
    </row>
    <row r="692" spans="1:19" x14ac:dyDescent="0.25">
      <c r="A692" s="7" t="s">
        <v>1551</v>
      </c>
      <c r="B692" s="10">
        <v>45846</v>
      </c>
      <c r="C692" s="7" t="s">
        <v>1552</v>
      </c>
      <c r="D692" s="8" t="s">
        <v>142</v>
      </c>
      <c r="E692" s="8" t="s">
        <v>57</v>
      </c>
      <c r="F692" s="8" t="s">
        <v>31</v>
      </c>
      <c r="G692" s="8" t="s">
        <v>34</v>
      </c>
      <c r="H692" s="8" t="s">
        <v>45</v>
      </c>
      <c r="I692" s="11">
        <v>9</v>
      </c>
      <c r="J692" s="12">
        <v>315</v>
      </c>
      <c r="K692" s="13">
        <v>0</v>
      </c>
      <c r="L692" s="12">
        <v>198.03</v>
      </c>
      <c r="M692" s="14">
        <f>ROUND(tblSprzedaz[[#This Row],[Ilość]]*tblSprzedaz[[#This Row],[Cena netto jednostkowa]]*(1-tblSprzedaz[[#This Row],[Rabat %]]),2)</f>
        <v>2835</v>
      </c>
      <c r="N692" s="14">
        <f>ROUND(tblSprzedaz[[#This Row],[Ilość]]*tblSprzedaz[[#This Row],[Koszt jednostkowy netto]],2)</f>
        <v>1782.27</v>
      </c>
      <c r="O692" s="14">
        <f>tblSprzedaz[[#This Row],[Przychód netto]]-tblSprzedaz[[#This Row],[Koszt całkowity netto]]</f>
        <v>1052.73</v>
      </c>
      <c r="P692" s="15">
        <f>IFERROR(tblSprzedaz[[#This Row],[Marża kwotowa]]/tblSprzedaz[[#This Row],[Przychód netto]],0)</f>
        <v>0.37133333333333335</v>
      </c>
      <c r="Q692" s="16">
        <f>YEAR(tblSprzedaz[[#This Row],[Data]])</f>
        <v>2025</v>
      </c>
      <c r="R692" s="16">
        <f>MONTH(tblSprzedaz[[#This Row],[Data]])</f>
        <v>7</v>
      </c>
      <c r="S692" s="9" t="str">
        <f>YEAR(tblSprzedaz[[#This Row],[Data]])&amp;"-"&amp;RIGHT("0"&amp;MONTH(tblSprzedaz[[#This Row],[Data]]),2)</f>
        <v>2025-07</v>
      </c>
    </row>
    <row r="693" spans="1:19" x14ac:dyDescent="0.25">
      <c r="A693" s="7" t="s">
        <v>1553</v>
      </c>
      <c r="B693" s="10">
        <v>45846</v>
      </c>
      <c r="C693" s="7" t="s">
        <v>1554</v>
      </c>
      <c r="D693" s="8" t="s">
        <v>126</v>
      </c>
      <c r="E693" s="8" t="s">
        <v>51</v>
      </c>
      <c r="F693" s="8" t="s">
        <v>29</v>
      </c>
      <c r="G693" s="8" t="s">
        <v>28</v>
      </c>
      <c r="H693" s="8" t="s">
        <v>38</v>
      </c>
      <c r="I693" s="11">
        <v>13</v>
      </c>
      <c r="J693" s="12">
        <v>51</v>
      </c>
      <c r="K693" s="13">
        <v>0</v>
      </c>
      <c r="L693" s="12">
        <v>31.06</v>
      </c>
      <c r="M693" s="14">
        <f>ROUND(tblSprzedaz[[#This Row],[Ilość]]*tblSprzedaz[[#This Row],[Cena netto jednostkowa]]*(1-tblSprzedaz[[#This Row],[Rabat %]]),2)</f>
        <v>663</v>
      </c>
      <c r="N693" s="14">
        <f>ROUND(tblSprzedaz[[#This Row],[Ilość]]*tblSprzedaz[[#This Row],[Koszt jednostkowy netto]],2)</f>
        <v>403.78</v>
      </c>
      <c r="O693" s="14">
        <f>tblSprzedaz[[#This Row],[Przychód netto]]-tblSprzedaz[[#This Row],[Koszt całkowity netto]]</f>
        <v>259.22000000000003</v>
      </c>
      <c r="P693" s="15">
        <f>IFERROR(tblSprzedaz[[#This Row],[Marża kwotowa]]/tblSprzedaz[[#This Row],[Przychód netto]],0)</f>
        <v>0.39098039215686281</v>
      </c>
      <c r="Q693" s="16">
        <f>YEAR(tblSprzedaz[[#This Row],[Data]])</f>
        <v>2025</v>
      </c>
      <c r="R693" s="16">
        <f>MONTH(tblSprzedaz[[#This Row],[Data]])</f>
        <v>7</v>
      </c>
      <c r="S693" s="9" t="str">
        <f>YEAR(tblSprzedaz[[#This Row],[Data]])&amp;"-"&amp;RIGHT("0"&amp;MONTH(tblSprzedaz[[#This Row],[Data]]),2)</f>
        <v>2025-07</v>
      </c>
    </row>
    <row r="694" spans="1:19" x14ac:dyDescent="0.25">
      <c r="A694" s="7" t="s">
        <v>1555</v>
      </c>
      <c r="B694" s="10">
        <v>45846</v>
      </c>
      <c r="C694" s="7" t="s">
        <v>1556</v>
      </c>
      <c r="D694" s="8" t="s">
        <v>94</v>
      </c>
      <c r="E694" s="8" t="s">
        <v>64</v>
      </c>
      <c r="F694" s="8" t="s">
        <v>33</v>
      </c>
      <c r="G694" s="8" t="s">
        <v>32</v>
      </c>
      <c r="H694" s="8" t="s">
        <v>43</v>
      </c>
      <c r="I694" s="11">
        <v>14</v>
      </c>
      <c r="J694" s="12">
        <v>768.2</v>
      </c>
      <c r="K694" s="13">
        <v>0</v>
      </c>
      <c r="L694" s="12">
        <v>546.65</v>
      </c>
      <c r="M694" s="14">
        <f>ROUND(tblSprzedaz[[#This Row],[Ilość]]*tblSprzedaz[[#This Row],[Cena netto jednostkowa]]*(1-tblSprzedaz[[#This Row],[Rabat %]]),2)</f>
        <v>10754.8</v>
      </c>
      <c r="N694" s="14">
        <f>ROUND(tblSprzedaz[[#This Row],[Ilość]]*tblSprzedaz[[#This Row],[Koszt jednostkowy netto]],2)</f>
        <v>7653.1</v>
      </c>
      <c r="O694" s="14">
        <f>tblSprzedaz[[#This Row],[Przychód netto]]-tblSprzedaz[[#This Row],[Koszt całkowity netto]]</f>
        <v>3101.6999999999989</v>
      </c>
      <c r="P694" s="15">
        <f>IFERROR(tblSprzedaz[[#This Row],[Marża kwotowa]]/tblSprzedaz[[#This Row],[Przychód netto]],0)</f>
        <v>0.28840145795365785</v>
      </c>
      <c r="Q694" s="16">
        <f>YEAR(tblSprzedaz[[#This Row],[Data]])</f>
        <v>2025</v>
      </c>
      <c r="R694" s="16">
        <f>MONTH(tblSprzedaz[[#This Row],[Data]])</f>
        <v>7</v>
      </c>
      <c r="S694" s="9" t="str">
        <f>YEAR(tblSprzedaz[[#This Row],[Data]])&amp;"-"&amp;RIGHT("0"&amp;MONTH(tblSprzedaz[[#This Row],[Data]]),2)</f>
        <v>2025-07</v>
      </c>
    </row>
    <row r="695" spans="1:19" x14ac:dyDescent="0.25">
      <c r="A695" s="7" t="s">
        <v>1557</v>
      </c>
      <c r="B695" s="10">
        <v>45847</v>
      </c>
      <c r="C695" s="7" t="s">
        <v>1558</v>
      </c>
      <c r="D695" s="8" t="s">
        <v>80</v>
      </c>
      <c r="E695" s="8" t="s">
        <v>77</v>
      </c>
      <c r="F695" s="8" t="s">
        <v>37</v>
      </c>
      <c r="G695" s="8" t="s">
        <v>32</v>
      </c>
      <c r="H695" s="8" t="s">
        <v>42</v>
      </c>
      <c r="I695" s="11">
        <v>2</v>
      </c>
      <c r="J695" s="12">
        <v>77.900000000000006</v>
      </c>
      <c r="K695" s="13">
        <v>0.15</v>
      </c>
      <c r="L695" s="12">
        <v>62.79</v>
      </c>
      <c r="M695" s="14">
        <f>ROUND(tblSprzedaz[[#This Row],[Ilość]]*tblSprzedaz[[#This Row],[Cena netto jednostkowa]]*(1-tblSprzedaz[[#This Row],[Rabat %]]),2)</f>
        <v>132.43</v>
      </c>
      <c r="N695" s="14">
        <f>ROUND(tblSprzedaz[[#This Row],[Ilość]]*tblSprzedaz[[#This Row],[Koszt jednostkowy netto]],2)</f>
        <v>125.58</v>
      </c>
      <c r="O695" s="14">
        <f>tblSprzedaz[[#This Row],[Przychód netto]]-tblSprzedaz[[#This Row],[Koszt całkowity netto]]</f>
        <v>6.8500000000000085</v>
      </c>
      <c r="P695" s="15">
        <f>IFERROR(tblSprzedaz[[#This Row],[Marża kwotowa]]/tblSprzedaz[[#This Row],[Przychód netto]],0)</f>
        <v>5.1725439855017805E-2</v>
      </c>
      <c r="Q695" s="16">
        <f>YEAR(tblSprzedaz[[#This Row],[Data]])</f>
        <v>2025</v>
      </c>
      <c r="R695" s="16">
        <f>MONTH(tblSprzedaz[[#This Row],[Data]])</f>
        <v>7</v>
      </c>
      <c r="S695" s="9" t="str">
        <f>YEAR(tblSprzedaz[[#This Row],[Data]])&amp;"-"&amp;RIGHT("0"&amp;MONTH(tblSprzedaz[[#This Row],[Data]]),2)</f>
        <v>2025-07</v>
      </c>
    </row>
    <row r="696" spans="1:19" x14ac:dyDescent="0.25">
      <c r="A696" s="7" t="s">
        <v>1559</v>
      </c>
      <c r="B696" s="10">
        <v>45847</v>
      </c>
      <c r="C696" s="7" t="s">
        <v>1560</v>
      </c>
      <c r="D696" s="8" t="s">
        <v>146</v>
      </c>
      <c r="E696" s="8" t="s">
        <v>72</v>
      </c>
      <c r="F696" s="8" t="s">
        <v>37</v>
      </c>
      <c r="G696" s="8" t="s">
        <v>36</v>
      </c>
      <c r="H696" s="8" t="s">
        <v>46</v>
      </c>
      <c r="I696" s="11">
        <v>3</v>
      </c>
      <c r="J696" s="12">
        <v>94.05</v>
      </c>
      <c r="K696" s="13">
        <v>0</v>
      </c>
      <c r="L696" s="12">
        <v>71.8</v>
      </c>
      <c r="M696" s="14">
        <f>ROUND(tblSprzedaz[[#This Row],[Ilość]]*tblSprzedaz[[#This Row],[Cena netto jednostkowa]]*(1-tblSprzedaz[[#This Row],[Rabat %]]),2)</f>
        <v>282.14999999999998</v>
      </c>
      <c r="N696" s="14">
        <f>ROUND(tblSprzedaz[[#This Row],[Ilość]]*tblSprzedaz[[#This Row],[Koszt jednostkowy netto]],2)</f>
        <v>215.4</v>
      </c>
      <c r="O696" s="14">
        <f>tblSprzedaz[[#This Row],[Przychód netto]]-tblSprzedaz[[#This Row],[Koszt całkowity netto]]</f>
        <v>66.749999999999972</v>
      </c>
      <c r="P696" s="15">
        <f>IFERROR(tblSprzedaz[[#This Row],[Marża kwotowa]]/tblSprzedaz[[#This Row],[Przychód netto]],0)</f>
        <v>0.23657628920786808</v>
      </c>
      <c r="Q696" s="16">
        <f>YEAR(tblSprzedaz[[#This Row],[Data]])</f>
        <v>2025</v>
      </c>
      <c r="R696" s="16">
        <f>MONTH(tblSprzedaz[[#This Row],[Data]])</f>
        <v>7</v>
      </c>
      <c r="S696" s="9" t="str">
        <f>YEAR(tblSprzedaz[[#This Row],[Data]])&amp;"-"&amp;RIGHT("0"&amp;MONTH(tblSprzedaz[[#This Row],[Data]]),2)</f>
        <v>2025-07</v>
      </c>
    </row>
    <row r="697" spans="1:19" x14ac:dyDescent="0.25">
      <c r="A697" s="7" t="s">
        <v>1561</v>
      </c>
      <c r="B697" s="10">
        <v>45847</v>
      </c>
      <c r="C697" s="7" t="s">
        <v>1562</v>
      </c>
      <c r="D697" s="8" t="s">
        <v>79</v>
      </c>
      <c r="E697" s="8" t="s">
        <v>51</v>
      </c>
      <c r="F697" s="8" t="s">
        <v>29</v>
      </c>
      <c r="G697" s="8" t="s">
        <v>32</v>
      </c>
      <c r="H697" s="8" t="s">
        <v>43</v>
      </c>
      <c r="I697" s="11">
        <v>12</v>
      </c>
      <c r="J697" s="12">
        <v>51</v>
      </c>
      <c r="K697" s="13">
        <v>0.05</v>
      </c>
      <c r="L697" s="12">
        <v>31.11</v>
      </c>
      <c r="M697" s="14">
        <f>ROUND(tblSprzedaz[[#This Row],[Ilość]]*tblSprzedaz[[#This Row],[Cena netto jednostkowa]]*(1-tblSprzedaz[[#This Row],[Rabat %]]),2)</f>
        <v>581.4</v>
      </c>
      <c r="N697" s="14">
        <f>ROUND(tblSprzedaz[[#This Row],[Ilość]]*tblSprzedaz[[#This Row],[Koszt jednostkowy netto]],2)</f>
        <v>373.32</v>
      </c>
      <c r="O697" s="14">
        <f>tblSprzedaz[[#This Row],[Przychód netto]]-tblSprzedaz[[#This Row],[Koszt całkowity netto]]</f>
        <v>208.07999999999998</v>
      </c>
      <c r="P697" s="15">
        <f>IFERROR(tblSprzedaz[[#This Row],[Marża kwotowa]]/tblSprzedaz[[#This Row],[Przychód netto]],0)</f>
        <v>0.35789473684210527</v>
      </c>
      <c r="Q697" s="16">
        <f>YEAR(tblSprzedaz[[#This Row],[Data]])</f>
        <v>2025</v>
      </c>
      <c r="R697" s="16">
        <f>MONTH(tblSprzedaz[[#This Row],[Data]])</f>
        <v>7</v>
      </c>
      <c r="S697" s="9" t="str">
        <f>YEAR(tblSprzedaz[[#This Row],[Data]])&amp;"-"&amp;RIGHT("0"&amp;MONTH(tblSprzedaz[[#This Row],[Data]]),2)</f>
        <v>2025-07</v>
      </c>
    </row>
    <row r="698" spans="1:19" x14ac:dyDescent="0.25">
      <c r="A698" s="7" t="s">
        <v>1563</v>
      </c>
      <c r="B698" s="10">
        <v>45847</v>
      </c>
      <c r="C698" s="7" t="s">
        <v>1564</v>
      </c>
      <c r="D698" s="8" t="s">
        <v>105</v>
      </c>
      <c r="E698" s="8" t="s">
        <v>51</v>
      </c>
      <c r="F698" s="8" t="s">
        <v>29</v>
      </c>
      <c r="G698" s="8" t="s">
        <v>34</v>
      </c>
      <c r="H698" s="8" t="s">
        <v>45</v>
      </c>
      <c r="I698" s="11">
        <v>11</v>
      </c>
      <c r="J698" s="12">
        <v>51</v>
      </c>
      <c r="K698" s="13">
        <v>0.15</v>
      </c>
      <c r="L698" s="12">
        <v>28.74</v>
      </c>
      <c r="M698" s="14">
        <f>ROUND(tblSprzedaz[[#This Row],[Ilość]]*tblSprzedaz[[#This Row],[Cena netto jednostkowa]]*(1-tblSprzedaz[[#This Row],[Rabat %]]),2)</f>
        <v>476.85</v>
      </c>
      <c r="N698" s="14">
        <f>ROUND(tblSprzedaz[[#This Row],[Ilość]]*tblSprzedaz[[#This Row],[Koszt jednostkowy netto]],2)</f>
        <v>316.14</v>
      </c>
      <c r="O698" s="14">
        <f>tblSprzedaz[[#This Row],[Przychód netto]]-tblSprzedaz[[#This Row],[Koszt całkowity netto]]</f>
        <v>160.71000000000004</v>
      </c>
      <c r="P698" s="15">
        <f>IFERROR(tblSprzedaz[[#This Row],[Marża kwotowa]]/tblSprzedaz[[#This Row],[Przychód netto]],0)</f>
        <v>0.33702422145328725</v>
      </c>
      <c r="Q698" s="16">
        <f>YEAR(tblSprzedaz[[#This Row],[Data]])</f>
        <v>2025</v>
      </c>
      <c r="R698" s="16">
        <f>MONTH(tblSprzedaz[[#This Row],[Data]])</f>
        <v>7</v>
      </c>
      <c r="S698" s="9" t="str">
        <f>YEAR(tblSprzedaz[[#This Row],[Data]])&amp;"-"&amp;RIGHT("0"&amp;MONTH(tblSprzedaz[[#This Row],[Data]]),2)</f>
        <v>2025-07</v>
      </c>
    </row>
    <row r="699" spans="1:19" x14ac:dyDescent="0.25">
      <c r="A699" s="7" t="s">
        <v>1565</v>
      </c>
      <c r="B699" s="10">
        <v>45848</v>
      </c>
      <c r="C699" s="7" t="s">
        <v>1566</v>
      </c>
      <c r="D699" s="8" t="s">
        <v>79</v>
      </c>
      <c r="E699" s="8" t="s">
        <v>57</v>
      </c>
      <c r="F699" s="8" t="s">
        <v>31</v>
      </c>
      <c r="G699" s="8" t="s">
        <v>32</v>
      </c>
      <c r="H699" s="8" t="s">
        <v>43</v>
      </c>
      <c r="I699" s="11">
        <v>3</v>
      </c>
      <c r="J699" s="12">
        <v>315</v>
      </c>
      <c r="K699" s="13">
        <v>0.15</v>
      </c>
      <c r="L699" s="12">
        <v>205.73</v>
      </c>
      <c r="M699" s="14">
        <f>ROUND(tblSprzedaz[[#This Row],[Ilość]]*tblSprzedaz[[#This Row],[Cena netto jednostkowa]]*(1-tblSprzedaz[[#This Row],[Rabat %]]),2)</f>
        <v>803.25</v>
      </c>
      <c r="N699" s="14">
        <f>ROUND(tblSprzedaz[[#This Row],[Ilość]]*tblSprzedaz[[#This Row],[Koszt jednostkowy netto]],2)</f>
        <v>617.19000000000005</v>
      </c>
      <c r="O699" s="14">
        <f>tblSprzedaz[[#This Row],[Przychód netto]]-tblSprzedaz[[#This Row],[Koszt całkowity netto]]</f>
        <v>186.05999999999995</v>
      </c>
      <c r="P699" s="15">
        <f>IFERROR(tblSprzedaz[[#This Row],[Marża kwotowa]]/tblSprzedaz[[#This Row],[Przychód netto]],0)</f>
        <v>0.2316339869281045</v>
      </c>
      <c r="Q699" s="16">
        <f>YEAR(tblSprzedaz[[#This Row],[Data]])</f>
        <v>2025</v>
      </c>
      <c r="R699" s="16">
        <f>MONTH(tblSprzedaz[[#This Row],[Data]])</f>
        <v>7</v>
      </c>
      <c r="S699" s="9" t="str">
        <f>YEAR(tblSprzedaz[[#This Row],[Data]])&amp;"-"&amp;RIGHT("0"&amp;MONTH(tblSprzedaz[[#This Row],[Data]]),2)</f>
        <v>2025-07</v>
      </c>
    </row>
    <row r="700" spans="1:19" x14ac:dyDescent="0.25">
      <c r="A700" s="7" t="s">
        <v>1567</v>
      </c>
      <c r="B700" s="10">
        <v>45848</v>
      </c>
      <c r="C700" s="7" t="s">
        <v>1568</v>
      </c>
      <c r="D700" s="8" t="s">
        <v>145</v>
      </c>
      <c r="E700" s="8" t="s">
        <v>69</v>
      </c>
      <c r="F700" s="8" t="s">
        <v>35</v>
      </c>
      <c r="G700" s="8" t="s">
        <v>30</v>
      </c>
      <c r="H700" s="8" t="s">
        <v>40</v>
      </c>
      <c r="I700" s="11">
        <v>5</v>
      </c>
      <c r="J700" s="12">
        <v>102</v>
      </c>
      <c r="K700" s="13">
        <v>0</v>
      </c>
      <c r="L700" s="12">
        <v>76.599999999999994</v>
      </c>
      <c r="M700" s="14">
        <f>ROUND(tblSprzedaz[[#This Row],[Ilość]]*tblSprzedaz[[#This Row],[Cena netto jednostkowa]]*(1-tblSprzedaz[[#This Row],[Rabat %]]),2)</f>
        <v>510</v>
      </c>
      <c r="N700" s="14">
        <f>ROUND(tblSprzedaz[[#This Row],[Ilość]]*tblSprzedaz[[#This Row],[Koszt jednostkowy netto]],2)</f>
        <v>383</v>
      </c>
      <c r="O700" s="14">
        <f>tblSprzedaz[[#This Row],[Przychód netto]]-tblSprzedaz[[#This Row],[Koszt całkowity netto]]</f>
        <v>127</v>
      </c>
      <c r="P700" s="15">
        <f>IFERROR(tblSprzedaz[[#This Row],[Marża kwotowa]]/tblSprzedaz[[#This Row],[Przychód netto]],0)</f>
        <v>0.24901960784313726</v>
      </c>
      <c r="Q700" s="16">
        <f>YEAR(tblSprzedaz[[#This Row],[Data]])</f>
        <v>2025</v>
      </c>
      <c r="R700" s="16">
        <f>MONTH(tblSprzedaz[[#This Row],[Data]])</f>
        <v>7</v>
      </c>
      <c r="S700" s="9" t="str">
        <f>YEAR(tblSprzedaz[[#This Row],[Data]])&amp;"-"&amp;RIGHT("0"&amp;MONTH(tblSprzedaz[[#This Row],[Data]]),2)</f>
        <v>2025-07</v>
      </c>
    </row>
    <row r="701" spans="1:19" x14ac:dyDescent="0.25">
      <c r="A701" s="7" t="s">
        <v>1569</v>
      </c>
      <c r="B701" s="10">
        <v>45848</v>
      </c>
      <c r="C701" s="7" t="s">
        <v>1570</v>
      </c>
      <c r="D701" s="8" t="s">
        <v>137</v>
      </c>
      <c r="E701" s="8" t="s">
        <v>61</v>
      </c>
      <c r="F701" s="8" t="s">
        <v>33</v>
      </c>
      <c r="G701" s="8" t="s">
        <v>34</v>
      </c>
      <c r="H701" s="8" t="s">
        <v>44</v>
      </c>
      <c r="I701" s="11">
        <v>10</v>
      </c>
      <c r="J701" s="12">
        <v>533.6</v>
      </c>
      <c r="K701" s="13">
        <v>0.1</v>
      </c>
      <c r="L701" s="12">
        <v>361.97</v>
      </c>
      <c r="M701" s="14">
        <f>ROUND(tblSprzedaz[[#This Row],[Ilość]]*tblSprzedaz[[#This Row],[Cena netto jednostkowa]]*(1-tblSprzedaz[[#This Row],[Rabat %]]),2)</f>
        <v>4802.3999999999996</v>
      </c>
      <c r="N701" s="14">
        <f>ROUND(tblSprzedaz[[#This Row],[Ilość]]*tblSprzedaz[[#This Row],[Koszt jednostkowy netto]],2)</f>
        <v>3619.7</v>
      </c>
      <c r="O701" s="14">
        <f>tblSprzedaz[[#This Row],[Przychód netto]]-tblSprzedaz[[#This Row],[Koszt całkowity netto]]</f>
        <v>1182.6999999999998</v>
      </c>
      <c r="P701" s="15">
        <f>IFERROR(tblSprzedaz[[#This Row],[Marża kwotowa]]/tblSprzedaz[[#This Row],[Przychód netto]],0)</f>
        <v>0.24627269698484089</v>
      </c>
      <c r="Q701" s="16">
        <f>YEAR(tblSprzedaz[[#This Row],[Data]])</f>
        <v>2025</v>
      </c>
      <c r="R701" s="16">
        <f>MONTH(tblSprzedaz[[#This Row],[Data]])</f>
        <v>7</v>
      </c>
      <c r="S701" s="9" t="str">
        <f>YEAR(tblSprzedaz[[#This Row],[Data]])&amp;"-"&amp;RIGHT("0"&amp;MONTH(tblSprzedaz[[#This Row],[Data]]),2)</f>
        <v>2025-07</v>
      </c>
    </row>
    <row r="702" spans="1:19" x14ac:dyDescent="0.25">
      <c r="A702" s="7" t="s">
        <v>1571</v>
      </c>
      <c r="B702" s="10">
        <v>45848</v>
      </c>
      <c r="C702" s="7" t="s">
        <v>1572</v>
      </c>
      <c r="D702" s="8" t="s">
        <v>144</v>
      </c>
      <c r="E702" s="8" t="s">
        <v>77</v>
      </c>
      <c r="F702" s="8" t="s">
        <v>37</v>
      </c>
      <c r="G702" s="8" t="s">
        <v>34</v>
      </c>
      <c r="H702" s="8" t="s">
        <v>44</v>
      </c>
      <c r="I702" s="11">
        <v>4</v>
      </c>
      <c r="J702" s="12">
        <v>77.900000000000006</v>
      </c>
      <c r="K702" s="13">
        <v>0.1</v>
      </c>
      <c r="L702" s="12">
        <v>62.72</v>
      </c>
      <c r="M702" s="14">
        <f>ROUND(tblSprzedaz[[#This Row],[Ilość]]*tblSprzedaz[[#This Row],[Cena netto jednostkowa]]*(1-tblSprzedaz[[#This Row],[Rabat %]]),2)</f>
        <v>280.44</v>
      </c>
      <c r="N702" s="14">
        <f>ROUND(tblSprzedaz[[#This Row],[Ilość]]*tblSprzedaz[[#This Row],[Koszt jednostkowy netto]],2)</f>
        <v>250.88</v>
      </c>
      <c r="O702" s="14">
        <f>tblSprzedaz[[#This Row],[Przychód netto]]-tblSprzedaz[[#This Row],[Koszt całkowity netto]]</f>
        <v>29.560000000000002</v>
      </c>
      <c r="P702" s="15">
        <f>IFERROR(tblSprzedaz[[#This Row],[Marża kwotowa]]/tblSprzedaz[[#This Row],[Przychód netto]],0)</f>
        <v>0.10540579090001427</v>
      </c>
      <c r="Q702" s="16">
        <f>YEAR(tblSprzedaz[[#This Row],[Data]])</f>
        <v>2025</v>
      </c>
      <c r="R702" s="16">
        <f>MONTH(tblSprzedaz[[#This Row],[Data]])</f>
        <v>7</v>
      </c>
      <c r="S702" s="9" t="str">
        <f>YEAR(tblSprzedaz[[#This Row],[Data]])&amp;"-"&amp;RIGHT("0"&amp;MONTH(tblSprzedaz[[#This Row],[Data]]),2)</f>
        <v>2025-07</v>
      </c>
    </row>
    <row r="703" spans="1:19" x14ac:dyDescent="0.25">
      <c r="A703" s="7" t="s">
        <v>1573</v>
      </c>
      <c r="B703" s="10">
        <v>45849</v>
      </c>
      <c r="C703" s="7" t="s">
        <v>1574</v>
      </c>
      <c r="D703" s="8" t="s">
        <v>109</v>
      </c>
      <c r="E703" s="8" t="s">
        <v>62</v>
      </c>
      <c r="F703" s="8" t="s">
        <v>33</v>
      </c>
      <c r="G703" s="8" t="s">
        <v>32</v>
      </c>
      <c r="H703" s="8" t="s">
        <v>43</v>
      </c>
      <c r="I703" s="11">
        <v>18</v>
      </c>
      <c r="J703" s="12">
        <v>611.79999999999995</v>
      </c>
      <c r="K703" s="13">
        <v>0.1</v>
      </c>
      <c r="L703" s="12">
        <v>397.87</v>
      </c>
      <c r="M703" s="14">
        <f>ROUND(tblSprzedaz[[#This Row],[Ilość]]*tblSprzedaz[[#This Row],[Cena netto jednostkowa]]*(1-tblSprzedaz[[#This Row],[Rabat %]]),2)</f>
        <v>9911.16</v>
      </c>
      <c r="N703" s="14">
        <f>ROUND(tblSprzedaz[[#This Row],[Ilość]]*tblSprzedaz[[#This Row],[Koszt jednostkowy netto]],2)</f>
        <v>7161.66</v>
      </c>
      <c r="O703" s="14">
        <f>tblSprzedaz[[#This Row],[Przychód netto]]-tblSprzedaz[[#This Row],[Koszt całkowity netto]]</f>
        <v>2749.5</v>
      </c>
      <c r="P703" s="15">
        <f>IFERROR(tblSprzedaz[[#This Row],[Marża kwotowa]]/tblSprzedaz[[#This Row],[Przychód netto]],0)</f>
        <v>0.27741455086992844</v>
      </c>
      <c r="Q703" s="16">
        <f>YEAR(tblSprzedaz[[#This Row],[Data]])</f>
        <v>2025</v>
      </c>
      <c r="R703" s="16">
        <f>MONTH(tblSprzedaz[[#This Row],[Data]])</f>
        <v>7</v>
      </c>
      <c r="S703" s="9" t="str">
        <f>YEAR(tblSprzedaz[[#This Row],[Data]])&amp;"-"&amp;RIGHT("0"&amp;MONTH(tblSprzedaz[[#This Row],[Data]]),2)</f>
        <v>2025-07</v>
      </c>
    </row>
    <row r="704" spans="1:19" x14ac:dyDescent="0.25">
      <c r="A704" s="7" t="s">
        <v>1575</v>
      </c>
      <c r="B704" s="10">
        <v>45849</v>
      </c>
      <c r="C704" s="7" t="s">
        <v>1576</v>
      </c>
      <c r="D704" s="8" t="s">
        <v>96</v>
      </c>
      <c r="E704" s="8" t="s">
        <v>55</v>
      </c>
      <c r="F704" s="8" t="s">
        <v>31</v>
      </c>
      <c r="G704" s="8" t="s">
        <v>28</v>
      </c>
      <c r="H704" s="8" t="s">
        <v>39</v>
      </c>
      <c r="I704" s="11">
        <v>6</v>
      </c>
      <c r="J704" s="12">
        <v>243.6</v>
      </c>
      <c r="K704" s="13">
        <v>0.15</v>
      </c>
      <c r="L704" s="12">
        <v>160.37</v>
      </c>
      <c r="M704" s="14">
        <f>ROUND(tblSprzedaz[[#This Row],[Ilość]]*tblSprzedaz[[#This Row],[Cena netto jednostkowa]]*(1-tblSprzedaz[[#This Row],[Rabat %]]),2)</f>
        <v>1242.3599999999999</v>
      </c>
      <c r="N704" s="14">
        <f>ROUND(tblSprzedaz[[#This Row],[Ilość]]*tblSprzedaz[[#This Row],[Koszt jednostkowy netto]],2)</f>
        <v>962.22</v>
      </c>
      <c r="O704" s="14">
        <f>tblSprzedaz[[#This Row],[Przychód netto]]-tblSprzedaz[[#This Row],[Koszt całkowity netto]]</f>
        <v>280.13999999999987</v>
      </c>
      <c r="P704" s="15">
        <f>IFERROR(tblSprzedaz[[#This Row],[Marża kwotowa]]/tblSprzedaz[[#This Row],[Przychód netto]],0)</f>
        <v>0.22549019607843129</v>
      </c>
      <c r="Q704" s="16">
        <f>YEAR(tblSprzedaz[[#This Row],[Data]])</f>
        <v>2025</v>
      </c>
      <c r="R704" s="16">
        <f>MONTH(tblSprzedaz[[#This Row],[Data]])</f>
        <v>7</v>
      </c>
      <c r="S704" s="9" t="str">
        <f>YEAR(tblSprzedaz[[#This Row],[Data]])&amp;"-"&amp;RIGHT("0"&amp;MONTH(tblSprzedaz[[#This Row],[Data]]),2)</f>
        <v>2025-07</v>
      </c>
    </row>
    <row r="705" spans="1:19" x14ac:dyDescent="0.25">
      <c r="A705" s="7" t="s">
        <v>1577</v>
      </c>
      <c r="B705" s="10">
        <v>45849</v>
      </c>
      <c r="C705" s="7" t="s">
        <v>1578</v>
      </c>
      <c r="D705" s="8" t="s">
        <v>79</v>
      </c>
      <c r="E705" s="8" t="s">
        <v>70</v>
      </c>
      <c r="F705" s="8" t="s">
        <v>35</v>
      </c>
      <c r="G705" s="8" t="s">
        <v>32</v>
      </c>
      <c r="H705" s="8" t="s">
        <v>42</v>
      </c>
      <c r="I705" s="11">
        <v>3</v>
      </c>
      <c r="J705" s="12">
        <v>113.56</v>
      </c>
      <c r="K705" s="13">
        <v>0.15</v>
      </c>
      <c r="L705" s="12">
        <v>83.23</v>
      </c>
      <c r="M705" s="14">
        <f>ROUND(tblSprzedaz[[#This Row],[Ilość]]*tblSprzedaz[[#This Row],[Cena netto jednostkowa]]*(1-tblSprzedaz[[#This Row],[Rabat %]]),2)</f>
        <v>289.58</v>
      </c>
      <c r="N705" s="14">
        <f>ROUND(tblSprzedaz[[#This Row],[Ilość]]*tblSprzedaz[[#This Row],[Koszt jednostkowy netto]],2)</f>
        <v>249.69</v>
      </c>
      <c r="O705" s="14">
        <f>tblSprzedaz[[#This Row],[Przychód netto]]-tblSprzedaz[[#This Row],[Koszt całkowity netto]]</f>
        <v>39.889999999999986</v>
      </c>
      <c r="P705" s="15">
        <f>IFERROR(tblSprzedaz[[#This Row],[Marża kwotowa]]/tblSprzedaz[[#This Row],[Przychód netto]],0)</f>
        <v>0.13775122591339176</v>
      </c>
      <c r="Q705" s="16">
        <f>YEAR(tblSprzedaz[[#This Row],[Data]])</f>
        <v>2025</v>
      </c>
      <c r="R705" s="16">
        <f>MONTH(tblSprzedaz[[#This Row],[Data]])</f>
        <v>7</v>
      </c>
      <c r="S705" s="9" t="str">
        <f>YEAR(tblSprzedaz[[#This Row],[Data]])&amp;"-"&amp;RIGHT("0"&amp;MONTH(tblSprzedaz[[#This Row],[Data]]),2)</f>
        <v>2025-07</v>
      </c>
    </row>
    <row r="706" spans="1:19" x14ac:dyDescent="0.25">
      <c r="A706" s="7" t="s">
        <v>1579</v>
      </c>
      <c r="B706" s="10">
        <v>45849</v>
      </c>
      <c r="C706" s="7" t="s">
        <v>1580</v>
      </c>
      <c r="D706" s="8" t="s">
        <v>123</v>
      </c>
      <c r="E706" s="8" t="s">
        <v>63</v>
      </c>
      <c r="F706" s="8" t="s">
        <v>33</v>
      </c>
      <c r="G706" s="8" t="s">
        <v>30</v>
      </c>
      <c r="H706" s="8" t="s">
        <v>40</v>
      </c>
      <c r="I706" s="11">
        <v>9</v>
      </c>
      <c r="J706" s="12">
        <v>690</v>
      </c>
      <c r="K706" s="13">
        <v>0</v>
      </c>
      <c r="L706" s="12">
        <v>496.42</v>
      </c>
      <c r="M706" s="14">
        <f>ROUND(tblSprzedaz[[#This Row],[Ilość]]*tblSprzedaz[[#This Row],[Cena netto jednostkowa]]*(1-tblSprzedaz[[#This Row],[Rabat %]]),2)</f>
        <v>6210</v>
      </c>
      <c r="N706" s="14">
        <f>ROUND(tblSprzedaz[[#This Row],[Ilość]]*tblSprzedaz[[#This Row],[Koszt jednostkowy netto]],2)</f>
        <v>4467.78</v>
      </c>
      <c r="O706" s="14">
        <f>tblSprzedaz[[#This Row],[Przychód netto]]-tblSprzedaz[[#This Row],[Koszt całkowity netto]]</f>
        <v>1742.2200000000003</v>
      </c>
      <c r="P706" s="15">
        <f>IFERROR(tblSprzedaz[[#This Row],[Marża kwotowa]]/tblSprzedaz[[#This Row],[Przychód netto]],0)</f>
        <v>0.28055072463768121</v>
      </c>
      <c r="Q706" s="16">
        <f>YEAR(tblSprzedaz[[#This Row],[Data]])</f>
        <v>2025</v>
      </c>
      <c r="R706" s="16">
        <f>MONTH(tblSprzedaz[[#This Row],[Data]])</f>
        <v>7</v>
      </c>
      <c r="S706" s="9" t="str">
        <f>YEAR(tblSprzedaz[[#This Row],[Data]])&amp;"-"&amp;RIGHT("0"&amp;MONTH(tblSprzedaz[[#This Row],[Data]]),2)</f>
        <v>2025-07</v>
      </c>
    </row>
    <row r="707" spans="1:19" x14ac:dyDescent="0.25">
      <c r="A707" s="7" t="s">
        <v>1581</v>
      </c>
      <c r="B707" s="10">
        <v>45850</v>
      </c>
      <c r="C707" s="7" t="s">
        <v>1582</v>
      </c>
      <c r="D707" s="8" t="s">
        <v>89</v>
      </c>
      <c r="E707" s="8" t="s">
        <v>75</v>
      </c>
      <c r="F707" s="8" t="s">
        <v>37</v>
      </c>
      <c r="G707" s="8" t="s">
        <v>32</v>
      </c>
      <c r="H707" s="8" t="s">
        <v>43</v>
      </c>
      <c r="I707" s="11">
        <v>17</v>
      </c>
      <c r="J707" s="12">
        <v>142.5</v>
      </c>
      <c r="K707" s="13">
        <v>0</v>
      </c>
      <c r="L707" s="12">
        <v>107</v>
      </c>
      <c r="M707" s="14">
        <f>ROUND(tblSprzedaz[[#This Row],[Ilość]]*tblSprzedaz[[#This Row],[Cena netto jednostkowa]]*(1-tblSprzedaz[[#This Row],[Rabat %]]),2)</f>
        <v>2422.5</v>
      </c>
      <c r="N707" s="14">
        <f>ROUND(tblSprzedaz[[#This Row],[Ilość]]*tblSprzedaz[[#This Row],[Koszt jednostkowy netto]],2)</f>
        <v>1819</v>
      </c>
      <c r="O707" s="14">
        <f>tblSprzedaz[[#This Row],[Przychód netto]]-tblSprzedaz[[#This Row],[Koszt całkowity netto]]</f>
        <v>603.5</v>
      </c>
      <c r="P707" s="15">
        <f>IFERROR(tblSprzedaz[[#This Row],[Marża kwotowa]]/tblSprzedaz[[#This Row],[Przychód netto]],0)</f>
        <v>0.24912280701754386</v>
      </c>
      <c r="Q707" s="16">
        <f>YEAR(tblSprzedaz[[#This Row],[Data]])</f>
        <v>2025</v>
      </c>
      <c r="R707" s="16">
        <f>MONTH(tblSprzedaz[[#This Row],[Data]])</f>
        <v>7</v>
      </c>
      <c r="S707" s="9" t="str">
        <f>YEAR(tblSprzedaz[[#This Row],[Data]])&amp;"-"&amp;RIGHT("0"&amp;MONTH(tblSprzedaz[[#This Row],[Data]]),2)</f>
        <v>2025-07</v>
      </c>
    </row>
    <row r="708" spans="1:19" x14ac:dyDescent="0.25">
      <c r="A708" s="7" t="s">
        <v>1583</v>
      </c>
      <c r="B708" s="10">
        <v>45851</v>
      </c>
      <c r="C708" s="7" t="s">
        <v>1584</v>
      </c>
      <c r="D708" s="8" t="s">
        <v>128</v>
      </c>
      <c r="E708" s="8" t="s">
        <v>49</v>
      </c>
      <c r="F708" s="8" t="s">
        <v>29</v>
      </c>
      <c r="G708" s="8" t="s">
        <v>34</v>
      </c>
      <c r="H708" s="8" t="s">
        <v>45</v>
      </c>
      <c r="I708" s="11">
        <v>6</v>
      </c>
      <c r="J708" s="12">
        <v>39.44</v>
      </c>
      <c r="K708" s="13">
        <v>0.1</v>
      </c>
      <c r="L708" s="12">
        <v>22.95</v>
      </c>
      <c r="M708" s="14">
        <f>ROUND(tblSprzedaz[[#This Row],[Ilość]]*tblSprzedaz[[#This Row],[Cena netto jednostkowa]]*(1-tblSprzedaz[[#This Row],[Rabat %]]),2)</f>
        <v>212.98</v>
      </c>
      <c r="N708" s="14">
        <f>ROUND(tblSprzedaz[[#This Row],[Ilość]]*tblSprzedaz[[#This Row],[Koszt jednostkowy netto]],2)</f>
        <v>137.69999999999999</v>
      </c>
      <c r="O708" s="14">
        <f>tblSprzedaz[[#This Row],[Przychód netto]]-tblSprzedaz[[#This Row],[Koszt całkowity netto]]</f>
        <v>75.28</v>
      </c>
      <c r="P708" s="15">
        <f>IFERROR(tblSprzedaz[[#This Row],[Marża kwotowa]]/tblSprzedaz[[#This Row],[Przychód netto]],0)</f>
        <v>0.35346041881866846</v>
      </c>
      <c r="Q708" s="16">
        <f>YEAR(tblSprzedaz[[#This Row],[Data]])</f>
        <v>2025</v>
      </c>
      <c r="R708" s="16">
        <f>MONTH(tblSprzedaz[[#This Row],[Data]])</f>
        <v>7</v>
      </c>
      <c r="S708" s="9" t="str">
        <f>YEAR(tblSprzedaz[[#This Row],[Data]])&amp;"-"&amp;RIGHT("0"&amp;MONTH(tblSprzedaz[[#This Row],[Data]]),2)</f>
        <v>2025-07</v>
      </c>
    </row>
    <row r="709" spans="1:19" x14ac:dyDescent="0.25">
      <c r="A709" s="7" t="s">
        <v>1585</v>
      </c>
      <c r="B709" s="10">
        <v>45851</v>
      </c>
      <c r="C709" s="7" t="s">
        <v>1586</v>
      </c>
      <c r="D709" s="8" t="s">
        <v>108</v>
      </c>
      <c r="E709" s="8" t="s">
        <v>65</v>
      </c>
      <c r="F709" s="8" t="s">
        <v>33</v>
      </c>
      <c r="G709" s="8" t="s">
        <v>36</v>
      </c>
      <c r="H709" s="8" t="s">
        <v>46</v>
      </c>
      <c r="I709" s="11">
        <v>8</v>
      </c>
      <c r="J709" s="12">
        <v>377.2</v>
      </c>
      <c r="K709" s="13">
        <v>0.05</v>
      </c>
      <c r="L709" s="12">
        <v>264.01</v>
      </c>
      <c r="M709" s="14">
        <f>ROUND(tblSprzedaz[[#This Row],[Ilość]]*tblSprzedaz[[#This Row],[Cena netto jednostkowa]]*(1-tblSprzedaz[[#This Row],[Rabat %]]),2)</f>
        <v>2866.72</v>
      </c>
      <c r="N709" s="14">
        <f>ROUND(tblSprzedaz[[#This Row],[Ilość]]*tblSprzedaz[[#This Row],[Koszt jednostkowy netto]],2)</f>
        <v>2112.08</v>
      </c>
      <c r="O709" s="14">
        <f>tblSprzedaz[[#This Row],[Przychód netto]]-tblSprzedaz[[#This Row],[Koszt całkowity netto]]</f>
        <v>754.63999999999987</v>
      </c>
      <c r="P709" s="15">
        <f>IFERROR(tblSprzedaz[[#This Row],[Marża kwotowa]]/tblSprzedaz[[#This Row],[Przychód netto]],0)</f>
        <v>0.26324161410950492</v>
      </c>
      <c r="Q709" s="16">
        <f>YEAR(tblSprzedaz[[#This Row],[Data]])</f>
        <v>2025</v>
      </c>
      <c r="R709" s="16">
        <f>MONTH(tblSprzedaz[[#This Row],[Data]])</f>
        <v>7</v>
      </c>
      <c r="S709" s="9" t="str">
        <f>YEAR(tblSprzedaz[[#This Row],[Data]])&amp;"-"&amp;RIGHT("0"&amp;MONTH(tblSprzedaz[[#This Row],[Data]]),2)</f>
        <v>2025-07</v>
      </c>
    </row>
    <row r="710" spans="1:19" x14ac:dyDescent="0.25">
      <c r="A710" s="7" t="s">
        <v>1587</v>
      </c>
      <c r="B710" s="10">
        <v>45852</v>
      </c>
      <c r="C710" s="7" t="s">
        <v>1588</v>
      </c>
      <c r="D710" s="8" t="s">
        <v>94</v>
      </c>
      <c r="E710" s="8" t="s">
        <v>48</v>
      </c>
      <c r="F710" s="8" t="s">
        <v>29</v>
      </c>
      <c r="G710" s="8" t="s">
        <v>30</v>
      </c>
      <c r="H710" s="8" t="s">
        <v>41</v>
      </c>
      <c r="I710" s="11">
        <v>13</v>
      </c>
      <c r="J710" s="12">
        <v>33.659999999999997</v>
      </c>
      <c r="K710" s="13">
        <v>0.1</v>
      </c>
      <c r="L710" s="12">
        <v>18.8</v>
      </c>
      <c r="M710" s="14">
        <f>ROUND(tblSprzedaz[[#This Row],[Ilość]]*tblSprzedaz[[#This Row],[Cena netto jednostkowa]]*(1-tblSprzedaz[[#This Row],[Rabat %]]),2)</f>
        <v>393.82</v>
      </c>
      <c r="N710" s="14">
        <f>ROUND(tblSprzedaz[[#This Row],[Ilość]]*tblSprzedaz[[#This Row],[Koszt jednostkowy netto]],2)</f>
        <v>244.4</v>
      </c>
      <c r="O710" s="14">
        <f>tblSprzedaz[[#This Row],[Przychód netto]]-tblSprzedaz[[#This Row],[Koszt całkowity netto]]</f>
        <v>149.41999999999999</v>
      </c>
      <c r="P710" s="15">
        <f>IFERROR(tblSprzedaz[[#This Row],[Marża kwotowa]]/tblSprzedaz[[#This Row],[Przychód netto]],0)</f>
        <v>0.37941191407241887</v>
      </c>
      <c r="Q710" s="16">
        <f>YEAR(tblSprzedaz[[#This Row],[Data]])</f>
        <v>2025</v>
      </c>
      <c r="R710" s="16">
        <f>MONTH(tblSprzedaz[[#This Row],[Data]])</f>
        <v>7</v>
      </c>
      <c r="S710" s="9" t="str">
        <f>YEAR(tblSprzedaz[[#This Row],[Data]])&amp;"-"&amp;RIGHT("0"&amp;MONTH(tblSprzedaz[[#This Row],[Data]]),2)</f>
        <v>2025-07</v>
      </c>
    </row>
    <row r="711" spans="1:19" x14ac:dyDescent="0.25">
      <c r="A711" s="7" t="s">
        <v>1589</v>
      </c>
      <c r="B711" s="10">
        <v>45852</v>
      </c>
      <c r="C711" s="7" t="s">
        <v>1590</v>
      </c>
      <c r="D711" s="8" t="s">
        <v>118</v>
      </c>
      <c r="E711" s="8" t="s">
        <v>48</v>
      </c>
      <c r="F711" s="8" t="s">
        <v>29</v>
      </c>
      <c r="G711" s="8" t="s">
        <v>36</v>
      </c>
      <c r="H711" s="8" t="s">
        <v>46</v>
      </c>
      <c r="I711" s="11">
        <v>3</v>
      </c>
      <c r="J711" s="12">
        <v>33.659999999999997</v>
      </c>
      <c r="K711" s="13">
        <v>0</v>
      </c>
      <c r="L711" s="12">
        <v>21.08</v>
      </c>
      <c r="M711" s="14">
        <f>ROUND(tblSprzedaz[[#This Row],[Ilość]]*tblSprzedaz[[#This Row],[Cena netto jednostkowa]]*(1-tblSprzedaz[[#This Row],[Rabat %]]),2)</f>
        <v>100.98</v>
      </c>
      <c r="N711" s="14">
        <f>ROUND(tblSprzedaz[[#This Row],[Ilość]]*tblSprzedaz[[#This Row],[Koszt jednostkowy netto]],2)</f>
        <v>63.24</v>
      </c>
      <c r="O711" s="14">
        <f>tblSprzedaz[[#This Row],[Przychód netto]]-tblSprzedaz[[#This Row],[Koszt całkowity netto]]</f>
        <v>37.74</v>
      </c>
      <c r="P711" s="15">
        <f>IFERROR(tblSprzedaz[[#This Row],[Marża kwotowa]]/tblSprzedaz[[#This Row],[Przychód netto]],0)</f>
        <v>0.37373737373737376</v>
      </c>
      <c r="Q711" s="16">
        <f>YEAR(tblSprzedaz[[#This Row],[Data]])</f>
        <v>2025</v>
      </c>
      <c r="R711" s="16">
        <f>MONTH(tblSprzedaz[[#This Row],[Data]])</f>
        <v>7</v>
      </c>
      <c r="S711" s="9" t="str">
        <f>YEAR(tblSprzedaz[[#This Row],[Data]])&amp;"-"&amp;RIGHT("0"&amp;MONTH(tblSprzedaz[[#This Row],[Data]]),2)</f>
        <v>2025-07</v>
      </c>
    </row>
    <row r="712" spans="1:19" x14ac:dyDescent="0.25">
      <c r="A712" s="7" t="s">
        <v>1591</v>
      </c>
      <c r="B712" s="10">
        <v>45852</v>
      </c>
      <c r="C712" s="7" t="s">
        <v>1592</v>
      </c>
      <c r="D712" s="8" t="s">
        <v>95</v>
      </c>
      <c r="E712" s="8" t="s">
        <v>76</v>
      </c>
      <c r="F712" s="8" t="s">
        <v>37</v>
      </c>
      <c r="G712" s="8" t="s">
        <v>28</v>
      </c>
      <c r="H712" s="8" t="s">
        <v>39</v>
      </c>
      <c r="I712" s="11">
        <v>10</v>
      </c>
      <c r="J712" s="12">
        <v>158.65</v>
      </c>
      <c r="K712" s="13">
        <v>0.1</v>
      </c>
      <c r="L712" s="12">
        <v>118.29</v>
      </c>
      <c r="M712" s="14">
        <f>ROUND(tblSprzedaz[[#This Row],[Ilość]]*tblSprzedaz[[#This Row],[Cena netto jednostkowa]]*(1-tblSprzedaz[[#This Row],[Rabat %]]),2)</f>
        <v>1427.85</v>
      </c>
      <c r="N712" s="14">
        <f>ROUND(tblSprzedaz[[#This Row],[Ilość]]*tblSprzedaz[[#This Row],[Koszt jednostkowy netto]],2)</f>
        <v>1182.9000000000001</v>
      </c>
      <c r="O712" s="14">
        <f>tblSprzedaz[[#This Row],[Przychód netto]]-tblSprzedaz[[#This Row],[Koszt całkowity netto]]</f>
        <v>244.94999999999982</v>
      </c>
      <c r="P712" s="15">
        <f>IFERROR(tblSprzedaz[[#This Row],[Marża kwotowa]]/tblSprzedaz[[#This Row],[Przychód netto]],0)</f>
        <v>0.17155163357495523</v>
      </c>
      <c r="Q712" s="16">
        <f>YEAR(tblSprzedaz[[#This Row],[Data]])</f>
        <v>2025</v>
      </c>
      <c r="R712" s="16">
        <f>MONTH(tblSprzedaz[[#This Row],[Data]])</f>
        <v>7</v>
      </c>
      <c r="S712" s="9" t="str">
        <f>YEAR(tblSprzedaz[[#This Row],[Data]])&amp;"-"&amp;RIGHT("0"&amp;MONTH(tblSprzedaz[[#This Row],[Data]]),2)</f>
        <v>2025-07</v>
      </c>
    </row>
    <row r="713" spans="1:19" x14ac:dyDescent="0.25">
      <c r="A713" s="7" t="s">
        <v>1593</v>
      </c>
      <c r="B713" s="10">
        <v>45852</v>
      </c>
      <c r="C713" s="7" t="s">
        <v>1594</v>
      </c>
      <c r="D713" s="8" t="s">
        <v>109</v>
      </c>
      <c r="E713" s="8" t="s">
        <v>64</v>
      </c>
      <c r="F713" s="8" t="s">
        <v>33</v>
      </c>
      <c r="G713" s="8" t="s">
        <v>30</v>
      </c>
      <c r="H713" s="8" t="s">
        <v>40</v>
      </c>
      <c r="I713" s="11">
        <v>13</v>
      </c>
      <c r="J713" s="12">
        <v>768.2</v>
      </c>
      <c r="K713" s="13">
        <v>0</v>
      </c>
      <c r="L713" s="12">
        <v>542.59</v>
      </c>
      <c r="M713" s="14">
        <f>ROUND(tblSprzedaz[[#This Row],[Ilość]]*tblSprzedaz[[#This Row],[Cena netto jednostkowa]]*(1-tblSprzedaz[[#This Row],[Rabat %]]),2)</f>
        <v>9986.6</v>
      </c>
      <c r="N713" s="14">
        <f>ROUND(tblSprzedaz[[#This Row],[Ilość]]*tblSprzedaz[[#This Row],[Koszt jednostkowy netto]],2)</f>
        <v>7053.67</v>
      </c>
      <c r="O713" s="14">
        <f>tblSprzedaz[[#This Row],[Przychód netto]]-tblSprzedaz[[#This Row],[Koszt całkowity netto]]</f>
        <v>2932.9300000000003</v>
      </c>
      <c r="P713" s="15">
        <f>IFERROR(tblSprzedaz[[#This Row],[Marża kwotowa]]/tblSprzedaz[[#This Row],[Przychód netto]],0)</f>
        <v>0.29368653996355115</v>
      </c>
      <c r="Q713" s="16">
        <f>YEAR(tblSprzedaz[[#This Row],[Data]])</f>
        <v>2025</v>
      </c>
      <c r="R713" s="16">
        <f>MONTH(tblSprzedaz[[#This Row],[Data]])</f>
        <v>7</v>
      </c>
      <c r="S713" s="9" t="str">
        <f>YEAR(tblSprzedaz[[#This Row],[Data]])&amp;"-"&amp;RIGHT("0"&amp;MONTH(tblSprzedaz[[#This Row],[Data]]),2)</f>
        <v>2025-07</v>
      </c>
    </row>
    <row r="714" spans="1:19" x14ac:dyDescent="0.25">
      <c r="A714" s="7" t="s">
        <v>1595</v>
      </c>
      <c r="B714" s="10">
        <v>45852</v>
      </c>
      <c r="C714" s="7" t="s">
        <v>1596</v>
      </c>
      <c r="D714" s="8" t="s">
        <v>123</v>
      </c>
      <c r="E714" s="8" t="s">
        <v>59</v>
      </c>
      <c r="F714" s="8" t="s">
        <v>31</v>
      </c>
      <c r="G714" s="8" t="s">
        <v>30</v>
      </c>
      <c r="H714" s="8" t="s">
        <v>41</v>
      </c>
      <c r="I714" s="11">
        <v>4</v>
      </c>
      <c r="J714" s="12">
        <v>172.2</v>
      </c>
      <c r="K714" s="13">
        <v>0</v>
      </c>
      <c r="L714" s="12">
        <v>107.39</v>
      </c>
      <c r="M714" s="14">
        <f>ROUND(tblSprzedaz[[#This Row],[Ilość]]*tblSprzedaz[[#This Row],[Cena netto jednostkowa]]*(1-tblSprzedaz[[#This Row],[Rabat %]]),2)</f>
        <v>688.8</v>
      </c>
      <c r="N714" s="14">
        <f>ROUND(tblSprzedaz[[#This Row],[Ilość]]*tblSprzedaz[[#This Row],[Koszt jednostkowy netto]],2)</f>
        <v>429.56</v>
      </c>
      <c r="O714" s="14">
        <f>tblSprzedaz[[#This Row],[Przychód netto]]-tblSprzedaz[[#This Row],[Koszt całkowity netto]]</f>
        <v>259.23999999999995</v>
      </c>
      <c r="P714" s="15">
        <f>IFERROR(tblSprzedaz[[#This Row],[Marża kwotowa]]/tblSprzedaz[[#This Row],[Przychód netto]],0)</f>
        <v>0.37636469221835073</v>
      </c>
      <c r="Q714" s="16">
        <f>YEAR(tblSprzedaz[[#This Row],[Data]])</f>
        <v>2025</v>
      </c>
      <c r="R714" s="16">
        <f>MONTH(tblSprzedaz[[#This Row],[Data]])</f>
        <v>7</v>
      </c>
      <c r="S714" s="9" t="str">
        <f>YEAR(tblSprzedaz[[#This Row],[Data]])&amp;"-"&amp;RIGHT("0"&amp;MONTH(tblSprzedaz[[#This Row],[Data]]),2)</f>
        <v>2025-07</v>
      </c>
    </row>
    <row r="715" spans="1:19" x14ac:dyDescent="0.25">
      <c r="A715" s="7" t="s">
        <v>1597</v>
      </c>
      <c r="B715" s="10">
        <v>45853</v>
      </c>
      <c r="C715" s="7" t="s">
        <v>1598</v>
      </c>
      <c r="D715" s="8" t="s">
        <v>127</v>
      </c>
      <c r="E715" s="8" t="s">
        <v>62</v>
      </c>
      <c r="F715" s="8" t="s">
        <v>33</v>
      </c>
      <c r="G715" s="8" t="s">
        <v>32</v>
      </c>
      <c r="H715" s="8" t="s">
        <v>42</v>
      </c>
      <c r="I715" s="11">
        <v>19</v>
      </c>
      <c r="J715" s="12">
        <v>611.79999999999995</v>
      </c>
      <c r="K715" s="13">
        <v>0.05</v>
      </c>
      <c r="L715" s="12">
        <v>407.18</v>
      </c>
      <c r="M715" s="14">
        <f>ROUND(tblSprzedaz[[#This Row],[Ilość]]*tblSprzedaz[[#This Row],[Cena netto jednostkowa]]*(1-tblSprzedaz[[#This Row],[Rabat %]]),2)</f>
        <v>11042.99</v>
      </c>
      <c r="N715" s="14">
        <f>ROUND(tblSprzedaz[[#This Row],[Ilość]]*tblSprzedaz[[#This Row],[Koszt jednostkowy netto]],2)</f>
        <v>7736.42</v>
      </c>
      <c r="O715" s="14">
        <f>tblSprzedaz[[#This Row],[Przychód netto]]-tblSprzedaz[[#This Row],[Koszt całkowity netto]]</f>
        <v>3306.5699999999997</v>
      </c>
      <c r="P715" s="15">
        <f>IFERROR(tblSprzedaz[[#This Row],[Marża kwotowa]]/tblSprzedaz[[#This Row],[Przychód netto]],0)</f>
        <v>0.29942705734588182</v>
      </c>
      <c r="Q715" s="16">
        <f>YEAR(tblSprzedaz[[#This Row],[Data]])</f>
        <v>2025</v>
      </c>
      <c r="R715" s="16">
        <f>MONTH(tblSprzedaz[[#This Row],[Data]])</f>
        <v>7</v>
      </c>
      <c r="S715" s="9" t="str">
        <f>YEAR(tblSprzedaz[[#This Row],[Data]])&amp;"-"&amp;RIGHT("0"&amp;MONTH(tblSprzedaz[[#This Row],[Data]]),2)</f>
        <v>2025-07</v>
      </c>
    </row>
    <row r="716" spans="1:19" x14ac:dyDescent="0.25">
      <c r="A716" s="7" t="s">
        <v>1599</v>
      </c>
      <c r="B716" s="10">
        <v>45853</v>
      </c>
      <c r="C716" s="7" t="s">
        <v>1600</v>
      </c>
      <c r="D716" s="8" t="s">
        <v>132</v>
      </c>
      <c r="E716" s="8" t="s">
        <v>59</v>
      </c>
      <c r="F716" s="8" t="s">
        <v>31</v>
      </c>
      <c r="G716" s="8" t="s">
        <v>28</v>
      </c>
      <c r="H716" s="8" t="s">
        <v>39</v>
      </c>
      <c r="I716" s="11">
        <v>12</v>
      </c>
      <c r="J716" s="12">
        <v>172.2</v>
      </c>
      <c r="K716" s="13">
        <v>0</v>
      </c>
      <c r="L716" s="12">
        <v>102.8</v>
      </c>
      <c r="M716" s="14">
        <f>ROUND(tblSprzedaz[[#This Row],[Ilość]]*tblSprzedaz[[#This Row],[Cena netto jednostkowa]]*(1-tblSprzedaz[[#This Row],[Rabat %]]),2)</f>
        <v>2066.4</v>
      </c>
      <c r="N716" s="14">
        <f>ROUND(tblSprzedaz[[#This Row],[Ilość]]*tblSprzedaz[[#This Row],[Koszt jednostkowy netto]],2)</f>
        <v>1233.5999999999999</v>
      </c>
      <c r="O716" s="14">
        <f>tblSprzedaz[[#This Row],[Przychód netto]]-tblSprzedaz[[#This Row],[Koszt całkowity netto]]</f>
        <v>832.80000000000018</v>
      </c>
      <c r="P716" s="15">
        <f>IFERROR(tblSprzedaz[[#This Row],[Marża kwotowa]]/tblSprzedaz[[#This Row],[Przychód netto]],0)</f>
        <v>0.40301974448315919</v>
      </c>
      <c r="Q716" s="16">
        <f>YEAR(tblSprzedaz[[#This Row],[Data]])</f>
        <v>2025</v>
      </c>
      <c r="R716" s="16">
        <f>MONTH(tblSprzedaz[[#This Row],[Data]])</f>
        <v>7</v>
      </c>
      <c r="S716" s="9" t="str">
        <f>YEAR(tblSprzedaz[[#This Row],[Data]])&amp;"-"&amp;RIGHT("0"&amp;MONTH(tblSprzedaz[[#This Row],[Data]]),2)</f>
        <v>2025-07</v>
      </c>
    </row>
    <row r="717" spans="1:19" x14ac:dyDescent="0.25">
      <c r="A717" s="7" t="s">
        <v>1601</v>
      </c>
      <c r="B717" s="10">
        <v>45853</v>
      </c>
      <c r="C717" s="7" t="s">
        <v>1602</v>
      </c>
      <c r="D717" s="8" t="s">
        <v>117</v>
      </c>
      <c r="E717" s="8" t="s">
        <v>51</v>
      </c>
      <c r="F717" s="8" t="s">
        <v>29</v>
      </c>
      <c r="G717" s="8" t="s">
        <v>30</v>
      </c>
      <c r="H717" s="8" t="s">
        <v>40</v>
      </c>
      <c r="I717" s="11">
        <v>12</v>
      </c>
      <c r="J717" s="12">
        <v>51</v>
      </c>
      <c r="K717" s="13">
        <v>0</v>
      </c>
      <c r="L717" s="12">
        <v>31.63</v>
      </c>
      <c r="M717" s="14">
        <f>ROUND(tblSprzedaz[[#This Row],[Ilość]]*tblSprzedaz[[#This Row],[Cena netto jednostkowa]]*(1-tblSprzedaz[[#This Row],[Rabat %]]),2)</f>
        <v>612</v>
      </c>
      <c r="N717" s="14">
        <f>ROUND(tblSprzedaz[[#This Row],[Ilość]]*tblSprzedaz[[#This Row],[Koszt jednostkowy netto]],2)</f>
        <v>379.56</v>
      </c>
      <c r="O717" s="14">
        <f>tblSprzedaz[[#This Row],[Przychód netto]]-tblSprzedaz[[#This Row],[Koszt całkowity netto]]</f>
        <v>232.44</v>
      </c>
      <c r="P717" s="15">
        <f>IFERROR(tblSprzedaz[[#This Row],[Marża kwotowa]]/tblSprzedaz[[#This Row],[Przychód netto]],0)</f>
        <v>0.37980392156862747</v>
      </c>
      <c r="Q717" s="16">
        <f>YEAR(tblSprzedaz[[#This Row],[Data]])</f>
        <v>2025</v>
      </c>
      <c r="R717" s="16">
        <f>MONTH(tblSprzedaz[[#This Row],[Data]])</f>
        <v>7</v>
      </c>
      <c r="S717" s="9" t="str">
        <f>YEAR(tblSprzedaz[[#This Row],[Data]])&amp;"-"&amp;RIGHT("0"&amp;MONTH(tblSprzedaz[[#This Row],[Data]]),2)</f>
        <v>2025-07</v>
      </c>
    </row>
    <row r="718" spans="1:19" x14ac:dyDescent="0.25">
      <c r="A718" s="7" t="s">
        <v>1603</v>
      </c>
      <c r="B718" s="10">
        <v>45853</v>
      </c>
      <c r="C718" s="7" t="s">
        <v>1604</v>
      </c>
      <c r="D718" s="8" t="s">
        <v>99</v>
      </c>
      <c r="E718" s="8" t="s">
        <v>77</v>
      </c>
      <c r="F718" s="8" t="s">
        <v>37</v>
      </c>
      <c r="G718" s="8" t="s">
        <v>36</v>
      </c>
      <c r="H718" s="8" t="s">
        <v>46</v>
      </c>
      <c r="I718" s="11">
        <v>12</v>
      </c>
      <c r="J718" s="12">
        <v>77.900000000000006</v>
      </c>
      <c r="K718" s="13">
        <v>0.05</v>
      </c>
      <c r="L718" s="12">
        <v>59.53</v>
      </c>
      <c r="M718" s="14">
        <f>ROUND(tblSprzedaz[[#This Row],[Ilość]]*tblSprzedaz[[#This Row],[Cena netto jednostkowa]]*(1-tblSprzedaz[[#This Row],[Rabat %]]),2)</f>
        <v>888.06</v>
      </c>
      <c r="N718" s="14">
        <f>ROUND(tblSprzedaz[[#This Row],[Ilość]]*tblSprzedaz[[#This Row],[Koszt jednostkowy netto]],2)</f>
        <v>714.36</v>
      </c>
      <c r="O718" s="14">
        <f>tblSprzedaz[[#This Row],[Przychód netto]]-tblSprzedaz[[#This Row],[Koszt całkowity netto]]</f>
        <v>173.69999999999993</v>
      </c>
      <c r="P718" s="15">
        <f>IFERROR(tblSprzedaz[[#This Row],[Marża kwotowa]]/tblSprzedaz[[#This Row],[Przychód netto]],0)</f>
        <v>0.19559489223701096</v>
      </c>
      <c r="Q718" s="16">
        <f>YEAR(tblSprzedaz[[#This Row],[Data]])</f>
        <v>2025</v>
      </c>
      <c r="R718" s="16">
        <f>MONTH(tblSprzedaz[[#This Row],[Data]])</f>
        <v>7</v>
      </c>
      <c r="S718" s="9" t="str">
        <f>YEAR(tblSprzedaz[[#This Row],[Data]])&amp;"-"&amp;RIGHT("0"&amp;MONTH(tblSprzedaz[[#This Row],[Data]]),2)</f>
        <v>2025-07</v>
      </c>
    </row>
    <row r="719" spans="1:19" x14ac:dyDescent="0.25">
      <c r="A719" s="7" t="s">
        <v>1605</v>
      </c>
      <c r="B719" s="10">
        <v>45853</v>
      </c>
      <c r="C719" s="7" t="s">
        <v>1606</v>
      </c>
      <c r="D719" s="8" t="s">
        <v>101</v>
      </c>
      <c r="E719" s="8" t="s">
        <v>52</v>
      </c>
      <c r="F719" s="8" t="s">
        <v>29</v>
      </c>
      <c r="G719" s="8" t="s">
        <v>32</v>
      </c>
      <c r="H719" s="8" t="s">
        <v>43</v>
      </c>
      <c r="I719" s="11">
        <v>20</v>
      </c>
      <c r="J719" s="12">
        <v>56.78</v>
      </c>
      <c r="K719" s="13">
        <v>0.05</v>
      </c>
      <c r="L719" s="12">
        <v>32.21</v>
      </c>
      <c r="M719" s="14">
        <f>ROUND(tblSprzedaz[[#This Row],[Ilość]]*tblSprzedaz[[#This Row],[Cena netto jednostkowa]]*(1-tblSprzedaz[[#This Row],[Rabat %]]),2)</f>
        <v>1078.82</v>
      </c>
      <c r="N719" s="14">
        <f>ROUND(tblSprzedaz[[#This Row],[Ilość]]*tblSprzedaz[[#This Row],[Koszt jednostkowy netto]],2)</f>
        <v>644.20000000000005</v>
      </c>
      <c r="O719" s="14">
        <f>tblSprzedaz[[#This Row],[Przychód netto]]-tblSprzedaz[[#This Row],[Koszt całkowity netto]]</f>
        <v>434.61999999999989</v>
      </c>
      <c r="P719" s="15">
        <f>IFERROR(tblSprzedaz[[#This Row],[Marża kwotowa]]/tblSprzedaz[[#This Row],[Przychód netto]],0)</f>
        <v>0.40286609443651389</v>
      </c>
      <c r="Q719" s="16">
        <f>YEAR(tblSprzedaz[[#This Row],[Data]])</f>
        <v>2025</v>
      </c>
      <c r="R719" s="16">
        <f>MONTH(tblSprzedaz[[#This Row],[Data]])</f>
        <v>7</v>
      </c>
      <c r="S719" s="9" t="str">
        <f>YEAR(tblSprzedaz[[#This Row],[Data]])&amp;"-"&amp;RIGHT("0"&amp;MONTH(tblSprzedaz[[#This Row],[Data]]),2)</f>
        <v>2025-07</v>
      </c>
    </row>
    <row r="720" spans="1:19" x14ac:dyDescent="0.25">
      <c r="A720" s="7" t="s">
        <v>1607</v>
      </c>
      <c r="B720" s="10">
        <v>45854</v>
      </c>
      <c r="C720" s="7" t="s">
        <v>1608</v>
      </c>
      <c r="D720" s="8" t="s">
        <v>99</v>
      </c>
      <c r="E720" s="8" t="s">
        <v>73</v>
      </c>
      <c r="F720" s="8" t="s">
        <v>37</v>
      </c>
      <c r="G720" s="8" t="s">
        <v>32</v>
      </c>
      <c r="H720" s="8" t="s">
        <v>42</v>
      </c>
      <c r="I720" s="11">
        <v>18</v>
      </c>
      <c r="J720" s="12">
        <v>110.2</v>
      </c>
      <c r="K720" s="13">
        <v>0.15</v>
      </c>
      <c r="L720" s="12">
        <v>86.01</v>
      </c>
      <c r="M720" s="14">
        <f>ROUND(tblSprzedaz[[#This Row],[Ilość]]*tblSprzedaz[[#This Row],[Cena netto jednostkowa]]*(1-tblSprzedaz[[#This Row],[Rabat %]]),2)</f>
        <v>1686.06</v>
      </c>
      <c r="N720" s="14">
        <f>ROUND(tblSprzedaz[[#This Row],[Ilość]]*tblSprzedaz[[#This Row],[Koszt jednostkowy netto]],2)</f>
        <v>1548.18</v>
      </c>
      <c r="O720" s="14">
        <f>tblSprzedaz[[#This Row],[Przychód netto]]-tblSprzedaz[[#This Row],[Koszt całkowity netto]]</f>
        <v>137.87999999999988</v>
      </c>
      <c r="P720" s="15">
        <f>IFERROR(tblSprzedaz[[#This Row],[Marża kwotowa]]/tblSprzedaz[[#This Row],[Przychód netto]],0)</f>
        <v>8.1776449236681897E-2</v>
      </c>
      <c r="Q720" s="16">
        <f>YEAR(tblSprzedaz[[#This Row],[Data]])</f>
        <v>2025</v>
      </c>
      <c r="R720" s="16">
        <f>MONTH(tblSprzedaz[[#This Row],[Data]])</f>
        <v>7</v>
      </c>
      <c r="S720" s="9" t="str">
        <f>YEAR(tblSprzedaz[[#This Row],[Data]])&amp;"-"&amp;RIGHT("0"&amp;MONTH(tblSprzedaz[[#This Row],[Data]]),2)</f>
        <v>2025-07</v>
      </c>
    </row>
    <row r="721" spans="1:19" x14ac:dyDescent="0.25">
      <c r="A721" s="7" t="s">
        <v>1609</v>
      </c>
      <c r="B721" s="10">
        <v>45854</v>
      </c>
      <c r="C721" s="7" t="s">
        <v>1610</v>
      </c>
      <c r="D721" s="8" t="s">
        <v>111</v>
      </c>
      <c r="E721" s="8" t="s">
        <v>75</v>
      </c>
      <c r="F721" s="8" t="s">
        <v>37</v>
      </c>
      <c r="G721" s="8" t="s">
        <v>34</v>
      </c>
      <c r="H721" s="8" t="s">
        <v>44</v>
      </c>
      <c r="I721" s="11">
        <v>1</v>
      </c>
      <c r="J721" s="12">
        <v>142.5</v>
      </c>
      <c r="K721" s="13">
        <v>0.05</v>
      </c>
      <c r="L721" s="12">
        <v>108.8</v>
      </c>
      <c r="M721" s="14">
        <f>ROUND(tblSprzedaz[[#This Row],[Ilość]]*tblSprzedaz[[#This Row],[Cena netto jednostkowa]]*(1-tblSprzedaz[[#This Row],[Rabat %]]),2)</f>
        <v>135.38</v>
      </c>
      <c r="N721" s="14">
        <f>ROUND(tblSprzedaz[[#This Row],[Ilość]]*tblSprzedaz[[#This Row],[Koszt jednostkowy netto]],2)</f>
        <v>108.8</v>
      </c>
      <c r="O721" s="14">
        <f>tblSprzedaz[[#This Row],[Przychód netto]]-tblSprzedaz[[#This Row],[Koszt całkowity netto]]</f>
        <v>26.58</v>
      </c>
      <c r="P721" s="15">
        <f>IFERROR(tblSprzedaz[[#This Row],[Marża kwotowa]]/tblSprzedaz[[#This Row],[Przychód netto]],0)</f>
        <v>0.19633623873541142</v>
      </c>
      <c r="Q721" s="16">
        <f>YEAR(tblSprzedaz[[#This Row],[Data]])</f>
        <v>2025</v>
      </c>
      <c r="R721" s="16">
        <f>MONTH(tblSprzedaz[[#This Row],[Data]])</f>
        <v>7</v>
      </c>
      <c r="S721" s="9" t="str">
        <f>YEAR(tblSprzedaz[[#This Row],[Data]])&amp;"-"&amp;RIGHT("0"&amp;MONTH(tblSprzedaz[[#This Row],[Data]]),2)</f>
        <v>2025-07</v>
      </c>
    </row>
    <row r="722" spans="1:19" x14ac:dyDescent="0.25">
      <c r="A722" s="7" t="s">
        <v>1611</v>
      </c>
      <c r="B722" s="10">
        <v>45854</v>
      </c>
      <c r="C722" s="7" t="s">
        <v>1612</v>
      </c>
      <c r="D722" s="8" t="s">
        <v>104</v>
      </c>
      <c r="E722" s="8" t="s">
        <v>52</v>
      </c>
      <c r="F722" s="8" t="s">
        <v>29</v>
      </c>
      <c r="G722" s="8" t="s">
        <v>36</v>
      </c>
      <c r="H722" s="8" t="s">
        <v>47</v>
      </c>
      <c r="I722" s="11">
        <v>12</v>
      </c>
      <c r="J722" s="12">
        <v>56.78</v>
      </c>
      <c r="K722" s="13">
        <v>0.05</v>
      </c>
      <c r="L722" s="12">
        <v>31.59</v>
      </c>
      <c r="M722" s="14">
        <f>ROUND(tblSprzedaz[[#This Row],[Ilość]]*tblSprzedaz[[#This Row],[Cena netto jednostkowa]]*(1-tblSprzedaz[[#This Row],[Rabat %]]),2)</f>
        <v>647.29</v>
      </c>
      <c r="N722" s="14">
        <f>ROUND(tblSprzedaz[[#This Row],[Ilość]]*tblSprzedaz[[#This Row],[Koszt jednostkowy netto]],2)</f>
        <v>379.08</v>
      </c>
      <c r="O722" s="14">
        <f>tblSprzedaz[[#This Row],[Przychód netto]]-tblSprzedaz[[#This Row],[Koszt całkowity netto]]</f>
        <v>268.20999999999998</v>
      </c>
      <c r="P722" s="15">
        <f>IFERROR(tblSprzedaz[[#This Row],[Marża kwotowa]]/tblSprzedaz[[#This Row],[Przychód netto]],0)</f>
        <v>0.41435832470762718</v>
      </c>
      <c r="Q722" s="16">
        <f>YEAR(tblSprzedaz[[#This Row],[Data]])</f>
        <v>2025</v>
      </c>
      <c r="R722" s="16">
        <f>MONTH(tblSprzedaz[[#This Row],[Data]])</f>
        <v>7</v>
      </c>
      <c r="S722" s="9" t="str">
        <f>YEAR(tblSprzedaz[[#This Row],[Data]])&amp;"-"&amp;RIGHT("0"&amp;MONTH(tblSprzedaz[[#This Row],[Data]]),2)</f>
        <v>2025-07</v>
      </c>
    </row>
    <row r="723" spans="1:19" x14ac:dyDescent="0.25">
      <c r="A723" s="7" t="s">
        <v>1613</v>
      </c>
      <c r="B723" s="10">
        <v>45855</v>
      </c>
      <c r="C723" s="7" t="s">
        <v>1614</v>
      </c>
      <c r="D723" s="8" t="s">
        <v>133</v>
      </c>
      <c r="E723" s="8" t="s">
        <v>53</v>
      </c>
      <c r="F723" s="8" t="s">
        <v>29</v>
      </c>
      <c r="G723" s="8" t="s">
        <v>30</v>
      </c>
      <c r="H723" s="8" t="s">
        <v>41</v>
      </c>
      <c r="I723" s="11">
        <v>7</v>
      </c>
      <c r="J723" s="12">
        <v>27.88</v>
      </c>
      <c r="K723" s="13">
        <v>0.05</v>
      </c>
      <c r="L723" s="12">
        <v>15.77</v>
      </c>
      <c r="M723" s="14">
        <f>ROUND(tblSprzedaz[[#This Row],[Ilość]]*tblSprzedaz[[#This Row],[Cena netto jednostkowa]]*(1-tblSprzedaz[[#This Row],[Rabat %]]),2)</f>
        <v>185.4</v>
      </c>
      <c r="N723" s="14">
        <f>ROUND(tblSprzedaz[[#This Row],[Ilość]]*tblSprzedaz[[#This Row],[Koszt jednostkowy netto]],2)</f>
        <v>110.39</v>
      </c>
      <c r="O723" s="14">
        <f>tblSprzedaz[[#This Row],[Przychód netto]]-tblSprzedaz[[#This Row],[Koszt całkowity netto]]</f>
        <v>75.010000000000005</v>
      </c>
      <c r="P723" s="15">
        <f>IFERROR(tblSprzedaz[[#This Row],[Marża kwotowa]]/tblSprzedaz[[#This Row],[Przychód netto]],0)</f>
        <v>0.4045846817691478</v>
      </c>
      <c r="Q723" s="16">
        <f>YEAR(tblSprzedaz[[#This Row],[Data]])</f>
        <v>2025</v>
      </c>
      <c r="R723" s="16">
        <f>MONTH(tblSprzedaz[[#This Row],[Data]])</f>
        <v>7</v>
      </c>
      <c r="S723" s="9" t="str">
        <f>YEAR(tblSprzedaz[[#This Row],[Data]])&amp;"-"&amp;RIGHT("0"&amp;MONTH(tblSprzedaz[[#This Row],[Data]]),2)</f>
        <v>2025-07</v>
      </c>
    </row>
    <row r="724" spans="1:19" x14ac:dyDescent="0.25">
      <c r="A724" s="7" t="s">
        <v>1615</v>
      </c>
      <c r="B724" s="10">
        <v>45855</v>
      </c>
      <c r="C724" s="7" t="s">
        <v>1616</v>
      </c>
      <c r="D724" s="8" t="s">
        <v>148</v>
      </c>
      <c r="E724" s="8" t="s">
        <v>73</v>
      </c>
      <c r="F724" s="8" t="s">
        <v>37</v>
      </c>
      <c r="G724" s="8" t="s">
        <v>34</v>
      </c>
      <c r="H724" s="8" t="s">
        <v>44</v>
      </c>
      <c r="I724" s="11">
        <v>7</v>
      </c>
      <c r="J724" s="12">
        <v>110.2</v>
      </c>
      <c r="K724" s="13">
        <v>0</v>
      </c>
      <c r="L724" s="12">
        <v>85.84</v>
      </c>
      <c r="M724" s="14">
        <f>ROUND(tblSprzedaz[[#This Row],[Ilość]]*tblSprzedaz[[#This Row],[Cena netto jednostkowa]]*(1-tblSprzedaz[[#This Row],[Rabat %]]),2)</f>
        <v>771.4</v>
      </c>
      <c r="N724" s="14">
        <f>ROUND(tblSprzedaz[[#This Row],[Ilość]]*tblSprzedaz[[#This Row],[Koszt jednostkowy netto]],2)</f>
        <v>600.88</v>
      </c>
      <c r="O724" s="14">
        <f>tblSprzedaz[[#This Row],[Przychód netto]]-tblSprzedaz[[#This Row],[Koszt całkowity netto]]</f>
        <v>170.51999999999998</v>
      </c>
      <c r="P724" s="15">
        <f>IFERROR(tblSprzedaz[[#This Row],[Marża kwotowa]]/tblSprzedaz[[#This Row],[Przychód netto]],0)</f>
        <v>0.22105263157894736</v>
      </c>
      <c r="Q724" s="16">
        <f>YEAR(tblSprzedaz[[#This Row],[Data]])</f>
        <v>2025</v>
      </c>
      <c r="R724" s="16">
        <f>MONTH(tblSprzedaz[[#This Row],[Data]])</f>
        <v>7</v>
      </c>
      <c r="S724" s="9" t="str">
        <f>YEAR(tblSprzedaz[[#This Row],[Data]])&amp;"-"&amp;RIGHT("0"&amp;MONTH(tblSprzedaz[[#This Row],[Data]]),2)</f>
        <v>2025-07</v>
      </c>
    </row>
    <row r="725" spans="1:19" x14ac:dyDescent="0.25">
      <c r="A725" s="7" t="s">
        <v>1617</v>
      </c>
      <c r="B725" s="10">
        <v>45855</v>
      </c>
      <c r="C725" s="7" t="s">
        <v>1618</v>
      </c>
      <c r="D725" s="8" t="s">
        <v>100</v>
      </c>
      <c r="E725" s="8" t="s">
        <v>76</v>
      </c>
      <c r="F725" s="8" t="s">
        <v>37</v>
      </c>
      <c r="G725" s="8" t="s">
        <v>30</v>
      </c>
      <c r="H725" s="8" t="s">
        <v>40</v>
      </c>
      <c r="I725" s="11">
        <v>11</v>
      </c>
      <c r="J725" s="12">
        <v>158.65</v>
      </c>
      <c r="K725" s="13">
        <v>0.15</v>
      </c>
      <c r="L725" s="12">
        <v>118.37</v>
      </c>
      <c r="M725" s="14">
        <f>ROUND(tblSprzedaz[[#This Row],[Ilość]]*tblSprzedaz[[#This Row],[Cena netto jednostkowa]]*(1-tblSprzedaz[[#This Row],[Rabat %]]),2)</f>
        <v>1483.38</v>
      </c>
      <c r="N725" s="14">
        <f>ROUND(tblSprzedaz[[#This Row],[Ilość]]*tblSprzedaz[[#This Row],[Koszt jednostkowy netto]],2)</f>
        <v>1302.07</v>
      </c>
      <c r="O725" s="14">
        <f>tblSprzedaz[[#This Row],[Przychód netto]]-tblSprzedaz[[#This Row],[Koszt całkowity netto]]</f>
        <v>181.31000000000017</v>
      </c>
      <c r="P725" s="15">
        <f>IFERROR(tblSprzedaz[[#This Row],[Marża kwotowa]]/tblSprzedaz[[#This Row],[Przychód netto]],0)</f>
        <v>0.12222761531097909</v>
      </c>
      <c r="Q725" s="16">
        <f>YEAR(tblSprzedaz[[#This Row],[Data]])</f>
        <v>2025</v>
      </c>
      <c r="R725" s="16">
        <f>MONTH(tblSprzedaz[[#This Row],[Data]])</f>
        <v>7</v>
      </c>
      <c r="S725" s="9" t="str">
        <f>YEAR(tblSprzedaz[[#This Row],[Data]])&amp;"-"&amp;RIGHT("0"&amp;MONTH(tblSprzedaz[[#This Row],[Data]]),2)</f>
        <v>2025-07</v>
      </c>
    </row>
    <row r="726" spans="1:19" x14ac:dyDescent="0.25">
      <c r="A726" s="7" t="s">
        <v>1619</v>
      </c>
      <c r="B726" s="10">
        <v>45855</v>
      </c>
      <c r="C726" s="7" t="s">
        <v>1620</v>
      </c>
      <c r="D726" s="8" t="s">
        <v>79</v>
      </c>
      <c r="E726" s="8" t="s">
        <v>66</v>
      </c>
      <c r="F726" s="8" t="s">
        <v>35</v>
      </c>
      <c r="G726" s="8" t="s">
        <v>28</v>
      </c>
      <c r="H726" s="8" t="s">
        <v>38</v>
      </c>
      <c r="I726" s="11">
        <v>3</v>
      </c>
      <c r="J726" s="12">
        <v>67.319999999999993</v>
      </c>
      <c r="K726" s="13">
        <v>0.05</v>
      </c>
      <c r="L726" s="12">
        <v>49.21</v>
      </c>
      <c r="M726" s="14">
        <f>ROUND(tblSprzedaz[[#This Row],[Ilość]]*tblSprzedaz[[#This Row],[Cena netto jednostkowa]]*(1-tblSprzedaz[[#This Row],[Rabat %]]),2)</f>
        <v>191.86</v>
      </c>
      <c r="N726" s="14">
        <f>ROUND(tblSprzedaz[[#This Row],[Ilość]]*tblSprzedaz[[#This Row],[Koszt jednostkowy netto]],2)</f>
        <v>147.63</v>
      </c>
      <c r="O726" s="14">
        <f>tblSprzedaz[[#This Row],[Przychód netto]]-tblSprzedaz[[#This Row],[Koszt całkowity netto]]</f>
        <v>44.230000000000018</v>
      </c>
      <c r="P726" s="15">
        <f>IFERROR(tblSprzedaz[[#This Row],[Marża kwotowa]]/tblSprzedaz[[#This Row],[Przychód netto]],0)</f>
        <v>0.23053268007922451</v>
      </c>
      <c r="Q726" s="16">
        <f>YEAR(tblSprzedaz[[#This Row],[Data]])</f>
        <v>2025</v>
      </c>
      <c r="R726" s="16">
        <f>MONTH(tblSprzedaz[[#This Row],[Data]])</f>
        <v>7</v>
      </c>
      <c r="S726" s="9" t="str">
        <f>YEAR(tblSprzedaz[[#This Row],[Data]])&amp;"-"&amp;RIGHT("0"&amp;MONTH(tblSprzedaz[[#This Row],[Data]]),2)</f>
        <v>2025-07</v>
      </c>
    </row>
    <row r="727" spans="1:19" x14ac:dyDescent="0.25">
      <c r="A727" s="7" t="s">
        <v>1621</v>
      </c>
      <c r="B727" s="10">
        <v>45855</v>
      </c>
      <c r="C727" s="7" t="s">
        <v>1622</v>
      </c>
      <c r="D727" s="8" t="s">
        <v>110</v>
      </c>
      <c r="E727" s="8" t="s">
        <v>70</v>
      </c>
      <c r="F727" s="8" t="s">
        <v>35</v>
      </c>
      <c r="G727" s="8" t="s">
        <v>34</v>
      </c>
      <c r="H727" s="8" t="s">
        <v>44</v>
      </c>
      <c r="I727" s="11">
        <v>10</v>
      </c>
      <c r="J727" s="12">
        <v>113.56</v>
      </c>
      <c r="K727" s="13">
        <v>0</v>
      </c>
      <c r="L727" s="12">
        <v>85.74</v>
      </c>
      <c r="M727" s="14">
        <f>ROUND(tblSprzedaz[[#This Row],[Ilość]]*tblSprzedaz[[#This Row],[Cena netto jednostkowa]]*(1-tblSprzedaz[[#This Row],[Rabat %]]),2)</f>
        <v>1135.5999999999999</v>
      </c>
      <c r="N727" s="14">
        <f>ROUND(tblSprzedaz[[#This Row],[Ilość]]*tblSprzedaz[[#This Row],[Koszt jednostkowy netto]],2)</f>
        <v>857.4</v>
      </c>
      <c r="O727" s="14">
        <f>tblSprzedaz[[#This Row],[Przychód netto]]-tblSprzedaz[[#This Row],[Koszt całkowity netto]]</f>
        <v>278.19999999999993</v>
      </c>
      <c r="P727" s="15">
        <f>IFERROR(tblSprzedaz[[#This Row],[Marża kwotowa]]/tblSprzedaz[[#This Row],[Przychód netto]],0)</f>
        <v>0.24498062698133141</v>
      </c>
      <c r="Q727" s="16">
        <f>YEAR(tblSprzedaz[[#This Row],[Data]])</f>
        <v>2025</v>
      </c>
      <c r="R727" s="16">
        <f>MONTH(tblSprzedaz[[#This Row],[Data]])</f>
        <v>7</v>
      </c>
      <c r="S727" s="9" t="str">
        <f>YEAR(tblSprzedaz[[#This Row],[Data]])&amp;"-"&amp;RIGHT("0"&amp;MONTH(tblSprzedaz[[#This Row],[Data]]),2)</f>
        <v>2025-07</v>
      </c>
    </row>
    <row r="728" spans="1:19" x14ac:dyDescent="0.25">
      <c r="A728" s="7" t="s">
        <v>1623</v>
      </c>
      <c r="B728" s="10">
        <v>45856</v>
      </c>
      <c r="C728" s="7" t="s">
        <v>1624</v>
      </c>
      <c r="D728" s="8" t="s">
        <v>109</v>
      </c>
      <c r="E728" s="8" t="s">
        <v>77</v>
      </c>
      <c r="F728" s="8" t="s">
        <v>37</v>
      </c>
      <c r="G728" s="8" t="s">
        <v>34</v>
      </c>
      <c r="H728" s="8" t="s">
        <v>45</v>
      </c>
      <c r="I728" s="11">
        <v>2</v>
      </c>
      <c r="J728" s="12">
        <v>77.900000000000006</v>
      </c>
      <c r="K728" s="13">
        <v>0</v>
      </c>
      <c r="L728" s="12">
        <v>58.64</v>
      </c>
      <c r="M728" s="14">
        <f>ROUND(tblSprzedaz[[#This Row],[Ilość]]*tblSprzedaz[[#This Row],[Cena netto jednostkowa]]*(1-tblSprzedaz[[#This Row],[Rabat %]]),2)</f>
        <v>155.80000000000001</v>
      </c>
      <c r="N728" s="14">
        <f>ROUND(tblSprzedaz[[#This Row],[Ilość]]*tblSprzedaz[[#This Row],[Koszt jednostkowy netto]],2)</f>
        <v>117.28</v>
      </c>
      <c r="O728" s="14">
        <f>tblSprzedaz[[#This Row],[Przychód netto]]-tblSprzedaz[[#This Row],[Koszt całkowity netto]]</f>
        <v>38.52000000000001</v>
      </c>
      <c r="P728" s="15">
        <f>IFERROR(tblSprzedaz[[#This Row],[Marża kwotowa]]/tblSprzedaz[[#This Row],[Przychód netto]],0)</f>
        <v>0.24724005134788193</v>
      </c>
      <c r="Q728" s="16">
        <f>YEAR(tblSprzedaz[[#This Row],[Data]])</f>
        <v>2025</v>
      </c>
      <c r="R728" s="16">
        <f>MONTH(tblSprzedaz[[#This Row],[Data]])</f>
        <v>7</v>
      </c>
      <c r="S728" s="9" t="str">
        <f>YEAR(tblSprzedaz[[#This Row],[Data]])&amp;"-"&amp;RIGHT("0"&amp;MONTH(tblSprzedaz[[#This Row],[Data]]),2)</f>
        <v>2025-07</v>
      </c>
    </row>
    <row r="729" spans="1:19" x14ac:dyDescent="0.25">
      <c r="A729" s="7" t="s">
        <v>1625</v>
      </c>
      <c r="B729" s="10">
        <v>45856</v>
      </c>
      <c r="C729" s="7" t="s">
        <v>1626</v>
      </c>
      <c r="D729" s="8" t="s">
        <v>106</v>
      </c>
      <c r="E729" s="8" t="s">
        <v>63</v>
      </c>
      <c r="F729" s="8" t="s">
        <v>33</v>
      </c>
      <c r="G729" s="8" t="s">
        <v>30</v>
      </c>
      <c r="H729" s="8" t="s">
        <v>40</v>
      </c>
      <c r="I729" s="11">
        <v>15</v>
      </c>
      <c r="J729" s="12">
        <v>690</v>
      </c>
      <c r="K729" s="13">
        <v>0.05</v>
      </c>
      <c r="L729" s="12">
        <v>476.92</v>
      </c>
      <c r="M729" s="14">
        <f>ROUND(tblSprzedaz[[#This Row],[Ilość]]*tblSprzedaz[[#This Row],[Cena netto jednostkowa]]*(1-tblSprzedaz[[#This Row],[Rabat %]]),2)</f>
        <v>9832.5</v>
      </c>
      <c r="N729" s="14">
        <f>ROUND(tblSprzedaz[[#This Row],[Ilość]]*tblSprzedaz[[#This Row],[Koszt jednostkowy netto]],2)</f>
        <v>7153.8</v>
      </c>
      <c r="O729" s="14">
        <f>tblSprzedaz[[#This Row],[Przychód netto]]-tblSprzedaz[[#This Row],[Koszt całkowity netto]]</f>
        <v>2678.7</v>
      </c>
      <c r="P729" s="15">
        <f>IFERROR(tblSprzedaz[[#This Row],[Marża kwotowa]]/tblSprzedaz[[#This Row],[Przychód netto]],0)</f>
        <v>0.27243325705568266</v>
      </c>
      <c r="Q729" s="16">
        <f>YEAR(tblSprzedaz[[#This Row],[Data]])</f>
        <v>2025</v>
      </c>
      <c r="R729" s="16">
        <f>MONTH(tblSprzedaz[[#This Row],[Data]])</f>
        <v>7</v>
      </c>
      <c r="S729" s="9" t="str">
        <f>YEAR(tblSprzedaz[[#This Row],[Data]])&amp;"-"&amp;RIGHT("0"&amp;MONTH(tblSprzedaz[[#This Row],[Data]]),2)</f>
        <v>2025-07</v>
      </c>
    </row>
    <row r="730" spans="1:19" x14ac:dyDescent="0.25">
      <c r="A730" s="7" t="s">
        <v>1627</v>
      </c>
      <c r="B730" s="10">
        <v>45856</v>
      </c>
      <c r="C730" s="7" t="s">
        <v>1628</v>
      </c>
      <c r="D730" s="8" t="s">
        <v>126</v>
      </c>
      <c r="E730" s="8" t="s">
        <v>56</v>
      </c>
      <c r="F730" s="8" t="s">
        <v>31</v>
      </c>
      <c r="G730" s="8" t="s">
        <v>34</v>
      </c>
      <c r="H730" s="8" t="s">
        <v>45</v>
      </c>
      <c r="I730" s="11">
        <v>3</v>
      </c>
      <c r="J730" s="12">
        <v>279.3</v>
      </c>
      <c r="K730" s="13">
        <v>0</v>
      </c>
      <c r="L730" s="12">
        <v>170.4</v>
      </c>
      <c r="M730" s="14">
        <f>ROUND(tblSprzedaz[[#This Row],[Ilość]]*tblSprzedaz[[#This Row],[Cena netto jednostkowa]]*(1-tblSprzedaz[[#This Row],[Rabat %]]),2)</f>
        <v>837.9</v>
      </c>
      <c r="N730" s="14">
        <f>ROUND(tblSprzedaz[[#This Row],[Ilość]]*tblSprzedaz[[#This Row],[Koszt jednostkowy netto]],2)</f>
        <v>511.2</v>
      </c>
      <c r="O730" s="14">
        <f>tblSprzedaz[[#This Row],[Przychód netto]]-tblSprzedaz[[#This Row],[Koszt całkowity netto]]</f>
        <v>326.7</v>
      </c>
      <c r="P730" s="15">
        <f>IFERROR(tblSprzedaz[[#This Row],[Marża kwotowa]]/tblSprzedaz[[#This Row],[Przychód netto]],0)</f>
        <v>0.38990332975295383</v>
      </c>
      <c r="Q730" s="16">
        <f>YEAR(tblSprzedaz[[#This Row],[Data]])</f>
        <v>2025</v>
      </c>
      <c r="R730" s="16">
        <f>MONTH(tblSprzedaz[[#This Row],[Data]])</f>
        <v>7</v>
      </c>
      <c r="S730" s="9" t="str">
        <f>YEAR(tblSprzedaz[[#This Row],[Data]])&amp;"-"&amp;RIGHT("0"&amp;MONTH(tblSprzedaz[[#This Row],[Data]]),2)</f>
        <v>2025-07</v>
      </c>
    </row>
    <row r="731" spans="1:19" x14ac:dyDescent="0.25">
      <c r="A731" s="7" t="s">
        <v>1629</v>
      </c>
      <c r="B731" s="10">
        <v>45856</v>
      </c>
      <c r="C731" s="7" t="s">
        <v>1630</v>
      </c>
      <c r="D731" s="8" t="s">
        <v>124</v>
      </c>
      <c r="E731" s="8" t="s">
        <v>63</v>
      </c>
      <c r="F731" s="8" t="s">
        <v>33</v>
      </c>
      <c r="G731" s="8" t="s">
        <v>30</v>
      </c>
      <c r="H731" s="8" t="s">
        <v>41</v>
      </c>
      <c r="I731" s="11">
        <v>11</v>
      </c>
      <c r="J731" s="12">
        <v>690</v>
      </c>
      <c r="K731" s="13">
        <v>0</v>
      </c>
      <c r="L731" s="12">
        <v>454.88</v>
      </c>
      <c r="M731" s="14">
        <f>ROUND(tblSprzedaz[[#This Row],[Ilość]]*tblSprzedaz[[#This Row],[Cena netto jednostkowa]]*(1-tblSprzedaz[[#This Row],[Rabat %]]),2)</f>
        <v>7590</v>
      </c>
      <c r="N731" s="14">
        <f>ROUND(tblSprzedaz[[#This Row],[Ilość]]*tblSprzedaz[[#This Row],[Koszt jednostkowy netto]],2)</f>
        <v>5003.68</v>
      </c>
      <c r="O731" s="14">
        <f>tblSprzedaz[[#This Row],[Przychód netto]]-tblSprzedaz[[#This Row],[Koszt całkowity netto]]</f>
        <v>2586.3199999999997</v>
      </c>
      <c r="P731" s="15">
        <f>IFERROR(tblSprzedaz[[#This Row],[Marża kwotowa]]/tblSprzedaz[[#This Row],[Przychód netto]],0)</f>
        <v>0.34075362318840574</v>
      </c>
      <c r="Q731" s="16">
        <f>YEAR(tblSprzedaz[[#This Row],[Data]])</f>
        <v>2025</v>
      </c>
      <c r="R731" s="16">
        <f>MONTH(tblSprzedaz[[#This Row],[Data]])</f>
        <v>7</v>
      </c>
      <c r="S731" s="9" t="str">
        <f>YEAR(tblSprzedaz[[#This Row],[Data]])&amp;"-"&amp;RIGHT("0"&amp;MONTH(tblSprzedaz[[#This Row],[Data]]),2)</f>
        <v>2025-07</v>
      </c>
    </row>
    <row r="732" spans="1:19" x14ac:dyDescent="0.25">
      <c r="A732" s="7" t="s">
        <v>1631</v>
      </c>
      <c r="B732" s="10">
        <v>45856</v>
      </c>
      <c r="C732" s="7" t="s">
        <v>1632</v>
      </c>
      <c r="D732" s="8" t="s">
        <v>123</v>
      </c>
      <c r="E732" s="8" t="s">
        <v>74</v>
      </c>
      <c r="F732" s="8" t="s">
        <v>37</v>
      </c>
      <c r="G732" s="8" t="s">
        <v>28</v>
      </c>
      <c r="H732" s="8" t="s">
        <v>38</v>
      </c>
      <c r="I732" s="11">
        <v>11</v>
      </c>
      <c r="J732" s="12">
        <v>126.35</v>
      </c>
      <c r="K732" s="13">
        <v>0.15</v>
      </c>
      <c r="L732" s="12">
        <v>95.07</v>
      </c>
      <c r="M732" s="14">
        <f>ROUND(tblSprzedaz[[#This Row],[Ilość]]*tblSprzedaz[[#This Row],[Cena netto jednostkowa]]*(1-tblSprzedaz[[#This Row],[Rabat %]]),2)</f>
        <v>1181.3699999999999</v>
      </c>
      <c r="N732" s="14">
        <f>ROUND(tblSprzedaz[[#This Row],[Ilość]]*tblSprzedaz[[#This Row],[Koszt jednostkowy netto]],2)</f>
        <v>1045.77</v>
      </c>
      <c r="O732" s="14">
        <f>tblSprzedaz[[#This Row],[Przychód netto]]-tblSprzedaz[[#This Row],[Koszt całkowity netto]]</f>
        <v>135.59999999999991</v>
      </c>
      <c r="P732" s="15">
        <f>IFERROR(tblSprzedaz[[#This Row],[Marża kwotowa]]/tblSprzedaz[[#This Row],[Przychód netto]],0)</f>
        <v>0.11478199040097507</v>
      </c>
      <c r="Q732" s="16">
        <f>YEAR(tblSprzedaz[[#This Row],[Data]])</f>
        <v>2025</v>
      </c>
      <c r="R732" s="16">
        <f>MONTH(tblSprzedaz[[#This Row],[Data]])</f>
        <v>7</v>
      </c>
      <c r="S732" s="9" t="str">
        <f>YEAR(tblSprzedaz[[#This Row],[Data]])&amp;"-"&amp;RIGHT("0"&amp;MONTH(tblSprzedaz[[#This Row],[Data]]),2)</f>
        <v>2025-07</v>
      </c>
    </row>
    <row r="733" spans="1:19" x14ac:dyDescent="0.25">
      <c r="A733" s="7" t="s">
        <v>1633</v>
      </c>
      <c r="B733" s="10">
        <v>45857</v>
      </c>
      <c r="C733" s="7" t="s">
        <v>1634</v>
      </c>
      <c r="D733" s="8" t="s">
        <v>82</v>
      </c>
      <c r="E733" s="8" t="s">
        <v>72</v>
      </c>
      <c r="F733" s="8" t="s">
        <v>37</v>
      </c>
      <c r="G733" s="8" t="s">
        <v>30</v>
      </c>
      <c r="H733" s="8" t="s">
        <v>40</v>
      </c>
      <c r="I733" s="11">
        <v>8</v>
      </c>
      <c r="J733" s="12">
        <v>94.05</v>
      </c>
      <c r="K733" s="13">
        <v>0</v>
      </c>
      <c r="L733" s="12">
        <v>69.25</v>
      </c>
      <c r="M733" s="14">
        <f>ROUND(tblSprzedaz[[#This Row],[Ilość]]*tblSprzedaz[[#This Row],[Cena netto jednostkowa]]*(1-tblSprzedaz[[#This Row],[Rabat %]]),2)</f>
        <v>752.4</v>
      </c>
      <c r="N733" s="14">
        <f>ROUND(tblSprzedaz[[#This Row],[Ilość]]*tblSprzedaz[[#This Row],[Koszt jednostkowy netto]],2)</f>
        <v>554</v>
      </c>
      <c r="O733" s="14">
        <f>tblSprzedaz[[#This Row],[Przychód netto]]-tblSprzedaz[[#This Row],[Koszt całkowity netto]]</f>
        <v>198.39999999999998</v>
      </c>
      <c r="P733" s="15">
        <f>IFERROR(tblSprzedaz[[#This Row],[Marża kwotowa]]/tblSprzedaz[[#This Row],[Przychód netto]],0)</f>
        <v>0.26368952684742158</v>
      </c>
      <c r="Q733" s="16">
        <f>YEAR(tblSprzedaz[[#This Row],[Data]])</f>
        <v>2025</v>
      </c>
      <c r="R733" s="16">
        <f>MONTH(tblSprzedaz[[#This Row],[Data]])</f>
        <v>7</v>
      </c>
      <c r="S733" s="9" t="str">
        <f>YEAR(tblSprzedaz[[#This Row],[Data]])&amp;"-"&amp;RIGHT("0"&amp;MONTH(tblSprzedaz[[#This Row],[Data]]),2)</f>
        <v>2025-07</v>
      </c>
    </row>
    <row r="734" spans="1:19" x14ac:dyDescent="0.25">
      <c r="A734" s="7" t="s">
        <v>1635</v>
      </c>
      <c r="B734" s="10">
        <v>45857</v>
      </c>
      <c r="C734" s="7" t="s">
        <v>1636</v>
      </c>
      <c r="D734" s="8" t="s">
        <v>98</v>
      </c>
      <c r="E734" s="8" t="s">
        <v>53</v>
      </c>
      <c r="F734" s="8" t="s">
        <v>29</v>
      </c>
      <c r="G734" s="8" t="s">
        <v>36</v>
      </c>
      <c r="H734" s="8" t="s">
        <v>46</v>
      </c>
      <c r="I734" s="11">
        <v>11</v>
      </c>
      <c r="J734" s="12">
        <v>27.88</v>
      </c>
      <c r="K734" s="13">
        <v>0.1</v>
      </c>
      <c r="L734" s="12">
        <v>17.36</v>
      </c>
      <c r="M734" s="14">
        <f>ROUND(tblSprzedaz[[#This Row],[Ilość]]*tblSprzedaz[[#This Row],[Cena netto jednostkowa]]*(1-tblSprzedaz[[#This Row],[Rabat %]]),2)</f>
        <v>276.01</v>
      </c>
      <c r="N734" s="14">
        <f>ROUND(tblSprzedaz[[#This Row],[Ilość]]*tblSprzedaz[[#This Row],[Koszt jednostkowy netto]],2)</f>
        <v>190.96</v>
      </c>
      <c r="O734" s="14">
        <f>tblSprzedaz[[#This Row],[Przychód netto]]-tblSprzedaz[[#This Row],[Koszt całkowity netto]]</f>
        <v>85.049999999999983</v>
      </c>
      <c r="P734" s="15">
        <f>IFERROR(tblSprzedaz[[#This Row],[Marża kwotowa]]/tblSprzedaz[[#This Row],[Przychód netto]],0)</f>
        <v>0.30814100938371791</v>
      </c>
      <c r="Q734" s="16">
        <f>YEAR(tblSprzedaz[[#This Row],[Data]])</f>
        <v>2025</v>
      </c>
      <c r="R734" s="16">
        <f>MONTH(tblSprzedaz[[#This Row],[Data]])</f>
        <v>7</v>
      </c>
      <c r="S734" s="9" t="str">
        <f>YEAR(tblSprzedaz[[#This Row],[Data]])&amp;"-"&amp;RIGHT("0"&amp;MONTH(tblSprzedaz[[#This Row],[Data]]),2)</f>
        <v>2025-07</v>
      </c>
    </row>
    <row r="735" spans="1:19" x14ac:dyDescent="0.25">
      <c r="A735" s="7" t="s">
        <v>1637</v>
      </c>
      <c r="B735" s="10">
        <v>45858</v>
      </c>
      <c r="C735" s="7" t="s">
        <v>1638</v>
      </c>
      <c r="D735" s="8" t="s">
        <v>81</v>
      </c>
      <c r="E735" s="8" t="s">
        <v>62</v>
      </c>
      <c r="F735" s="8" t="s">
        <v>33</v>
      </c>
      <c r="G735" s="8" t="s">
        <v>28</v>
      </c>
      <c r="H735" s="8" t="s">
        <v>39</v>
      </c>
      <c r="I735" s="11">
        <v>4</v>
      </c>
      <c r="J735" s="12">
        <v>611.79999999999995</v>
      </c>
      <c r="K735" s="13">
        <v>0</v>
      </c>
      <c r="L735" s="12">
        <v>422.68</v>
      </c>
      <c r="M735" s="14">
        <f>ROUND(tblSprzedaz[[#This Row],[Ilość]]*tblSprzedaz[[#This Row],[Cena netto jednostkowa]]*(1-tblSprzedaz[[#This Row],[Rabat %]]),2)</f>
        <v>2447.1999999999998</v>
      </c>
      <c r="N735" s="14">
        <f>ROUND(tblSprzedaz[[#This Row],[Ilość]]*tblSprzedaz[[#This Row],[Koszt jednostkowy netto]],2)</f>
        <v>1690.72</v>
      </c>
      <c r="O735" s="14">
        <f>tblSprzedaz[[#This Row],[Przychód netto]]-tblSprzedaz[[#This Row],[Koszt całkowity netto]]</f>
        <v>756.47999999999979</v>
      </c>
      <c r="P735" s="15">
        <f>IFERROR(tblSprzedaz[[#This Row],[Marża kwotowa]]/tblSprzedaz[[#This Row],[Przychód netto]],0)</f>
        <v>0.30912062765609671</v>
      </c>
      <c r="Q735" s="16">
        <f>YEAR(tblSprzedaz[[#This Row],[Data]])</f>
        <v>2025</v>
      </c>
      <c r="R735" s="16">
        <f>MONTH(tblSprzedaz[[#This Row],[Data]])</f>
        <v>7</v>
      </c>
      <c r="S735" s="9" t="str">
        <f>YEAR(tblSprzedaz[[#This Row],[Data]])&amp;"-"&amp;RIGHT("0"&amp;MONTH(tblSprzedaz[[#This Row],[Data]]),2)</f>
        <v>2025-07</v>
      </c>
    </row>
    <row r="736" spans="1:19" x14ac:dyDescent="0.25">
      <c r="A736" s="7" t="s">
        <v>1639</v>
      </c>
      <c r="B736" s="10">
        <v>45858</v>
      </c>
      <c r="C736" s="7" t="s">
        <v>1640</v>
      </c>
      <c r="D736" s="8" t="s">
        <v>114</v>
      </c>
      <c r="E736" s="8" t="s">
        <v>73</v>
      </c>
      <c r="F736" s="8" t="s">
        <v>37</v>
      </c>
      <c r="G736" s="8" t="s">
        <v>30</v>
      </c>
      <c r="H736" s="8" t="s">
        <v>41</v>
      </c>
      <c r="I736" s="11">
        <v>4</v>
      </c>
      <c r="J736" s="12">
        <v>110.2</v>
      </c>
      <c r="K736" s="13">
        <v>0.05</v>
      </c>
      <c r="L736" s="12">
        <v>88.37</v>
      </c>
      <c r="M736" s="14">
        <f>ROUND(tblSprzedaz[[#This Row],[Ilość]]*tblSprzedaz[[#This Row],[Cena netto jednostkowa]]*(1-tblSprzedaz[[#This Row],[Rabat %]]),2)</f>
        <v>418.76</v>
      </c>
      <c r="N736" s="14">
        <f>ROUND(tblSprzedaz[[#This Row],[Ilość]]*tblSprzedaz[[#This Row],[Koszt jednostkowy netto]],2)</f>
        <v>353.48</v>
      </c>
      <c r="O736" s="14">
        <f>tblSprzedaz[[#This Row],[Przychód netto]]-tblSprzedaz[[#This Row],[Koszt całkowity netto]]</f>
        <v>65.279999999999973</v>
      </c>
      <c r="P736" s="15">
        <f>IFERROR(tblSprzedaz[[#This Row],[Marża kwotowa]]/tblSprzedaz[[#This Row],[Przychód netto]],0)</f>
        <v>0.1558888145954723</v>
      </c>
      <c r="Q736" s="16">
        <f>YEAR(tblSprzedaz[[#This Row],[Data]])</f>
        <v>2025</v>
      </c>
      <c r="R736" s="16">
        <f>MONTH(tblSprzedaz[[#This Row],[Data]])</f>
        <v>7</v>
      </c>
      <c r="S736" s="9" t="str">
        <f>YEAR(tblSprzedaz[[#This Row],[Data]])&amp;"-"&amp;RIGHT("0"&amp;MONTH(tblSprzedaz[[#This Row],[Data]]),2)</f>
        <v>2025-07</v>
      </c>
    </row>
    <row r="737" spans="1:19" x14ac:dyDescent="0.25">
      <c r="A737" s="7" t="s">
        <v>1641</v>
      </c>
      <c r="B737" s="10">
        <v>45859</v>
      </c>
      <c r="C737" s="7" t="s">
        <v>1642</v>
      </c>
      <c r="D737" s="8" t="s">
        <v>107</v>
      </c>
      <c r="E737" s="8" t="s">
        <v>74</v>
      </c>
      <c r="F737" s="8" t="s">
        <v>37</v>
      </c>
      <c r="G737" s="8" t="s">
        <v>32</v>
      </c>
      <c r="H737" s="8" t="s">
        <v>43</v>
      </c>
      <c r="I737" s="11">
        <v>6</v>
      </c>
      <c r="J737" s="12">
        <v>126.35</v>
      </c>
      <c r="K737" s="13">
        <v>0.05</v>
      </c>
      <c r="L737" s="12">
        <v>95.98</v>
      </c>
      <c r="M737" s="14">
        <f>ROUND(tblSprzedaz[[#This Row],[Ilość]]*tblSprzedaz[[#This Row],[Cena netto jednostkowa]]*(1-tblSprzedaz[[#This Row],[Rabat %]]),2)</f>
        <v>720.2</v>
      </c>
      <c r="N737" s="14">
        <f>ROUND(tblSprzedaz[[#This Row],[Ilość]]*tblSprzedaz[[#This Row],[Koszt jednostkowy netto]],2)</f>
        <v>575.88</v>
      </c>
      <c r="O737" s="14">
        <f>tblSprzedaz[[#This Row],[Przychód netto]]-tblSprzedaz[[#This Row],[Koszt całkowity netto]]</f>
        <v>144.32000000000005</v>
      </c>
      <c r="P737" s="15">
        <f>IFERROR(tblSprzedaz[[#This Row],[Marża kwotowa]]/tblSprzedaz[[#This Row],[Przychód netto]],0)</f>
        <v>0.20038878089419612</v>
      </c>
      <c r="Q737" s="16">
        <f>YEAR(tblSprzedaz[[#This Row],[Data]])</f>
        <v>2025</v>
      </c>
      <c r="R737" s="16">
        <f>MONTH(tblSprzedaz[[#This Row],[Data]])</f>
        <v>7</v>
      </c>
      <c r="S737" s="9" t="str">
        <f>YEAR(tblSprzedaz[[#This Row],[Data]])&amp;"-"&amp;RIGHT("0"&amp;MONTH(tblSprzedaz[[#This Row],[Data]]),2)</f>
        <v>2025-07</v>
      </c>
    </row>
    <row r="738" spans="1:19" x14ac:dyDescent="0.25">
      <c r="A738" s="7" t="s">
        <v>1643</v>
      </c>
      <c r="B738" s="10">
        <v>45859</v>
      </c>
      <c r="C738" s="7" t="s">
        <v>1644</v>
      </c>
      <c r="D738" s="8" t="s">
        <v>104</v>
      </c>
      <c r="E738" s="8" t="s">
        <v>68</v>
      </c>
      <c r="F738" s="8" t="s">
        <v>35</v>
      </c>
      <c r="G738" s="8" t="s">
        <v>28</v>
      </c>
      <c r="H738" s="8" t="s">
        <v>38</v>
      </c>
      <c r="I738" s="11">
        <v>6</v>
      </c>
      <c r="J738" s="12">
        <v>90.44</v>
      </c>
      <c r="K738" s="13">
        <v>0.15</v>
      </c>
      <c r="L738" s="12">
        <v>67.069999999999993</v>
      </c>
      <c r="M738" s="14">
        <f>ROUND(tblSprzedaz[[#This Row],[Ilość]]*tblSprzedaz[[#This Row],[Cena netto jednostkowa]]*(1-tblSprzedaz[[#This Row],[Rabat %]]),2)</f>
        <v>461.24</v>
      </c>
      <c r="N738" s="14">
        <f>ROUND(tblSprzedaz[[#This Row],[Ilość]]*tblSprzedaz[[#This Row],[Koszt jednostkowy netto]],2)</f>
        <v>402.42</v>
      </c>
      <c r="O738" s="14">
        <f>tblSprzedaz[[#This Row],[Przychód netto]]-tblSprzedaz[[#This Row],[Koszt całkowity netto]]</f>
        <v>58.819999999999993</v>
      </c>
      <c r="P738" s="15">
        <f>IFERROR(tblSprzedaz[[#This Row],[Marża kwotowa]]/tblSprzedaz[[#This Row],[Przychód netto]],0)</f>
        <v>0.12752580001734454</v>
      </c>
      <c r="Q738" s="16">
        <f>YEAR(tblSprzedaz[[#This Row],[Data]])</f>
        <v>2025</v>
      </c>
      <c r="R738" s="16">
        <f>MONTH(tblSprzedaz[[#This Row],[Data]])</f>
        <v>7</v>
      </c>
      <c r="S738" s="9" t="str">
        <f>YEAR(tblSprzedaz[[#This Row],[Data]])&amp;"-"&amp;RIGHT("0"&amp;MONTH(tblSprzedaz[[#This Row],[Data]]),2)</f>
        <v>2025-07</v>
      </c>
    </row>
    <row r="739" spans="1:19" x14ac:dyDescent="0.25">
      <c r="A739" s="7" t="s">
        <v>1645</v>
      </c>
      <c r="B739" s="10">
        <v>45859</v>
      </c>
      <c r="C739" s="7" t="s">
        <v>1646</v>
      </c>
      <c r="D739" s="8" t="s">
        <v>110</v>
      </c>
      <c r="E739" s="8" t="s">
        <v>50</v>
      </c>
      <c r="F739" s="8" t="s">
        <v>29</v>
      </c>
      <c r="G739" s="8" t="s">
        <v>30</v>
      </c>
      <c r="H739" s="8" t="s">
        <v>41</v>
      </c>
      <c r="I739" s="11">
        <v>16</v>
      </c>
      <c r="J739" s="12">
        <v>45.22</v>
      </c>
      <c r="K739" s="13">
        <v>0</v>
      </c>
      <c r="L739" s="12">
        <v>27.1</v>
      </c>
      <c r="M739" s="14">
        <f>ROUND(tblSprzedaz[[#This Row],[Ilość]]*tblSprzedaz[[#This Row],[Cena netto jednostkowa]]*(1-tblSprzedaz[[#This Row],[Rabat %]]),2)</f>
        <v>723.52</v>
      </c>
      <c r="N739" s="14">
        <f>ROUND(tblSprzedaz[[#This Row],[Ilość]]*tblSprzedaz[[#This Row],[Koszt jednostkowy netto]],2)</f>
        <v>433.6</v>
      </c>
      <c r="O739" s="14">
        <f>tblSprzedaz[[#This Row],[Przychód netto]]-tblSprzedaz[[#This Row],[Koszt całkowity netto]]</f>
        <v>289.91999999999996</v>
      </c>
      <c r="P739" s="15">
        <f>IFERROR(tblSprzedaz[[#This Row],[Marża kwotowa]]/tblSprzedaz[[#This Row],[Przychód netto]],0)</f>
        <v>0.40070765148164522</v>
      </c>
      <c r="Q739" s="16">
        <f>YEAR(tblSprzedaz[[#This Row],[Data]])</f>
        <v>2025</v>
      </c>
      <c r="R739" s="16">
        <f>MONTH(tblSprzedaz[[#This Row],[Data]])</f>
        <v>7</v>
      </c>
      <c r="S739" s="9" t="str">
        <f>YEAR(tblSprzedaz[[#This Row],[Data]])&amp;"-"&amp;RIGHT("0"&amp;MONTH(tblSprzedaz[[#This Row],[Data]]),2)</f>
        <v>2025-07</v>
      </c>
    </row>
    <row r="740" spans="1:19" x14ac:dyDescent="0.25">
      <c r="A740" s="7" t="s">
        <v>1647</v>
      </c>
      <c r="B740" s="10">
        <v>45859</v>
      </c>
      <c r="C740" s="7" t="s">
        <v>1648</v>
      </c>
      <c r="D740" s="8" t="s">
        <v>78</v>
      </c>
      <c r="E740" s="8" t="s">
        <v>57</v>
      </c>
      <c r="F740" s="8" t="s">
        <v>31</v>
      </c>
      <c r="G740" s="8" t="s">
        <v>32</v>
      </c>
      <c r="H740" s="8" t="s">
        <v>42</v>
      </c>
      <c r="I740" s="11">
        <v>20</v>
      </c>
      <c r="J740" s="12">
        <v>315</v>
      </c>
      <c r="K740" s="13">
        <v>0.05</v>
      </c>
      <c r="L740" s="12">
        <v>209.38</v>
      </c>
      <c r="M740" s="14">
        <f>ROUND(tblSprzedaz[[#This Row],[Ilość]]*tblSprzedaz[[#This Row],[Cena netto jednostkowa]]*(1-tblSprzedaz[[#This Row],[Rabat %]]),2)</f>
        <v>5985</v>
      </c>
      <c r="N740" s="14">
        <f>ROUND(tblSprzedaz[[#This Row],[Ilość]]*tblSprzedaz[[#This Row],[Koszt jednostkowy netto]],2)</f>
        <v>4187.6000000000004</v>
      </c>
      <c r="O740" s="14">
        <f>tblSprzedaz[[#This Row],[Przychód netto]]-tblSprzedaz[[#This Row],[Koszt całkowity netto]]</f>
        <v>1797.3999999999996</v>
      </c>
      <c r="P740" s="15">
        <f>IFERROR(tblSprzedaz[[#This Row],[Marża kwotowa]]/tblSprzedaz[[#This Row],[Przychód netto]],0)</f>
        <v>0.30031746031746026</v>
      </c>
      <c r="Q740" s="16">
        <f>YEAR(tblSprzedaz[[#This Row],[Data]])</f>
        <v>2025</v>
      </c>
      <c r="R740" s="16">
        <f>MONTH(tblSprzedaz[[#This Row],[Data]])</f>
        <v>7</v>
      </c>
      <c r="S740" s="9" t="str">
        <f>YEAR(tblSprzedaz[[#This Row],[Data]])&amp;"-"&amp;RIGHT("0"&amp;MONTH(tblSprzedaz[[#This Row],[Data]]),2)</f>
        <v>2025-07</v>
      </c>
    </row>
    <row r="741" spans="1:19" x14ac:dyDescent="0.25">
      <c r="A741" s="7" t="s">
        <v>1649</v>
      </c>
      <c r="B741" s="10">
        <v>45860</v>
      </c>
      <c r="C741" s="7" t="s">
        <v>1650</v>
      </c>
      <c r="D741" s="8" t="s">
        <v>115</v>
      </c>
      <c r="E741" s="8" t="s">
        <v>73</v>
      </c>
      <c r="F741" s="8" t="s">
        <v>37</v>
      </c>
      <c r="G741" s="8" t="s">
        <v>30</v>
      </c>
      <c r="H741" s="8" t="s">
        <v>41</v>
      </c>
      <c r="I741" s="11">
        <v>10</v>
      </c>
      <c r="J741" s="12">
        <v>110.2</v>
      </c>
      <c r="K741" s="13">
        <v>0</v>
      </c>
      <c r="L741" s="12">
        <v>84.28</v>
      </c>
      <c r="M741" s="14">
        <f>ROUND(tblSprzedaz[[#This Row],[Ilość]]*tblSprzedaz[[#This Row],[Cena netto jednostkowa]]*(1-tblSprzedaz[[#This Row],[Rabat %]]),2)</f>
        <v>1102</v>
      </c>
      <c r="N741" s="14">
        <f>ROUND(tblSprzedaz[[#This Row],[Ilość]]*tblSprzedaz[[#This Row],[Koszt jednostkowy netto]],2)</f>
        <v>842.8</v>
      </c>
      <c r="O741" s="14">
        <f>tblSprzedaz[[#This Row],[Przychód netto]]-tblSprzedaz[[#This Row],[Koszt całkowity netto]]</f>
        <v>259.20000000000005</v>
      </c>
      <c r="P741" s="15">
        <f>IFERROR(tblSprzedaz[[#This Row],[Marża kwotowa]]/tblSprzedaz[[#This Row],[Przychód netto]],0)</f>
        <v>0.23520871143375685</v>
      </c>
      <c r="Q741" s="16">
        <f>YEAR(tblSprzedaz[[#This Row],[Data]])</f>
        <v>2025</v>
      </c>
      <c r="R741" s="16">
        <f>MONTH(tblSprzedaz[[#This Row],[Data]])</f>
        <v>7</v>
      </c>
      <c r="S741" s="9" t="str">
        <f>YEAR(tblSprzedaz[[#This Row],[Data]])&amp;"-"&amp;RIGHT("0"&amp;MONTH(tblSprzedaz[[#This Row],[Data]]),2)</f>
        <v>2025-07</v>
      </c>
    </row>
    <row r="742" spans="1:19" x14ac:dyDescent="0.25">
      <c r="A742" s="7" t="s">
        <v>1651</v>
      </c>
      <c r="B742" s="10">
        <v>45860</v>
      </c>
      <c r="C742" s="7" t="s">
        <v>1652</v>
      </c>
      <c r="D742" s="8" t="s">
        <v>112</v>
      </c>
      <c r="E742" s="8" t="s">
        <v>71</v>
      </c>
      <c r="F742" s="8" t="s">
        <v>35</v>
      </c>
      <c r="G742" s="8" t="s">
        <v>32</v>
      </c>
      <c r="H742" s="8" t="s">
        <v>43</v>
      </c>
      <c r="I742" s="11">
        <v>1</v>
      </c>
      <c r="J742" s="12">
        <v>55.76</v>
      </c>
      <c r="K742" s="13">
        <v>0</v>
      </c>
      <c r="L742" s="12">
        <v>40.93</v>
      </c>
      <c r="M742" s="14">
        <f>ROUND(tblSprzedaz[[#This Row],[Ilość]]*tblSprzedaz[[#This Row],[Cena netto jednostkowa]]*(1-tblSprzedaz[[#This Row],[Rabat %]]),2)</f>
        <v>55.76</v>
      </c>
      <c r="N742" s="14">
        <f>ROUND(tblSprzedaz[[#This Row],[Ilość]]*tblSprzedaz[[#This Row],[Koszt jednostkowy netto]],2)</f>
        <v>40.93</v>
      </c>
      <c r="O742" s="14">
        <f>tblSprzedaz[[#This Row],[Przychód netto]]-tblSprzedaz[[#This Row],[Koszt całkowity netto]]</f>
        <v>14.829999999999998</v>
      </c>
      <c r="P742" s="15">
        <f>IFERROR(tblSprzedaz[[#This Row],[Marża kwotowa]]/tblSprzedaz[[#This Row],[Przychód netto]],0)</f>
        <v>0.26596126255380198</v>
      </c>
      <c r="Q742" s="16">
        <f>YEAR(tblSprzedaz[[#This Row],[Data]])</f>
        <v>2025</v>
      </c>
      <c r="R742" s="16">
        <f>MONTH(tblSprzedaz[[#This Row],[Data]])</f>
        <v>7</v>
      </c>
      <c r="S742" s="9" t="str">
        <f>YEAR(tblSprzedaz[[#This Row],[Data]])&amp;"-"&amp;RIGHT("0"&amp;MONTH(tblSprzedaz[[#This Row],[Data]]),2)</f>
        <v>2025-07</v>
      </c>
    </row>
    <row r="743" spans="1:19" x14ac:dyDescent="0.25">
      <c r="A743" s="7" t="s">
        <v>1653</v>
      </c>
      <c r="B743" s="10">
        <v>45860</v>
      </c>
      <c r="C743" s="7" t="s">
        <v>1654</v>
      </c>
      <c r="D743" s="8" t="s">
        <v>82</v>
      </c>
      <c r="E743" s="8" t="s">
        <v>76</v>
      </c>
      <c r="F743" s="8" t="s">
        <v>37</v>
      </c>
      <c r="G743" s="8" t="s">
        <v>36</v>
      </c>
      <c r="H743" s="8" t="s">
        <v>46</v>
      </c>
      <c r="I743" s="11">
        <v>8</v>
      </c>
      <c r="J743" s="12">
        <v>158.65</v>
      </c>
      <c r="K743" s="13">
        <v>0</v>
      </c>
      <c r="L743" s="12">
        <v>118.76</v>
      </c>
      <c r="M743" s="14">
        <f>ROUND(tblSprzedaz[[#This Row],[Ilość]]*tblSprzedaz[[#This Row],[Cena netto jednostkowa]]*(1-tblSprzedaz[[#This Row],[Rabat %]]),2)</f>
        <v>1269.2</v>
      </c>
      <c r="N743" s="14">
        <f>ROUND(tblSprzedaz[[#This Row],[Ilość]]*tblSprzedaz[[#This Row],[Koszt jednostkowy netto]],2)</f>
        <v>950.08</v>
      </c>
      <c r="O743" s="14">
        <f>tblSprzedaz[[#This Row],[Przychód netto]]-tblSprzedaz[[#This Row],[Koszt całkowity netto]]</f>
        <v>319.12</v>
      </c>
      <c r="P743" s="15">
        <f>IFERROR(tblSprzedaz[[#This Row],[Marża kwotowa]]/tblSprzedaz[[#This Row],[Przychód netto]],0)</f>
        <v>0.25143397415694924</v>
      </c>
      <c r="Q743" s="16">
        <f>YEAR(tblSprzedaz[[#This Row],[Data]])</f>
        <v>2025</v>
      </c>
      <c r="R743" s="16">
        <f>MONTH(tblSprzedaz[[#This Row],[Data]])</f>
        <v>7</v>
      </c>
      <c r="S743" s="9" t="str">
        <f>YEAR(tblSprzedaz[[#This Row],[Data]])&amp;"-"&amp;RIGHT("0"&amp;MONTH(tblSprzedaz[[#This Row],[Data]]),2)</f>
        <v>2025-07</v>
      </c>
    </row>
    <row r="744" spans="1:19" x14ac:dyDescent="0.25">
      <c r="A744" s="7" t="s">
        <v>1655</v>
      </c>
      <c r="B744" s="10">
        <v>45860</v>
      </c>
      <c r="C744" s="7" t="s">
        <v>1656</v>
      </c>
      <c r="D744" s="8" t="s">
        <v>120</v>
      </c>
      <c r="E744" s="8" t="s">
        <v>49</v>
      </c>
      <c r="F744" s="8" t="s">
        <v>29</v>
      </c>
      <c r="G744" s="8" t="s">
        <v>28</v>
      </c>
      <c r="H744" s="8" t="s">
        <v>39</v>
      </c>
      <c r="I744" s="11">
        <v>12</v>
      </c>
      <c r="J744" s="12">
        <v>39.44</v>
      </c>
      <c r="K744" s="13">
        <v>0.1</v>
      </c>
      <c r="L744" s="12">
        <v>23.65</v>
      </c>
      <c r="M744" s="14">
        <f>ROUND(tblSprzedaz[[#This Row],[Ilość]]*tblSprzedaz[[#This Row],[Cena netto jednostkowa]]*(1-tblSprzedaz[[#This Row],[Rabat %]]),2)</f>
        <v>425.95</v>
      </c>
      <c r="N744" s="14">
        <f>ROUND(tblSprzedaz[[#This Row],[Ilość]]*tblSprzedaz[[#This Row],[Koszt jednostkowy netto]],2)</f>
        <v>283.8</v>
      </c>
      <c r="O744" s="14">
        <f>tblSprzedaz[[#This Row],[Przychód netto]]-tblSprzedaz[[#This Row],[Koszt całkowity netto]]</f>
        <v>142.14999999999998</v>
      </c>
      <c r="P744" s="15">
        <f>IFERROR(tblSprzedaz[[#This Row],[Marża kwotowa]]/tblSprzedaz[[#This Row],[Przychód netto]],0)</f>
        <v>0.33372461556520716</v>
      </c>
      <c r="Q744" s="16">
        <f>YEAR(tblSprzedaz[[#This Row],[Data]])</f>
        <v>2025</v>
      </c>
      <c r="R744" s="16">
        <f>MONTH(tblSprzedaz[[#This Row],[Data]])</f>
        <v>7</v>
      </c>
      <c r="S744" s="9" t="str">
        <f>YEAR(tblSprzedaz[[#This Row],[Data]])&amp;"-"&amp;RIGHT("0"&amp;MONTH(tblSprzedaz[[#This Row],[Data]]),2)</f>
        <v>2025-07</v>
      </c>
    </row>
    <row r="745" spans="1:19" x14ac:dyDescent="0.25">
      <c r="A745" s="7" t="s">
        <v>1657</v>
      </c>
      <c r="B745" s="10">
        <v>45860</v>
      </c>
      <c r="C745" s="7" t="s">
        <v>1658</v>
      </c>
      <c r="D745" s="8" t="s">
        <v>149</v>
      </c>
      <c r="E745" s="8" t="s">
        <v>70</v>
      </c>
      <c r="F745" s="8" t="s">
        <v>35</v>
      </c>
      <c r="G745" s="8" t="s">
        <v>34</v>
      </c>
      <c r="H745" s="8" t="s">
        <v>44</v>
      </c>
      <c r="I745" s="11">
        <v>6</v>
      </c>
      <c r="J745" s="12">
        <v>113.56</v>
      </c>
      <c r="K745" s="13">
        <v>0</v>
      </c>
      <c r="L745" s="12">
        <v>84.36</v>
      </c>
      <c r="M745" s="14">
        <f>ROUND(tblSprzedaz[[#This Row],[Ilość]]*tblSprzedaz[[#This Row],[Cena netto jednostkowa]]*(1-tblSprzedaz[[#This Row],[Rabat %]]),2)</f>
        <v>681.36</v>
      </c>
      <c r="N745" s="14">
        <f>ROUND(tblSprzedaz[[#This Row],[Ilość]]*tblSprzedaz[[#This Row],[Koszt jednostkowy netto]],2)</f>
        <v>506.16</v>
      </c>
      <c r="O745" s="14">
        <f>tblSprzedaz[[#This Row],[Przychód netto]]-tblSprzedaz[[#This Row],[Koszt całkowity netto]]</f>
        <v>175.2</v>
      </c>
      <c r="P745" s="15">
        <f>IFERROR(tblSprzedaz[[#This Row],[Marża kwotowa]]/tblSprzedaz[[#This Row],[Przychód netto]],0)</f>
        <v>0.25713279323705529</v>
      </c>
      <c r="Q745" s="16">
        <f>YEAR(tblSprzedaz[[#This Row],[Data]])</f>
        <v>2025</v>
      </c>
      <c r="R745" s="16">
        <f>MONTH(tblSprzedaz[[#This Row],[Data]])</f>
        <v>7</v>
      </c>
      <c r="S745" s="9" t="str">
        <f>YEAR(tblSprzedaz[[#This Row],[Data]])&amp;"-"&amp;RIGHT("0"&amp;MONTH(tblSprzedaz[[#This Row],[Data]]),2)</f>
        <v>2025-07</v>
      </c>
    </row>
    <row r="746" spans="1:19" x14ac:dyDescent="0.25">
      <c r="A746" s="7" t="s">
        <v>1659</v>
      </c>
      <c r="B746" s="10">
        <v>45861</v>
      </c>
      <c r="C746" s="7" t="s">
        <v>1660</v>
      </c>
      <c r="D746" s="8" t="s">
        <v>126</v>
      </c>
      <c r="E746" s="8" t="s">
        <v>75</v>
      </c>
      <c r="F746" s="8" t="s">
        <v>37</v>
      </c>
      <c r="G746" s="8" t="s">
        <v>32</v>
      </c>
      <c r="H746" s="8" t="s">
        <v>43</v>
      </c>
      <c r="I746" s="11">
        <v>5</v>
      </c>
      <c r="J746" s="12">
        <v>142.5</v>
      </c>
      <c r="K746" s="13">
        <v>0.15</v>
      </c>
      <c r="L746" s="12">
        <v>114.7</v>
      </c>
      <c r="M746" s="14">
        <f>ROUND(tblSprzedaz[[#This Row],[Ilość]]*tblSprzedaz[[#This Row],[Cena netto jednostkowa]]*(1-tblSprzedaz[[#This Row],[Rabat %]]),2)</f>
        <v>605.63</v>
      </c>
      <c r="N746" s="14">
        <f>ROUND(tblSprzedaz[[#This Row],[Ilość]]*tblSprzedaz[[#This Row],[Koszt jednostkowy netto]],2)</f>
        <v>573.5</v>
      </c>
      <c r="O746" s="14">
        <f>tblSprzedaz[[#This Row],[Przychód netto]]-tblSprzedaz[[#This Row],[Koszt całkowity netto]]</f>
        <v>32.129999999999995</v>
      </c>
      <c r="P746" s="15">
        <f>IFERROR(tblSprzedaz[[#This Row],[Marża kwotowa]]/tblSprzedaz[[#This Row],[Przychód netto]],0)</f>
        <v>5.3052193583541102E-2</v>
      </c>
      <c r="Q746" s="16">
        <f>YEAR(tblSprzedaz[[#This Row],[Data]])</f>
        <v>2025</v>
      </c>
      <c r="R746" s="16">
        <f>MONTH(tblSprzedaz[[#This Row],[Data]])</f>
        <v>7</v>
      </c>
      <c r="S746" s="9" t="str">
        <f>YEAR(tblSprzedaz[[#This Row],[Data]])&amp;"-"&amp;RIGHT("0"&amp;MONTH(tblSprzedaz[[#This Row],[Data]]),2)</f>
        <v>2025-07</v>
      </c>
    </row>
    <row r="747" spans="1:19" x14ac:dyDescent="0.25">
      <c r="A747" s="7" t="s">
        <v>1661</v>
      </c>
      <c r="B747" s="10">
        <v>45861</v>
      </c>
      <c r="C747" s="7" t="s">
        <v>1662</v>
      </c>
      <c r="D747" s="8" t="s">
        <v>123</v>
      </c>
      <c r="E747" s="8" t="s">
        <v>52</v>
      </c>
      <c r="F747" s="8" t="s">
        <v>29</v>
      </c>
      <c r="G747" s="8" t="s">
        <v>28</v>
      </c>
      <c r="H747" s="8" t="s">
        <v>38</v>
      </c>
      <c r="I747" s="11">
        <v>3</v>
      </c>
      <c r="J747" s="12">
        <v>56.78</v>
      </c>
      <c r="K747" s="13">
        <v>0.05</v>
      </c>
      <c r="L747" s="12">
        <v>34.65</v>
      </c>
      <c r="M747" s="14">
        <f>ROUND(tblSprzedaz[[#This Row],[Ilość]]*tblSprzedaz[[#This Row],[Cena netto jednostkowa]]*(1-tblSprzedaz[[#This Row],[Rabat %]]),2)</f>
        <v>161.82</v>
      </c>
      <c r="N747" s="14">
        <f>ROUND(tblSprzedaz[[#This Row],[Ilość]]*tblSprzedaz[[#This Row],[Koszt jednostkowy netto]],2)</f>
        <v>103.95</v>
      </c>
      <c r="O747" s="14">
        <f>tblSprzedaz[[#This Row],[Przychód netto]]-tblSprzedaz[[#This Row],[Koszt całkowity netto]]</f>
        <v>57.86999999999999</v>
      </c>
      <c r="P747" s="15">
        <f>IFERROR(tblSprzedaz[[#This Row],[Marża kwotowa]]/tblSprzedaz[[#This Row],[Przychód netto]],0)</f>
        <v>0.35761957730812011</v>
      </c>
      <c r="Q747" s="16">
        <f>YEAR(tblSprzedaz[[#This Row],[Data]])</f>
        <v>2025</v>
      </c>
      <c r="R747" s="16">
        <f>MONTH(tblSprzedaz[[#This Row],[Data]])</f>
        <v>7</v>
      </c>
      <c r="S747" s="9" t="str">
        <f>YEAR(tblSprzedaz[[#This Row],[Data]])&amp;"-"&amp;RIGHT("0"&amp;MONTH(tblSprzedaz[[#This Row],[Data]]),2)</f>
        <v>2025-07</v>
      </c>
    </row>
    <row r="748" spans="1:19" x14ac:dyDescent="0.25">
      <c r="A748" s="7" t="s">
        <v>1663</v>
      </c>
      <c r="B748" s="10">
        <v>45861</v>
      </c>
      <c r="C748" s="7" t="s">
        <v>1664</v>
      </c>
      <c r="D748" s="8" t="s">
        <v>83</v>
      </c>
      <c r="E748" s="8" t="s">
        <v>54</v>
      </c>
      <c r="F748" s="8" t="s">
        <v>31</v>
      </c>
      <c r="G748" s="8" t="s">
        <v>28</v>
      </c>
      <c r="H748" s="8" t="s">
        <v>38</v>
      </c>
      <c r="I748" s="11">
        <v>14</v>
      </c>
      <c r="J748" s="12">
        <v>207.9</v>
      </c>
      <c r="K748" s="13">
        <v>0.1</v>
      </c>
      <c r="L748" s="12">
        <v>139.66</v>
      </c>
      <c r="M748" s="14">
        <f>ROUND(tblSprzedaz[[#This Row],[Ilość]]*tblSprzedaz[[#This Row],[Cena netto jednostkowa]]*(1-tblSprzedaz[[#This Row],[Rabat %]]),2)</f>
        <v>2619.54</v>
      </c>
      <c r="N748" s="14">
        <f>ROUND(tblSprzedaz[[#This Row],[Ilość]]*tblSprzedaz[[#This Row],[Koszt jednostkowy netto]],2)</f>
        <v>1955.24</v>
      </c>
      <c r="O748" s="14">
        <f>tblSprzedaz[[#This Row],[Przychód netto]]-tblSprzedaz[[#This Row],[Koszt całkowity netto]]</f>
        <v>664.3</v>
      </c>
      <c r="P748" s="15">
        <f>IFERROR(tblSprzedaz[[#This Row],[Marża kwotowa]]/tblSprzedaz[[#This Row],[Przychód netto]],0)</f>
        <v>0.25359414248303136</v>
      </c>
      <c r="Q748" s="16">
        <f>YEAR(tblSprzedaz[[#This Row],[Data]])</f>
        <v>2025</v>
      </c>
      <c r="R748" s="16">
        <f>MONTH(tblSprzedaz[[#This Row],[Data]])</f>
        <v>7</v>
      </c>
      <c r="S748" s="9" t="str">
        <f>YEAR(tblSprzedaz[[#This Row],[Data]])&amp;"-"&amp;RIGHT("0"&amp;MONTH(tblSprzedaz[[#This Row],[Data]]),2)</f>
        <v>2025-07</v>
      </c>
    </row>
    <row r="749" spans="1:19" x14ac:dyDescent="0.25">
      <c r="A749" s="7" t="s">
        <v>1665</v>
      </c>
      <c r="B749" s="10">
        <v>45861</v>
      </c>
      <c r="C749" s="7" t="s">
        <v>1666</v>
      </c>
      <c r="D749" s="8" t="s">
        <v>80</v>
      </c>
      <c r="E749" s="8" t="s">
        <v>52</v>
      </c>
      <c r="F749" s="8" t="s">
        <v>29</v>
      </c>
      <c r="G749" s="8" t="s">
        <v>30</v>
      </c>
      <c r="H749" s="8" t="s">
        <v>40</v>
      </c>
      <c r="I749" s="11">
        <v>14</v>
      </c>
      <c r="J749" s="12">
        <v>56.78</v>
      </c>
      <c r="K749" s="13">
        <v>0.05</v>
      </c>
      <c r="L749" s="12">
        <v>34.58</v>
      </c>
      <c r="M749" s="14">
        <f>ROUND(tblSprzedaz[[#This Row],[Ilość]]*tblSprzedaz[[#This Row],[Cena netto jednostkowa]]*(1-tblSprzedaz[[#This Row],[Rabat %]]),2)</f>
        <v>755.17</v>
      </c>
      <c r="N749" s="14">
        <f>ROUND(tblSprzedaz[[#This Row],[Ilość]]*tblSprzedaz[[#This Row],[Koszt jednostkowy netto]],2)</f>
        <v>484.12</v>
      </c>
      <c r="O749" s="14">
        <f>tblSprzedaz[[#This Row],[Przychód netto]]-tblSprzedaz[[#This Row],[Koszt całkowity netto]]</f>
        <v>271.04999999999995</v>
      </c>
      <c r="P749" s="15">
        <f>IFERROR(tblSprzedaz[[#This Row],[Marża kwotowa]]/tblSprzedaz[[#This Row],[Przychód netto]],0)</f>
        <v>0.35892580478567737</v>
      </c>
      <c r="Q749" s="16">
        <f>YEAR(tblSprzedaz[[#This Row],[Data]])</f>
        <v>2025</v>
      </c>
      <c r="R749" s="16">
        <f>MONTH(tblSprzedaz[[#This Row],[Data]])</f>
        <v>7</v>
      </c>
      <c r="S749" s="9" t="str">
        <f>YEAR(tblSprzedaz[[#This Row],[Data]])&amp;"-"&amp;RIGHT("0"&amp;MONTH(tblSprzedaz[[#This Row],[Data]]),2)</f>
        <v>2025-07</v>
      </c>
    </row>
    <row r="750" spans="1:19" x14ac:dyDescent="0.25">
      <c r="A750" s="7" t="s">
        <v>1667</v>
      </c>
      <c r="B750" s="10">
        <v>45861</v>
      </c>
      <c r="C750" s="7" t="s">
        <v>1668</v>
      </c>
      <c r="D750" s="8" t="s">
        <v>130</v>
      </c>
      <c r="E750" s="8" t="s">
        <v>57</v>
      </c>
      <c r="F750" s="8" t="s">
        <v>31</v>
      </c>
      <c r="G750" s="8" t="s">
        <v>30</v>
      </c>
      <c r="H750" s="8" t="s">
        <v>40</v>
      </c>
      <c r="I750" s="11">
        <v>17</v>
      </c>
      <c r="J750" s="12">
        <v>315</v>
      </c>
      <c r="K750" s="13">
        <v>0</v>
      </c>
      <c r="L750" s="12">
        <v>204.89</v>
      </c>
      <c r="M750" s="14">
        <f>ROUND(tblSprzedaz[[#This Row],[Ilość]]*tblSprzedaz[[#This Row],[Cena netto jednostkowa]]*(1-tblSprzedaz[[#This Row],[Rabat %]]),2)</f>
        <v>5355</v>
      </c>
      <c r="N750" s="14">
        <f>ROUND(tblSprzedaz[[#This Row],[Ilość]]*tblSprzedaz[[#This Row],[Koszt jednostkowy netto]],2)</f>
        <v>3483.13</v>
      </c>
      <c r="O750" s="14">
        <f>tblSprzedaz[[#This Row],[Przychód netto]]-tblSprzedaz[[#This Row],[Koszt całkowity netto]]</f>
        <v>1871.87</v>
      </c>
      <c r="P750" s="15">
        <f>IFERROR(tblSprzedaz[[#This Row],[Marża kwotowa]]/tblSprzedaz[[#This Row],[Przychód netto]],0)</f>
        <v>0.34955555555555551</v>
      </c>
      <c r="Q750" s="16">
        <f>YEAR(tblSprzedaz[[#This Row],[Data]])</f>
        <v>2025</v>
      </c>
      <c r="R750" s="16">
        <f>MONTH(tblSprzedaz[[#This Row],[Data]])</f>
        <v>7</v>
      </c>
      <c r="S750" s="9" t="str">
        <f>YEAR(tblSprzedaz[[#This Row],[Data]])&amp;"-"&amp;RIGHT("0"&amp;MONTH(tblSprzedaz[[#This Row],[Data]]),2)</f>
        <v>2025-07</v>
      </c>
    </row>
    <row r="751" spans="1:19" x14ac:dyDescent="0.25">
      <c r="A751" s="7" t="s">
        <v>1669</v>
      </c>
      <c r="B751" s="10">
        <v>45862</v>
      </c>
      <c r="C751" s="7" t="s">
        <v>1670</v>
      </c>
      <c r="D751" s="8" t="s">
        <v>90</v>
      </c>
      <c r="E751" s="8" t="s">
        <v>66</v>
      </c>
      <c r="F751" s="8" t="s">
        <v>35</v>
      </c>
      <c r="G751" s="8" t="s">
        <v>34</v>
      </c>
      <c r="H751" s="8" t="s">
        <v>44</v>
      </c>
      <c r="I751" s="11">
        <v>3</v>
      </c>
      <c r="J751" s="12">
        <v>67.319999999999993</v>
      </c>
      <c r="K751" s="13">
        <v>0.15</v>
      </c>
      <c r="L751" s="12">
        <v>47.77</v>
      </c>
      <c r="M751" s="14">
        <f>ROUND(tblSprzedaz[[#This Row],[Ilość]]*tblSprzedaz[[#This Row],[Cena netto jednostkowa]]*(1-tblSprzedaz[[#This Row],[Rabat %]]),2)</f>
        <v>171.67</v>
      </c>
      <c r="N751" s="14">
        <f>ROUND(tblSprzedaz[[#This Row],[Ilość]]*tblSprzedaz[[#This Row],[Koszt jednostkowy netto]],2)</f>
        <v>143.31</v>
      </c>
      <c r="O751" s="14">
        <f>tblSprzedaz[[#This Row],[Przychód netto]]-tblSprzedaz[[#This Row],[Koszt całkowity netto]]</f>
        <v>28.359999999999985</v>
      </c>
      <c r="P751" s="15">
        <f>IFERROR(tblSprzedaz[[#This Row],[Marża kwotowa]]/tblSprzedaz[[#This Row],[Przychód netto]],0)</f>
        <v>0.16520067571503458</v>
      </c>
      <c r="Q751" s="16">
        <f>YEAR(tblSprzedaz[[#This Row],[Data]])</f>
        <v>2025</v>
      </c>
      <c r="R751" s="16">
        <f>MONTH(tblSprzedaz[[#This Row],[Data]])</f>
        <v>7</v>
      </c>
      <c r="S751" s="9" t="str">
        <f>YEAR(tblSprzedaz[[#This Row],[Data]])&amp;"-"&amp;RIGHT("0"&amp;MONTH(tblSprzedaz[[#This Row],[Data]]),2)</f>
        <v>2025-07</v>
      </c>
    </row>
    <row r="752" spans="1:19" x14ac:dyDescent="0.25">
      <c r="A752" s="7" t="s">
        <v>1671</v>
      </c>
      <c r="B752" s="10">
        <v>45862</v>
      </c>
      <c r="C752" s="7" t="s">
        <v>1672</v>
      </c>
      <c r="D752" s="8" t="s">
        <v>115</v>
      </c>
      <c r="E752" s="8" t="s">
        <v>49</v>
      </c>
      <c r="F752" s="8" t="s">
        <v>29</v>
      </c>
      <c r="G752" s="8" t="s">
        <v>36</v>
      </c>
      <c r="H752" s="8" t="s">
        <v>47</v>
      </c>
      <c r="I752" s="11">
        <v>6</v>
      </c>
      <c r="J752" s="12">
        <v>39.44</v>
      </c>
      <c r="K752" s="13">
        <v>0</v>
      </c>
      <c r="L752" s="12">
        <v>24.36</v>
      </c>
      <c r="M752" s="14">
        <f>ROUND(tblSprzedaz[[#This Row],[Ilość]]*tblSprzedaz[[#This Row],[Cena netto jednostkowa]]*(1-tblSprzedaz[[#This Row],[Rabat %]]),2)</f>
        <v>236.64</v>
      </c>
      <c r="N752" s="14">
        <f>ROUND(tblSprzedaz[[#This Row],[Ilość]]*tblSprzedaz[[#This Row],[Koszt jednostkowy netto]],2)</f>
        <v>146.16</v>
      </c>
      <c r="O752" s="14">
        <f>tblSprzedaz[[#This Row],[Przychód netto]]-tblSprzedaz[[#This Row],[Koszt całkowity netto]]</f>
        <v>90.47999999999999</v>
      </c>
      <c r="P752" s="15">
        <f>IFERROR(tblSprzedaz[[#This Row],[Marża kwotowa]]/tblSprzedaz[[#This Row],[Przychód netto]],0)</f>
        <v>0.38235294117647056</v>
      </c>
      <c r="Q752" s="16">
        <f>YEAR(tblSprzedaz[[#This Row],[Data]])</f>
        <v>2025</v>
      </c>
      <c r="R752" s="16">
        <f>MONTH(tblSprzedaz[[#This Row],[Data]])</f>
        <v>7</v>
      </c>
      <c r="S752" s="9" t="str">
        <f>YEAR(tblSprzedaz[[#This Row],[Data]])&amp;"-"&amp;RIGHT("0"&amp;MONTH(tblSprzedaz[[#This Row],[Data]]),2)</f>
        <v>2025-07</v>
      </c>
    </row>
    <row r="753" spans="1:19" x14ac:dyDescent="0.25">
      <c r="A753" s="7" t="s">
        <v>1673</v>
      </c>
      <c r="B753" s="10">
        <v>45862</v>
      </c>
      <c r="C753" s="7" t="s">
        <v>1674</v>
      </c>
      <c r="D753" s="8" t="s">
        <v>94</v>
      </c>
      <c r="E753" s="8" t="s">
        <v>66</v>
      </c>
      <c r="F753" s="8" t="s">
        <v>35</v>
      </c>
      <c r="G753" s="8" t="s">
        <v>30</v>
      </c>
      <c r="H753" s="8" t="s">
        <v>40</v>
      </c>
      <c r="I753" s="11">
        <v>8</v>
      </c>
      <c r="J753" s="12">
        <v>67.319999999999993</v>
      </c>
      <c r="K753" s="13">
        <v>0.05</v>
      </c>
      <c r="L753" s="12">
        <v>49.36</v>
      </c>
      <c r="M753" s="14">
        <f>ROUND(tblSprzedaz[[#This Row],[Ilość]]*tblSprzedaz[[#This Row],[Cena netto jednostkowa]]*(1-tblSprzedaz[[#This Row],[Rabat %]]),2)</f>
        <v>511.63</v>
      </c>
      <c r="N753" s="14">
        <f>ROUND(tblSprzedaz[[#This Row],[Ilość]]*tblSprzedaz[[#This Row],[Koszt jednostkowy netto]],2)</f>
        <v>394.88</v>
      </c>
      <c r="O753" s="14">
        <f>tblSprzedaz[[#This Row],[Przychód netto]]-tblSprzedaz[[#This Row],[Koszt całkowity netto]]</f>
        <v>116.75</v>
      </c>
      <c r="P753" s="15">
        <f>IFERROR(tblSprzedaz[[#This Row],[Marża kwotowa]]/tblSprzedaz[[#This Row],[Przychód netto]],0)</f>
        <v>0.22819224830443877</v>
      </c>
      <c r="Q753" s="16">
        <f>YEAR(tblSprzedaz[[#This Row],[Data]])</f>
        <v>2025</v>
      </c>
      <c r="R753" s="16">
        <f>MONTH(tblSprzedaz[[#This Row],[Data]])</f>
        <v>7</v>
      </c>
      <c r="S753" s="9" t="str">
        <f>YEAR(tblSprzedaz[[#This Row],[Data]])&amp;"-"&amp;RIGHT("0"&amp;MONTH(tblSprzedaz[[#This Row],[Data]]),2)</f>
        <v>2025-07</v>
      </c>
    </row>
    <row r="754" spans="1:19" x14ac:dyDescent="0.25">
      <c r="A754" s="7" t="s">
        <v>1675</v>
      </c>
      <c r="B754" s="10">
        <v>45862</v>
      </c>
      <c r="C754" s="7" t="s">
        <v>1676</v>
      </c>
      <c r="D754" s="8" t="s">
        <v>120</v>
      </c>
      <c r="E754" s="8" t="s">
        <v>61</v>
      </c>
      <c r="F754" s="8" t="s">
        <v>33</v>
      </c>
      <c r="G754" s="8" t="s">
        <v>34</v>
      </c>
      <c r="H754" s="8" t="s">
        <v>45</v>
      </c>
      <c r="I754" s="11">
        <v>7</v>
      </c>
      <c r="J754" s="12">
        <v>533.6</v>
      </c>
      <c r="K754" s="13">
        <v>0</v>
      </c>
      <c r="L754" s="12">
        <v>344.35</v>
      </c>
      <c r="M754" s="14">
        <f>ROUND(tblSprzedaz[[#This Row],[Ilość]]*tblSprzedaz[[#This Row],[Cena netto jednostkowa]]*(1-tblSprzedaz[[#This Row],[Rabat %]]),2)</f>
        <v>3735.2</v>
      </c>
      <c r="N754" s="14">
        <f>ROUND(tblSprzedaz[[#This Row],[Ilość]]*tblSprzedaz[[#This Row],[Koszt jednostkowy netto]],2)</f>
        <v>2410.4499999999998</v>
      </c>
      <c r="O754" s="14">
        <f>tblSprzedaz[[#This Row],[Przychód netto]]-tblSprzedaz[[#This Row],[Koszt całkowity netto]]</f>
        <v>1324.75</v>
      </c>
      <c r="P754" s="15">
        <f>IFERROR(tblSprzedaz[[#This Row],[Marża kwotowa]]/tblSprzedaz[[#This Row],[Przychód netto]],0)</f>
        <v>0.35466641679160421</v>
      </c>
      <c r="Q754" s="16">
        <f>YEAR(tblSprzedaz[[#This Row],[Data]])</f>
        <v>2025</v>
      </c>
      <c r="R754" s="16">
        <f>MONTH(tblSprzedaz[[#This Row],[Data]])</f>
        <v>7</v>
      </c>
      <c r="S754" s="9" t="str">
        <f>YEAR(tblSprzedaz[[#This Row],[Data]])&amp;"-"&amp;RIGHT("0"&amp;MONTH(tblSprzedaz[[#This Row],[Data]]),2)</f>
        <v>2025-07</v>
      </c>
    </row>
    <row r="755" spans="1:19" x14ac:dyDescent="0.25">
      <c r="A755" s="7" t="s">
        <v>1677</v>
      </c>
      <c r="B755" s="10">
        <v>45863</v>
      </c>
      <c r="C755" s="7" t="s">
        <v>1678</v>
      </c>
      <c r="D755" s="8" t="s">
        <v>122</v>
      </c>
      <c r="E755" s="8" t="s">
        <v>54</v>
      </c>
      <c r="F755" s="8" t="s">
        <v>31</v>
      </c>
      <c r="G755" s="8" t="s">
        <v>34</v>
      </c>
      <c r="H755" s="8" t="s">
        <v>45</v>
      </c>
      <c r="I755" s="11">
        <v>6</v>
      </c>
      <c r="J755" s="12">
        <v>207.9</v>
      </c>
      <c r="K755" s="13">
        <v>0.1</v>
      </c>
      <c r="L755" s="12">
        <v>133.22</v>
      </c>
      <c r="M755" s="14">
        <f>ROUND(tblSprzedaz[[#This Row],[Ilość]]*tblSprzedaz[[#This Row],[Cena netto jednostkowa]]*(1-tblSprzedaz[[#This Row],[Rabat %]]),2)</f>
        <v>1122.6600000000001</v>
      </c>
      <c r="N755" s="14">
        <f>ROUND(tblSprzedaz[[#This Row],[Ilość]]*tblSprzedaz[[#This Row],[Koszt jednostkowy netto]],2)</f>
        <v>799.32</v>
      </c>
      <c r="O755" s="14">
        <f>tblSprzedaz[[#This Row],[Przychód netto]]-tblSprzedaz[[#This Row],[Koszt całkowity netto]]</f>
        <v>323.34000000000003</v>
      </c>
      <c r="P755" s="15">
        <f>IFERROR(tblSprzedaz[[#This Row],[Marża kwotowa]]/tblSprzedaz[[#This Row],[Przychód netto]],0)</f>
        <v>0.28801239912351023</v>
      </c>
      <c r="Q755" s="16">
        <f>YEAR(tblSprzedaz[[#This Row],[Data]])</f>
        <v>2025</v>
      </c>
      <c r="R755" s="16">
        <f>MONTH(tblSprzedaz[[#This Row],[Data]])</f>
        <v>7</v>
      </c>
      <c r="S755" s="9" t="str">
        <f>YEAR(tblSprzedaz[[#This Row],[Data]])&amp;"-"&amp;RIGHT("0"&amp;MONTH(tblSprzedaz[[#This Row],[Data]]),2)</f>
        <v>2025-07</v>
      </c>
    </row>
    <row r="756" spans="1:19" x14ac:dyDescent="0.25">
      <c r="A756" s="7" t="s">
        <v>1679</v>
      </c>
      <c r="B756" s="10">
        <v>45863</v>
      </c>
      <c r="C756" s="7" t="s">
        <v>1680</v>
      </c>
      <c r="D756" s="8" t="s">
        <v>132</v>
      </c>
      <c r="E756" s="8" t="s">
        <v>69</v>
      </c>
      <c r="F756" s="8" t="s">
        <v>35</v>
      </c>
      <c r="G756" s="8" t="s">
        <v>30</v>
      </c>
      <c r="H756" s="8" t="s">
        <v>40</v>
      </c>
      <c r="I756" s="11">
        <v>11</v>
      </c>
      <c r="J756" s="12">
        <v>102</v>
      </c>
      <c r="K756" s="13">
        <v>0.15</v>
      </c>
      <c r="L756" s="12">
        <v>70.44</v>
      </c>
      <c r="M756" s="14">
        <f>ROUND(tblSprzedaz[[#This Row],[Ilość]]*tblSprzedaz[[#This Row],[Cena netto jednostkowa]]*(1-tblSprzedaz[[#This Row],[Rabat %]]),2)</f>
        <v>953.7</v>
      </c>
      <c r="N756" s="14">
        <f>ROUND(tblSprzedaz[[#This Row],[Ilość]]*tblSprzedaz[[#This Row],[Koszt jednostkowy netto]],2)</f>
        <v>774.84</v>
      </c>
      <c r="O756" s="14">
        <f>tblSprzedaz[[#This Row],[Przychód netto]]-tblSprzedaz[[#This Row],[Koszt całkowity netto]]</f>
        <v>178.86</v>
      </c>
      <c r="P756" s="15">
        <f>IFERROR(tblSprzedaz[[#This Row],[Marża kwotowa]]/tblSprzedaz[[#This Row],[Przychód netto]],0)</f>
        <v>0.18754325259515572</v>
      </c>
      <c r="Q756" s="16">
        <f>YEAR(tblSprzedaz[[#This Row],[Data]])</f>
        <v>2025</v>
      </c>
      <c r="R756" s="16">
        <f>MONTH(tblSprzedaz[[#This Row],[Data]])</f>
        <v>7</v>
      </c>
      <c r="S756" s="9" t="str">
        <f>YEAR(tblSprzedaz[[#This Row],[Data]])&amp;"-"&amp;RIGHT("0"&amp;MONTH(tblSprzedaz[[#This Row],[Data]]),2)</f>
        <v>2025-07</v>
      </c>
    </row>
    <row r="757" spans="1:19" x14ac:dyDescent="0.25">
      <c r="A757" s="7" t="s">
        <v>1681</v>
      </c>
      <c r="B757" s="10">
        <v>45863</v>
      </c>
      <c r="C757" s="7" t="s">
        <v>1682</v>
      </c>
      <c r="D757" s="8" t="s">
        <v>79</v>
      </c>
      <c r="E757" s="8" t="s">
        <v>68</v>
      </c>
      <c r="F757" s="8" t="s">
        <v>35</v>
      </c>
      <c r="G757" s="8" t="s">
        <v>28</v>
      </c>
      <c r="H757" s="8" t="s">
        <v>39</v>
      </c>
      <c r="I757" s="11">
        <v>1</v>
      </c>
      <c r="J757" s="12">
        <v>90.44</v>
      </c>
      <c r="K757" s="13">
        <v>0</v>
      </c>
      <c r="L757" s="12">
        <v>69.180000000000007</v>
      </c>
      <c r="M757" s="14">
        <f>ROUND(tblSprzedaz[[#This Row],[Ilość]]*tblSprzedaz[[#This Row],[Cena netto jednostkowa]]*(1-tblSprzedaz[[#This Row],[Rabat %]]),2)</f>
        <v>90.44</v>
      </c>
      <c r="N757" s="14">
        <f>ROUND(tblSprzedaz[[#This Row],[Ilość]]*tblSprzedaz[[#This Row],[Koszt jednostkowy netto]],2)</f>
        <v>69.180000000000007</v>
      </c>
      <c r="O757" s="14">
        <f>tblSprzedaz[[#This Row],[Przychód netto]]-tblSprzedaz[[#This Row],[Koszt całkowity netto]]</f>
        <v>21.259999999999991</v>
      </c>
      <c r="P757" s="15">
        <f>IFERROR(tblSprzedaz[[#This Row],[Marża kwotowa]]/tblSprzedaz[[#This Row],[Przychód netto]],0)</f>
        <v>0.23507297655904458</v>
      </c>
      <c r="Q757" s="16">
        <f>YEAR(tblSprzedaz[[#This Row],[Data]])</f>
        <v>2025</v>
      </c>
      <c r="R757" s="16">
        <f>MONTH(tblSprzedaz[[#This Row],[Data]])</f>
        <v>7</v>
      </c>
      <c r="S757" s="9" t="str">
        <f>YEAR(tblSprzedaz[[#This Row],[Data]])&amp;"-"&amp;RIGHT("0"&amp;MONTH(tblSprzedaz[[#This Row],[Data]]),2)</f>
        <v>2025-07</v>
      </c>
    </row>
    <row r="758" spans="1:19" x14ac:dyDescent="0.25">
      <c r="A758" s="7" t="s">
        <v>1683</v>
      </c>
      <c r="B758" s="10">
        <v>45863</v>
      </c>
      <c r="C758" s="7" t="s">
        <v>1684</v>
      </c>
      <c r="D758" s="8" t="s">
        <v>115</v>
      </c>
      <c r="E758" s="8" t="s">
        <v>57</v>
      </c>
      <c r="F758" s="8" t="s">
        <v>31</v>
      </c>
      <c r="G758" s="8" t="s">
        <v>32</v>
      </c>
      <c r="H758" s="8" t="s">
        <v>42</v>
      </c>
      <c r="I758" s="11">
        <v>10</v>
      </c>
      <c r="J758" s="12">
        <v>315</v>
      </c>
      <c r="K758" s="13">
        <v>0.05</v>
      </c>
      <c r="L758" s="12">
        <v>208.22</v>
      </c>
      <c r="M758" s="14">
        <f>ROUND(tblSprzedaz[[#This Row],[Ilość]]*tblSprzedaz[[#This Row],[Cena netto jednostkowa]]*(1-tblSprzedaz[[#This Row],[Rabat %]]),2)</f>
        <v>2992.5</v>
      </c>
      <c r="N758" s="14">
        <f>ROUND(tblSprzedaz[[#This Row],[Ilość]]*tblSprzedaz[[#This Row],[Koszt jednostkowy netto]],2)</f>
        <v>2082.1999999999998</v>
      </c>
      <c r="O758" s="14">
        <f>tblSprzedaz[[#This Row],[Przychód netto]]-tblSprzedaz[[#This Row],[Koszt całkowity netto]]</f>
        <v>910.30000000000018</v>
      </c>
      <c r="P758" s="15">
        <f>IFERROR(tblSprzedaz[[#This Row],[Marża kwotowa]]/tblSprzedaz[[#This Row],[Przychód netto]],0)</f>
        <v>0.30419381787802846</v>
      </c>
      <c r="Q758" s="16">
        <f>YEAR(tblSprzedaz[[#This Row],[Data]])</f>
        <v>2025</v>
      </c>
      <c r="R758" s="16">
        <f>MONTH(tblSprzedaz[[#This Row],[Data]])</f>
        <v>7</v>
      </c>
      <c r="S758" s="9" t="str">
        <f>YEAR(tblSprzedaz[[#This Row],[Data]])&amp;"-"&amp;RIGHT("0"&amp;MONTH(tblSprzedaz[[#This Row],[Data]]),2)</f>
        <v>2025-07</v>
      </c>
    </row>
    <row r="759" spans="1:19" x14ac:dyDescent="0.25">
      <c r="A759" s="7" t="s">
        <v>1685</v>
      </c>
      <c r="B759" s="10">
        <v>45863</v>
      </c>
      <c r="C759" s="7" t="s">
        <v>1686</v>
      </c>
      <c r="D759" s="8" t="s">
        <v>91</v>
      </c>
      <c r="E759" s="8" t="s">
        <v>69</v>
      </c>
      <c r="F759" s="8" t="s">
        <v>35</v>
      </c>
      <c r="G759" s="8" t="s">
        <v>34</v>
      </c>
      <c r="H759" s="8" t="s">
        <v>45</v>
      </c>
      <c r="I759" s="11">
        <v>6</v>
      </c>
      <c r="J759" s="12">
        <v>102</v>
      </c>
      <c r="K759" s="13">
        <v>0.05</v>
      </c>
      <c r="L759" s="12">
        <v>71.69</v>
      </c>
      <c r="M759" s="14">
        <f>ROUND(tblSprzedaz[[#This Row],[Ilość]]*tblSprzedaz[[#This Row],[Cena netto jednostkowa]]*(1-tblSprzedaz[[#This Row],[Rabat %]]),2)</f>
        <v>581.4</v>
      </c>
      <c r="N759" s="14">
        <f>ROUND(tblSprzedaz[[#This Row],[Ilość]]*tblSprzedaz[[#This Row],[Koszt jednostkowy netto]],2)</f>
        <v>430.14</v>
      </c>
      <c r="O759" s="14">
        <f>tblSprzedaz[[#This Row],[Przychód netto]]-tblSprzedaz[[#This Row],[Koszt całkowity netto]]</f>
        <v>151.26</v>
      </c>
      <c r="P759" s="15">
        <f>IFERROR(tblSprzedaz[[#This Row],[Marża kwotowa]]/tblSprzedaz[[#This Row],[Przychód netto]],0)</f>
        <v>0.26016511867905057</v>
      </c>
      <c r="Q759" s="16">
        <f>YEAR(tblSprzedaz[[#This Row],[Data]])</f>
        <v>2025</v>
      </c>
      <c r="R759" s="16">
        <f>MONTH(tblSprzedaz[[#This Row],[Data]])</f>
        <v>7</v>
      </c>
      <c r="S759" s="9" t="str">
        <f>YEAR(tblSprzedaz[[#This Row],[Data]])&amp;"-"&amp;RIGHT("0"&amp;MONTH(tblSprzedaz[[#This Row],[Data]]),2)</f>
        <v>2025-07</v>
      </c>
    </row>
    <row r="760" spans="1:19" x14ac:dyDescent="0.25">
      <c r="A760" s="7" t="s">
        <v>1687</v>
      </c>
      <c r="B760" s="10">
        <v>45864</v>
      </c>
      <c r="C760" s="7" t="s">
        <v>1688</v>
      </c>
      <c r="D760" s="8" t="s">
        <v>108</v>
      </c>
      <c r="E760" s="8" t="s">
        <v>72</v>
      </c>
      <c r="F760" s="8" t="s">
        <v>37</v>
      </c>
      <c r="G760" s="8" t="s">
        <v>36</v>
      </c>
      <c r="H760" s="8" t="s">
        <v>47</v>
      </c>
      <c r="I760" s="11">
        <v>2</v>
      </c>
      <c r="J760" s="12">
        <v>94.05</v>
      </c>
      <c r="K760" s="13">
        <v>0</v>
      </c>
      <c r="L760" s="12">
        <v>70.34</v>
      </c>
      <c r="M760" s="14">
        <f>ROUND(tblSprzedaz[[#This Row],[Ilość]]*tblSprzedaz[[#This Row],[Cena netto jednostkowa]]*(1-tblSprzedaz[[#This Row],[Rabat %]]),2)</f>
        <v>188.1</v>
      </c>
      <c r="N760" s="14">
        <f>ROUND(tblSprzedaz[[#This Row],[Ilość]]*tblSprzedaz[[#This Row],[Koszt jednostkowy netto]],2)</f>
        <v>140.68</v>
      </c>
      <c r="O760" s="14">
        <f>tblSprzedaz[[#This Row],[Przychód netto]]-tblSprzedaz[[#This Row],[Koszt całkowity netto]]</f>
        <v>47.419999999999987</v>
      </c>
      <c r="P760" s="15">
        <f>IFERROR(tblSprzedaz[[#This Row],[Marża kwotowa]]/tblSprzedaz[[#This Row],[Przychód netto]],0)</f>
        <v>0.25209994683678888</v>
      </c>
      <c r="Q760" s="16">
        <f>YEAR(tblSprzedaz[[#This Row],[Data]])</f>
        <v>2025</v>
      </c>
      <c r="R760" s="16">
        <f>MONTH(tblSprzedaz[[#This Row],[Data]])</f>
        <v>7</v>
      </c>
      <c r="S760" s="9" t="str">
        <f>YEAR(tblSprzedaz[[#This Row],[Data]])&amp;"-"&amp;RIGHT("0"&amp;MONTH(tblSprzedaz[[#This Row],[Data]]),2)</f>
        <v>2025-07</v>
      </c>
    </row>
    <row r="761" spans="1:19" x14ac:dyDescent="0.25">
      <c r="A761" s="7" t="s">
        <v>1689</v>
      </c>
      <c r="B761" s="10">
        <v>45864</v>
      </c>
      <c r="C761" s="7" t="s">
        <v>1690</v>
      </c>
      <c r="D761" s="8" t="s">
        <v>115</v>
      </c>
      <c r="E761" s="8" t="s">
        <v>58</v>
      </c>
      <c r="F761" s="8" t="s">
        <v>31</v>
      </c>
      <c r="G761" s="8" t="s">
        <v>36</v>
      </c>
      <c r="H761" s="8" t="s">
        <v>46</v>
      </c>
      <c r="I761" s="11">
        <v>13</v>
      </c>
      <c r="J761" s="12">
        <v>350.7</v>
      </c>
      <c r="K761" s="13">
        <v>0</v>
      </c>
      <c r="L761" s="12">
        <v>227.05</v>
      </c>
      <c r="M761" s="14">
        <f>ROUND(tblSprzedaz[[#This Row],[Ilość]]*tblSprzedaz[[#This Row],[Cena netto jednostkowa]]*(1-tblSprzedaz[[#This Row],[Rabat %]]),2)</f>
        <v>4559.1000000000004</v>
      </c>
      <c r="N761" s="14">
        <f>ROUND(tblSprzedaz[[#This Row],[Ilość]]*tblSprzedaz[[#This Row],[Koszt jednostkowy netto]],2)</f>
        <v>2951.65</v>
      </c>
      <c r="O761" s="14">
        <f>tblSprzedaz[[#This Row],[Przychód netto]]-tblSprzedaz[[#This Row],[Koszt całkowity netto]]</f>
        <v>1607.4500000000003</v>
      </c>
      <c r="P761" s="15">
        <f>IFERROR(tblSprzedaz[[#This Row],[Marża kwotowa]]/tblSprzedaz[[#This Row],[Przychód netto]],0)</f>
        <v>0.3525805531793556</v>
      </c>
      <c r="Q761" s="16">
        <f>YEAR(tblSprzedaz[[#This Row],[Data]])</f>
        <v>2025</v>
      </c>
      <c r="R761" s="16">
        <f>MONTH(tblSprzedaz[[#This Row],[Data]])</f>
        <v>7</v>
      </c>
      <c r="S761" s="9" t="str">
        <f>YEAR(tblSprzedaz[[#This Row],[Data]])&amp;"-"&amp;RIGHT("0"&amp;MONTH(tblSprzedaz[[#This Row],[Data]]),2)</f>
        <v>2025-07</v>
      </c>
    </row>
    <row r="762" spans="1:19" x14ac:dyDescent="0.25">
      <c r="A762" s="7" t="s">
        <v>1691</v>
      </c>
      <c r="B762" s="10">
        <v>45865</v>
      </c>
      <c r="C762" s="7" t="s">
        <v>1692</v>
      </c>
      <c r="D762" s="8" t="s">
        <v>107</v>
      </c>
      <c r="E762" s="8" t="s">
        <v>67</v>
      </c>
      <c r="F762" s="8" t="s">
        <v>35</v>
      </c>
      <c r="G762" s="8" t="s">
        <v>32</v>
      </c>
      <c r="H762" s="8" t="s">
        <v>43</v>
      </c>
      <c r="I762" s="11">
        <v>8</v>
      </c>
      <c r="J762" s="12">
        <v>78.88</v>
      </c>
      <c r="K762" s="13">
        <v>0.15</v>
      </c>
      <c r="L762" s="12">
        <v>59.83</v>
      </c>
      <c r="M762" s="14">
        <f>ROUND(tblSprzedaz[[#This Row],[Ilość]]*tblSprzedaz[[#This Row],[Cena netto jednostkowa]]*(1-tblSprzedaz[[#This Row],[Rabat %]]),2)</f>
        <v>536.38</v>
      </c>
      <c r="N762" s="14">
        <f>ROUND(tblSprzedaz[[#This Row],[Ilość]]*tblSprzedaz[[#This Row],[Koszt jednostkowy netto]],2)</f>
        <v>478.64</v>
      </c>
      <c r="O762" s="14">
        <f>tblSprzedaz[[#This Row],[Przychód netto]]-tblSprzedaz[[#This Row],[Koszt całkowity netto]]</f>
        <v>57.740000000000009</v>
      </c>
      <c r="P762" s="15">
        <f>IFERROR(tblSprzedaz[[#This Row],[Marża kwotowa]]/tblSprzedaz[[#This Row],[Przychód netto]],0)</f>
        <v>0.10764756329467916</v>
      </c>
      <c r="Q762" s="16">
        <f>YEAR(tblSprzedaz[[#This Row],[Data]])</f>
        <v>2025</v>
      </c>
      <c r="R762" s="16">
        <f>MONTH(tblSprzedaz[[#This Row],[Data]])</f>
        <v>7</v>
      </c>
      <c r="S762" s="9" t="str">
        <f>YEAR(tblSprzedaz[[#This Row],[Data]])&amp;"-"&amp;RIGHT("0"&amp;MONTH(tblSprzedaz[[#This Row],[Data]]),2)</f>
        <v>2025-07</v>
      </c>
    </row>
    <row r="763" spans="1:19" x14ac:dyDescent="0.25">
      <c r="A763" s="7" t="s">
        <v>1693</v>
      </c>
      <c r="B763" s="10">
        <v>45866</v>
      </c>
      <c r="C763" s="7" t="s">
        <v>1694</v>
      </c>
      <c r="D763" s="8" t="s">
        <v>86</v>
      </c>
      <c r="E763" s="8" t="s">
        <v>54</v>
      </c>
      <c r="F763" s="8" t="s">
        <v>31</v>
      </c>
      <c r="G763" s="8" t="s">
        <v>34</v>
      </c>
      <c r="H763" s="8" t="s">
        <v>44</v>
      </c>
      <c r="I763" s="11">
        <v>8</v>
      </c>
      <c r="J763" s="12">
        <v>207.9</v>
      </c>
      <c r="K763" s="13">
        <v>0</v>
      </c>
      <c r="L763" s="12">
        <v>137.51</v>
      </c>
      <c r="M763" s="14">
        <f>ROUND(tblSprzedaz[[#This Row],[Ilość]]*tblSprzedaz[[#This Row],[Cena netto jednostkowa]]*(1-tblSprzedaz[[#This Row],[Rabat %]]),2)</f>
        <v>1663.2</v>
      </c>
      <c r="N763" s="14">
        <f>ROUND(tblSprzedaz[[#This Row],[Ilość]]*tblSprzedaz[[#This Row],[Koszt jednostkowy netto]],2)</f>
        <v>1100.08</v>
      </c>
      <c r="O763" s="14">
        <f>tblSprzedaz[[#This Row],[Przychód netto]]-tblSprzedaz[[#This Row],[Koszt całkowity netto]]</f>
        <v>563.12000000000012</v>
      </c>
      <c r="P763" s="15">
        <f>IFERROR(tblSprzedaz[[#This Row],[Marża kwotowa]]/tblSprzedaz[[#This Row],[Przychód netto]],0)</f>
        <v>0.33857623857623864</v>
      </c>
      <c r="Q763" s="16">
        <f>YEAR(tblSprzedaz[[#This Row],[Data]])</f>
        <v>2025</v>
      </c>
      <c r="R763" s="16">
        <f>MONTH(tblSprzedaz[[#This Row],[Data]])</f>
        <v>7</v>
      </c>
      <c r="S763" s="9" t="str">
        <f>YEAR(tblSprzedaz[[#This Row],[Data]])&amp;"-"&amp;RIGHT("0"&amp;MONTH(tblSprzedaz[[#This Row],[Data]]),2)</f>
        <v>2025-07</v>
      </c>
    </row>
    <row r="764" spans="1:19" x14ac:dyDescent="0.25">
      <c r="A764" s="7" t="s">
        <v>1695</v>
      </c>
      <c r="B764" s="10">
        <v>45866</v>
      </c>
      <c r="C764" s="7" t="s">
        <v>1696</v>
      </c>
      <c r="D764" s="8" t="s">
        <v>135</v>
      </c>
      <c r="E764" s="8" t="s">
        <v>74</v>
      </c>
      <c r="F764" s="8" t="s">
        <v>37</v>
      </c>
      <c r="G764" s="8" t="s">
        <v>32</v>
      </c>
      <c r="H764" s="8" t="s">
        <v>42</v>
      </c>
      <c r="I764" s="11">
        <v>7</v>
      </c>
      <c r="J764" s="12">
        <v>126.35</v>
      </c>
      <c r="K764" s="13">
        <v>0</v>
      </c>
      <c r="L764" s="12">
        <v>93.65</v>
      </c>
      <c r="M764" s="14">
        <f>ROUND(tblSprzedaz[[#This Row],[Ilość]]*tblSprzedaz[[#This Row],[Cena netto jednostkowa]]*(1-tblSprzedaz[[#This Row],[Rabat %]]),2)</f>
        <v>884.45</v>
      </c>
      <c r="N764" s="14">
        <f>ROUND(tblSprzedaz[[#This Row],[Ilość]]*tblSprzedaz[[#This Row],[Koszt jednostkowy netto]],2)</f>
        <v>655.55</v>
      </c>
      <c r="O764" s="14">
        <f>tblSprzedaz[[#This Row],[Przychód netto]]-tblSprzedaz[[#This Row],[Koszt całkowity netto]]</f>
        <v>228.90000000000009</v>
      </c>
      <c r="P764" s="15">
        <f>IFERROR(tblSprzedaz[[#This Row],[Marża kwotowa]]/tblSprzedaz[[#This Row],[Przychód netto]],0)</f>
        <v>0.2588049070043531</v>
      </c>
      <c r="Q764" s="16">
        <f>YEAR(tblSprzedaz[[#This Row],[Data]])</f>
        <v>2025</v>
      </c>
      <c r="R764" s="16">
        <f>MONTH(tblSprzedaz[[#This Row],[Data]])</f>
        <v>7</v>
      </c>
      <c r="S764" s="9" t="str">
        <f>YEAR(tblSprzedaz[[#This Row],[Data]])&amp;"-"&amp;RIGHT("0"&amp;MONTH(tblSprzedaz[[#This Row],[Data]]),2)</f>
        <v>2025-07</v>
      </c>
    </row>
    <row r="765" spans="1:19" x14ac:dyDescent="0.25">
      <c r="A765" s="7" t="s">
        <v>1697</v>
      </c>
      <c r="B765" s="10">
        <v>45866</v>
      </c>
      <c r="C765" s="7" t="s">
        <v>1698</v>
      </c>
      <c r="D765" s="8" t="s">
        <v>112</v>
      </c>
      <c r="E765" s="8" t="s">
        <v>52</v>
      </c>
      <c r="F765" s="8" t="s">
        <v>29</v>
      </c>
      <c r="G765" s="8" t="s">
        <v>28</v>
      </c>
      <c r="H765" s="8" t="s">
        <v>38</v>
      </c>
      <c r="I765" s="11">
        <v>8</v>
      </c>
      <c r="J765" s="12">
        <v>56.78</v>
      </c>
      <c r="K765" s="13">
        <v>0</v>
      </c>
      <c r="L765" s="12">
        <v>32.549999999999997</v>
      </c>
      <c r="M765" s="14">
        <f>ROUND(tblSprzedaz[[#This Row],[Ilość]]*tblSprzedaz[[#This Row],[Cena netto jednostkowa]]*(1-tblSprzedaz[[#This Row],[Rabat %]]),2)</f>
        <v>454.24</v>
      </c>
      <c r="N765" s="14">
        <f>ROUND(tblSprzedaz[[#This Row],[Ilość]]*tblSprzedaz[[#This Row],[Koszt jednostkowy netto]],2)</f>
        <v>260.39999999999998</v>
      </c>
      <c r="O765" s="14">
        <f>tblSprzedaz[[#This Row],[Przychód netto]]-tblSprzedaz[[#This Row],[Koszt całkowity netto]]</f>
        <v>193.84000000000003</v>
      </c>
      <c r="P765" s="15">
        <f>IFERROR(tblSprzedaz[[#This Row],[Marża kwotowa]]/tblSprzedaz[[#This Row],[Przychód netto]],0)</f>
        <v>0.42673476576259251</v>
      </c>
      <c r="Q765" s="16">
        <f>YEAR(tblSprzedaz[[#This Row],[Data]])</f>
        <v>2025</v>
      </c>
      <c r="R765" s="16">
        <f>MONTH(tblSprzedaz[[#This Row],[Data]])</f>
        <v>7</v>
      </c>
      <c r="S765" s="9" t="str">
        <f>YEAR(tblSprzedaz[[#This Row],[Data]])&amp;"-"&amp;RIGHT("0"&amp;MONTH(tblSprzedaz[[#This Row],[Data]]),2)</f>
        <v>2025-07</v>
      </c>
    </row>
    <row r="766" spans="1:19" x14ac:dyDescent="0.25">
      <c r="A766" s="7" t="s">
        <v>1699</v>
      </c>
      <c r="B766" s="10">
        <v>45867</v>
      </c>
      <c r="C766" s="7" t="s">
        <v>1700</v>
      </c>
      <c r="D766" s="8" t="s">
        <v>93</v>
      </c>
      <c r="E766" s="8" t="s">
        <v>50</v>
      </c>
      <c r="F766" s="8" t="s">
        <v>29</v>
      </c>
      <c r="G766" s="8" t="s">
        <v>28</v>
      </c>
      <c r="H766" s="8" t="s">
        <v>39</v>
      </c>
      <c r="I766" s="11">
        <v>8</v>
      </c>
      <c r="J766" s="12">
        <v>45.22</v>
      </c>
      <c r="K766" s="13">
        <v>0.1</v>
      </c>
      <c r="L766" s="12">
        <v>25.43</v>
      </c>
      <c r="M766" s="14">
        <f>ROUND(tblSprzedaz[[#This Row],[Ilość]]*tblSprzedaz[[#This Row],[Cena netto jednostkowa]]*(1-tblSprzedaz[[#This Row],[Rabat %]]),2)</f>
        <v>325.58</v>
      </c>
      <c r="N766" s="14">
        <f>ROUND(tblSprzedaz[[#This Row],[Ilość]]*tblSprzedaz[[#This Row],[Koszt jednostkowy netto]],2)</f>
        <v>203.44</v>
      </c>
      <c r="O766" s="14">
        <f>tblSprzedaz[[#This Row],[Przychód netto]]-tblSprzedaz[[#This Row],[Koszt całkowity netto]]</f>
        <v>122.13999999999999</v>
      </c>
      <c r="P766" s="15">
        <f>IFERROR(tblSprzedaz[[#This Row],[Marża kwotowa]]/tblSprzedaz[[#This Row],[Przychód netto]],0)</f>
        <v>0.37514589348240063</v>
      </c>
      <c r="Q766" s="16">
        <f>YEAR(tblSprzedaz[[#This Row],[Data]])</f>
        <v>2025</v>
      </c>
      <c r="R766" s="16">
        <f>MONTH(tblSprzedaz[[#This Row],[Data]])</f>
        <v>7</v>
      </c>
      <c r="S766" s="9" t="str">
        <f>YEAR(tblSprzedaz[[#This Row],[Data]])&amp;"-"&amp;RIGHT("0"&amp;MONTH(tblSprzedaz[[#This Row],[Data]]),2)</f>
        <v>2025-07</v>
      </c>
    </row>
    <row r="767" spans="1:19" x14ac:dyDescent="0.25">
      <c r="A767" s="7" t="s">
        <v>1701</v>
      </c>
      <c r="B767" s="10">
        <v>45867</v>
      </c>
      <c r="C767" s="7" t="s">
        <v>1702</v>
      </c>
      <c r="D767" s="8" t="s">
        <v>99</v>
      </c>
      <c r="E767" s="8" t="s">
        <v>77</v>
      </c>
      <c r="F767" s="8" t="s">
        <v>37</v>
      </c>
      <c r="G767" s="8" t="s">
        <v>36</v>
      </c>
      <c r="H767" s="8" t="s">
        <v>47</v>
      </c>
      <c r="I767" s="11">
        <v>13</v>
      </c>
      <c r="J767" s="12">
        <v>77.900000000000006</v>
      </c>
      <c r="K767" s="13">
        <v>0</v>
      </c>
      <c r="L767" s="12">
        <v>56.99</v>
      </c>
      <c r="M767" s="14">
        <f>ROUND(tblSprzedaz[[#This Row],[Ilość]]*tblSprzedaz[[#This Row],[Cena netto jednostkowa]]*(1-tblSprzedaz[[#This Row],[Rabat %]]),2)</f>
        <v>1012.7</v>
      </c>
      <c r="N767" s="14">
        <f>ROUND(tblSprzedaz[[#This Row],[Ilość]]*tblSprzedaz[[#This Row],[Koszt jednostkowy netto]],2)</f>
        <v>740.87</v>
      </c>
      <c r="O767" s="14">
        <f>tblSprzedaz[[#This Row],[Przychód netto]]-tblSprzedaz[[#This Row],[Koszt całkowity netto]]</f>
        <v>271.83000000000004</v>
      </c>
      <c r="P767" s="15">
        <f>IFERROR(tblSprzedaz[[#This Row],[Marża kwotowa]]/tblSprzedaz[[#This Row],[Przychód netto]],0)</f>
        <v>0.26842105263157895</v>
      </c>
      <c r="Q767" s="16">
        <f>YEAR(tblSprzedaz[[#This Row],[Data]])</f>
        <v>2025</v>
      </c>
      <c r="R767" s="16">
        <f>MONTH(tblSprzedaz[[#This Row],[Data]])</f>
        <v>7</v>
      </c>
      <c r="S767" s="9" t="str">
        <f>YEAR(tblSprzedaz[[#This Row],[Data]])&amp;"-"&amp;RIGHT("0"&amp;MONTH(tblSprzedaz[[#This Row],[Data]]),2)</f>
        <v>2025-07</v>
      </c>
    </row>
    <row r="768" spans="1:19" x14ac:dyDescent="0.25">
      <c r="A768" s="7" t="s">
        <v>1703</v>
      </c>
      <c r="B768" s="10">
        <v>45867</v>
      </c>
      <c r="C768" s="7" t="s">
        <v>1704</v>
      </c>
      <c r="D768" s="8" t="s">
        <v>130</v>
      </c>
      <c r="E768" s="8" t="s">
        <v>55</v>
      </c>
      <c r="F768" s="8" t="s">
        <v>31</v>
      </c>
      <c r="G768" s="8" t="s">
        <v>36</v>
      </c>
      <c r="H768" s="8" t="s">
        <v>47</v>
      </c>
      <c r="I768" s="11">
        <v>9</v>
      </c>
      <c r="J768" s="12">
        <v>243.6</v>
      </c>
      <c r="K768" s="13">
        <v>0</v>
      </c>
      <c r="L768" s="12">
        <v>152.52000000000001</v>
      </c>
      <c r="M768" s="14">
        <f>ROUND(tblSprzedaz[[#This Row],[Ilość]]*tblSprzedaz[[#This Row],[Cena netto jednostkowa]]*(1-tblSprzedaz[[#This Row],[Rabat %]]),2)</f>
        <v>2192.4</v>
      </c>
      <c r="N768" s="14">
        <f>ROUND(tblSprzedaz[[#This Row],[Ilość]]*tblSprzedaz[[#This Row],[Koszt jednostkowy netto]],2)</f>
        <v>1372.68</v>
      </c>
      <c r="O768" s="14">
        <f>tblSprzedaz[[#This Row],[Przychód netto]]-tblSprzedaz[[#This Row],[Koszt całkowity netto]]</f>
        <v>819.72</v>
      </c>
      <c r="P768" s="15">
        <f>IFERROR(tblSprzedaz[[#This Row],[Marża kwotowa]]/tblSprzedaz[[#This Row],[Przychód netto]],0)</f>
        <v>0.37389162561576356</v>
      </c>
      <c r="Q768" s="16">
        <f>YEAR(tblSprzedaz[[#This Row],[Data]])</f>
        <v>2025</v>
      </c>
      <c r="R768" s="16">
        <f>MONTH(tblSprzedaz[[#This Row],[Data]])</f>
        <v>7</v>
      </c>
      <c r="S768" s="9" t="str">
        <f>YEAR(tblSprzedaz[[#This Row],[Data]])&amp;"-"&amp;RIGHT("0"&amp;MONTH(tblSprzedaz[[#This Row],[Data]]),2)</f>
        <v>2025-07</v>
      </c>
    </row>
    <row r="769" spans="1:19" x14ac:dyDescent="0.25">
      <c r="A769" s="7" t="s">
        <v>1705</v>
      </c>
      <c r="B769" s="10">
        <v>45867</v>
      </c>
      <c r="C769" s="7" t="s">
        <v>1706</v>
      </c>
      <c r="D769" s="8" t="s">
        <v>117</v>
      </c>
      <c r="E769" s="8" t="s">
        <v>63</v>
      </c>
      <c r="F769" s="8" t="s">
        <v>33</v>
      </c>
      <c r="G769" s="8" t="s">
        <v>28</v>
      </c>
      <c r="H769" s="8" t="s">
        <v>39</v>
      </c>
      <c r="I769" s="11">
        <v>4</v>
      </c>
      <c r="J769" s="12">
        <v>690</v>
      </c>
      <c r="K769" s="13">
        <v>0.05</v>
      </c>
      <c r="L769" s="12">
        <v>479.36</v>
      </c>
      <c r="M769" s="14">
        <f>ROUND(tblSprzedaz[[#This Row],[Ilość]]*tblSprzedaz[[#This Row],[Cena netto jednostkowa]]*(1-tblSprzedaz[[#This Row],[Rabat %]]),2)</f>
        <v>2622</v>
      </c>
      <c r="N769" s="14">
        <f>ROUND(tblSprzedaz[[#This Row],[Ilość]]*tblSprzedaz[[#This Row],[Koszt jednostkowy netto]],2)</f>
        <v>1917.44</v>
      </c>
      <c r="O769" s="14">
        <f>tblSprzedaz[[#This Row],[Przychód netto]]-tblSprzedaz[[#This Row],[Koszt całkowity netto]]</f>
        <v>704.56</v>
      </c>
      <c r="P769" s="15">
        <f>IFERROR(tblSprzedaz[[#This Row],[Marża kwotowa]]/tblSprzedaz[[#This Row],[Przychód netto]],0)</f>
        <v>0.26871090770404271</v>
      </c>
      <c r="Q769" s="16">
        <f>YEAR(tblSprzedaz[[#This Row],[Data]])</f>
        <v>2025</v>
      </c>
      <c r="R769" s="16">
        <f>MONTH(tblSprzedaz[[#This Row],[Data]])</f>
        <v>7</v>
      </c>
      <c r="S769" s="9" t="str">
        <f>YEAR(tblSprzedaz[[#This Row],[Data]])&amp;"-"&amp;RIGHT("0"&amp;MONTH(tblSprzedaz[[#This Row],[Data]]),2)</f>
        <v>2025-07</v>
      </c>
    </row>
    <row r="770" spans="1:19" x14ac:dyDescent="0.25">
      <c r="A770" s="7" t="s">
        <v>1707</v>
      </c>
      <c r="B770" s="10">
        <v>45868</v>
      </c>
      <c r="C770" s="7" t="s">
        <v>1708</v>
      </c>
      <c r="D770" s="8" t="s">
        <v>89</v>
      </c>
      <c r="E770" s="8" t="s">
        <v>54</v>
      </c>
      <c r="F770" s="8" t="s">
        <v>31</v>
      </c>
      <c r="G770" s="8" t="s">
        <v>30</v>
      </c>
      <c r="H770" s="8" t="s">
        <v>41</v>
      </c>
      <c r="I770" s="11">
        <v>7</v>
      </c>
      <c r="J770" s="12">
        <v>207.9</v>
      </c>
      <c r="K770" s="13">
        <v>0.1</v>
      </c>
      <c r="L770" s="12">
        <v>131.68</v>
      </c>
      <c r="M770" s="14">
        <f>ROUND(tblSprzedaz[[#This Row],[Ilość]]*tblSprzedaz[[#This Row],[Cena netto jednostkowa]]*(1-tblSprzedaz[[#This Row],[Rabat %]]),2)</f>
        <v>1309.77</v>
      </c>
      <c r="N770" s="14">
        <f>ROUND(tblSprzedaz[[#This Row],[Ilość]]*tblSprzedaz[[#This Row],[Koszt jednostkowy netto]],2)</f>
        <v>921.76</v>
      </c>
      <c r="O770" s="14">
        <f>tblSprzedaz[[#This Row],[Przychód netto]]-tblSprzedaz[[#This Row],[Koszt całkowity netto]]</f>
        <v>388.01</v>
      </c>
      <c r="P770" s="15">
        <f>IFERROR(tblSprzedaz[[#This Row],[Marża kwotowa]]/tblSprzedaz[[#This Row],[Przychód netto]],0)</f>
        <v>0.29624285179840737</v>
      </c>
      <c r="Q770" s="16">
        <f>YEAR(tblSprzedaz[[#This Row],[Data]])</f>
        <v>2025</v>
      </c>
      <c r="R770" s="16">
        <f>MONTH(tblSprzedaz[[#This Row],[Data]])</f>
        <v>7</v>
      </c>
      <c r="S770" s="9" t="str">
        <f>YEAR(tblSprzedaz[[#This Row],[Data]])&amp;"-"&amp;RIGHT("0"&amp;MONTH(tblSprzedaz[[#This Row],[Data]]),2)</f>
        <v>2025-07</v>
      </c>
    </row>
    <row r="771" spans="1:19" x14ac:dyDescent="0.25">
      <c r="A771" s="7" t="s">
        <v>1709</v>
      </c>
      <c r="B771" s="10">
        <v>45868</v>
      </c>
      <c r="C771" s="7" t="s">
        <v>1710</v>
      </c>
      <c r="D771" s="8" t="s">
        <v>109</v>
      </c>
      <c r="E771" s="8" t="s">
        <v>63</v>
      </c>
      <c r="F771" s="8" t="s">
        <v>33</v>
      </c>
      <c r="G771" s="8" t="s">
        <v>32</v>
      </c>
      <c r="H771" s="8" t="s">
        <v>42</v>
      </c>
      <c r="I771" s="11">
        <v>19</v>
      </c>
      <c r="J771" s="12">
        <v>690</v>
      </c>
      <c r="K771" s="13">
        <v>0.05</v>
      </c>
      <c r="L771" s="12">
        <v>469.6</v>
      </c>
      <c r="M771" s="14">
        <f>ROUND(tblSprzedaz[[#This Row],[Ilość]]*tblSprzedaz[[#This Row],[Cena netto jednostkowa]]*(1-tblSprzedaz[[#This Row],[Rabat %]]),2)</f>
        <v>12454.5</v>
      </c>
      <c r="N771" s="14">
        <f>ROUND(tblSprzedaz[[#This Row],[Ilość]]*tblSprzedaz[[#This Row],[Koszt jednostkowy netto]],2)</f>
        <v>8922.4</v>
      </c>
      <c r="O771" s="14">
        <f>tblSprzedaz[[#This Row],[Przychód netto]]-tblSprzedaz[[#This Row],[Koszt całkowity netto]]</f>
        <v>3532.1000000000004</v>
      </c>
      <c r="P771" s="15">
        <f>IFERROR(tblSprzedaz[[#This Row],[Marża kwotowa]]/tblSprzedaz[[#This Row],[Przychód netto]],0)</f>
        <v>0.28360030511060264</v>
      </c>
      <c r="Q771" s="16">
        <f>YEAR(tblSprzedaz[[#This Row],[Data]])</f>
        <v>2025</v>
      </c>
      <c r="R771" s="16">
        <f>MONTH(tblSprzedaz[[#This Row],[Data]])</f>
        <v>7</v>
      </c>
      <c r="S771" s="9" t="str">
        <f>YEAR(tblSprzedaz[[#This Row],[Data]])&amp;"-"&amp;RIGHT("0"&amp;MONTH(tblSprzedaz[[#This Row],[Data]]),2)</f>
        <v>2025-07</v>
      </c>
    </row>
    <row r="772" spans="1:19" x14ac:dyDescent="0.25">
      <c r="A772" s="7" t="s">
        <v>1711</v>
      </c>
      <c r="B772" s="10">
        <v>45868</v>
      </c>
      <c r="C772" s="7" t="s">
        <v>1712</v>
      </c>
      <c r="D772" s="8" t="s">
        <v>130</v>
      </c>
      <c r="E772" s="8" t="s">
        <v>63</v>
      </c>
      <c r="F772" s="8" t="s">
        <v>33</v>
      </c>
      <c r="G772" s="8" t="s">
        <v>34</v>
      </c>
      <c r="H772" s="8" t="s">
        <v>44</v>
      </c>
      <c r="I772" s="11">
        <v>6</v>
      </c>
      <c r="J772" s="12">
        <v>690</v>
      </c>
      <c r="K772" s="13">
        <v>0.15</v>
      </c>
      <c r="L772" s="12">
        <v>447.93</v>
      </c>
      <c r="M772" s="14">
        <f>ROUND(tblSprzedaz[[#This Row],[Ilość]]*tblSprzedaz[[#This Row],[Cena netto jednostkowa]]*(1-tblSprzedaz[[#This Row],[Rabat %]]),2)</f>
        <v>3519</v>
      </c>
      <c r="N772" s="14">
        <f>ROUND(tblSprzedaz[[#This Row],[Ilość]]*tblSprzedaz[[#This Row],[Koszt jednostkowy netto]],2)</f>
        <v>2687.58</v>
      </c>
      <c r="O772" s="14">
        <f>tblSprzedaz[[#This Row],[Przychód netto]]-tblSprzedaz[[#This Row],[Koszt całkowity netto]]</f>
        <v>831.42000000000007</v>
      </c>
      <c r="P772" s="15">
        <f>IFERROR(tblSprzedaz[[#This Row],[Marża kwotowa]]/tblSprzedaz[[#This Row],[Przychód netto]],0)</f>
        <v>0.23626598465473148</v>
      </c>
      <c r="Q772" s="16">
        <f>YEAR(tblSprzedaz[[#This Row],[Data]])</f>
        <v>2025</v>
      </c>
      <c r="R772" s="16">
        <f>MONTH(tblSprzedaz[[#This Row],[Data]])</f>
        <v>7</v>
      </c>
      <c r="S772" s="9" t="str">
        <f>YEAR(tblSprzedaz[[#This Row],[Data]])&amp;"-"&amp;RIGHT("0"&amp;MONTH(tblSprzedaz[[#This Row],[Data]]),2)</f>
        <v>2025-07</v>
      </c>
    </row>
    <row r="773" spans="1:19" x14ac:dyDescent="0.25">
      <c r="A773" s="7" t="s">
        <v>1713</v>
      </c>
      <c r="B773" s="10">
        <v>45868</v>
      </c>
      <c r="C773" s="7" t="s">
        <v>1714</v>
      </c>
      <c r="D773" s="8" t="s">
        <v>105</v>
      </c>
      <c r="E773" s="8" t="s">
        <v>57</v>
      </c>
      <c r="F773" s="8" t="s">
        <v>31</v>
      </c>
      <c r="G773" s="8" t="s">
        <v>34</v>
      </c>
      <c r="H773" s="8" t="s">
        <v>45</v>
      </c>
      <c r="I773" s="11">
        <v>1</v>
      </c>
      <c r="J773" s="12">
        <v>315</v>
      </c>
      <c r="K773" s="13">
        <v>0</v>
      </c>
      <c r="L773" s="12">
        <v>191.05</v>
      </c>
      <c r="M773" s="14">
        <f>ROUND(tblSprzedaz[[#This Row],[Ilość]]*tblSprzedaz[[#This Row],[Cena netto jednostkowa]]*(1-tblSprzedaz[[#This Row],[Rabat %]]),2)</f>
        <v>315</v>
      </c>
      <c r="N773" s="14">
        <f>ROUND(tblSprzedaz[[#This Row],[Ilość]]*tblSprzedaz[[#This Row],[Koszt jednostkowy netto]],2)</f>
        <v>191.05</v>
      </c>
      <c r="O773" s="14">
        <f>tblSprzedaz[[#This Row],[Przychód netto]]-tblSprzedaz[[#This Row],[Koszt całkowity netto]]</f>
        <v>123.94999999999999</v>
      </c>
      <c r="P773" s="15">
        <f>IFERROR(tblSprzedaz[[#This Row],[Marża kwotowa]]/tblSprzedaz[[#This Row],[Przychód netto]],0)</f>
        <v>0.39349206349206345</v>
      </c>
      <c r="Q773" s="16">
        <f>YEAR(tblSprzedaz[[#This Row],[Data]])</f>
        <v>2025</v>
      </c>
      <c r="R773" s="16">
        <f>MONTH(tblSprzedaz[[#This Row],[Data]])</f>
        <v>7</v>
      </c>
      <c r="S773" s="9" t="str">
        <f>YEAR(tblSprzedaz[[#This Row],[Data]])&amp;"-"&amp;RIGHT("0"&amp;MONTH(tblSprzedaz[[#This Row],[Data]]),2)</f>
        <v>2025-07</v>
      </c>
    </row>
    <row r="774" spans="1:19" x14ac:dyDescent="0.25">
      <c r="A774" s="7" t="s">
        <v>1715</v>
      </c>
      <c r="B774" s="10">
        <v>45869</v>
      </c>
      <c r="C774" s="7" t="s">
        <v>1716</v>
      </c>
      <c r="D774" s="8" t="s">
        <v>94</v>
      </c>
      <c r="E774" s="8" t="s">
        <v>53</v>
      </c>
      <c r="F774" s="8" t="s">
        <v>29</v>
      </c>
      <c r="G774" s="8" t="s">
        <v>28</v>
      </c>
      <c r="H774" s="8" t="s">
        <v>38</v>
      </c>
      <c r="I774" s="11">
        <v>7</v>
      </c>
      <c r="J774" s="12">
        <v>27.88</v>
      </c>
      <c r="K774" s="13">
        <v>0</v>
      </c>
      <c r="L774" s="12">
        <v>17.47</v>
      </c>
      <c r="M774" s="14">
        <f>ROUND(tblSprzedaz[[#This Row],[Ilość]]*tblSprzedaz[[#This Row],[Cena netto jednostkowa]]*(1-tblSprzedaz[[#This Row],[Rabat %]]),2)</f>
        <v>195.16</v>
      </c>
      <c r="N774" s="14">
        <f>ROUND(tblSprzedaz[[#This Row],[Ilość]]*tblSprzedaz[[#This Row],[Koszt jednostkowy netto]],2)</f>
        <v>122.29</v>
      </c>
      <c r="O774" s="14">
        <f>tblSprzedaz[[#This Row],[Przychód netto]]-tblSprzedaz[[#This Row],[Koszt całkowity netto]]</f>
        <v>72.86999999999999</v>
      </c>
      <c r="P774" s="15">
        <f>IFERROR(tblSprzedaz[[#This Row],[Marża kwotowa]]/tblSprzedaz[[#This Row],[Przychód netto]],0)</f>
        <v>0.37338593974175033</v>
      </c>
      <c r="Q774" s="16">
        <f>YEAR(tblSprzedaz[[#This Row],[Data]])</f>
        <v>2025</v>
      </c>
      <c r="R774" s="16">
        <f>MONTH(tblSprzedaz[[#This Row],[Data]])</f>
        <v>7</v>
      </c>
      <c r="S774" s="9" t="str">
        <f>YEAR(tblSprzedaz[[#This Row],[Data]])&amp;"-"&amp;RIGHT("0"&amp;MONTH(tblSprzedaz[[#This Row],[Data]]),2)</f>
        <v>2025-07</v>
      </c>
    </row>
    <row r="775" spans="1:19" x14ac:dyDescent="0.25">
      <c r="A775" s="7" t="s">
        <v>1717</v>
      </c>
      <c r="B775" s="10">
        <v>45869</v>
      </c>
      <c r="C775" s="7" t="s">
        <v>1718</v>
      </c>
      <c r="D775" s="8" t="s">
        <v>144</v>
      </c>
      <c r="E775" s="8" t="s">
        <v>59</v>
      </c>
      <c r="F775" s="8" t="s">
        <v>31</v>
      </c>
      <c r="G775" s="8" t="s">
        <v>34</v>
      </c>
      <c r="H775" s="8" t="s">
        <v>44</v>
      </c>
      <c r="I775" s="11">
        <v>7</v>
      </c>
      <c r="J775" s="12">
        <v>172.2</v>
      </c>
      <c r="K775" s="13">
        <v>0.15</v>
      </c>
      <c r="L775" s="12">
        <v>115.33</v>
      </c>
      <c r="M775" s="14">
        <f>ROUND(tblSprzedaz[[#This Row],[Ilość]]*tblSprzedaz[[#This Row],[Cena netto jednostkowa]]*(1-tblSprzedaz[[#This Row],[Rabat %]]),2)</f>
        <v>1024.5899999999999</v>
      </c>
      <c r="N775" s="14">
        <f>ROUND(tblSprzedaz[[#This Row],[Ilość]]*tblSprzedaz[[#This Row],[Koszt jednostkowy netto]],2)</f>
        <v>807.31</v>
      </c>
      <c r="O775" s="14">
        <f>tblSprzedaz[[#This Row],[Przychód netto]]-tblSprzedaz[[#This Row],[Koszt całkowity netto]]</f>
        <v>217.27999999999997</v>
      </c>
      <c r="P775" s="15">
        <f>IFERROR(tblSprzedaz[[#This Row],[Marża kwotowa]]/tblSprzedaz[[#This Row],[Przychód netto]],0)</f>
        <v>0.21206531393045022</v>
      </c>
      <c r="Q775" s="16">
        <f>YEAR(tblSprzedaz[[#This Row],[Data]])</f>
        <v>2025</v>
      </c>
      <c r="R775" s="16">
        <f>MONTH(tblSprzedaz[[#This Row],[Data]])</f>
        <v>7</v>
      </c>
      <c r="S775" s="9" t="str">
        <f>YEAR(tblSprzedaz[[#This Row],[Data]])&amp;"-"&amp;RIGHT("0"&amp;MONTH(tblSprzedaz[[#This Row],[Data]]),2)</f>
        <v>2025-07</v>
      </c>
    </row>
    <row r="776" spans="1:19" x14ac:dyDescent="0.25">
      <c r="A776" s="7" t="s">
        <v>1719</v>
      </c>
      <c r="B776" s="10">
        <v>45869</v>
      </c>
      <c r="C776" s="7" t="s">
        <v>1720</v>
      </c>
      <c r="D776" s="8" t="s">
        <v>136</v>
      </c>
      <c r="E776" s="8" t="s">
        <v>53</v>
      </c>
      <c r="F776" s="8" t="s">
        <v>29</v>
      </c>
      <c r="G776" s="8" t="s">
        <v>28</v>
      </c>
      <c r="H776" s="8" t="s">
        <v>39</v>
      </c>
      <c r="I776" s="11">
        <v>6</v>
      </c>
      <c r="J776" s="12">
        <v>27.88</v>
      </c>
      <c r="K776" s="13">
        <v>0</v>
      </c>
      <c r="L776" s="12">
        <v>15.84</v>
      </c>
      <c r="M776" s="14">
        <f>ROUND(tblSprzedaz[[#This Row],[Ilość]]*tblSprzedaz[[#This Row],[Cena netto jednostkowa]]*(1-tblSprzedaz[[#This Row],[Rabat %]]),2)</f>
        <v>167.28</v>
      </c>
      <c r="N776" s="14">
        <f>ROUND(tblSprzedaz[[#This Row],[Ilość]]*tblSprzedaz[[#This Row],[Koszt jednostkowy netto]],2)</f>
        <v>95.04</v>
      </c>
      <c r="O776" s="14">
        <f>tblSprzedaz[[#This Row],[Przychód netto]]-tblSprzedaz[[#This Row],[Koszt całkowity netto]]</f>
        <v>72.239999999999995</v>
      </c>
      <c r="P776" s="15">
        <f>IFERROR(tblSprzedaz[[#This Row],[Marża kwotowa]]/tblSprzedaz[[#This Row],[Przychód netto]],0)</f>
        <v>0.43185078909612623</v>
      </c>
      <c r="Q776" s="16">
        <f>YEAR(tblSprzedaz[[#This Row],[Data]])</f>
        <v>2025</v>
      </c>
      <c r="R776" s="16">
        <f>MONTH(tblSprzedaz[[#This Row],[Data]])</f>
        <v>7</v>
      </c>
      <c r="S776" s="9" t="str">
        <f>YEAR(tblSprzedaz[[#This Row],[Data]])&amp;"-"&amp;RIGHT("0"&amp;MONTH(tblSprzedaz[[#This Row],[Data]]),2)</f>
        <v>2025-07</v>
      </c>
    </row>
    <row r="777" spans="1:19" x14ac:dyDescent="0.25">
      <c r="A777" s="7" t="s">
        <v>1721</v>
      </c>
      <c r="B777" s="10">
        <v>45869</v>
      </c>
      <c r="C777" s="7" t="s">
        <v>1722</v>
      </c>
      <c r="D777" s="8" t="s">
        <v>117</v>
      </c>
      <c r="E777" s="8" t="s">
        <v>74</v>
      </c>
      <c r="F777" s="8" t="s">
        <v>37</v>
      </c>
      <c r="G777" s="8" t="s">
        <v>34</v>
      </c>
      <c r="H777" s="8" t="s">
        <v>45</v>
      </c>
      <c r="I777" s="11">
        <v>7</v>
      </c>
      <c r="J777" s="12">
        <v>126.35</v>
      </c>
      <c r="K777" s="13">
        <v>0.05</v>
      </c>
      <c r="L777" s="12">
        <v>100.81</v>
      </c>
      <c r="M777" s="14">
        <f>ROUND(tblSprzedaz[[#This Row],[Ilość]]*tblSprzedaz[[#This Row],[Cena netto jednostkowa]]*(1-tblSprzedaz[[#This Row],[Rabat %]]),2)</f>
        <v>840.23</v>
      </c>
      <c r="N777" s="14">
        <f>ROUND(tblSprzedaz[[#This Row],[Ilość]]*tblSprzedaz[[#This Row],[Koszt jednostkowy netto]],2)</f>
        <v>705.67</v>
      </c>
      <c r="O777" s="14">
        <f>tblSprzedaz[[#This Row],[Przychód netto]]-tblSprzedaz[[#This Row],[Koszt całkowity netto]]</f>
        <v>134.56000000000006</v>
      </c>
      <c r="P777" s="15">
        <f>IFERROR(tblSprzedaz[[#This Row],[Marża kwotowa]]/tblSprzedaz[[#This Row],[Przychód netto]],0)</f>
        <v>0.16014662651892941</v>
      </c>
      <c r="Q777" s="16">
        <f>YEAR(tblSprzedaz[[#This Row],[Data]])</f>
        <v>2025</v>
      </c>
      <c r="R777" s="16">
        <f>MONTH(tblSprzedaz[[#This Row],[Data]])</f>
        <v>7</v>
      </c>
      <c r="S777" s="9" t="str">
        <f>YEAR(tblSprzedaz[[#This Row],[Data]])&amp;"-"&amp;RIGHT("0"&amp;MONTH(tblSprzedaz[[#This Row],[Data]]),2)</f>
        <v>2025-07</v>
      </c>
    </row>
    <row r="778" spans="1:19" x14ac:dyDescent="0.25">
      <c r="A778" s="7" t="s">
        <v>1723</v>
      </c>
      <c r="B778" s="10">
        <v>45870</v>
      </c>
      <c r="C778" s="7" t="s">
        <v>1724</v>
      </c>
      <c r="D778" s="8" t="s">
        <v>108</v>
      </c>
      <c r="E778" s="8" t="s">
        <v>66</v>
      </c>
      <c r="F778" s="8" t="s">
        <v>35</v>
      </c>
      <c r="G778" s="8" t="s">
        <v>34</v>
      </c>
      <c r="H778" s="8" t="s">
        <v>44</v>
      </c>
      <c r="I778" s="11">
        <v>4</v>
      </c>
      <c r="J778" s="12">
        <v>67.319999999999993</v>
      </c>
      <c r="K778" s="13">
        <v>0</v>
      </c>
      <c r="L778" s="12">
        <v>47.43</v>
      </c>
      <c r="M778" s="14">
        <f>ROUND(tblSprzedaz[[#This Row],[Ilość]]*tblSprzedaz[[#This Row],[Cena netto jednostkowa]]*(1-tblSprzedaz[[#This Row],[Rabat %]]),2)</f>
        <v>269.27999999999997</v>
      </c>
      <c r="N778" s="14">
        <f>ROUND(tblSprzedaz[[#This Row],[Ilość]]*tblSprzedaz[[#This Row],[Koszt jednostkowy netto]],2)</f>
        <v>189.72</v>
      </c>
      <c r="O778" s="14">
        <f>tblSprzedaz[[#This Row],[Przychód netto]]-tblSprzedaz[[#This Row],[Koszt całkowity netto]]</f>
        <v>79.559999999999974</v>
      </c>
      <c r="P778" s="15">
        <f>IFERROR(tblSprzedaz[[#This Row],[Marża kwotowa]]/tblSprzedaz[[#This Row],[Przychód netto]],0)</f>
        <v>0.29545454545454541</v>
      </c>
      <c r="Q778" s="16">
        <f>YEAR(tblSprzedaz[[#This Row],[Data]])</f>
        <v>2025</v>
      </c>
      <c r="R778" s="16">
        <f>MONTH(tblSprzedaz[[#This Row],[Data]])</f>
        <v>8</v>
      </c>
      <c r="S778" s="9" t="str">
        <f>YEAR(tblSprzedaz[[#This Row],[Data]])&amp;"-"&amp;RIGHT("0"&amp;MONTH(tblSprzedaz[[#This Row],[Data]]),2)</f>
        <v>2025-08</v>
      </c>
    </row>
    <row r="779" spans="1:19" x14ac:dyDescent="0.25">
      <c r="A779" s="7" t="s">
        <v>1725</v>
      </c>
      <c r="B779" s="10">
        <v>45870</v>
      </c>
      <c r="C779" s="7" t="s">
        <v>1726</v>
      </c>
      <c r="D779" s="8" t="s">
        <v>109</v>
      </c>
      <c r="E779" s="8" t="s">
        <v>71</v>
      </c>
      <c r="F779" s="8" t="s">
        <v>35</v>
      </c>
      <c r="G779" s="8" t="s">
        <v>36</v>
      </c>
      <c r="H779" s="8" t="s">
        <v>47</v>
      </c>
      <c r="I779" s="11">
        <v>11</v>
      </c>
      <c r="J779" s="12">
        <v>55.76</v>
      </c>
      <c r="K779" s="13">
        <v>0</v>
      </c>
      <c r="L779" s="12">
        <v>42.26</v>
      </c>
      <c r="M779" s="14">
        <f>ROUND(tblSprzedaz[[#This Row],[Ilość]]*tblSprzedaz[[#This Row],[Cena netto jednostkowa]]*(1-tblSprzedaz[[#This Row],[Rabat %]]),2)</f>
        <v>613.36</v>
      </c>
      <c r="N779" s="14">
        <f>ROUND(tblSprzedaz[[#This Row],[Ilość]]*tblSprzedaz[[#This Row],[Koszt jednostkowy netto]],2)</f>
        <v>464.86</v>
      </c>
      <c r="O779" s="14">
        <f>tblSprzedaz[[#This Row],[Przychód netto]]-tblSprzedaz[[#This Row],[Koszt całkowity netto]]</f>
        <v>148.5</v>
      </c>
      <c r="P779" s="15">
        <f>IFERROR(tblSprzedaz[[#This Row],[Marża kwotowa]]/tblSprzedaz[[#This Row],[Przychód netto]],0)</f>
        <v>0.24210903873744619</v>
      </c>
      <c r="Q779" s="16">
        <f>YEAR(tblSprzedaz[[#This Row],[Data]])</f>
        <v>2025</v>
      </c>
      <c r="R779" s="16">
        <f>MONTH(tblSprzedaz[[#This Row],[Data]])</f>
        <v>8</v>
      </c>
      <c r="S779" s="9" t="str">
        <f>YEAR(tblSprzedaz[[#This Row],[Data]])&amp;"-"&amp;RIGHT("0"&amp;MONTH(tblSprzedaz[[#This Row],[Data]]),2)</f>
        <v>2025-08</v>
      </c>
    </row>
    <row r="780" spans="1:19" x14ac:dyDescent="0.25">
      <c r="A780" s="7" t="s">
        <v>1727</v>
      </c>
      <c r="B780" s="10">
        <v>45870</v>
      </c>
      <c r="C780" s="7" t="s">
        <v>1728</v>
      </c>
      <c r="D780" s="8" t="s">
        <v>117</v>
      </c>
      <c r="E780" s="8" t="s">
        <v>74</v>
      </c>
      <c r="F780" s="8" t="s">
        <v>37</v>
      </c>
      <c r="G780" s="8" t="s">
        <v>28</v>
      </c>
      <c r="H780" s="8" t="s">
        <v>39</v>
      </c>
      <c r="I780" s="11">
        <v>9</v>
      </c>
      <c r="J780" s="12">
        <v>126.35</v>
      </c>
      <c r="K780" s="13">
        <v>0.1</v>
      </c>
      <c r="L780" s="12">
        <v>92.65</v>
      </c>
      <c r="M780" s="14">
        <f>ROUND(tblSprzedaz[[#This Row],[Ilość]]*tblSprzedaz[[#This Row],[Cena netto jednostkowa]]*(1-tblSprzedaz[[#This Row],[Rabat %]]),2)</f>
        <v>1023.44</v>
      </c>
      <c r="N780" s="14">
        <f>ROUND(tblSprzedaz[[#This Row],[Ilość]]*tblSprzedaz[[#This Row],[Koszt jednostkowy netto]],2)</f>
        <v>833.85</v>
      </c>
      <c r="O780" s="14">
        <f>tblSprzedaz[[#This Row],[Przychód netto]]-tblSprzedaz[[#This Row],[Koszt całkowity netto]]</f>
        <v>189.59000000000003</v>
      </c>
      <c r="P780" s="15">
        <f>IFERROR(tblSprzedaz[[#This Row],[Marża kwotowa]]/tblSprzedaz[[#This Row],[Przychód netto]],0)</f>
        <v>0.18524779176111938</v>
      </c>
      <c r="Q780" s="16">
        <f>YEAR(tblSprzedaz[[#This Row],[Data]])</f>
        <v>2025</v>
      </c>
      <c r="R780" s="16">
        <f>MONTH(tblSprzedaz[[#This Row],[Data]])</f>
        <v>8</v>
      </c>
      <c r="S780" s="9" t="str">
        <f>YEAR(tblSprzedaz[[#This Row],[Data]])&amp;"-"&amp;RIGHT("0"&amp;MONTH(tblSprzedaz[[#This Row],[Data]]),2)</f>
        <v>2025-08</v>
      </c>
    </row>
    <row r="781" spans="1:19" x14ac:dyDescent="0.25">
      <c r="A781" s="7" t="s">
        <v>1729</v>
      </c>
      <c r="B781" s="10">
        <v>45870</v>
      </c>
      <c r="C781" s="7" t="s">
        <v>1730</v>
      </c>
      <c r="D781" s="8" t="s">
        <v>86</v>
      </c>
      <c r="E781" s="8" t="s">
        <v>55</v>
      </c>
      <c r="F781" s="8" t="s">
        <v>31</v>
      </c>
      <c r="G781" s="8" t="s">
        <v>30</v>
      </c>
      <c r="H781" s="8" t="s">
        <v>40</v>
      </c>
      <c r="I781" s="11">
        <v>3</v>
      </c>
      <c r="J781" s="12">
        <v>243.6</v>
      </c>
      <c r="K781" s="13">
        <v>0.05</v>
      </c>
      <c r="L781" s="12">
        <v>161.84</v>
      </c>
      <c r="M781" s="14">
        <f>ROUND(tblSprzedaz[[#This Row],[Ilość]]*tblSprzedaz[[#This Row],[Cena netto jednostkowa]]*(1-tblSprzedaz[[#This Row],[Rabat %]]),2)</f>
        <v>694.26</v>
      </c>
      <c r="N781" s="14">
        <f>ROUND(tblSprzedaz[[#This Row],[Ilość]]*tblSprzedaz[[#This Row],[Koszt jednostkowy netto]],2)</f>
        <v>485.52</v>
      </c>
      <c r="O781" s="14">
        <f>tblSprzedaz[[#This Row],[Przychód netto]]-tblSprzedaz[[#This Row],[Koszt całkowity netto]]</f>
        <v>208.74</v>
      </c>
      <c r="P781" s="15">
        <f>IFERROR(tblSprzedaz[[#This Row],[Marża kwotowa]]/tblSprzedaz[[#This Row],[Przychód netto]],0)</f>
        <v>0.30066545674531159</v>
      </c>
      <c r="Q781" s="16">
        <f>YEAR(tblSprzedaz[[#This Row],[Data]])</f>
        <v>2025</v>
      </c>
      <c r="R781" s="16">
        <f>MONTH(tblSprzedaz[[#This Row],[Data]])</f>
        <v>8</v>
      </c>
      <c r="S781" s="9" t="str">
        <f>YEAR(tblSprzedaz[[#This Row],[Data]])&amp;"-"&amp;RIGHT("0"&amp;MONTH(tblSprzedaz[[#This Row],[Data]]),2)</f>
        <v>2025-08</v>
      </c>
    </row>
    <row r="782" spans="1:19" x14ac:dyDescent="0.25">
      <c r="A782" s="7" t="s">
        <v>1731</v>
      </c>
      <c r="B782" s="10">
        <v>45870</v>
      </c>
      <c r="C782" s="7" t="s">
        <v>1732</v>
      </c>
      <c r="D782" s="8" t="s">
        <v>107</v>
      </c>
      <c r="E782" s="8" t="s">
        <v>75</v>
      </c>
      <c r="F782" s="8" t="s">
        <v>37</v>
      </c>
      <c r="G782" s="8" t="s">
        <v>32</v>
      </c>
      <c r="H782" s="8" t="s">
        <v>42</v>
      </c>
      <c r="I782" s="11">
        <v>23</v>
      </c>
      <c r="J782" s="12">
        <v>142.5</v>
      </c>
      <c r="K782" s="13">
        <v>0.15</v>
      </c>
      <c r="L782" s="12">
        <v>105.12</v>
      </c>
      <c r="M782" s="14">
        <f>ROUND(tblSprzedaz[[#This Row],[Ilość]]*tblSprzedaz[[#This Row],[Cena netto jednostkowa]]*(1-tblSprzedaz[[#This Row],[Rabat %]]),2)</f>
        <v>2785.88</v>
      </c>
      <c r="N782" s="14">
        <f>ROUND(tblSprzedaz[[#This Row],[Ilość]]*tblSprzedaz[[#This Row],[Koszt jednostkowy netto]],2)</f>
        <v>2417.7600000000002</v>
      </c>
      <c r="O782" s="14">
        <f>tblSprzedaz[[#This Row],[Przychód netto]]-tblSprzedaz[[#This Row],[Koszt całkowity netto]]</f>
        <v>368.11999999999989</v>
      </c>
      <c r="P782" s="15">
        <f>IFERROR(tblSprzedaz[[#This Row],[Marża kwotowa]]/tblSprzedaz[[#This Row],[Przychód netto]],0)</f>
        <v>0.13213778052177405</v>
      </c>
      <c r="Q782" s="16">
        <f>YEAR(tblSprzedaz[[#This Row],[Data]])</f>
        <v>2025</v>
      </c>
      <c r="R782" s="16">
        <f>MONTH(tblSprzedaz[[#This Row],[Data]])</f>
        <v>8</v>
      </c>
      <c r="S782" s="9" t="str">
        <f>YEAR(tblSprzedaz[[#This Row],[Data]])&amp;"-"&amp;RIGHT("0"&amp;MONTH(tblSprzedaz[[#This Row],[Data]]),2)</f>
        <v>2025-08</v>
      </c>
    </row>
    <row r="783" spans="1:19" x14ac:dyDescent="0.25">
      <c r="A783" s="7" t="s">
        <v>1733</v>
      </c>
      <c r="B783" s="10">
        <v>45871</v>
      </c>
      <c r="C783" s="7" t="s">
        <v>1734</v>
      </c>
      <c r="D783" s="8" t="s">
        <v>151</v>
      </c>
      <c r="E783" s="8" t="s">
        <v>75</v>
      </c>
      <c r="F783" s="8" t="s">
        <v>37</v>
      </c>
      <c r="G783" s="8" t="s">
        <v>32</v>
      </c>
      <c r="H783" s="8" t="s">
        <v>42</v>
      </c>
      <c r="I783" s="11">
        <v>18</v>
      </c>
      <c r="J783" s="12">
        <v>142.5</v>
      </c>
      <c r="K783" s="13">
        <v>0.15</v>
      </c>
      <c r="L783" s="12">
        <v>108.69</v>
      </c>
      <c r="M783" s="14">
        <f>ROUND(tblSprzedaz[[#This Row],[Ilość]]*tblSprzedaz[[#This Row],[Cena netto jednostkowa]]*(1-tblSprzedaz[[#This Row],[Rabat %]]),2)</f>
        <v>2180.25</v>
      </c>
      <c r="N783" s="14">
        <f>ROUND(tblSprzedaz[[#This Row],[Ilość]]*tblSprzedaz[[#This Row],[Koszt jednostkowy netto]],2)</f>
        <v>1956.42</v>
      </c>
      <c r="O783" s="14">
        <f>tblSprzedaz[[#This Row],[Przychód netto]]-tblSprzedaz[[#This Row],[Koszt całkowity netto]]</f>
        <v>223.82999999999993</v>
      </c>
      <c r="P783" s="15">
        <f>IFERROR(tblSprzedaz[[#This Row],[Marża kwotowa]]/tblSprzedaz[[#This Row],[Przychód netto]],0)</f>
        <v>0.10266253869969037</v>
      </c>
      <c r="Q783" s="16">
        <f>YEAR(tblSprzedaz[[#This Row],[Data]])</f>
        <v>2025</v>
      </c>
      <c r="R783" s="16">
        <f>MONTH(tblSprzedaz[[#This Row],[Data]])</f>
        <v>8</v>
      </c>
      <c r="S783" s="9" t="str">
        <f>YEAR(tblSprzedaz[[#This Row],[Data]])&amp;"-"&amp;RIGHT("0"&amp;MONTH(tblSprzedaz[[#This Row],[Data]]),2)</f>
        <v>2025-08</v>
      </c>
    </row>
    <row r="784" spans="1:19" x14ac:dyDescent="0.25">
      <c r="A784" s="7" t="s">
        <v>1735</v>
      </c>
      <c r="B784" s="10">
        <v>45871</v>
      </c>
      <c r="C784" s="7" t="s">
        <v>1736</v>
      </c>
      <c r="D784" s="8" t="s">
        <v>101</v>
      </c>
      <c r="E784" s="8" t="s">
        <v>59</v>
      </c>
      <c r="F784" s="8" t="s">
        <v>31</v>
      </c>
      <c r="G784" s="8" t="s">
        <v>30</v>
      </c>
      <c r="H784" s="8" t="s">
        <v>40</v>
      </c>
      <c r="I784" s="11">
        <v>4</v>
      </c>
      <c r="J784" s="12">
        <v>172.2</v>
      </c>
      <c r="K784" s="13">
        <v>0</v>
      </c>
      <c r="L784" s="12">
        <v>110.22</v>
      </c>
      <c r="M784" s="14">
        <f>ROUND(tblSprzedaz[[#This Row],[Ilość]]*tblSprzedaz[[#This Row],[Cena netto jednostkowa]]*(1-tblSprzedaz[[#This Row],[Rabat %]]),2)</f>
        <v>688.8</v>
      </c>
      <c r="N784" s="14">
        <f>ROUND(tblSprzedaz[[#This Row],[Ilość]]*tblSprzedaz[[#This Row],[Koszt jednostkowy netto]],2)</f>
        <v>440.88</v>
      </c>
      <c r="O784" s="14">
        <f>tblSprzedaz[[#This Row],[Przychód netto]]-tblSprzedaz[[#This Row],[Koszt całkowity netto]]</f>
        <v>247.91999999999996</v>
      </c>
      <c r="P784" s="15">
        <f>IFERROR(tblSprzedaz[[#This Row],[Marża kwotowa]]/tblSprzedaz[[#This Row],[Przychód netto]],0)</f>
        <v>0.35993031358885014</v>
      </c>
      <c r="Q784" s="16">
        <f>YEAR(tblSprzedaz[[#This Row],[Data]])</f>
        <v>2025</v>
      </c>
      <c r="R784" s="16">
        <f>MONTH(tblSprzedaz[[#This Row],[Data]])</f>
        <v>8</v>
      </c>
      <c r="S784" s="9" t="str">
        <f>YEAR(tblSprzedaz[[#This Row],[Data]])&amp;"-"&amp;RIGHT("0"&amp;MONTH(tblSprzedaz[[#This Row],[Data]]),2)</f>
        <v>2025-08</v>
      </c>
    </row>
    <row r="785" spans="1:19" x14ac:dyDescent="0.25">
      <c r="A785" s="7" t="s">
        <v>1737</v>
      </c>
      <c r="B785" s="10">
        <v>45872</v>
      </c>
      <c r="C785" s="7" t="s">
        <v>1738</v>
      </c>
      <c r="D785" s="8" t="s">
        <v>82</v>
      </c>
      <c r="E785" s="8" t="s">
        <v>62</v>
      </c>
      <c r="F785" s="8" t="s">
        <v>33</v>
      </c>
      <c r="G785" s="8" t="s">
        <v>36</v>
      </c>
      <c r="H785" s="8" t="s">
        <v>47</v>
      </c>
      <c r="I785" s="11">
        <v>15</v>
      </c>
      <c r="J785" s="12">
        <v>611.79999999999995</v>
      </c>
      <c r="K785" s="13">
        <v>0</v>
      </c>
      <c r="L785" s="12">
        <v>413.09</v>
      </c>
      <c r="M785" s="14">
        <f>ROUND(tblSprzedaz[[#This Row],[Ilość]]*tblSprzedaz[[#This Row],[Cena netto jednostkowa]]*(1-tblSprzedaz[[#This Row],[Rabat %]]),2)</f>
        <v>9177</v>
      </c>
      <c r="N785" s="14">
        <f>ROUND(tblSprzedaz[[#This Row],[Ilość]]*tblSprzedaz[[#This Row],[Koszt jednostkowy netto]],2)</f>
        <v>6196.35</v>
      </c>
      <c r="O785" s="14">
        <f>tblSprzedaz[[#This Row],[Przychód netto]]-tblSprzedaz[[#This Row],[Koszt całkowity netto]]</f>
        <v>2980.6499999999996</v>
      </c>
      <c r="P785" s="15">
        <f>IFERROR(tblSprzedaz[[#This Row],[Marża kwotowa]]/tblSprzedaz[[#This Row],[Przychód netto]],0)</f>
        <v>0.32479568486433469</v>
      </c>
      <c r="Q785" s="16">
        <f>YEAR(tblSprzedaz[[#This Row],[Data]])</f>
        <v>2025</v>
      </c>
      <c r="R785" s="16">
        <f>MONTH(tblSprzedaz[[#This Row],[Data]])</f>
        <v>8</v>
      </c>
      <c r="S785" s="9" t="str">
        <f>YEAR(tblSprzedaz[[#This Row],[Data]])&amp;"-"&amp;RIGHT("0"&amp;MONTH(tblSprzedaz[[#This Row],[Data]]),2)</f>
        <v>2025-08</v>
      </c>
    </row>
    <row r="786" spans="1:19" x14ac:dyDescent="0.25">
      <c r="A786" s="7" t="s">
        <v>1739</v>
      </c>
      <c r="B786" s="10">
        <v>45872</v>
      </c>
      <c r="C786" s="7" t="s">
        <v>1740</v>
      </c>
      <c r="D786" s="8" t="s">
        <v>82</v>
      </c>
      <c r="E786" s="8" t="s">
        <v>75</v>
      </c>
      <c r="F786" s="8" t="s">
        <v>37</v>
      </c>
      <c r="G786" s="8" t="s">
        <v>32</v>
      </c>
      <c r="H786" s="8" t="s">
        <v>43</v>
      </c>
      <c r="I786" s="11">
        <v>1</v>
      </c>
      <c r="J786" s="12">
        <v>142.5</v>
      </c>
      <c r="K786" s="13">
        <v>0.05</v>
      </c>
      <c r="L786" s="12">
        <v>113.23</v>
      </c>
      <c r="M786" s="14">
        <f>ROUND(tblSprzedaz[[#This Row],[Ilość]]*tblSprzedaz[[#This Row],[Cena netto jednostkowa]]*(1-tblSprzedaz[[#This Row],[Rabat %]]),2)</f>
        <v>135.38</v>
      </c>
      <c r="N786" s="14">
        <f>ROUND(tblSprzedaz[[#This Row],[Ilość]]*tblSprzedaz[[#This Row],[Koszt jednostkowy netto]],2)</f>
        <v>113.23</v>
      </c>
      <c r="O786" s="14">
        <f>tblSprzedaz[[#This Row],[Przychód netto]]-tblSprzedaz[[#This Row],[Koszt całkowity netto]]</f>
        <v>22.149999999999991</v>
      </c>
      <c r="P786" s="15">
        <f>IFERROR(tblSprzedaz[[#This Row],[Marża kwotowa]]/tblSprzedaz[[#This Row],[Przychód netto]],0)</f>
        <v>0.16361353227950948</v>
      </c>
      <c r="Q786" s="16">
        <f>YEAR(tblSprzedaz[[#This Row],[Data]])</f>
        <v>2025</v>
      </c>
      <c r="R786" s="16">
        <f>MONTH(tblSprzedaz[[#This Row],[Data]])</f>
        <v>8</v>
      </c>
      <c r="S786" s="9" t="str">
        <f>YEAR(tblSprzedaz[[#This Row],[Data]])&amp;"-"&amp;RIGHT("0"&amp;MONTH(tblSprzedaz[[#This Row],[Data]]),2)</f>
        <v>2025-08</v>
      </c>
    </row>
    <row r="787" spans="1:19" x14ac:dyDescent="0.25">
      <c r="A787" s="7" t="s">
        <v>1741</v>
      </c>
      <c r="B787" s="10">
        <v>45873</v>
      </c>
      <c r="C787" s="7" t="s">
        <v>1742</v>
      </c>
      <c r="D787" s="8" t="s">
        <v>130</v>
      </c>
      <c r="E787" s="8" t="s">
        <v>55</v>
      </c>
      <c r="F787" s="8" t="s">
        <v>31</v>
      </c>
      <c r="G787" s="8" t="s">
        <v>34</v>
      </c>
      <c r="H787" s="8" t="s">
        <v>45</v>
      </c>
      <c r="I787" s="11">
        <v>4</v>
      </c>
      <c r="J787" s="12">
        <v>243.6</v>
      </c>
      <c r="K787" s="13">
        <v>0.1</v>
      </c>
      <c r="L787" s="12">
        <v>163.16999999999999</v>
      </c>
      <c r="M787" s="14">
        <f>ROUND(tblSprzedaz[[#This Row],[Ilość]]*tblSprzedaz[[#This Row],[Cena netto jednostkowa]]*(1-tblSprzedaz[[#This Row],[Rabat %]]),2)</f>
        <v>876.96</v>
      </c>
      <c r="N787" s="14">
        <f>ROUND(tblSprzedaz[[#This Row],[Ilość]]*tblSprzedaz[[#This Row],[Koszt jednostkowy netto]],2)</f>
        <v>652.67999999999995</v>
      </c>
      <c r="O787" s="14">
        <f>tblSprzedaz[[#This Row],[Przychód netto]]-tblSprzedaz[[#This Row],[Koszt całkowity netto]]</f>
        <v>224.28000000000009</v>
      </c>
      <c r="P787" s="15">
        <f>IFERROR(tblSprzedaz[[#This Row],[Marża kwotowa]]/tblSprzedaz[[#This Row],[Przychód netto]],0)</f>
        <v>0.25574712643678171</v>
      </c>
      <c r="Q787" s="16">
        <f>YEAR(tblSprzedaz[[#This Row],[Data]])</f>
        <v>2025</v>
      </c>
      <c r="R787" s="16">
        <f>MONTH(tblSprzedaz[[#This Row],[Data]])</f>
        <v>8</v>
      </c>
      <c r="S787" s="9" t="str">
        <f>YEAR(tblSprzedaz[[#This Row],[Data]])&amp;"-"&amp;RIGHT("0"&amp;MONTH(tblSprzedaz[[#This Row],[Data]]),2)</f>
        <v>2025-08</v>
      </c>
    </row>
    <row r="788" spans="1:19" x14ac:dyDescent="0.25">
      <c r="A788" s="7" t="s">
        <v>1743</v>
      </c>
      <c r="B788" s="10">
        <v>45873</v>
      </c>
      <c r="C788" s="7" t="s">
        <v>1744</v>
      </c>
      <c r="D788" s="8" t="s">
        <v>130</v>
      </c>
      <c r="E788" s="8" t="s">
        <v>60</v>
      </c>
      <c r="F788" s="8" t="s">
        <v>33</v>
      </c>
      <c r="G788" s="8" t="s">
        <v>30</v>
      </c>
      <c r="H788" s="8" t="s">
        <v>41</v>
      </c>
      <c r="I788" s="11">
        <v>6</v>
      </c>
      <c r="J788" s="12">
        <v>455.4</v>
      </c>
      <c r="K788" s="13">
        <v>0</v>
      </c>
      <c r="L788" s="12">
        <v>319.52</v>
      </c>
      <c r="M788" s="14">
        <f>ROUND(tblSprzedaz[[#This Row],[Ilość]]*tblSprzedaz[[#This Row],[Cena netto jednostkowa]]*(1-tblSprzedaz[[#This Row],[Rabat %]]),2)</f>
        <v>2732.4</v>
      </c>
      <c r="N788" s="14">
        <f>ROUND(tblSprzedaz[[#This Row],[Ilość]]*tblSprzedaz[[#This Row],[Koszt jednostkowy netto]],2)</f>
        <v>1917.12</v>
      </c>
      <c r="O788" s="14">
        <f>tblSprzedaz[[#This Row],[Przychód netto]]-tblSprzedaz[[#This Row],[Koszt całkowity netto]]</f>
        <v>815.2800000000002</v>
      </c>
      <c r="P788" s="15">
        <f>IFERROR(tblSprzedaz[[#This Row],[Marża kwotowa]]/tblSprzedaz[[#This Row],[Przychód netto]],0)</f>
        <v>0.29837505489679411</v>
      </c>
      <c r="Q788" s="16">
        <f>YEAR(tblSprzedaz[[#This Row],[Data]])</f>
        <v>2025</v>
      </c>
      <c r="R788" s="16">
        <f>MONTH(tblSprzedaz[[#This Row],[Data]])</f>
        <v>8</v>
      </c>
      <c r="S788" s="9" t="str">
        <f>YEAR(tblSprzedaz[[#This Row],[Data]])&amp;"-"&amp;RIGHT("0"&amp;MONTH(tblSprzedaz[[#This Row],[Data]]),2)</f>
        <v>2025-08</v>
      </c>
    </row>
    <row r="789" spans="1:19" x14ac:dyDescent="0.25">
      <c r="A789" s="7" t="s">
        <v>1745</v>
      </c>
      <c r="B789" s="10">
        <v>45873</v>
      </c>
      <c r="C789" s="7" t="s">
        <v>1746</v>
      </c>
      <c r="D789" s="8" t="s">
        <v>89</v>
      </c>
      <c r="E789" s="8" t="s">
        <v>55</v>
      </c>
      <c r="F789" s="8" t="s">
        <v>31</v>
      </c>
      <c r="G789" s="8" t="s">
        <v>36</v>
      </c>
      <c r="H789" s="8" t="s">
        <v>46</v>
      </c>
      <c r="I789" s="11">
        <v>15</v>
      </c>
      <c r="J789" s="12">
        <v>243.6</v>
      </c>
      <c r="K789" s="13">
        <v>0.05</v>
      </c>
      <c r="L789" s="12">
        <v>152.76</v>
      </c>
      <c r="M789" s="14">
        <f>ROUND(tblSprzedaz[[#This Row],[Ilość]]*tblSprzedaz[[#This Row],[Cena netto jednostkowa]]*(1-tblSprzedaz[[#This Row],[Rabat %]]),2)</f>
        <v>3471.3</v>
      </c>
      <c r="N789" s="14">
        <f>ROUND(tblSprzedaz[[#This Row],[Ilość]]*tblSprzedaz[[#This Row],[Koszt jednostkowy netto]],2)</f>
        <v>2291.4</v>
      </c>
      <c r="O789" s="14">
        <f>tblSprzedaz[[#This Row],[Przychód netto]]-tblSprzedaz[[#This Row],[Koszt całkowity netto]]</f>
        <v>1179.9000000000001</v>
      </c>
      <c r="P789" s="15">
        <f>IFERROR(tblSprzedaz[[#This Row],[Marża kwotowa]]/tblSprzedaz[[#This Row],[Przychód netto]],0)</f>
        <v>0.33990147783251234</v>
      </c>
      <c r="Q789" s="16">
        <f>YEAR(tblSprzedaz[[#This Row],[Data]])</f>
        <v>2025</v>
      </c>
      <c r="R789" s="16">
        <f>MONTH(tblSprzedaz[[#This Row],[Data]])</f>
        <v>8</v>
      </c>
      <c r="S789" s="9" t="str">
        <f>YEAR(tblSprzedaz[[#This Row],[Data]])&amp;"-"&amp;RIGHT("0"&amp;MONTH(tblSprzedaz[[#This Row],[Data]]),2)</f>
        <v>2025-08</v>
      </c>
    </row>
    <row r="790" spans="1:19" x14ac:dyDescent="0.25">
      <c r="A790" s="7" t="s">
        <v>1747</v>
      </c>
      <c r="B790" s="10">
        <v>45873</v>
      </c>
      <c r="C790" s="7" t="s">
        <v>1748</v>
      </c>
      <c r="D790" s="8" t="s">
        <v>125</v>
      </c>
      <c r="E790" s="8" t="s">
        <v>60</v>
      </c>
      <c r="F790" s="8" t="s">
        <v>33</v>
      </c>
      <c r="G790" s="8" t="s">
        <v>28</v>
      </c>
      <c r="H790" s="8" t="s">
        <v>38</v>
      </c>
      <c r="I790" s="11">
        <v>16</v>
      </c>
      <c r="J790" s="12">
        <v>455.4</v>
      </c>
      <c r="K790" s="13">
        <v>0</v>
      </c>
      <c r="L790" s="12">
        <v>325.85000000000002</v>
      </c>
      <c r="M790" s="14">
        <f>ROUND(tblSprzedaz[[#This Row],[Ilość]]*tblSprzedaz[[#This Row],[Cena netto jednostkowa]]*(1-tblSprzedaz[[#This Row],[Rabat %]]),2)</f>
        <v>7286.4</v>
      </c>
      <c r="N790" s="14">
        <f>ROUND(tblSprzedaz[[#This Row],[Ilość]]*tblSprzedaz[[#This Row],[Koszt jednostkowy netto]],2)</f>
        <v>5213.6000000000004</v>
      </c>
      <c r="O790" s="14">
        <f>tblSprzedaz[[#This Row],[Przychód netto]]-tblSprzedaz[[#This Row],[Koszt całkowity netto]]</f>
        <v>2072.7999999999993</v>
      </c>
      <c r="P790" s="15">
        <f>IFERROR(tblSprzedaz[[#This Row],[Marża kwotowa]]/tblSprzedaz[[#This Row],[Przychód netto]],0)</f>
        <v>0.2844751866490996</v>
      </c>
      <c r="Q790" s="16">
        <f>YEAR(tblSprzedaz[[#This Row],[Data]])</f>
        <v>2025</v>
      </c>
      <c r="R790" s="16">
        <f>MONTH(tblSprzedaz[[#This Row],[Data]])</f>
        <v>8</v>
      </c>
      <c r="S790" s="9" t="str">
        <f>YEAR(tblSprzedaz[[#This Row],[Data]])&amp;"-"&amp;RIGHT("0"&amp;MONTH(tblSprzedaz[[#This Row],[Data]]),2)</f>
        <v>2025-08</v>
      </c>
    </row>
    <row r="791" spans="1:19" x14ac:dyDescent="0.25">
      <c r="A791" s="7" t="s">
        <v>1749</v>
      </c>
      <c r="B791" s="10">
        <v>45873</v>
      </c>
      <c r="C791" s="7" t="s">
        <v>1750</v>
      </c>
      <c r="D791" s="8" t="s">
        <v>113</v>
      </c>
      <c r="E791" s="8" t="s">
        <v>53</v>
      </c>
      <c r="F791" s="8" t="s">
        <v>29</v>
      </c>
      <c r="G791" s="8" t="s">
        <v>28</v>
      </c>
      <c r="H791" s="8" t="s">
        <v>39</v>
      </c>
      <c r="I791" s="11">
        <v>4</v>
      </c>
      <c r="J791" s="12">
        <v>27.88</v>
      </c>
      <c r="K791" s="13">
        <v>0</v>
      </c>
      <c r="L791" s="12">
        <v>17.100000000000001</v>
      </c>
      <c r="M791" s="14">
        <f>ROUND(tblSprzedaz[[#This Row],[Ilość]]*tblSprzedaz[[#This Row],[Cena netto jednostkowa]]*(1-tblSprzedaz[[#This Row],[Rabat %]]),2)</f>
        <v>111.52</v>
      </c>
      <c r="N791" s="14">
        <f>ROUND(tblSprzedaz[[#This Row],[Ilość]]*tblSprzedaz[[#This Row],[Koszt jednostkowy netto]],2)</f>
        <v>68.400000000000006</v>
      </c>
      <c r="O791" s="14">
        <f>tblSprzedaz[[#This Row],[Przychód netto]]-tblSprzedaz[[#This Row],[Koszt całkowity netto]]</f>
        <v>43.11999999999999</v>
      </c>
      <c r="P791" s="15">
        <f>IFERROR(tblSprzedaz[[#This Row],[Marża kwotowa]]/tblSprzedaz[[#This Row],[Przychód netto]],0)</f>
        <v>0.38665710186513624</v>
      </c>
      <c r="Q791" s="16">
        <f>YEAR(tblSprzedaz[[#This Row],[Data]])</f>
        <v>2025</v>
      </c>
      <c r="R791" s="16">
        <f>MONTH(tblSprzedaz[[#This Row],[Data]])</f>
        <v>8</v>
      </c>
      <c r="S791" s="9" t="str">
        <f>YEAR(tblSprzedaz[[#This Row],[Data]])&amp;"-"&amp;RIGHT("0"&amp;MONTH(tblSprzedaz[[#This Row],[Data]]),2)</f>
        <v>2025-08</v>
      </c>
    </row>
    <row r="792" spans="1:19" x14ac:dyDescent="0.25">
      <c r="A792" s="7" t="s">
        <v>1751</v>
      </c>
      <c r="B792" s="10">
        <v>45874</v>
      </c>
      <c r="C792" s="7" t="s">
        <v>1752</v>
      </c>
      <c r="D792" s="8" t="s">
        <v>93</v>
      </c>
      <c r="E792" s="8" t="s">
        <v>60</v>
      </c>
      <c r="F792" s="8" t="s">
        <v>33</v>
      </c>
      <c r="G792" s="8" t="s">
        <v>32</v>
      </c>
      <c r="H792" s="8" t="s">
        <v>43</v>
      </c>
      <c r="I792" s="11">
        <v>14</v>
      </c>
      <c r="J792" s="12">
        <v>455.4</v>
      </c>
      <c r="K792" s="13">
        <v>0.15</v>
      </c>
      <c r="L792" s="12">
        <v>298.29000000000002</v>
      </c>
      <c r="M792" s="14">
        <f>ROUND(tblSprzedaz[[#This Row],[Ilość]]*tblSprzedaz[[#This Row],[Cena netto jednostkowa]]*(1-tblSprzedaz[[#This Row],[Rabat %]]),2)</f>
        <v>5419.26</v>
      </c>
      <c r="N792" s="14">
        <f>ROUND(tblSprzedaz[[#This Row],[Ilość]]*tblSprzedaz[[#This Row],[Koszt jednostkowy netto]],2)</f>
        <v>4176.0600000000004</v>
      </c>
      <c r="O792" s="14">
        <f>tblSprzedaz[[#This Row],[Przychód netto]]-tblSprzedaz[[#This Row],[Koszt całkowity netto]]</f>
        <v>1243.1999999999998</v>
      </c>
      <c r="P792" s="15">
        <f>IFERROR(tblSprzedaz[[#This Row],[Marża kwotowa]]/tblSprzedaz[[#This Row],[Przychód netto]],0)</f>
        <v>0.22940401457025494</v>
      </c>
      <c r="Q792" s="16">
        <f>YEAR(tblSprzedaz[[#This Row],[Data]])</f>
        <v>2025</v>
      </c>
      <c r="R792" s="16">
        <f>MONTH(tblSprzedaz[[#This Row],[Data]])</f>
        <v>8</v>
      </c>
      <c r="S792" s="9" t="str">
        <f>YEAR(tblSprzedaz[[#This Row],[Data]])&amp;"-"&amp;RIGHT("0"&amp;MONTH(tblSprzedaz[[#This Row],[Data]]),2)</f>
        <v>2025-08</v>
      </c>
    </row>
    <row r="793" spans="1:19" x14ac:dyDescent="0.25">
      <c r="A793" s="7" t="s">
        <v>1753</v>
      </c>
      <c r="B793" s="10">
        <v>45874</v>
      </c>
      <c r="C793" s="7" t="s">
        <v>1754</v>
      </c>
      <c r="D793" s="8" t="s">
        <v>116</v>
      </c>
      <c r="E793" s="8" t="s">
        <v>67</v>
      </c>
      <c r="F793" s="8" t="s">
        <v>35</v>
      </c>
      <c r="G793" s="8" t="s">
        <v>34</v>
      </c>
      <c r="H793" s="8" t="s">
        <v>44</v>
      </c>
      <c r="I793" s="11">
        <v>3</v>
      </c>
      <c r="J793" s="12">
        <v>78.88</v>
      </c>
      <c r="K793" s="13">
        <v>0</v>
      </c>
      <c r="L793" s="12">
        <v>54.32</v>
      </c>
      <c r="M793" s="14">
        <f>ROUND(tblSprzedaz[[#This Row],[Ilość]]*tblSprzedaz[[#This Row],[Cena netto jednostkowa]]*(1-tblSprzedaz[[#This Row],[Rabat %]]),2)</f>
        <v>236.64</v>
      </c>
      <c r="N793" s="14">
        <f>ROUND(tblSprzedaz[[#This Row],[Ilość]]*tblSprzedaz[[#This Row],[Koszt jednostkowy netto]],2)</f>
        <v>162.96</v>
      </c>
      <c r="O793" s="14">
        <f>tblSprzedaz[[#This Row],[Przychód netto]]-tblSprzedaz[[#This Row],[Koszt całkowity netto]]</f>
        <v>73.679999999999978</v>
      </c>
      <c r="P793" s="15">
        <f>IFERROR(tblSprzedaz[[#This Row],[Marża kwotowa]]/tblSprzedaz[[#This Row],[Przychód netto]],0)</f>
        <v>0.31135902636916829</v>
      </c>
      <c r="Q793" s="16">
        <f>YEAR(tblSprzedaz[[#This Row],[Data]])</f>
        <v>2025</v>
      </c>
      <c r="R793" s="16">
        <f>MONTH(tblSprzedaz[[#This Row],[Data]])</f>
        <v>8</v>
      </c>
      <c r="S793" s="9" t="str">
        <f>YEAR(tblSprzedaz[[#This Row],[Data]])&amp;"-"&amp;RIGHT("0"&amp;MONTH(tblSprzedaz[[#This Row],[Data]]),2)</f>
        <v>2025-08</v>
      </c>
    </row>
    <row r="794" spans="1:19" x14ac:dyDescent="0.25">
      <c r="A794" s="7" t="s">
        <v>1755</v>
      </c>
      <c r="B794" s="10">
        <v>45874</v>
      </c>
      <c r="C794" s="7" t="s">
        <v>1756</v>
      </c>
      <c r="D794" s="8" t="s">
        <v>91</v>
      </c>
      <c r="E794" s="8" t="s">
        <v>64</v>
      </c>
      <c r="F794" s="8" t="s">
        <v>33</v>
      </c>
      <c r="G794" s="8" t="s">
        <v>30</v>
      </c>
      <c r="H794" s="8" t="s">
        <v>41</v>
      </c>
      <c r="I794" s="11">
        <v>2</v>
      </c>
      <c r="J794" s="12">
        <v>768.2</v>
      </c>
      <c r="K794" s="13">
        <v>0</v>
      </c>
      <c r="L794" s="12">
        <v>504.22</v>
      </c>
      <c r="M794" s="14">
        <f>ROUND(tblSprzedaz[[#This Row],[Ilość]]*tblSprzedaz[[#This Row],[Cena netto jednostkowa]]*(1-tblSprzedaz[[#This Row],[Rabat %]]),2)</f>
        <v>1536.4</v>
      </c>
      <c r="N794" s="14">
        <f>ROUND(tblSprzedaz[[#This Row],[Ilość]]*tblSprzedaz[[#This Row],[Koszt jednostkowy netto]],2)</f>
        <v>1008.44</v>
      </c>
      <c r="O794" s="14">
        <f>tblSprzedaz[[#This Row],[Przychód netto]]-tblSprzedaz[[#This Row],[Koszt całkowity netto]]</f>
        <v>527.96</v>
      </c>
      <c r="P794" s="15">
        <f>IFERROR(tblSprzedaz[[#This Row],[Marża kwotowa]]/tblSprzedaz[[#This Row],[Przychód netto]],0)</f>
        <v>0.34363447019005466</v>
      </c>
      <c r="Q794" s="16">
        <f>YEAR(tblSprzedaz[[#This Row],[Data]])</f>
        <v>2025</v>
      </c>
      <c r="R794" s="16">
        <f>MONTH(tblSprzedaz[[#This Row],[Data]])</f>
        <v>8</v>
      </c>
      <c r="S794" s="9" t="str">
        <f>YEAR(tblSprzedaz[[#This Row],[Data]])&amp;"-"&amp;RIGHT("0"&amp;MONTH(tblSprzedaz[[#This Row],[Data]]),2)</f>
        <v>2025-08</v>
      </c>
    </row>
    <row r="795" spans="1:19" x14ac:dyDescent="0.25">
      <c r="A795" s="7" t="s">
        <v>1757</v>
      </c>
      <c r="B795" s="10">
        <v>45874</v>
      </c>
      <c r="C795" s="7" t="s">
        <v>1758</v>
      </c>
      <c r="D795" s="8" t="s">
        <v>150</v>
      </c>
      <c r="E795" s="8" t="s">
        <v>73</v>
      </c>
      <c r="F795" s="8" t="s">
        <v>37</v>
      </c>
      <c r="G795" s="8" t="s">
        <v>28</v>
      </c>
      <c r="H795" s="8" t="s">
        <v>38</v>
      </c>
      <c r="I795" s="11">
        <v>16</v>
      </c>
      <c r="J795" s="12">
        <v>110.2</v>
      </c>
      <c r="K795" s="13">
        <v>0</v>
      </c>
      <c r="L795" s="12">
        <v>86.36</v>
      </c>
      <c r="M795" s="14">
        <f>ROUND(tblSprzedaz[[#This Row],[Ilość]]*tblSprzedaz[[#This Row],[Cena netto jednostkowa]]*(1-tblSprzedaz[[#This Row],[Rabat %]]),2)</f>
        <v>1763.2</v>
      </c>
      <c r="N795" s="14">
        <f>ROUND(tblSprzedaz[[#This Row],[Ilość]]*tblSprzedaz[[#This Row],[Koszt jednostkowy netto]],2)</f>
        <v>1381.76</v>
      </c>
      <c r="O795" s="14">
        <f>tblSprzedaz[[#This Row],[Przychód netto]]-tblSprzedaz[[#This Row],[Koszt całkowity netto]]</f>
        <v>381.44000000000005</v>
      </c>
      <c r="P795" s="15">
        <f>IFERROR(tblSprzedaz[[#This Row],[Marża kwotowa]]/tblSprzedaz[[#This Row],[Przychód netto]],0)</f>
        <v>0.2163339382940109</v>
      </c>
      <c r="Q795" s="16">
        <f>YEAR(tblSprzedaz[[#This Row],[Data]])</f>
        <v>2025</v>
      </c>
      <c r="R795" s="16">
        <f>MONTH(tblSprzedaz[[#This Row],[Data]])</f>
        <v>8</v>
      </c>
      <c r="S795" s="9" t="str">
        <f>YEAR(tblSprzedaz[[#This Row],[Data]])&amp;"-"&amp;RIGHT("0"&amp;MONTH(tblSprzedaz[[#This Row],[Data]]),2)</f>
        <v>2025-08</v>
      </c>
    </row>
    <row r="796" spans="1:19" x14ac:dyDescent="0.25">
      <c r="A796" s="7" t="s">
        <v>1759</v>
      </c>
      <c r="B796" s="10">
        <v>45874</v>
      </c>
      <c r="C796" s="7" t="s">
        <v>1760</v>
      </c>
      <c r="D796" s="8" t="s">
        <v>83</v>
      </c>
      <c r="E796" s="8" t="s">
        <v>69</v>
      </c>
      <c r="F796" s="8" t="s">
        <v>35</v>
      </c>
      <c r="G796" s="8" t="s">
        <v>30</v>
      </c>
      <c r="H796" s="8" t="s">
        <v>41</v>
      </c>
      <c r="I796" s="11">
        <v>12</v>
      </c>
      <c r="J796" s="12">
        <v>102</v>
      </c>
      <c r="K796" s="13">
        <v>0</v>
      </c>
      <c r="L796" s="12">
        <v>73.94</v>
      </c>
      <c r="M796" s="14">
        <f>ROUND(tblSprzedaz[[#This Row],[Ilość]]*tblSprzedaz[[#This Row],[Cena netto jednostkowa]]*(1-tblSprzedaz[[#This Row],[Rabat %]]),2)</f>
        <v>1224</v>
      </c>
      <c r="N796" s="14">
        <f>ROUND(tblSprzedaz[[#This Row],[Ilość]]*tblSprzedaz[[#This Row],[Koszt jednostkowy netto]],2)</f>
        <v>887.28</v>
      </c>
      <c r="O796" s="14">
        <f>tblSprzedaz[[#This Row],[Przychód netto]]-tblSprzedaz[[#This Row],[Koszt całkowity netto]]</f>
        <v>336.72</v>
      </c>
      <c r="P796" s="15">
        <f>IFERROR(tblSprzedaz[[#This Row],[Marża kwotowa]]/tblSprzedaz[[#This Row],[Przychód netto]],0)</f>
        <v>0.27509803921568632</v>
      </c>
      <c r="Q796" s="16">
        <f>YEAR(tblSprzedaz[[#This Row],[Data]])</f>
        <v>2025</v>
      </c>
      <c r="R796" s="16">
        <f>MONTH(tblSprzedaz[[#This Row],[Data]])</f>
        <v>8</v>
      </c>
      <c r="S796" s="9" t="str">
        <f>YEAR(tblSprzedaz[[#This Row],[Data]])&amp;"-"&amp;RIGHT("0"&amp;MONTH(tblSprzedaz[[#This Row],[Data]]),2)</f>
        <v>2025-08</v>
      </c>
    </row>
    <row r="797" spans="1:19" x14ac:dyDescent="0.25">
      <c r="A797" s="7" t="s">
        <v>1761</v>
      </c>
      <c r="B797" s="10">
        <v>45874</v>
      </c>
      <c r="C797" s="7" t="s">
        <v>1762</v>
      </c>
      <c r="D797" s="8" t="s">
        <v>143</v>
      </c>
      <c r="E797" s="8" t="s">
        <v>56</v>
      </c>
      <c r="F797" s="8" t="s">
        <v>31</v>
      </c>
      <c r="G797" s="8" t="s">
        <v>28</v>
      </c>
      <c r="H797" s="8" t="s">
        <v>38</v>
      </c>
      <c r="I797" s="11">
        <v>2</v>
      </c>
      <c r="J797" s="12">
        <v>279.3</v>
      </c>
      <c r="K797" s="13">
        <v>0</v>
      </c>
      <c r="L797" s="12">
        <v>176.82</v>
      </c>
      <c r="M797" s="14">
        <f>ROUND(tblSprzedaz[[#This Row],[Ilość]]*tblSprzedaz[[#This Row],[Cena netto jednostkowa]]*(1-tblSprzedaz[[#This Row],[Rabat %]]),2)</f>
        <v>558.6</v>
      </c>
      <c r="N797" s="14">
        <f>ROUND(tblSprzedaz[[#This Row],[Ilość]]*tblSprzedaz[[#This Row],[Koszt jednostkowy netto]],2)</f>
        <v>353.64</v>
      </c>
      <c r="O797" s="14">
        <f>tblSprzedaz[[#This Row],[Przychód netto]]-tblSprzedaz[[#This Row],[Koszt całkowity netto]]</f>
        <v>204.96000000000004</v>
      </c>
      <c r="P797" s="15">
        <f>IFERROR(tblSprzedaz[[#This Row],[Marża kwotowa]]/tblSprzedaz[[#This Row],[Przychód netto]],0)</f>
        <v>0.36691729323308275</v>
      </c>
      <c r="Q797" s="16">
        <f>YEAR(tblSprzedaz[[#This Row],[Data]])</f>
        <v>2025</v>
      </c>
      <c r="R797" s="16">
        <f>MONTH(tblSprzedaz[[#This Row],[Data]])</f>
        <v>8</v>
      </c>
      <c r="S797" s="9" t="str">
        <f>YEAR(tblSprzedaz[[#This Row],[Data]])&amp;"-"&amp;RIGHT("0"&amp;MONTH(tblSprzedaz[[#This Row],[Data]]),2)</f>
        <v>2025-08</v>
      </c>
    </row>
    <row r="798" spans="1:19" x14ac:dyDescent="0.25">
      <c r="A798" s="7" t="s">
        <v>1763</v>
      </c>
      <c r="B798" s="10">
        <v>45875</v>
      </c>
      <c r="C798" s="7" t="s">
        <v>1764</v>
      </c>
      <c r="D798" s="8" t="s">
        <v>138</v>
      </c>
      <c r="E798" s="8" t="s">
        <v>73</v>
      </c>
      <c r="F798" s="8" t="s">
        <v>37</v>
      </c>
      <c r="G798" s="8" t="s">
        <v>36</v>
      </c>
      <c r="H798" s="8" t="s">
        <v>47</v>
      </c>
      <c r="I798" s="11">
        <v>3</v>
      </c>
      <c r="J798" s="12">
        <v>110.2</v>
      </c>
      <c r="K798" s="13">
        <v>0</v>
      </c>
      <c r="L798" s="12">
        <v>83.8</v>
      </c>
      <c r="M798" s="14">
        <f>ROUND(tblSprzedaz[[#This Row],[Ilość]]*tblSprzedaz[[#This Row],[Cena netto jednostkowa]]*(1-tblSprzedaz[[#This Row],[Rabat %]]),2)</f>
        <v>330.6</v>
      </c>
      <c r="N798" s="14">
        <f>ROUND(tblSprzedaz[[#This Row],[Ilość]]*tblSprzedaz[[#This Row],[Koszt jednostkowy netto]],2)</f>
        <v>251.4</v>
      </c>
      <c r="O798" s="14">
        <f>tblSprzedaz[[#This Row],[Przychód netto]]-tblSprzedaz[[#This Row],[Koszt całkowity netto]]</f>
        <v>79.200000000000017</v>
      </c>
      <c r="P798" s="15">
        <f>IFERROR(tblSprzedaz[[#This Row],[Marża kwotowa]]/tblSprzedaz[[#This Row],[Przychód netto]],0)</f>
        <v>0.23956442831215974</v>
      </c>
      <c r="Q798" s="16">
        <f>YEAR(tblSprzedaz[[#This Row],[Data]])</f>
        <v>2025</v>
      </c>
      <c r="R798" s="16">
        <f>MONTH(tblSprzedaz[[#This Row],[Data]])</f>
        <v>8</v>
      </c>
      <c r="S798" s="9" t="str">
        <f>YEAR(tblSprzedaz[[#This Row],[Data]])&amp;"-"&amp;RIGHT("0"&amp;MONTH(tblSprzedaz[[#This Row],[Data]]),2)</f>
        <v>2025-08</v>
      </c>
    </row>
    <row r="799" spans="1:19" x14ac:dyDescent="0.25">
      <c r="A799" s="7" t="s">
        <v>1765</v>
      </c>
      <c r="B799" s="10">
        <v>45875</v>
      </c>
      <c r="C799" s="7" t="s">
        <v>1766</v>
      </c>
      <c r="D799" s="8" t="s">
        <v>85</v>
      </c>
      <c r="E799" s="8" t="s">
        <v>76</v>
      </c>
      <c r="F799" s="8" t="s">
        <v>37</v>
      </c>
      <c r="G799" s="8" t="s">
        <v>32</v>
      </c>
      <c r="H799" s="8" t="s">
        <v>42</v>
      </c>
      <c r="I799" s="11">
        <v>22</v>
      </c>
      <c r="J799" s="12">
        <v>158.65</v>
      </c>
      <c r="K799" s="13">
        <v>0</v>
      </c>
      <c r="L799" s="12">
        <v>120.92</v>
      </c>
      <c r="M799" s="14">
        <f>ROUND(tblSprzedaz[[#This Row],[Ilość]]*tblSprzedaz[[#This Row],[Cena netto jednostkowa]]*(1-tblSprzedaz[[#This Row],[Rabat %]]),2)</f>
        <v>3490.3</v>
      </c>
      <c r="N799" s="14">
        <f>ROUND(tblSprzedaz[[#This Row],[Ilość]]*tblSprzedaz[[#This Row],[Koszt jednostkowy netto]],2)</f>
        <v>2660.24</v>
      </c>
      <c r="O799" s="14">
        <f>tblSprzedaz[[#This Row],[Przychód netto]]-tblSprzedaz[[#This Row],[Koszt całkowity netto]]</f>
        <v>830.0600000000004</v>
      </c>
      <c r="P799" s="15">
        <f>IFERROR(tblSprzedaz[[#This Row],[Marża kwotowa]]/tblSprzedaz[[#This Row],[Przychód netto]],0)</f>
        <v>0.23781909864481574</v>
      </c>
      <c r="Q799" s="16">
        <f>YEAR(tblSprzedaz[[#This Row],[Data]])</f>
        <v>2025</v>
      </c>
      <c r="R799" s="16">
        <f>MONTH(tblSprzedaz[[#This Row],[Data]])</f>
        <v>8</v>
      </c>
      <c r="S799" s="9" t="str">
        <f>YEAR(tblSprzedaz[[#This Row],[Data]])&amp;"-"&amp;RIGHT("0"&amp;MONTH(tblSprzedaz[[#This Row],[Data]]),2)</f>
        <v>2025-08</v>
      </c>
    </row>
    <row r="800" spans="1:19" x14ac:dyDescent="0.25">
      <c r="A800" s="7" t="s">
        <v>1767</v>
      </c>
      <c r="B800" s="10">
        <v>45875</v>
      </c>
      <c r="C800" s="7" t="s">
        <v>1768</v>
      </c>
      <c r="D800" s="8" t="s">
        <v>126</v>
      </c>
      <c r="E800" s="8" t="s">
        <v>70</v>
      </c>
      <c r="F800" s="8" t="s">
        <v>35</v>
      </c>
      <c r="G800" s="8" t="s">
        <v>36</v>
      </c>
      <c r="H800" s="8" t="s">
        <v>46</v>
      </c>
      <c r="I800" s="11">
        <v>13</v>
      </c>
      <c r="J800" s="12">
        <v>113.56</v>
      </c>
      <c r="K800" s="13">
        <v>0.15</v>
      </c>
      <c r="L800" s="12">
        <v>82.21</v>
      </c>
      <c r="M800" s="14">
        <f>ROUND(tblSprzedaz[[#This Row],[Ilość]]*tblSprzedaz[[#This Row],[Cena netto jednostkowa]]*(1-tblSprzedaz[[#This Row],[Rabat %]]),2)</f>
        <v>1254.8399999999999</v>
      </c>
      <c r="N800" s="14">
        <f>ROUND(tblSprzedaz[[#This Row],[Ilość]]*tblSprzedaz[[#This Row],[Koszt jednostkowy netto]],2)</f>
        <v>1068.73</v>
      </c>
      <c r="O800" s="14">
        <f>tblSprzedaz[[#This Row],[Przychód netto]]-tblSprzedaz[[#This Row],[Koszt całkowity netto]]</f>
        <v>186.1099999999999</v>
      </c>
      <c r="P800" s="15">
        <f>IFERROR(tblSprzedaz[[#This Row],[Marża kwotowa]]/tblSprzedaz[[#This Row],[Przychód netto]],0)</f>
        <v>0.14831372924038116</v>
      </c>
      <c r="Q800" s="16">
        <f>YEAR(tblSprzedaz[[#This Row],[Data]])</f>
        <v>2025</v>
      </c>
      <c r="R800" s="16">
        <f>MONTH(tblSprzedaz[[#This Row],[Data]])</f>
        <v>8</v>
      </c>
      <c r="S800" s="9" t="str">
        <f>YEAR(tblSprzedaz[[#This Row],[Data]])&amp;"-"&amp;RIGHT("0"&amp;MONTH(tblSprzedaz[[#This Row],[Data]]),2)</f>
        <v>2025-08</v>
      </c>
    </row>
    <row r="801" spans="1:19" x14ac:dyDescent="0.25">
      <c r="A801" s="7" t="s">
        <v>1769</v>
      </c>
      <c r="B801" s="10">
        <v>45875</v>
      </c>
      <c r="C801" s="7" t="s">
        <v>1770</v>
      </c>
      <c r="D801" s="8" t="s">
        <v>81</v>
      </c>
      <c r="E801" s="8" t="s">
        <v>49</v>
      </c>
      <c r="F801" s="8" t="s">
        <v>29</v>
      </c>
      <c r="G801" s="8" t="s">
        <v>32</v>
      </c>
      <c r="H801" s="8" t="s">
        <v>42</v>
      </c>
      <c r="I801" s="11">
        <v>1</v>
      </c>
      <c r="J801" s="12">
        <v>39.44</v>
      </c>
      <c r="K801" s="13">
        <v>0.05</v>
      </c>
      <c r="L801" s="12">
        <v>23.07</v>
      </c>
      <c r="M801" s="14">
        <f>ROUND(tblSprzedaz[[#This Row],[Ilość]]*tblSprzedaz[[#This Row],[Cena netto jednostkowa]]*(1-tblSprzedaz[[#This Row],[Rabat %]]),2)</f>
        <v>37.47</v>
      </c>
      <c r="N801" s="14">
        <f>ROUND(tblSprzedaz[[#This Row],[Ilość]]*tblSprzedaz[[#This Row],[Koszt jednostkowy netto]],2)</f>
        <v>23.07</v>
      </c>
      <c r="O801" s="14">
        <f>tblSprzedaz[[#This Row],[Przychód netto]]-tblSprzedaz[[#This Row],[Koszt całkowity netto]]</f>
        <v>14.399999999999999</v>
      </c>
      <c r="P801" s="15">
        <f>IFERROR(tblSprzedaz[[#This Row],[Marża kwotowa]]/tblSprzedaz[[#This Row],[Przychód netto]],0)</f>
        <v>0.38430744595676536</v>
      </c>
      <c r="Q801" s="16">
        <f>YEAR(tblSprzedaz[[#This Row],[Data]])</f>
        <v>2025</v>
      </c>
      <c r="R801" s="16">
        <f>MONTH(tblSprzedaz[[#This Row],[Data]])</f>
        <v>8</v>
      </c>
      <c r="S801" s="9" t="str">
        <f>YEAR(tblSprzedaz[[#This Row],[Data]])&amp;"-"&amp;RIGHT("0"&amp;MONTH(tblSprzedaz[[#This Row],[Data]]),2)</f>
        <v>2025-08</v>
      </c>
    </row>
    <row r="802" spans="1:19" x14ac:dyDescent="0.25">
      <c r="A802" s="7" t="s">
        <v>1771</v>
      </c>
      <c r="B802" s="10">
        <v>45875</v>
      </c>
      <c r="C802" s="7" t="s">
        <v>1772</v>
      </c>
      <c r="D802" s="8" t="s">
        <v>125</v>
      </c>
      <c r="E802" s="8" t="s">
        <v>73</v>
      </c>
      <c r="F802" s="8" t="s">
        <v>37</v>
      </c>
      <c r="G802" s="8" t="s">
        <v>28</v>
      </c>
      <c r="H802" s="8" t="s">
        <v>39</v>
      </c>
      <c r="I802" s="11">
        <v>8</v>
      </c>
      <c r="J802" s="12">
        <v>110.2</v>
      </c>
      <c r="K802" s="13">
        <v>0</v>
      </c>
      <c r="L802" s="12">
        <v>83.27</v>
      </c>
      <c r="M802" s="14">
        <f>ROUND(tblSprzedaz[[#This Row],[Ilość]]*tblSprzedaz[[#This Row],[Cena netto jednostkowa]]*(1-tblSprzedaz[[#This Row],[Rabat %]]),2)</f>
        <v>881.6</v>
      </c>
      <c r="N802" s="14">
        <f>ROUND(tblSprzedaz[[#This Row],[Ilość]]*tblSprzedaz[[#This Row],[Koszt jednostkowy netto]],2)</f>
        <v>666.16</v>
      </c>
      <c r="O802" s="14">
        <f>tblSprzedaz[[#This Row],[Przychód netto]]-tblSprzedaz[[#This Row],[Koszt całkowity netto]]</f>
        <v>215.44000000000005</v>
      </c>
      <c r="P802" s="15">
        <f>IFERROR(tblSprzedaz[[#This Row],[Marża kwotowa]]/tblSprzedaz[[#This Row],[Przychód netto]],0)</f>
        <v>0.24437386569872963</v>
      </c>
      <c r="Q802" s="16">
        <f>YEAR(tblSprzedaz[[#This Row],[Data]])</f>
        <v>2025</v>
      </c>
      <c r="R802" s="16">
        <f>MONTH(tblSprzedaz[[#This Row],[Data]])</f>
        <v>8</v>
      </c>
      <c r="S802" s="9" t="str">
        <f>YEAR(tblSprzedaz[[#This Row],[Data]])&amp;"-"&amp;RIGHT("0"&amp;MONTH(tblSprzedaz[[#This Row],[Data]]),2)</f>
        <v>2025-08</v>
      </c>
    </row>
    <row r="803" spans="1:19" x14ac:dyDescent="0.25">
      <c r="A803" s="7" t="s">
        <v>1773</v>
      </c>
      <c r="B803" s="10">
        <v>45876</v>
      </c>
      <c r="C803" s="7" t="s">
        <v>1774</v>
      </c>
      <c r="D803" s="8" t="s">
        <v>116</v>
      </c>
      <c r="E803" s="8" t="s">
        <v>77</v>
      </c>
      <c r="F803" s="8" t="s">
        <v>37</v>
      </c>
      <c r="G803" s="8" t="s">
        <v>36</v>
      </c>
      <c r="H803" s="8" t="s">
        <v>46</v>
      </c>
      <c r="I803" s="11">
        <v>1</v>
      </c>
      <c r="J803" s="12">
        <v>77.900000000000006</v>
      </c>
      <c r="K803" s="13">
        <v>0</v>
      </c>
      <c r="L803" s="12">
        <v>56.98</v>
      </c>
      <c r="M803" s="14">
        <f>ROUND(tblSprzedaz[[#This Row],[Ilość]]*tblSprzedaz[[#This Row],[Cena netto jednostkowa]]*(1-tblSprzedaz[[#This Row],[Rabat %]]),2)</f>
        <v>77.900000000000006</v>
      </c>
      <c r="N803" s="14">
        <f>ROUND(tblSprzedaz[[#This Row],[Ilość]]*tblSprzedaz[[#This Row],[Koszt jednostkowy netto]],2)</f>
        <v>56.98</v>
      </c>
      <c r="O803" s="14">
        <f>tblSprzedaz[[#This Row],[Przychód netto]]-tblSprzedaz[[#This Row],[Koszt całkowity netto]]</f>
        <v>20.920000000000009</v>
      </c>
      <c r="P803" s="15">
        <f>IFERROR(tblSprzedaz[[#This Row],[Marża kwotowa]]/tblSprzedaz[[#This Row],[Przychód netto]],0)</f>
        <v>0.26854942233632872</v>
      </c>
      <c r="Q803" s="16">
        <f>YEAR(tblSprzedaz[[#This Row],[Data]])</f>
        <v>2025</v>
      </c>
      <c r="R803" s="16">
        <f>MONTH(tblSprzedaz[[#This Row],[Data]])</f>
        <v>8</v>
      </c>
      <c r="S803" s="9" t="str">
        <f>YEAR(tblSprzedaz[[#This Row],[Data]])&amp;"-"&amp;RIGHT("0"&amp;MONTH(tblSprzedaz[[#This Row],[Data]]),2)</f>
        <v>2025-08</v>
      </c>
    </row>
    <row r="804" spans="1:19" x14ac:dyDescent="0.25">
      <c r="A804" s="7" t="s">
        <v>1775</v>
      </c>
      <c r="B804" s="10">
        <v>45876</v>
      </c>
      <c r="C804" s="7" t="s">
        <v>1776</v>
      </c>
      <c r="D804" s="8" t="s">
        <v>139</v>
      </c>
      <c r="E804" s="8" t="s">
        <v>49</v>
      </c>
      <c r="F804" s="8" t="s">
        <v>29</v>
      </c>
      <c r="G804" s="8" t="s">
        <v>32</v>
      </c>
      <c r="H804" s="8" t="s">
        <v>42</v>
      </c>
      <c r="I804" s="11">
        <v>10</v>
      </c>
      <c r="J804" s="12">
        <v>39.44</v>
      </c>
      <c r="K804" s="13">
        <v>0</v>
      </c>
      <c r="L804" s="12">
        <v>24.33</v>
      </c>
      <c r="M804" s="14">
        <f>ROUND(tblSprzedaz[[#This Row],[Ilość]]*tblSprzedaz[[#This Row],[Cena netto jednostkowa]]*(1-tblSprzedaz[[#This Row],[Rabat %]]),2)</f>
        <v>394.4</v>
      </c>
      <c r="N804" s="14">
        <f>ROUND(tblSprzedaz[[#This Row],[Ilość]]*tblSprzedaz[[#This Row],[Koszt jednostkowy netto]],2)</f>
        <v>243.3</v>
      </c>
      <c r="O804" s="14">
        <f>tblSprzedaz[[#This Row],[Przychód netto]]-tblSprzedaz[[#This Row],[Koszt całkowity netto]]</f>
        <v>151.09999999999997</v>
      </c>
      <c r="P804" s="15">
        <f>IFERROR(tblSprzedaz[[#This Row],[Marża kwotowa]]/tblSprzedaz[[#This Row],[Przychód netto]],0)</f>
        <v>0.38311359026369163</v>
      </c>
      <c r="Q804" s="16">
        <f>YEAR(tblSprzedaz[[#This Row],[Data]])</f>
        <v>2025</v>
      </c>
      <c r="R804" s="16">
        <f>MONTH(tblSprzedaz[[#This Row],[Data]])</f>
        <v>8</v>
      </c>
      <c r="S804" s="9" t="str">
        <f>YEAR(tblSprzedaz[[#This Row],[Data]])&amp;"-"&amp;RIGHT("0"&amp;MONTH(tblSprzedaz[[#This Row],[Data]]),2)</f>
        <v>2025-08</v>
      </c>
    </row>
    <row r="805" spans="1:19" x14ac:dyDescent="0.25">
      <c r="A805" s="7" t="s">
        <v>1777</v>
      </c>
      <c r="B805" s="10">
        <v>45876</v>
      </c>
      <c r="C805" s="7" t="s">
        <v>1778</v>
      </c>
      <c r="D805" s="8" t="s">
        <v>78</v>
      </c>
      <c r="E805" s="8" t="s">
        <v>52</v>
      </c>
      <c r="F805" s="8" t="s">
        <v>29</v>
      </c>
      <c r="G805" s="8" t="s">
        <v>30</v>
      </c>
      <c r="H805" s="8" t="s">
        <v>40</v>
      </c>
      <c r="I805" s="11">
        <v>12</v>
      </c>
      <c r="J805" s="12">
        <v>56.78</v>
      </c>
      <c r="K805" s="13">
        <v>0</v>
      </c>
      <c r="L805" s="12">
        <v>32.69</v>
      </c>
      <c r="M805" s="14">
        <f>ROUND(tblSprzedaz[[#This Row],[Ilość]]*tblSprzedaz[[#This Row],[Cena netto jednostkowa]]*(1-tblSprzedaz[[#This Row],[Rabat %]]),2)</f>
        <v>681.36</v>
      </c>
      <c r="N805" s="14">
        <f>ROUND(tblSprzedaz[[#This Row],[Ilość]]*tblSprzedaz[[#This Row],[Koszt jednostkowy netto]],2)</f>
        <v>392.28</v>
      </c>
      <c r="O805" s="14">
        <f>tblSprzedaz[[#This Row],[Przychód netto]]-tblSprzedaz[[#This Row],[Koszt całkowity netto]]</f>
        <v>289.08000000000004</v>
      </c>
      <c r="P805" s="15">
        <f>IFERROR(tblSprzedaz[[#This Row],[Marża kwotowa]]/tblSprzedaz[[#This Row],[Przychód netto]],0)</f>
        <v>0.42426910884114127</v>
      </c>
      <c r="Q805" s="16">
        <f>YEAR(tblSprzedaz[[#This Row],[Data]])</f>
        <v>2025</v>
      </c>
      <c r="R805" s="16">
        <f>MONTH(tblSprzedaz[[#This Row],[Data]])</f>
        <v>8</v>
      </c>
      <c r="S805" s="9" t="str">
        <f>YEAR(tblSprzedaz[[#This Row],[Data]])&amp;"-"&amp;RIGHT("0"&amp;MONTH(tblSprzedaz[[#This Row],[Data]]),2)</f>
        <v>2025-08</v>
      </c>
    </row>
    <row r="806" spans="1:19" x14ac:dyDescent="0.25">
      <c r="A806" s="7" t="s">
        <v>1779</v>
      </c>
      <c r="B806" s="10">
        <v>45876</v>
      </c>
      <c r="C806" s="7" t="s">
        <v>1780</v>
      </c>
      <c r="D806" s="8" t="s">
        <v>152</v>
      </c>
      <c r="E806" s="8" t="s">
        <v>66</v>
      </c>
      <c r="F806" s="8" t="s">
        <v>35</v>
      </c>
      <c r="G806" s="8" t="s">
        <v>28</v>
      </c>
      <c r="H806" s="8" t="s">
        <v>38</v>
      </c>
      <c r="I806" s="11">
        <v>5</v>
      </c>
      <c r="J806" s="12">
        <v>67.319999999999993</v>
      </c>
      <c r="K806" s="13">
        <v>0.05</v>
      </c>
      <c r="L806" s="12">
        <v>51.06</v>
      </c>
      <c r="M806" s="14">
        <f>ROUND(tblSprzedaz[[#This Row],[Ilość]]*tblSprzedaz[[#This Row],[Cena netto jednostkowa]]*(1-tblSprzedaz[[#This Row],[Rabat %]]),2)</f>
        <v>319.77</v>
      </c>
      <c r="N806" s="14">
        <f>ROUND(tblSprzedaz[[#This Row],[Ilość]]*tblSprzedaz[[#This Row],[Koszt jednostkowy netto]],2)</f>
        <v>255.3</v>
      </c>
      <c r="O806" s="14">
        <f>tblSprzedaz[[#This Row],[Przychód netto]]-tblSprzedaz[[#This Row],[Koszt całkowity netto]]</f>
        <v>64.46999999999997</v>
      </c>
      <c r="P806" s="15">
        <f>IFERROR(tblSprzedaz[[#This Row],[Marża kwotowa]]/tblSprzedaz[[#This Row],[Przychód netto]],0)</f>
        <v>0.20161365981799409</v>
      </c>
      <c r="Q806" s="16">
        <f>YEAR(tblSprzedaz[[#This Row],[Data]])</f>
        <v>2025</v>
      </c>
      <c r="R806" s="16">
        <f>MONTH(tblSprzedaz[[#This Row],[Data]])</f>
        <v>8</v>
      </c>
      <c r="S806" s="9" t="str">
        <f>YEAR(tblSprzedaz[[#This Row],[Data]])&amp;"-"&amp;RIGHT("0"&amp;MONTH(tblSprzedaz[[#This Row],[Data]]),2)</f>
        <v>2025-08</v>
      </c>
    </row>
    <row r="807" spans="1:19" x14ac:dyDescent="0.25">
      <c r="A807" s="7" t="s">
        <v>1781</v>
      </c>
      <c r="B807" s="10">
        <v>45876</v>
      </c>
      <c r="C807" s="7" t="s">
        <v>1782</v>
      </c>
      <c r="D807" s="8" t="s">
        <v>150</v>
      </c>
      <c r="E807" s="8" t="s">
        <v>71</v>
      </c>
      <c r="F807" s="8" t="s">
        <v>35</v>
      </c>
      <c r="G807" s="8" t="s">
        <v>32</v>
      </c>
      <c r="H807" s="8" t="s">
        <v>42</v>
      </c>
      <c r="I807" s="11">
        <v>8</v>
      </c>
      <c r="J807" s="12">
        <v>55.76</v>
      </c>
      <c r="K807" s="13">
        <v>0.15</v>
      </c>
      <c r="L807" s="12">
        <v>40.020000000000003</v>
      </c>
      <c r="M807" s="14">
        <f>ROUND(tblSprzedaz[[#This Row],[Ilość]]*tblSprzedaz[[#This Row],[Cena netto jednostkowa]]*(1-tblSprzedaz[[#This Row],[Rabat %]]),2)</f>
        <v>379.17</v>
      </c>
      <c r="N807" s="14">
        <f>ROUND(tblSprzedaz[[#This Row],[Ilość]]*tblSprzedaz[[#This Row],[Koszt jednostkowy netto]],2)</f>
        <v>320.16000000000003</v>
      </c>
      <c r="O807" s="14">
        <f>tblSprzedaz[[#This Row],[Przychód netto]]-tblSprzedaz[[#This Row],[Koszt całkowity netto]]</f>
        <v>59.009999999999991</v>
      </c>
      <c r="P807" s="15">
        <f>IFERROR(tblSprzedaz[[#This Row],[Marża kwotowa]]/tblSprzedaz[[#This Row],[Przychód netto]],0)</f>
        <v>0.15562940106021042</v>
      </c>
      <c r="Q807" s="16">
        <f>YEAR(tblSprzedaz[[#This Row],[Data]])</f>
        <v>2025</v>
      </c>
      <c r="R807" s="16">
        <f>MONTH(tblSprzedaz[[#This Row],[Data]])</f>
        <v>8</v>
      </c>
      <c r="S807" s="9" t="str">
        <f>YEAR(tblSprzedaz[[#This Row],[Data]])&amp;"-"&amp;RIGHT("0"&amp;MONTH(tblSprzedaz[[#This Row],[Data]]),2)</f>
        <v>2025-08</v>
      </c>
    </row>
    <row r="808" spans="1:19" x14ac:dyDescent="0.25">
      <c r="A808" s="7" t="s">
        <v>1783</v>
      </c>
      <c r="B808" s="10">
        <v>45876</v>
      </c>
      <c r="C808" s="7" t="s">
        <v>1784</v>
      </c>
      <c r="D808" s="8" t="s">
        <v>144</v>
      </c>
      <c r="E808" s="8" t="s">
        <v>70</v>
      </c>
      <c r="F808" s="8" t="s">
        <v>35</v>
      </c>
      <c r="G808" s="8" t="s">
        <v>34</v>
      </c>
      <c r="H808" s="8" t="s">
        <v>45</v>
      </c>
      <c r="I808" s="11">
        <v>6</v>
      </c>
      <c r="J808" s="12">
        <v>113.56</v>
      </c>
      <c r="K808" s="13">
        <v>0</v>
      </c>
      <c r="L808" s="12">
        <v>83.19</v>
      </c>
      <c r="M808" s="14">
        <f>ROUND(tblSprzedaz[[#This Row],[Ilość]]*tblSprzedaz[[#This Row],[Cena netto jednostkowa]]*(1-tblSprzedaz[[#This Row],[Rabat %]]),2)</f>
        <v>681.36</v>
      </c>
      <c r="N808" s="14">
        <f>ROUND(tblSprzedaz[[#This Row],[Ilość]]*tblSprzedaz[[#This Row],[Koszt jednostkowy netto]],2)</f>
        <v>499.14</v>
      </c>
      <c r="O808" s="14">
        <f>tblSprzedaz[[#This Row],[Przychód netto]]-tblSprzedaz[[#This Row],[Koszt całkowity netto]]</f>
        <v>182.22000000000003</v>
      </c>
      <c r="P808" s="15">
        <f>IFERROR(tblSprzedaz[[#This Row],[Marża kwotowa]]/tblSprzedaz[[#This Row],[Przychód netto]],0)</f>
        <v>0.26743571680169076</v>
      </c>
      <c r="Q808" s="16">
        <f>YEAR(tblSprzedaz[[#This Row],[Data]])</f>
        <v>2025</v>
      </c>
      <c r="R808" s="16">
        <f>MONTH(tblSprzedaz[[#This Row],[Data]])</f>
        <v>8</v>
      </c>
      <c r="S808" s="9" t="str">
        <f>YEAR(tblSprzedaz[[#This Row],[Data]])&amp;"-"&amp;RIGHT("0"&amp;MONTH(tblSprzedaz[[#This Row],[Data]]),2)</f>
        <v>2025-08</v>
      </c>
    </row>
    <row r="809" spans="1:19" x14ac:dyDescent="0.25">
      <c r="A809" s="7" t="s">
        <v>1785</v>
      </c>
      <c r="B809" s="10">
        <v>45877</v>
      </c>
      <c r="C809" s="7" t="s">
        <v>1786</v>
      </c>
      <c r="D809" s="8" t="s">
        <v>92</v>
      </c>
      <c r="E809" s="8" t="s">
        <v>64</v>
      </c>
      <c r="F809" s="8" t="s">
        <v>33</v>
      </c>
      <c r="G809" s="8" t="s">
        <v>28</v>
      </c>
      <c r="H809" s="8" t="s">
        <v>39</v>
      </c>
      <c r="I809" s="11">
        <v>6</v>
      </c>
      <c r="J809" s="12">
        <v>768.2</v>
      </c>
      <c r="K809" s="13">
        <v>0.15</v>
      </c>
      <c r="L809" s="12">
        <v>533.01</v>
      </c>
      <c r="M809" s="14">
        <f>ROUND(tblSprzedaz[[#This Row],[Ilość]]*tblSprzedaz[[#This Row],[Cena netto jednostkowa]]*(1-tblSprzedaz[[#This Row],[Rabat %]]),2)</f>
        <v>3917.82</v>
      </c>
      <c r="N809" s="14">
        <f>ROUND(tblSprzedaz[[#This Row],[Ilość]]*tblSprzedaz[[#This Row],[Koszt jednostkowy netto]],2)</f>
        <v>3198.06</v>
      </c>
      <c r="O809" s="14">
        <f>tblSprzedaz[[#This Row],[Przychód netto]]-tblSprzedaz[[#This Row],[Koszt całkowity netto]]</f>
        <v>719.76000000000022</v>
      </c>
      <c r="P809" s="15">
        <f>IFERROR(tblSprzedaz[[#This Row],[Marża kwotowa]]/tblSprzedaz[[#This Row],[Przychód netto]],0)</f>
        <v>0.1837144126070111</v>
      </c>
      <c r="Q809" s="16">
        <f>YEAR(tblSprzedaz[[#This Row],[Data]])</f>
        <v>2025</v>
      </c>
      <c r="R809" s="16">
        <f>MONTH(tblSprzedaz[[#This Row],[Data]])</f>
        <v>8</v>
      </c>
      <c r="S809" s="9" t="str">
        <f>YEAR(tblSprzedaz[[#This Row],[Data]])&amp;"-"&amp;RIGHT("0"&amp;MONTH(tblSprzedaz[[#This Row],[Data]]),2)</f>
        <v>2025-08</v>
      </c>
    </row>
    <row r="810" spans="1:19" x14ac:dyDescent="0.25">
      <c r="A810" s="7" t="s">
        <v>1787</v>
      </c>
      <c r="B810" s="10">
        <v>45877</v>
      </c>
      <c r="C810" s="7" t="s">
        <v>1788</v>
      </c>
      <c r="D810" s="8" t="s">
        <v>100</v>
      </c>
      <c r="E810" s="8" t="s">
        <v>64</v>
      </c>
      <c r="F810" s="8" t="s">
        <v>33</v>
      </c>
      <c r="G810" s="8" t="s">
        <v>34</v>
      </c>
      <c r="H810" s="8" t="s">
        <v>44</v>
      </c>
      <c r="I810" s="11">
        <v>7</v>
      </c>
      <c r="J810" s="12">
        <v>768.2</v>
      </c>
      <c r="K810" s="13">
        <v>0.1</v>
      </c>
      <c r="L810" s="12">
        <v>499.11</v>
      </c>
      <c r="M810" s="14">
        <f>ROUND(tblSprzedaz[[#This Row],[Ilość]]*tblSprzedaz[[#This Row],[Cena netto jednostkowa]]*(1-tblSprzedaz[[#This Row],[Rabat %]]),2)</f>
        <v>4839.66</v>
      </c>
      <c r="N810" s="14">
        <f>ROUND(tblSprzedaz[[#This Row],[Ilość]]*tblSprzedaz[[#This Row],[Koszt jednostkowy netto]],2)</f>
        <v>3493.77</v>
      </c>
      <c r="O810" s="14">
        <f>tblSprzedaz[[#This Row],[Przychód netto]]-tblSprzedaz[[#This Row],[Koszt całkowity netto]]</f>
        <v>1345.8899999999999</v>
      </c>
      <c r="P810" s="15">
        <f>IFERROR(tblSprzedaz[[#This Row],[Marża kwotowa]]/tblSprzedaz[[#This Row],[Przychód netto]],0)</f>
        <v>0.27809598194914514</v>
      </c>
      <c r="Q810" s="16">
        <f>YEAR(tblSprzedaz[[#This Row],[Data]])</f>
        <v>2025</v>
      </c>
      <c r="R810" s="16">
        <f>MONTH(tblSprzedaz[[#This Row],[Data]])</f>
        <v>8</v>
      </c>
      <c r="S810" s="9" t="str">
        <f>YEAR(tblSprzedaz[[#This Row],[Data]])&amp;"-"&amp;RIGHT("0"&amp;MONTH(tblSprzedaz[[#This Row],[Data]]),2)</f>
        <v>2025-08</v>
      </c>
    </row>
    <row r="811" spans="1:19" x14ac:dyDescent="0.25">
      <c r="A811" s="7" t="s">
        <v>1789</v>
      </c>
      <c r="B811" s="10">
        <v>45877</v>
      </c>
      <c r="C811" s="7" t="s">
        <v>1790</v>
      </c>
      <c r="D811" s="8" t="s">
        <v>125</v>
      </c>
      <c r="E811" s="8" t="s">
        <v>50</v>
      </c>
      <c r="F811" s="8" t="s">
        <v>29</v>
      </c>
      <c r="G811" s="8" t="s">
        <v>32</v>
      </c>
      <c r="H811" s="8" t="s">
        <v>42</v>
      </c>
      <c r="I811" s="11">
        <v>15</v>
      </c>
      <c r="J811" s="12">
        <v>45.22</v>
      </c>
      <c r="K811" s="13">
        <v>0</v>
      </c>
      <c r="L811" s="12">
        <v>27.8</v>
      </c>
      <c r="M811" s="14">
        <f>ROUND(tblSprzedaz[[#This Row],[Ilość]]*tblSprzedaz[[#This Row],[Cena netto jednostkowa]]*(1-tblSprzedaz[[#This Row],[Rabat %]]),2)</f>
        <v>678.3</v>
      </c>
      <c r="N811" s="14">
        <f>ROUND(tblSprzedaz[[#This Row],[Ilość]]*tblSprzedaz[[#This Row],[Koszt jednostkowy netto]],2)</f>
        <v>417</v>
      </c>
      <c r="O811" s="14">
        <f>tblSprzedaz[[#This Row],[Przychód netto]]-tblSprzedaz[[#This Row],[Koszt całkowity netto]]</f>
        <v>261.29999999999995</v>
      </c>
      <c r="P811" s="15">
        <f>IFERROR(tblSprzedaz[[#This Row],[Marża kwotowa]]/tblSprzedaz[[#This Row],[Przychód netto]],0)</f>
        <v>0.38522777532065455</v>
      </c>
      <c r="Q811" s="16">
        <f>YEAR(tblSprzedaz[[#This Row],[Data]])</f>
        <v>2025</v>
      </c>
      <c r="R811" s="16">
        <f>MONTH(tblSprzedaz[[#This Row],[Data]])</f>
        <v>8</v>
      </c>
      <c r="S811" s="9" t="str">
        <f>YEAR(tblSprzedaz[[#This Row],[Data]])&amp;"-"&amp;RIGHT("0"&amp;MONTH(tblSprzedaz[[#This Row],[Data]]),2)</f>
        <v>2025-08</v>
      </c>
    </row>
    <row r="812" spans="1:19" x14ac:dyDescent="0.25">
      <c r="A812" s="7" t="s">
        <v>1791</v>
      </c>
      <c r="B812" s="10">
        <v>45877</v>
      </c>
      <c r="C812" s="7" t="s">
        <v>1792</v>
      </c>
      <c r="D812" s="8" t="s">
        <v>136</v>
      </c>
      <c r="E812" s="8" t="s">
        <v>52</v>
      </c>
      <c r="F812" s="8" t="s">
        <v>29</v>
      </c>
      <c r="G812" s="8" t="s">
        <v>36</v>
      </c>
      <c r="H812" s="8" t="s">
        <v>46</v>
      </c>
      <c r="I812" s="11">
        <v>9</v>
      </c>
      <c r="J812" s="12">
        <v>56.78</v>
      </c>
      <c r="K812" s="13">
        <v>0.15</v>
      </c>
      <c r="L812" s="12">
        <v>31.61</v>
      </c>
      <c r="M812" s="14">
        <f>ROUND(tblSprzedaz[[#This Row],[Ilość]]*tblSprzedaz[[#This Row],[Cena netto jednostkowa]]*(1-tblSprzedaz[[#This Row],[Rabat %]]),2)</f>
        <v>434.37</v>
      </c>
      <c r="N812" s="14">
        <f>ROUND(tblSprzedaz[[#This Row],[Ilość]]*tblSprzedaz[[#This Row],[Koszt jednostkowy netto]],2)</f>
        <v>284.49</v>
      </c>
      <c r="O812" s="14">
        <f>tblSprzedaz[[#This Row],[Przychód netto]]-tblSprzedaz[[#This Row],[Koszt całkowity netto]]</f>
        <v>149.88</v>
      </c>
      <c r="P812" s="15">
        <f>IFERROR(tblSprzedaz[[#This Row],[Marża kwotowa]]/tblSprzedaz[[#This Row],[Przychód netto]],0)</f>
        <v>0.34505145382968433</v>
      </c>
      <c r="Q812" s="16">
        <f>YEAR(tblSprzedaz[[#This Row],[Data]])</f>
        <v>2025</v>
      </c>
      <c r="R812" s="16">
        <f>MONTH(tblSprzedaz[[#This Row],[Data]])</f>
        <v>8</v>
      </c>
      <c r="S812" s="9" t="str">
        <f>YEAR(tblSprzedaz[[#This Row],[Data]])&amp;"-"&amp;RIGHT("0"&amp;MONTH(tblSprzedaz[[#This Row],[Data]]),2)</f>
        <v>2025-08</v>
      </c>
    </row>
    <row r="813" spans="1:19" x14ac:dyDescent="0.25">
      <c r="A813" s="7" t="s">
        <v>1793</v>
      </c>
      <c r="B813" s="10">
        <v>45878</v>
      </c>
      <c r="C813" s="7" t="s">
        <v>1794</v>
      </c>
      <c r="D813" s="8" t="s">
        <v>129</v>
      </c>
      <c r="E813" s="8" t="s">
        <v>55</v>
      </c>
      <c r="F813" s="8" t="s">
        <v>31</v>
      </c>
      <c r="G813" s="8" t="s">
        <v>30</v>
      </c>
      <c r="H813" s="8" t="s">
        <v>41</v>
      </c>
      <c r="I813" s="11">
        <v>1</v>
      </c>
      <c r="J813" s="12">
        <v>243.6</v>
      </c>
      <c r="K813" s="13">
        <v>0</v>
      </c>
      <c r="L813" s="12">
        <v>149.01</v>
      </c>
      <c r="M813" s="14">
        <f>ROUND(tblSprzedaz[[#This Row],[Ilość]]*tblSprzedaz[[#This Row],[Cena netto jednostkowa]]*(1-tblSprzedaz[[#This Row],[Rabat %]]),2)</f>
        <v>243.6</v>
      </c>
      <c r="N813" s="14">
        <f>ROUND(tblSprzedaz[[#This Row],[Ilość]]*tblSprzedaz[[#This Row],[Koszt jednostkowy netto]],2)</f>
        <v>149.01</v>
      </c>
      <c r="O813" s="14">
        <f>tblSprzedaz[[#This Row],[Przychód netto]]-tblSprzedaz[[#This Row],[Koszt całkowity netto]]</f>
        <v>94.59</v>
      </c>
      <c r="P813" s="15">
        <f>IFERROR(tblSprzedaz[[#This Row],[Marża kwotowa]]/tblSprzedaz[[#This Row],[Przychód netto]],0)</f>
        <v>0.38830049261083749</v>
      </c>
      <c r="Q813" s="16">
        <f>YEAR(tblSprzedaz[[#This Row],[Data]])</f>
        <v>2025</v>
      </c>
      <c r="R813" s="16">
        <f>MONTH(tblSprzedaz[[#This Row],[Data]])</f>
        <v>8</v>
      </c>
      <c r="S813" s="9" t="str">
        <f>YEAR(tblSprzedaz[[#This Row],[Data]])&amp;"-"&amp;RIGHT("0"&amp;MONTH(tblSprzedaz[[#This Row],[Data]]),2)</f>
        <v>2025-08</v>
      </c>
    </row>
    <row r="814" spans="1:19" x14ac:dyDescent="0.25">
      <c r="A814" s="7" t="s">
        <v>1795</v>
      </c>
      <c r="B814" s="10">
        <v>45878</v>
      </c>
      <c r="C814" s="7" t="s">
        <v>1796</v>
      </c>
      <c r="D814" s="8" t="s">
        <v>104</v>
      </c>
      <c r="E814" s="8" t="s">
        <v>67</v>
      </c>
      <c r="F814" s="8" t="s">
        <v>35</v>
      </c>
      <c r="G814" s="8" t="s">
        <v>32</v>
      </c>
      <c r="H814" s="8" t="s">
        <v>42</v>
      </c>
      <c r="I814" s="11">
        <v>17</v>
      </c>
      <c r="J814" s="12">
        <v>78.88</v>
      </c>
      <c r="K814" s="13">
        <v>0.15</v>
      </c>
      <c r="L814" s="12">
        <v>54.92</v>
      </c>
      <c r="M814" s="14">
        <f>ROUND(tblSprzedaz[[#This Row],[Ilość]]*tblSprzedaz[[#This Row],[Cena netto jednostkowa]]*(1-tblSprzedaz[[#This Row],[Rabat %]]),2)</f>
        <v>1139.82</v>
      </c>
      <c r="N814" s="14">
        <f>ROUND(tblSprzedaz[[#This Row],[Ilość]]*tblSprzedaz[[#This Row],[Koszt jednostkowy netto]],2)</f>
        <v>933.64</v>
      </c>
      <c r="O814" s="14">
        <f>tblSprzedaz[[#This Row],[Przychód netto]]-tblSprzedaz[[#This Row],[Koszt całkowity netto]]</f>
        <v>206.17999999999995</v>
      </c>
      <c r="P814" s="15">
        <f>IFERROR(tblSprzedaz[[#This Row],[Marża kwotowa]]/tblSprzedaz[[#This Row],[Przychód netto]],0)</f>
        <v>0.18088821041918896</v>
      </c>
      <c r="Q814" s="16">
        <f>YEAR(tblSprzedaz[[#This Row],[Data]])</f>
        <v>2025</v>
      </c>
      <c r="R814" s="16">
        <f>MONTH(tblSprzedaz[[#This Row],[Data]])</f>
        <v>8</v>
      </c>
      <c r="S814" s="9" t="str">
        <f>YEAR(tblSprzedaz[[#This Row],[Data]])&amp;"-"&amp;RIGHT("0"&amp;MONTH(tblSprzedaz[[#This Row],[Data]]),2)</f>
        <v>2025-08</v>
      </c>
    </row>
    <row r="815" spans="1:19" x14ac:dyDescent="0.25">
      <c r="A815" s="7" t="s">
        <v>1797</v>
      </c>
      <c r="B815" s="10">
        <v>45879</v>
      </c>
      <c r="C815" s="7" t="s">
        <v>1798</v>
      </c>
      <c r="D815" s="8" t="s">
        <v>99</v>
      </c>
      <c r="E815" s="8" t="s">
        <v>73</v>
      </c>
      <c r="F815" s="8" t="s">
        <v>37</v>
      </c>
      <c r="G815" s="8" t="s">
        <v>36</v>
      </c>
      <c r="H815" s="8" t="s">
        <v>46</v>
      </c>
      <c r="I815" s="11">
        <v>15</v>
      </c>
      <c r="J815" s="12">
        <v>110.2</v>
      </c>
      <c r="K815" s="13">
        <v>0</v>
      </c>
      <c r="L815" s="12">
        <v>80.599999999999994</v>
      </c>
      <c r="M815" s="14">
        <f>ROUND(tblSprzedaz[[#This Row],[Ilość]]*tblSprzedaz[[#This Row],[Cena netto jednostkowa]]*(1-tblSprzedaz[[#This Row],[Rabat %]]),2)</f>
        <v>1653</v>
      </c>
      <c r="N815" s="14">
        <f>ROUND(tblSprzedaz[[#This Row],[Ilość]]*tblSprzedaz[[#This Row],[Koszt jednostkowy netto]],2)</f>
        <v>1209</v>
      </c>
      <c r="O815" s="14">
        <f>tblSprzedaz[[#This Row],[Przychód netto]]-tblSprzedaz[[#This Row],[Koszt całkowity netto]]</f>
        <v>444</v>
      </c>
      <c r="P815" s="15">
        <f>IFERROR(tblSprzedaz[[#This Row],[Marża kwotowa]]/tblSprzedaz[[#This Row],[Przychód netto]],0)</f>
        <v>0.26860254083484575</v>
      </c>
      <c r="Q815" s="16">
        <f>YEAR(tblSprzedaz[[#This Row],[Data]])</f>
        <v>2025</v>
      </c>
      <c r="R815" s="16">
        <f>MONTH(tblSprzedaz[[#This Row],[Data]])</f>
        <v>8</v>
      </c>
      <c r="S815" s="9" t="str">
        <f>YEAR(tblSprzedaz[[#This Row],[Data]])&amp;"-"&amp;RIGHT("0"&amp;MONTH(tblSprzedaz[[#This Row],[Data]]),2)</f>
        <v>2025-08</v>
      </c>
    </row>
    <row r="816" spans="1:19" x14ac:dyDescent="0.25">
      <c r="A816" s="7" t="s">
        <v>1799</v>
      </c>
      <c r="B816" s="10">
        <v>45880</v>
      </c>
      <c r="C816" s="7" t="s">
        <v>1800</v>
      </c>
      <c r="D816" s="8" t="s">
        <v>111</v>
      </c>
      <c r="E816" s="8" t="s">
        <v>49</v>
      </c>
      <c r="F816" s="8" t="s">
        <v>29</v>
      </c>
      <c r="G816" s="8" t="s">
        <v>34</v>
      </c>
      <c r="H816" s="8" t="s">
        <v>44</v>
      </c>
      <c r="I816" s="11">
        <v>3</v>
      </c>
      <c r="J816" s="12">
        <v>39.44</v>
      </c>
      <c r="K816" s="13">
        <v>0</v>
      </c>
      <c r="L816" s="12">
        <v>22.9</v>
      </c>
      <c r="M816" s="14">
        <f>ROUND(tblSprzedaz[[#This Row],[Ilość]]*tblSprzedaz[[#This Row],[Cena netto jednostkowa]]*(1-tblSprzedaz[[#This Row],[Rabat %]]),2)</f>
        <v>118.32</v>
      </c>
      <c r="N816" s="14">
        <f>ROUND(tblSprzedaz[[#This Row],[Ilość]]*tblSprzedaz[[#This Row],[Koszt jednostkowy netto]],2)</f>
        <v>68.7</v>
      </c>
      <c r="O816" s="14">
        <f>tblSprzedaz[[#This Row],[Przychód netto]]-tblSprzedaz[[#This Row],[Koszt całkowity netto]]</f>
        <v>49.61999999999999</v>
      </c>
      <c r="P816" s="15">
        <f>IFERROR(tblSprzedaz[[#This Row],[Marża kwotowa]]/tblSprzedaz[[#This Row],[Przychód netto]],0)</f>
        <v>0.41937119675456386</v>
      </c>
      <c r="Q816" s="16">
        <f>YEAR(tblSprzedaz[[#This Row],[Data]])</f>
        <v>2025</v>
      </c>
      <c r="R816" s="16">
        <f>MONTH(tblSprzedaz[[#This Row],[Data]])</f>
        <v>8</v>
      </c>
      <c r="S816" s="9" t="str">
        <f>YEAR(tblSprzedaz[[#This Row],[Data]])&amp;"-"&amp;RIGHT("0"&amp;MONTH(tblSprzedaz[[#This Row],[Data]]),2)</f>
        <v>2025-08</v>
      </c>
    </row>
    <row r="817" spans="1:19" x14ac:dyDescent="0.25">
      <c r="A817" s="7" t="s">
        <v>1801</v>
      </c>
      <c r="B817" s="10">
        <v>45880</v>
      </c>
      <c r="C817" s="7" t="s">
        <v>1802</v>
      </c>
      <c r="D817" s="8" t="s">
        <v>96</v>
      </c>
      <c r="E817" s="8" t="s">
        <v>76</v>
      </c>
      <c r="F817" s="8" t="s">
        <v>37</v>
      </c>
      <c r="G817" s="8" t="s">
        <v>30</v>
      </c>
      <c r="H817" s="8" t="s">
        <v>40</v>
      </c>
      <c r="I817" s="11">
        <v>12</v>
      </c>
      <c r="J817" s="12">
        <v>158.65</v>
      </c>
      <c r="K817" s="13">
        <v>0.15</v>
      </c>
      <c r="L817" s="12">
        <v>125.94</v>
      </c>
      <c r="M817" s="14">
        <f>ROUND(tblSprzedaz[[#This Row],[Ilość]]*tblSprzedaz[[#This Row],[Cena netto jednostkowa]]*(1-tblSprzedaz[[#This Row],[Rabat %]]),2)</f>
        <v>1618.23</v>
      </c>
      <c r="N817" s="14">
        <f>ROUND(tblSprzedaz[[#This Row],[Ilość]]*tblSprzedaz[[#This Row],[Koszt jednostkowy netto]],2)</f>
        <v>1511.28</v>
      </c>
      <c r="O817" s="14">
        <f>tblSprzedaz[[#This Row],[Przychód netto]]-tblSprzedaz[[#This Row],[Koszt całkowity netto]]</f>
        <v>106.95000000000005</v>
      </c>
      <c r="P817" s="15">
        <f>IFERROR(tblSprzedaz[[#This Row],[Marża kwotowa]]/tblSprzedaz[[#This Row],[Przychód netto]],0)</f>
        <v>6.6090728759199899E-2</v>
      </c>
      <c r="Q817" s="16">
        <f>YEAR(tblSprzedaz[[#This Row],[Data]])</f>
        <v>2025</v>
      </c>
      <c r="R817" s="16">
        <f>MONTH(tblSprzedaz[[#This Row],[Data]])</f>
        <v>8</v>
      </c>
      <c r="S817" s="9" t="str">
        <f>YEAR(tblSprzedaz[[#This Row],[Data]])&amp;"-"&amp;RIGHT("0"&amp;MONTH(tblSprzedaz[[#This Row],[Data]]),2)</f>
        <v>2025-08</v>
      </c>
    </row>
    <row r="818" spans="1:19" x14ac:dyDescent="0.25">
      <c r="A818" s="7" t="s">
        <v>1803</v>
      </c>
      <c r="B818" s="10">
        <v>45880</v>
      </c>
      <c r="C818" s="7" t="s">
        <v>1804</v>
      </c>
      <c r="D818" s="8" t="s">
        <v>121</v>
      </c>
      <c r="E818" s="8" t="s">
        <v>48</v>
      </c>
      <c r="F818" s="8" t="s">
        <v>29</v>
      </c>
      <c r="G818" s="8" t="s">
        <v>34</v>
      </c>
      <c r="H818" s="8" t="s">
        <v>45</v>
      </c>
      <c r="I818" s="11">
        <v>10</v>
      </c>
      <c r="J818" s="12">
        <v>33.659999999999997</v>
      </c>
      <c r="K818" s="13">
        <v>0.1</v>
      </c>
      <c r="L818" s="12">
        <v>18.64</v>
      </c>
      <c r="M818" s="14">
        <f>ROUND(tblSprzedaz[[#This Row],[Ilość]]*tblSprzedaz[[#This Row],[Cena netto jednostkowa]]*(1-tblSprzedaz[[#This Row],[Rabat %]]),2)</f>
        <v>302.94</v>
      </c>
      <c r="N818" s="14">
        <f>ROUND(tblSprzedaz[[#This Row],[Ilość]]*tblSprzedaz[[#This Row],[Koszt jednostkowy netto]],2)</f>
        <v>186.4</v>
      </c>
      <c r="O818" s="14">
        <f>tblSprzedaz[[#This Row],[Przychód netto]]-tblSprzedaz[[#This Row],[Koszt całkowity netto]]</f>
        <v>116.53999999999999</v>
      </c>
      <c r="P818" s="15">
        <f>IFERROR(tblSprzedaz[[#This Row],[Marża kwotowa]]/tblSprzedaz[[#This Row],[Przychód netto]],0)</f>
        <v>0.38469663959860034</v>
      </c>
      <c r="Q818" s="16">
        <f>YEAR(tblSprzedaz[[#This Row],[Data]])</f>
        <v>2025</v>
      </c>
      <c r="R818" s="16">
        <f>MONTH(tblSprzedaz[[#This Row],[Data]])</f>
        <v>8</v>
      </c>
      <c r="S818" s="9" t="str">
        <f>YEAR(tblSprzedaz[[#This Row],[Data]])&amp;"-"&amp;RIGHT("0"&amp;MONTH(tblSprzedaz[[#This Row],[Data]]),2)</f>
        <v>2025-08</v>
      </c>
    </row>
    <row r="819" spans="1:19" x14ac:dyDescent="0.25">
      <c r="A819" s="7" t="s">
        <v>1805</v>
      </c>
      <c r="B819" s="10">
        <v>45880</v>
      </c>
      <c r="C819" s="7" t="s">
        <v>1806</v>
      </c>
      <c r="D819" s="8" t="s">
        <v>107</v>
      </c>
      <c r="E819" s="8" t="s">
        <v>76</v>
      </c>
      <c r="F819" s="8" t="s">
        <v>37</v>
      </c>
      <c r="G819" s="8" t="s">
        <v>32</v>
      </c>
      <c r="H819" s="8" t="s">
        <v>42</v>
      </c>
      <c r="I819" s="11">
        <v>3</v>
      </c>
      <c r="J819" s="12">
        <v>158.65</v>
      </c>
      <c r="K819" s="13">
        <v>0</v>
      </c>
      <c r="L819" s="12">
        <v>117.32</v>
      </c>
      <c r="M819" s="14">
        <f>ROUND(tblSprzedaz[[#This Row],[Ilość]]*tblSprzedaz[[#This Row],[Cena netto jednostkowa]]*(1-tblSprzedaz[[#This Row],[Rabat %]]),2)</f>
        <v>475.95</v>
      </c>
      <c r="N819" s="14">
        <f>ROUND(tblSprzedaz[[#This Row],[Ilość]]*tblSprzedaz[[#This Row],[Koszt jednostkowy netto]],2)</f>
        <v>351.96</v>
      </c>
      <c r="O819" s="14">
        <f>tblSprzedaz[[#This Row],[Przychód netto]]-tblSprzedaz[[#This Row],[Koszt całkowity netto]]</f>
        <v>123.99000000000001</v>
      </c>
      <c r="P819" s="15">
        <f>IFERROR(tblSprzedaz[[#This Row],[Marża kwotowa]]/tblSprzedaz[[#This Row],[Przychód netto]],0)</f>
        <v>0.26051055783170501</v>
      </c>
      <c r="Q819" s="16">
        <f>YEAR(tblSprzedaz[[#This Row],[Data]])</f>
        <v>2025</v>
      </c>
      <c r="R819" s="16">
        <f>MONTH(tblSprzedaz[[#This Row],[Data]])</f>
        <v>8</v>
      </c>
      <c r="S819" s="9" t="str">
        <f>YEAR(tblSprzedaz[[#This Row],[Data]])&amp;"-"&amp;RIGHT("0"&amp;MONTH(tblSprzedaz[[#This Row],[Data]]),2)</f>
        <v>2025-08</v>
      </c>
    </row>
    <row r="820" spans="1:19" x14ac:dyDescent="0.25">
      <c r="A820" s="7" t="s">
        <v>1807</v>
      </c>
      <c r="B820" s="10">
        <v>45880</v>
      </c>
      <c r="C820" s="7" t="s">
        <v>1808</v>
      </c>
      <c r="D820" s="8" t="s">
        <v>119</v>
      </c>
      <c r="E820" s="8" t="s">
        <v>61</v>
      </c>
      <c r="F820" s="8" t="s">
        <v>33</v>
      </c>
      <c r="G820" s="8" t="s">
        <v>34</v>
      </c>
      <c r="H820" s="8" t="s">
        <v>44</v>
      </c>
      <c r="I820" s="11">
        <v>3</v>
      </c>
      <c r="J820" s="12">
        <v>533.6</v>
      </c>
      <c r="K820" s="13">
        <v>0</v>
      </c>
      <c r="L820" s="12">
        <v>356.16</v>
      </c>
      <c r="M820" s="14">
        <f>ROUND(tblSprzedaz[[#This Row],[Ilość]]*tblSprzedaz[[#This Row],[Cena netto jednostkowa]]*(1-tblSprzedaz[[#This Row],[Rabat %]]),2)</f>
        <v>1600.8</v>
      </c>
      <c r="N820" s="14">
        <f>ROUND(tblSprzedaz[[#This Row],[Ilość]]*tblSprzedaz[[#This Row],[Koszt jednostkowy netto]],2)</f>
        <v>1068.48</v>
      </c>
      <c r="O820" s="14">
        <f>tblSprzedaz[[#This Row],[Przychód netto]]-tblSprzedaz[[#This Row],[Koszt całkowity netto]]</f>
        <v>532.31999999999994</v>
      </c>
      <c r="P820" s="15">
        <f>IFERROR(tblSprzedaz[[#This Row],[Marża kwotowa]]/tblSprzedaz[[#This Row],[Przychód netto]],0)</f>
        <v>0.33253373313343326</v>
      </c>
      <c r="Q820" s="16">
        <f>YEAR(tblSprzedaz[[#This Row],[Data]])</f>
        <v>2025</v>
      </c>
      <c r="R820" s="16">
        <f>MONTH(tblSprzedaz[[#This Row],[Data]])</f>
        <v>8</v>
      </c>
      <c r="S820" s="9" t="str">
        <f>YEAR(tblSprzedaz[[#This Row],[Data]])&amp;"-"&amp;RIGHT("0"&amp;MONTH(tblSprzedaz[[#This Row],[Data]]),2)</f>
        <v>2025-08</v>
      </c>
    </row>
    <row r="821" spans="1:19" x14ac:dyDescent="0.25">
      <c r="A821" s="7" t="s">
        <v>1809</v>
      </c>
      <c r="B821" s="10">
        <v>45881</v>
      </c>
      <c r="C821" s="7" t="s">
        <v>1810</v>
      </c>
      <c r="D821" s="8" t="s">
        <v>128</v>
      </c>
      <c r="E821" s="8" t="s">
        <v>56</v>
      </c>
      <c r="F821" s="8" t="s">
        <v>31</v>
      </c>
      <c r="G821" s="8" t="s">
        <v>36</v>
      </c>
      <c r="H821" s="8" t="s">
        <v>47</v>
      </c>
      <c r="I821" s="11">
        <v>13</v>
      </c>
      <c r="J821" s="12">
        <v>279.3</v>
      </c>
      <c r="K821" s="13">
        <v>0.15</v>
      </c>
      <c r="L821" s="12">
        <v>170.73</v>
      </c>
      <c r="M821" s="14">
        <f>ROUND(tblSprzedaz[[#This Row],[Ilość]]*tblSprzedaz[[#This Row],[Cena netto jednostkowa]]*(1-tblSprzedaz[[#This Row],[Rabat %]]),2)</f>
        <v>3086.27</v>
      </c>
      <c r="N821" s="14">
        <f>ROUND(tblSprzedaz[[#This Row],[Ilość]]*tblSprzedaz[[#This Row],[Koszt jednostkowy netto]],2)</f>
        <v>2219.4899999999998</v>
      </c>
      <c r="O821" s="14">
        <f>tblSprzedaz[[#This Row],[Przychód netto]]-tblSprzedaz[[#This Row],[Koszt całkowity netto]]</f>
        <v>866.7800000000002</v>
      </c>
      <c r="P821" s="15">
        <f>IFERROR(tblSprzedaz[[#This Row],[Marża kwotowa]]/tblSprzedaz[[#This Row],[Przychód netto]],0)</f>
        <v>0.28085034685882965</v>
      </c>
      <c r="Q821" s="16">
        <f>YEAR(tblSprzedaz[[#This Row],[Data]])</f>
        <v>2025</v>
      </c>
      <c r="R821" s="16">
        <f>MONTH(tblSprzedaz[[#This Row],[Data]])</f>
        <v>8</v>
      </c>
      <c r="S821" s="9" t="str">
        <f>YEAR(tblSprzedaz[[#This Row],[Data]])&amp;"-"&amp;RIGHT("0"&amp;MONTH(tblSprzedaz[[#This Row],[Data]]),2)</f>
        <v>2025-08</v>
      </c>
    </row>
    <row r="822" spans="1:19" x14ac:dyDescent="0.25">
      <c r="A822" s="7" t="s">
        <v>1811</v>
      </c>
      <c r="B822" s="10">
        <v>45881</v>
      </c>
      <c r="C822" s="7" t="s">
        <v>1812</v>
      </c>
      <c r="D822" s="8" t="s">
        <v>109</v>
      </c>
      <c r="E822" s="8" t="s">
        <v>65</v>
      </c>
      <c r="F822" s="8" t="s">
        <v>33</v>
      </c>
      <c r="G822" s="8" t="s">
        <v>30</v>
      </c>
      <c r="H822" s="8" t="s">
        <v>40</v>
      </c>
      <c r="I822" s="11">
        <v>6</v>
      </c>
      <c r="J822" s="12">
        <v>377.2</v>
      </c>
      <c r="K822" s="13">
        <v>0.1</v>
      </c>
      <c r="L822" s="12">
        <v>263.01</v>
      </c>
      <c r="M822" s="14">
        <f>ROUND(tblSprzedaz[[#This Row],[Ilość]]*tblSprzedaz[[#This Row],[Cena netto jednostkowa]]*(1-tblSprzedaz[[#This Row],[Rabat %]]),2)</f>
        <v>2036.88</v>
      </c>
      <c r="N822" s="14">
        <f>ROUND(tblSprzedaz[[#This Row],[Ilość]]*tblSprzedaz[[#This Row],[Koszt jednostkowy netto]],2)</f>
        <v>1578.06</v>
      </c>
      <c r="O822" s="14">
        <f>tblSprzedaz[[#This Row],[Przychód netto]]-tblSprzedaz[[#This Row],[Koszt całkowity netto]]</f>
        <v>458.82000000000016</v>
      </c>
      <c r="P822" s="15">
        <f>IFERROR(tblSprzedaz[[#This Row],[Marża kwotowa]]/tblSprzedaz[[#This Row],[Przychód netto]],0)</f>
        <v>0.22525627430187353</v>
      </c>
      <c r="Q822" s="16">
        <f>YEAR(tblSprzedaz[[#This Row],[Data]])</f>
        <v>2025</v>
      </c>
      <c r="R822" s="16">
        <f>MONTH(tblSprzedaz[[#This Row],[Data]])</f>
        <v>8</v>
      </c>
      <c r="S822" s="9" t="str">
        <f>YEAR(tblSprzedaz[[#This Row],[Data]])&amp;"-"&amp;RIGHT("0"&amp;MONTH(tblSprzedaz[[#This Row],[Data]]),2)</f>
        <v>2025-08</v>
      </c>
    </row>
    <row r="823" spans="1:19" x14ac:dyDescent="0.25">
      <c r="A823" s="7" t="s">
        <v>1813</v>
      </c>
      <c r="B823" s="10">
        <v>45881</v>
      </c>
      <c r="C823" s="7" t="s">
        <v>1814</v>
      </c>
      <c r="D823" s="8" t="s">
        <v>85</v>
      </c>
      <c r="E823" s="8" t="s">
        <v>57</v>
      </c>
      <c r="F823" s="8" t="s">
        <v>31</v>
      </c>
      <c r="G823" s="8" t="s">
        <v>34</v>
      </c>
      <c r="H823" s="8" t="s">
        <v>44</v>
      </c>
      <c r="I823" s="11">
        <v>1</v>
      </c>
      <c r="J823" s="12">
        <v>315</v>
      </c>
      <c r="K823" s="13">
        <v>0.15</v>
      </c>
      <c r="L823" s="12">
        <v>203.71</v>
      </c>
      <c r="M823" s="14">
        <f>ROUND(tblSprzedaz[[#This Row],[Ilość]]*tblSprzedaz[[#This Row],[Cena netto jednostkowa]]*(1-tblSprzedaz[[#This Row],[Rabat %]]),2)</f>
        <v>267.75</v>
      </c>
      <c r="N823" s="14">
        <f>ROUND(tblSprzedaz[[#This Row],[Ilość]]*tblSprzedaz[[#This Row],[Koszt jednostkowy netto]],2)</f>
        <v>203.71</v>
      </c>
      <c r="O823" s="14">
        <f>tblSprzedaz[[#This Row],[Przychód netto]]-tblSprzedaz[[#This Row],[Koszt całkowity netto]]</f>
        <v>64.039999999999992</v>
      </c>
      <c r="P823" s="15">
        <f>IFERROR(tblSprzedaz[[#This Row],[Marża kwotowa]]/tblSprzedaz[[#This Row],[Przychód netto]],0)</f>
        <v>0.23917833800186739</v>
      </c>
      <c r="Q823" s="16">
        <f>YEAR(tblSprzedaz[[#This Row],[Data]])</f>
        <v>2025</v>
      </c>
      <c r="R823" s="16">
        <f>MONTH(tblSprzedaz[[#This Row],[Data]])</f>
        <v>8</v>
      </c>
      <c r="S823" s="9" t="str">
        <f>YEAR(tblSprzedaz[[#This Row],[Data]])&amp;"-"&amp;RIGHT("0"&amp;MONTH(tblSprzedaz[[#This Row],[Data]]),2)</f>
        <v>2025-08</v>
      </c>
    </row>
    <row r="824" spans="1:19" x14ac:dyDescent="0.25">
      <c r="A824" s="7" t="s">
        <v>1815</v>
      </c>
      <c r="B824" s="10">
        <v>45881</v>
      </c>
      <c r="C824" s="7" t="s">
        <v>1816</v>
      </c>
      <c r="D824" s="8" t="s">
        <v>147</v>
      </c>
      <c r="E824" s="8" t="s">
        <v>63</v>
      </c>
      <c r="F824" s="8" t="s">
        <v>33</v>
      </c>
      <c r="G824" s="8" t="s">
        <v>34</v>
      </c>
      <c r="H824" s="8" t="s">
        <v>45</v>
      </c>
      <c r="I824" s="11">
        <v>4</v>
      </c>
      <c r="J824" s="12">
        <v>690</v>
      </c>
      <c r="K824" s="13">
        <v>0</v>
      </c>
      <c r="L824" s="12">
        <v>472.73</v>
      </c>
      <c r="M824" s="14">
        <f>ROUND(tblSprzedaz[[#This Row],[Ilość]]*tblSprzedaz[[#This Row],[Cena netto jednostkowa]]*(1-tblSprzedaz[[#This Row],[Rabat %]]),2)</f>
        <v>2760</v>
      </c>
      <c r="N824" s="14">
        <f>ROUND(tblSprzedaz[[#This Row],[Ilość]]*tblSprzedaz[[#This Row],[Koszt jednostkowy netto]],2)</f>
        <v>1890.92</v>
      </c>
      <c r="O824" s="14">
        <f>tblSprzedaz[[#This Row],[Przychód netto]]-tblSprzedaz[[#This Row],[Koszt całkowity netto]]</f>
        <v>869.07999999999993</v>
      </c>
      <c r="P824" s="15">
        <f>IFERROR(tblSprzedaz[[#This Row],[Marża kwotowa]]/tblSprzedaz[[#This Row],[Przychód netto]],0)</f>
        <v>0.31488405797101449</v>
      </c>
      <c r="Q824" s="16">
        <f>YEAR(tblSprzedaz[[#This Row],[Data]])</f>
        <v>2025</v>
      </c>
      <c r="R824" s="16">
        <f>MONTH(tblSprzedaz[[#This Row],[Data]])</f>
        <v>8</v>
      </c>
      <c r="S824" s="9" t="str">
        <f>YEAR(tblSprzedaz[[#This Row],[Data]])&amp;"-"&amp;RIGHT("0"&amp;MONTH(tblSprzedaz[[#This Row],[Data]]),2)</f>
        <v>2025-08</v>
      </c>
    </row>
    <row r="825" spans="1:19" x14ac:dyDescent="0.25">
      <c r="A825" s="7" t="s">
        <v>1817</v>
      </c>
      <c r="B825" s="10">
        <v>45882</v>
      </c>
      <c r="C825" s="7" t="s">
        <v>1818</v>
      </c>
      <c r="D825" s="8" t="s">
        <v>98</v>
      </c>
      <c r="E825" s="8" t="s">
        <v>59</v>
      </c>
      <c r="F825" s="8" t="s">
        <v>31</v>
      </c>
      <c r="G825" s="8" t="s">
        <v>32</v>
      </c>
      <c r="H825" s="8" t="s">
        <v>42</v>
      </c>
      <c r="I825" s="11">
        <v>3</v>
      </c>
      <c r="J825" s="12">
        <v>172.2</v>
      </c>
      <c r="K825" s="13">
        <v>0</v>
      </c>
      <c r="L825" s="12">
        <v>111.81</v>
      </c>
      <c r="M825" s="14">
        <f>ROUND(tblSprzedaz[[#This Row],[Ilość]]*tblSprzedaz[[#This Row],[Cena netto jednostkowa]]*(1-tblSprzedaz[[#This Row],[Rabat %]]),2)</f>
        <v>516.6</v>
      </c>
      <c r="N825" s="14">
        <f>ROUND(tblSprzedaz[[#This Row],[Ilość]]*tblSprzedaz[[#This Row],[Koszt jednostkowy netto]],2)</f>
        <v>335.43</v>
      </c>
      <c r="O825" s="14">
        <f>tblSprzedaz[[#This Row],[Przychód netto]]-tblSprzedaz[[#This Row],[Koszt całkowity netto]]</f>
        <v>181.17000000000002</v>
      </c>
      <c r="P825" s="15">
        <f>IFERROR(tblSprzedaz[[#This Row],[Marża kwotowa]]/tblSprzedaz[[#This Row],[Przychód netto]],0)</f>
        <v>0.35069686411149825</v>
      </c>
      <c r="Q825" s="16">
        <f>YEAR(tblSprzedaz[[#This Row],[Data]])</f>
        <v>2025</v>
      </c>
      <c r="R825" s="16">
        <f>MONTH(tblSprzedaz[[#This Row],[Data]])</f>
        <v>8</v>
      </c>
      <c r="S825" s="9" t="str">
        <f>YEAR(tblSprzedaz[[#This Row],[Data]])&amp;"-"&amp;RIGHT("0"&amp;MONTH(tblSprzedaz[[#This Row],[Data]]),2)</f>
        <v>2025-08</v>
      </c>
    </row>
    <row r="826" spans="1:19" x14ac:dyDescent="0.25">
      <c r="A826" s="7" t="s">
        <v>1819</v>
      </c>
      <c r="B826" s="10">
        <v>45882</v>
      </c>
      <c r="C826" s="7" t="s">
        <v>1820</v>
      </c>
      <c r="D826" s="8" t="s">
        <v>150</v>
      </c>
      <c r="E826" s="8" t="s">
        <v>69</v>
      </c>
      <c r="F826" s="8" t="s">
        <v>35</v>
      </c>
      <c r="G826" s="8" t="s">
        <v>34</v>
      </c>
      <c r="H826" s="8" t="s">
        <v>44</v>
      </c>
      <c r="I826" s="11">
        <v>11</v>
      </c>
      <c r="J826" s="12">
        <v>102</v>
      </c>
      <c r="K826" s="13">
        <v>0</v>
      </c>
      <c r="L826" s="12">
        <v>76.239999999999995</v>
      </c>
      <c r="M826" s="14">
        <f>ROUND(tblSprzedaz[[#This Row],[Ilość]]*tblSprzedaz[[#This Row],[Cena netto jednostkowa]]*(1-tblSprzedaz[[#This Row],[Rabat %]]),2)</f>
        <v>1122</v>
      </c>
      <c r="N826" s="14">
        <f>ROUND(tblSprzedaz[[#This Row],[Ilość]]*tblSprzedaz[[#This Row],[Koszt jednostkowy netto]],2)</f>
        <v>838.64</v>
      </c>
      <c r="O826" s="14">
        <f>tblSprzedaz[[#This Row],[Przychód netto]]-tblSprzedaz[[#This Row],[Koszt całkowity netto]]</f>
        <v>283.36</v>
      </c>
      <c r="P826" s="15">
        <f>IFERROR(tblSprzedaz[[#This Row],[Marża kwotowa]]/tblSprzedaz[[#This Row],[Przychód netto]],0)</f>
        <v>0.25254901960784315</v>
      </c>
      <c r="Q826" s="16">
        <f>YEAR(tblSprzedaz[[#This Row],[Data]])</f>
        <v>2025</v>
      </c>
      <c r="R826" s="16">
        <f>MONTH(tblSprzedaz[[#This Row],[Data]])</f>
        <v>8</v>
      </c>
      <c r="S826" s="9" t="str">
        <f>YEAR(tblSprzedaz[[#This Row],[Data]])&amp;"-"&amp;RIGHT("0"&amp;MONTH(tblSprzedaz[[#This Row],[Data]]),2)</f>
        <v>2025-08</v>
      </c>
    </row>
    <row r="827" spans="1:19" x14ac:dyDescent="0.25">
      <c r="A827" s="7" t="s">
        <v>1821</v>
      </c>
      <c r="B827" s="10">
        <v>45882</v>
      </c>
      <c r="C827" s="7" t="s">
        <v>1822</v>
      </c>
      <c r="D827" s="8" t="s">
        <v>121</v>
      </c>
      <c r="E827" s="8" t="s">
        <v>76</v>
      </c>
      <c r="F827" s="8" t="s">
        <v>37</v>
      </c>
      <c r="G827" s="8" t="s">
        <v>32</v>
      </c>
      <c r="H827" s="8" t="s">
        <v>42</v>
      </c>
      <c r="I827" s="11">
        <v>9</v>
      </c>
      <c r="J827" s="12">
        <v>158.65</v>
      </c>
      <c r="K827" s="13">
        <v>0.05</v>
      </c>
      <c r="L827" s="12">
        <v>124.97</v>
      </c>
      <c r="M827" s="14">
        <f>ROUND(tblSprzedaz[[#This Row],[Ilość]]*tblSprzedaz[[#This Row],[Cena netto jednostkowa]]*(1-tblSprzedaz[[#This Row],[Rabat %]]),2)</f>
        <v>1356.46</v>
      </c>
      <c r="N827" s="14">
        <f>ROUND(tblSprzedaz[[#This Row],[Ilość]]*tblSprzedaz[[#This Row],[Koszt jednostkowy netto]],2)</f>
        <v>1124.73</v>
      </c>
      <c r="O827" s="14">
        <f>tblSprzedaz[[#This Row],[Przychód netto]]-tblSprzedaz[[#This Row],[Koszt całkowity netto]]</f>
        <v>231.73000000000002</v>
      </c>
      <c r="P827" s="15">
        <f>IFERROR(tblSprzedaz[[#This Row],[Marża kwotowa]]/tblSprzedaz[[#This Row],[Przychód netto]],0)</f>
        <v>0.1708343777184731</v>
      </c>
      <c r="Q827" s="16">
        <f>YEAR(tblSprzedaz[[#This Row],[Data]])</f>
        <v>2025</v>
      </c>
      <c r="R827" s="16">
        <f>MONTH(tblSprzedaz[[#This Row],[Data]])</f>
        <v>8</v>
      </c>
      <c r="S827" s="9" t="str">
        <f>YEAR(tblSprzedaz[[#This Row],[Data]])&amp;"-"&amp;RIGHT("0"&amp;MONTH(tblSprzedaz[[#This Row],[Data]]),2)</f>
        <v>2025-08</v>
      </c>
    </row>
    <row r="828" spans="1:19" x14ac:dyDescent="0.25">
      <c r="A828" s="7" t="s">
        <v>1823</v>
      </c>
      <c r="B828" s="10">
        <v>45882</v>
      </c>
      <c r="C828" s="7" t="s">
        <v>1824</v>
      </c>
      <c r="D828" s="8" t="s">
        <v>148</v>
      </c>
      <c r="E828" s="8" t="s">
        <v>68</v>
      </c>
      <c r="F828" s="8" t="s">
        <v>35</v>
      </c>
      <c r="G828" s="8" t="s">
        <v>36</v>
      </c>
      <c r="H828" s="8" t="s">
        <v>46</v>
      </c>
      <c r="I828" s="11">
        <v>10</v>
      </c>
      <c r="J828" s="12">
        <v>90.44</v>
      </c>
      <c r="K828" s="13">
        <v>0.15</v>
      </c>
      <c r="L828" s="12">
        <v>65.06</v>
      </c>
      <c r="M828" s="14">
        <f>ROUND(tblSprzedaz[[#This Row],[Ilość]]*tblSprzedaz[[#This Row],[Cena netto jednostkowa]]*(1-tblSprzedaz[[#This Row],[Rabat %]]),2)</f>
        <v>768.74</v>
      </c>
      <c r="N828" s="14">
        <f>ROUND(tblSprzedaz[[#This Row],[Ilość]]*tblSprzedaz[[#This Row],[Koszt jednostkowy netto]],2)</f>
        <v>650.6</v>
      </c>
      <c r="O828" s="14">
        <f>tblSprzedaz[[#This Row],[Przychód netto]]-tblSprzedaz[[#This Row],[Koszt całkowity netto]]</f>
        <v>118.13999999999999</v>
      </c>
      <c r="P828" s="15">
        <f>IFERROR(tblSprzedaz[[#This Row],[Marża kwotowa]]/tblSprzedaz[[#This Row],[Przychód netto]],0)</f>
        <v>0.15368004787054138</v>
      </c>
      <c r="Q828" s="16">
        <f>YEAR(tblSprzedaz[[#This Row],[Data]])</f>
        <v>2025</v>
      </c>
      <c r="R828" s="16">
        <f>MONTH(tblSprzedaz[[#This Row],[Data]])</f>
        <v>8</v>
      </c>
      <c r="S828" s="9" t="str">
        <f>YEAR(tblSprzedaz[[#This Row],[Data]])&amp;"-"&amp;RIGHT("0"&amp;MONTH(tblSprzedaz[[#This Row],[Data]]),2)</f>
        <v>2025-08</v>
      </c>
    </row>
    <row r="829" spans="1:19" x14ac:dyDescent="0.25">
      <c r="A829" s="7" t="s">
        <v>1825</v>
      </c>
      <c r="B829" s="10">
        <v>45882</v>
      </c>
      <c r="C829" s="7" t="s">
        <v>1826</v>
      </c>
      <c r="D829" s="8" t="s">
        <v>131</v>
      </c>
      <c r="E829" s="8" t="s">
        <v>57</v>
      </c>
      <c r="F829" s="8" t="s">
        <v>31</v>
      </c>
      <c r="G829" s="8" t="s">
        <v>34</v>
      </c>
      <c r="H829" s="8" t="s">
        <v>44</v>
      </c>
      <c r="I829" s="11">
        <v>6</v>
      </c>
      <c r="J829" s="12">
        <v>315</v>
      </c>
      <c r="K829" s="13">
        <v>0</v>
      </c>
      <c r="L829" s="12">
        <v>201.2</v>
      </c>
      <c r="M829" s="14">
        <f>ROUND(tblSprzedaz[[#This Row],[Ilość]]*tblSprzedaz[[#This Row],[Cena netto jednostkowa]]*(1-tblSprzedaz[[#This Row],[Rabat %]]),2)</f>
        <v>1890</v>
      </c>
      <c r="N829" s="14">
        <f>ROUND(tblSprzedaz[[#This Row],[Ilość]]*tblSprzedaz[[#This Row],[Koszt jednostkowy netto]],2)</f>
        <v>1207.2</v>
      </c>
      <c r="O829" s="14">
        <f>tblSprzedaz[[#This Row],[Przychód netto]]-tblSprzedaz[[#This Row],[Koszt całkowity netto]]</f>
        <v>682.8</v>
      </c>
      <c r="P829" s="15">
        <f>IFERROR(tblSprzedaz[[#This Row],[Marża kwotowa]]/tblSprzedaz[[#This Row],[Przychód netto]],0)</f>
        <v>0.36126984126984124</v>
      </c>
      <c r="Q829" s="16">
        <f>YEAR(tblSprzedaz[[#This Row],[Data]])</f>
        <v>2025</v>
      </c>
      <c r="R829" s="16">
        <f>MONTH(tblSprzedaz[[#This Row],[Data]])</f>
        <v>8</v>
      </c>
      <c r="S829" s="9" t="str">
        <f>YEAR(tblSprzedaz[[#This Row],[Data]])&amp;"-"&amp;RIGHT("0"&amp;MONTH(tblSprzedaz[[#This Row],[Data]]),2)</f>
        <v>2025-08</v>
      </c>
    </row>
    <row r="830" spans="1:19" x14ac:dyDescent="0.25">
      <c r="A830" s="7" t="s">
        <v>1827</v>
      </c>
      <c r="B830" s="10">
        <v>45883</v>
      </c>
      <c r="C830" s="7" t="s">
        <v>1828</v>
      </c>
      <c r="D830" s="8" t="s">
        <v>98</v>
      </c>
      <c r="E830" s="8" t="s">
        <v>65</v>
      </c>
      <c r="F830" s="8" t="s">
        <v>33</v>
      </c>
      <c r="G830" s="8" t="s">
        <v>36</v>
      </c>
      <c r="H830" s="8" t="s">
        <v>46</v>
      </c>
      <c r="I830" s="11">
        <v>7</v>
      </c>
      <c r="J830" s="12">
        <v>377.2</v>
      </c>
      <c r="K830" s="13">
        <v>0</v>
      </c>
      <c r="L830" s="12">
        <v>244.84</v>
      </c>
      <c r="M830" s="14">
        <f>ROUND(tblSprzedaz[[#This Row],[Ilość]]*tblSprzedaz[[#This Row],[Cena netto jednostkowa]]*(1-tblSprzedaz[[#This Row],[Rabat %]]),2)</f>
        <v>2640.4</v>
      </c>
      <c r="N830" s="14">
        <f>ROUND(tblSprzedaz[[#This Row],[Ilość]]*tblSprzedaz[[#This Row],[Koszt jednostkowy netto]],2)</f>
        <v>1713.88</v>
      </c>
      <c r="O830" s="14">
        <f>tblSprzedaz[[#This Row],[Przychód netto]]-tblSprzedaz[[#This Row],[Koszt całkowity netto]]</f>
        <v>926.52</v>
      </c>
      <c r="P830" s="15">
        <f>IFERROR(tblSprzedaz[[#This Row],[Marża kwotowa]]/tblSprzedaz[[#This Row],[Przychód netto]],0)</f>
        <v>0.35090137857900316</v>
      </c>
      <c r="Q830" s="16">
        <f>YEAR(tblSprzedaz[[#This Row],[Data]])</f>
        <v>2025</v>
      </c>
      <c r="R830" s="16">
        <f>MONTH(tblSprzedaz[[#This Row],[Data]])</f>
        <v>8</v>
      </c>
      <c r="S830" s="9" t="str">
        <f>YEAR(tblSprzedaz[[#This Row],[Data]])&amp;"-"&amp;RIGHT("0"&amp;MONTH(tblSprzedaz[[#This Row],[Data]]),2)</f>
        <v>2025-08</v>
      </c>
    </row>
    <row r="831" spans="1:19" x14ac:dyDescent="0.25">
      <c r="A831" s="7" t="s">
        <v>1829</v>
      </c>
      <c r="B831" s="10">
        <v>45883</v>
      </c>
      <c r="C831" s="7" t="s">
        <v>1830</v>
      </c>
      <c r="D831" s="8" t="s">
        <v>85</v>
      </c>
      <c r="E831" s="8" t="s">
        <v>60</v>
      </c>
      <c r="F831" s="8" t="s">
        <v>33</v>
      </c>
      <c r="G831" s="8" t="s">
        <v>32</v>
      </c>
      <c r="H831" s="8" t="s">
        <v>43</v>
      </c>
      <c r="I831" s="11">
        <v>3</v>
      </c>
      <c r="J831" s="12">
        <v>455.4</v>
      </c>
      <c r="K831" s="13">
        <v>0.15</v>
      </c>
      <c r="L831" s="12">
        <v>306.08999999999997</v>
      </c>
      <c r="M831" s="14">
        <f>ROUND(tblSprzedaz[[#This Row],[Ilość]]*tblSprzedaz[[#This Row],[Cena netto jednostkowa]]*(1-tblSprzedaz[[#This Row],[Rabat %]]),2)</f>
        <v>1161.27</v>
      </c>
      <c r="N831" s="14">
        <f>ROUND(tblSprzedaz[[#This Row],[Ilość]]*tblSprzedaz[[#This Row],[Koszt jednostkowy netto]],2)</f>
        <v>918.27</v>
      </c>
      <c r="O831" s="14">
        <f>tblSprzedaz[[#This Row],[Przychód netto]]-tblSprzedaz[[#This Row],[Koszt całkowity netto]]</f>
        <v>243</v>
      </c>
      <c r="P831" s="15">
        <f>IFERROR(tblSprzedaz[[#This Row],[Marża kwotowa]]/tblSprzedaz[[#This Row],[Przychód netto]],0)</f>
        <v>0.20925366193908393</v>
      </c>
      <c r="Q831" s="16">
        <f>YEAR(tblSprzedaz[[#This Row],[Data]])</f>
        <v>2025</v>
      </c>
      <c r="R831" s="16">
        <f>MONTH(tblSprzedaz[[#This Row],[Data]])</f>
        <v>8</v>
      </c>
      <c r="S831" s="9" t="str">
        <f>YEAR(tblSprzedaz[[#This Row],[Data]])&amp;"-"&amp;RIGHT("0"&amp;MONTH(tblSprzedaz[[#This Row],[Data]]),2)</f>
        <v>2025-08</v>
      </c>
    </row>
    <row r="832" spans="1:19" x14ac:dyDescent="0.25">
      <c r="A832" s="7" t="s">
        <v>1831</v>
      </c>
      <c r="B832" s="10">
        <v>45883</v>
      </c>
      <c r="C832" s="7" t="s">
        <v>1832</v>
      </c>
      <c r="D832" s="8" t="s">
        <v>134</v>
      </c>
      <c r="E832" s="8" t="s">
        <v>65</v>
      </c>
      <c r="F832" s="8" t="s">
        <v>33</v>
      </c>
      <c r="G832" s="8" t="s">
        <v>32</v>
      </c>
      <c r="H832" s="8" t="s">
        <v>42</v>
      </c>
      <c r="I832" s="11">
        <v>16</v>
      </c>
      <c r="J832" s="12">
        <v>377.2</v>
      </c>
      <c r="K832" s="13">
        <v>0.15</v>
      </c>
      <c r="L832" s="12">
        <v>269.55</v>
      </c>
      <c r="M832" s="14">
        <f>ROUND(tblSprzedaz[[#This Row],[Ilość]]*tblSprzedaz[[#This Row],[Cena netto jednostkowa]]*(1-tblSprzedaz[[#This Row],[Rabat %]]),2)</f>
        <v>5129.92</v>
      </c>
      <c r="N832" s="14">
        <f>ROUND(tblSprzedaz[[#This Row],[Ilość]]*tblSprzedaz[[#This Row],[Koszt jednostkowy netto]],2)</f>
        <v>4312.8</v>
      </c>
      <c r="O832" s="14">
        <f>tblSprzedaz[[#This Row],[Przychód netto]]-tblSprzedaz[[#This Row],[Koszt całkowity netto]]</f>
        <v>817.11999999999989</v>
      </c>
      <c r="P832" s="15">
        <f>IFERROR(tblSprzedaz[[#This Row],[Marża kwotowa]]/tblSprzedaz[[#This Row],[Przychód netto]],0)</f>
        <v>0.15928513505083897</v>
      </c>
      <c r="Q832" s="16">
        <f>YEAR(tblSprzedaz[[#This Row],[Data]])</f>
        <v>2025</v>
      </c>
      <c r="R832" s="16">
        <f>MONTH(tblSprzedaz[[#This Row],[Data]])</f>
        <v>8</v>
      </c>
      <c r="S832" s="9" t="str">
        <f>YEAR(tblSprzedaz[[#This Row],[Data]])&amp;"-"&amp;RIGHT("0"&amp;MONTH(tblSprzedaz[[#This Row],[Data]]),2)</f>
        <v>2025-08</v>
      </c>
    </row>
    <row r="833" spans="1:19" x14ac:dyDescent="0.25">
      <c r="A833" s="7" t="s">
        <v>1833</v>
      </c>
      <c r="B833" s="10">
        <v>45883</v>
      </c>
      <c r="C833" s="7" t="s">
        <v>1834</v>
      </c>
      <c r="D833" s="8" t="s">
        <v>86</v>
      </c>
      <c r="E833" s="8" t="s">
        <v>48</v>
      </c>
      <c r="F833" s="8" t="s">
        <v>29</v>
      </c>
      <c r="G833" s="8" t="s">
        <v>28</v>
      </c>
      <c r="H833" s="8" t="s">
        <v>38</v>
      </c>
      <c r="I833" s="11">
        <v>17</v>
      </c>
      <c r="J833" s="12">
        <v>33.659999999999997</v>
      </c>
      <c r="K833" s="13">
        <v>0.15</v>
      </c>
      <c r="L833" s="12">
        <v>19.739999999999998</v>
      </c>
      <c r="M833" s="14">
        <f>ROUND(tblSprzedaz[[#This Row],[Ilość]]*tblSprzedaz[[#This Row],[Cena netto jednostkowa]]*(1-tblSprzedaz[[#This Row],[Rabat %]]),2)</f>
        <v>486.39</v>
      </c>
      <c r="N833" s="14">
        <f>ROUND(tblSprzedaz[[#This Row],[Ilość]]*tblSprzedaz[[#This Row],[Koszt jednostkowy netto]],2)</f>
        <v>335.58</v>
      </c>
      <c r="O833" s="14">
        <f>tblSprzedaz[[#This Row],[Przychód netto]]-tblSprzedaz[[#This Row],[Koszt całkowity netto]]</f>
        <v>150.81</v>
      </c>
      <c r="P833" s="15">
        <f>IFERROR(tblSprzedaz[[#This Row],[Marża kwotowa]]/tblSprzedaz[[#This Row],[Przychód netto]],0)</f>
        <v>0.31005982853265901</v>
      </c>
      <c r="Q833" s="16">
        <f>YEAR(tblSprzedaz[[#This Row],[Data]])</f>
        <v>2025</v>
      </c>
      <c r="R833" s="16">
        <f>MONTH(tblSprzedaz[[#This Row],[Data]])</f>
        <v>8</v>
      </c>
      <c r="S833" s="9" t="str">
        <f>YEAR(tblSprzedaz[[#This Row],[Data]])&amp;"-"&amp;RIGHT("0"&amp;MONTH(tblSprzedaz[[#This Row],[Data]]),2)</f>
        <v>2025-08</v>
      </c>
    </row>
    <row r="834" spans="1:19" x14ac:dyDescent="0.25">
      <c r="A834" s="7" t="s">
        <v>1835</v>
      </c>
      <c r="B834" s="10">
        <v>45883</v>
      </c>
      <c r="C834" s="7" t="s">
        <v>1836</v>
      </c>
      <c r="D834" s="8" t="s">
        <v>89</v>
      </c>
      <c r="E834" s="8" t="s">
        <v>48</v>
      </c>
      <c r="F834" s="8" t="s">
        <v>29</v>
      </c>
      <c r="G834" s="8" t="s">
        <v>28</v>
      </c>
      <c r="H834" s="8" t="s">
        <v>38</v>
      </c>
      <c r="I834" s="11">
        <v>16</v>
      </c>
      <c r="J834" s="12">
        <v>33.659999999999997</v>
      </c>
      <c r="K834" s="13">
        <v>0</v>
      </c>
      <c r="L834" s="12">
        <v>21.08</v>
      </c>
      <c r="M834" s="14">
        <f>ROUND(tblSprzedaz[[#This Row],[Ilość]]*tblSprzedaz[[#This Row],[Cena netto jednostkowa]]*(1-tblSprzedaz[[#This Row],[Rabat %]]),2)</f>
        <v>538.55999999999995</v>
      </c>
      <c r="N834" s="14">
        <f>ROUND(tblSprzedaz[[#This Row],[Ilość]]*tblSprzedaz[[#This Row],[Koszt jednostkowy netto]],2)</f>
        <v>337.28</v>
      </c>
      <c r="O834" s="14">
        <f>tblSprzedaz[[#This Row],[Przychód netto]]-tblSprzedaz[[#This Row],[Koszt całkowity netto]]</f>
        <v>201.27999999999997</v>
      </c>
      <c r="P834" s="15">
        <f>IFERROR(tblSprzedaz[[#This Row],[Marża kwotowa]]/tblSprzedaz[[#This Row],[Przychód netto]],0)</f>
        <v>0.3737373737373737</v>
      </c>
      <c r="Q834" s="16">
        <f>YEAR(tblSprzedaz[[#This Row],[Data]])</f>
        <v>2025</v>
      </c>
      <c r="R834" s="16">
        <f>MONTH(tblSprzedaz[[#This Row],[Data]])</f>
        <v>8</v>
      </c>
      <c r="S834" s="9" t="str">
        <f>YEAR(tblSprzedaz[[#This Row],[Data]])&amp;"-"&amp;RIGHT("0"&amp;MONTH(tblSprzedaz[[#This Row],[Data]]),2)</f>
        <v>2025-08</v>
      </c>
    </row>
    <row r="835" spans="1:19" x14ac:dyDescent="0.25">
      <c r="A835" s="7" t="s">
        <v>1837</v>
      </c>
      <c r="B835" s="10">
        <v>45884</v>
      </c>
      <c r="C835" s="7" t="s">
        <v>1838</v>
      </c>
      <c r="D835" s="8" t="s">
        <v>141</v>
      </c>
      <c r="E835" s="8" t="s">
        <v>62</v>
      </c>
      <c r="F835" s="8" t="s">
        <v>33</v>
      </c>
      <c r="G835" s="8" t="s">
        <v>34</v>
      </c>
      <c r="H835" s="8" t="s">
        <v>44</v>
      </c>
      <c r="I835" s="11">
        <v>5</v>
      </c>
      <c r="J835" s="12">
        <v>611.79999999999995</v>
      </c>
      <c r="K835" s="13">
        <v>0.05</v>
      </c>
      <c r="L835" s="12">
        <v>425.38</v>
      </c>
      <c r="M835" s="14">
        <f>ROUND(tblSprzedaz[[#This Row],[Ilość]]*tblSprzedaz[[#This Row],[Cena netto jednostkowa]]*(1-tblSprzedaz[[#This Row],[Rabat %]]),2)</f>
        <v>2906.05</v>
      </c>
      <c r="N835" s="14">
        <f>ROUND(tblSprzedaz[[#This Row],[Ilość]]*tblSprzedaz[[#This Row],[Koszt jednostkowy netto]],2)</f>
        <v>2126.9</v>
      </c>
      <c r="O835" s="14">
        <f>tblSprzedaz[[#This Row],[Przychód netto]]-tblSprzedaz[[#This Row],[Koszt całkowity netto]]</f>
        <v>779.15000000000009</v>
      </c>
      <c r="P835" s="15">
        <f>IFERROR(tblSprzedaz[[#This Row],[Marża kwotowa]]/tblSprzedaz[[#This Row],[Przychód netto]],0)</f>
        <v>0.26811307444813409</v>
      </c>
      <c r="Q835" s="16">
        <f>YEAR(tblSprzedaz[[#This Row],[Data]])</f>
        <v>2025</v>
      </c>
      <c r="R835" s="16">
        <f>MONTH(tblSprzedaz[[#This Row],[Data]])</f>
        <v>8</v>
      </c>
      <c r="S835" s="9" t="str">
        <f>YEAR(tblSprzedaz[[#This Row],[Data]])&amp;"-"&amp;RIGHT("0"&amp;MONTH(tblSprzedaz[[#This Row],[Data]]),2)</f>
        <v>2025-08</v>
      </c>
    </row>
    <row r="836" spans="1:19" x14ac:dyDescent="0.25">
      <c r="A836" s="7" t="s">
        <v>1839</v>
      </c>
      <c r="B836" s="10">
        <v>45884</v>
      </c>
      <c r="C836" s="7" t="s">
        <v>1840</v>
      </c>
      <c r="D836" s="8" t="s">
        <v>122</v>
      </c>
      <c r="E836" s="8" t="s">
        <v>49</v>
      </c>
      <c r="F836" s="8" t="s">
        <v>29</v>
      </c>
      <c r="G836" s="8" t="s">
        <v>30</v>
      </c>
      <c r="H836" s="8" t="s">
        <v>40</v>
      </c>
      <c r="I836" s="11">
        <v>15</v>
      </c>
      <c r="J836" s="12">
        <v>39.44</v>
      </c>
      <c r="K836" s="13">
        <v>0</v>
      </c>
      <c r="L836" s="12">
        <v>21.82</v>
      </c>
      <c r="M836" s="14">
        <f>ROUND(tblSprzedaz[[#This Row],[Ilość]]*tblSprzedaz[[#This Row],[Cena netto jednostkowa]]*(1-tblSprzedaz[[#This Row],[Rabat %]]),2)</f>
        <v>591.6</v>
      </c>
      <c r="N836" s="14">
        <f>ROUND(tblSprzedaz[[#This Row],[Ilość]]*tblSprzedaz[[#This Row],[Koszt jednostkowy netto]],2)</f>
        <v>327.3</v>
      </c>
      <c r="O836" s="14">
        <f>tblSprzedaz[[#This Row],[Przychód netto]]-tblSprzedaz[[#This Row],[Koszt całkowity netto]]</f>
        <v>264.3</v>
      </c>
      <c r="P836" s="15">
        <f>IFERROR(tblSprzedaz[[#This Row],[Marża kwotowa]]/tblSprzedaz[[#This Row],[Przychód netto]],0)</f>
        <v>0.44675456389452334</v>
      </c>
      <c r="Q836" s="16">
        <f>YEAR(tblSprzedaz[[#This Row],[Data]])</f>
        <v>2025</v>
      </c>
      <c r="R836" s="16">
        <f>MONTH(tblSprzedaz[[#This Row],[Data]])</f>
        <v>8</v>
      </c>
      <c r="S836" s="9" t="str">
        <f>YEAR(tblSprzedaz[[#This Row],[Data]])&amp;"-"&amp;RIGHT("0"&amp;MONTH(tblSprzedaz[[#This Row],[Data]]),2)</f>
        <v>2025-08</v>
      </c>
    </row>
    <row r="837" spans="1:19" x14ac:dyDescent="0.25">
      <c r="A837" s="7" t="s">
        <v>1841</v>
      </c>
      <c r="B837" s="10">
        <v>45884</v>
      </c>
      <c r="C837" s="7" t="s">
        <v>1842</v>
      </c>
      <c r="D837" s="8" t="s">
        <v>133</v>
      </c>
      <c r="E837" s="8" t="s">
        <v>59</v>
      </c>
      <c r="F837" s="8" t="s">
        <v>31</v>
      </c>
      <c r="G837" s="8" t="s">
        <v>30</v>
      </c>
      <c r="H837" s="8" t="s">
        <v>41</v>
      </c>
      <c r="I837" s="11">
        <v>13</v>
      </c>
      <c r="J837" s="12">
        <v>172.2</v>
      </c>
      <c r="K837" s="13">
        <v>0.05</v>
      </c>
      <c r="L837" s="12">
        <v>103.25</v>
      </c>
      <c r="M837" s="14">
        <f>ROUND(tblSprzedaz[[#This Row],[Ilość]]*tblSprzedaz[[#This Row],[Cena netto jednostkowa]]*(1-tblSprzedaz[[#This Row],[Rabat %]]),2)</f>
        <v>2126.67</v>
      </c>
      <c r="N837" s="14">
        <f>ROUND(tblSprzedaz[[#This Row],[Ilość]]*tblSprzedaz[[#This Row],[Koszt jednostkowy netto]],2)</f>
        <v>1342.25</v>
      </c>
      <c r="O837" s="14">
        <f>tblSprzedaz[[#This Row],[Przychód netto]]-tblSprzedaz[[#This Row],[Koszt całkowity netto]]</f>
        <v>784.42000000000007</v>
      </c>
      <c r="P837" s="15">
        <f>IFERROR(tblSprzedaz[[#This Row],[Marża kwotowa]]/tblSprzedaz[[#This Row],[Przychód netto]],0)</f>
        <v>0.36884895164741122</v>
      </c>
      <c r="Q837" s="16">
        <f>YEAR(tblSprzedaz[[#This Row],[Data]])</f>
        <v>2025</v>
      </c>
      <c r="R837" s="16">
        <f>MONTH(tblSprzedaz[[#This Row],[Data]])</f>
        <v>8</v>
      </c>
      <c r="S837" s="9" t="str">
        <f>YEAR(tblSprzedaz[[#This Row],[Data]])&amp;"-"&amp;RIGHT("0"&amp;MONTH(tblSprzedaz[[#This Row],[Data]]),2)</f>
        <v>2025-08</v>
      </c>
    </row>
    <row r="838" spans="1:19" x14ac:dyDescent="0.25">
      <c r="A838" s="7" t="s">
        <v>1843</v>
      </c>
      <c r="B838" s="10">
        <v>45884</v>
      </c>
      <c r="C838" s="7" t="s">
        <v>1844</v>
      </c>
      <c r="D838" s="8" t="s">
        <v>102</v>
      </c>
      <c r="E838" s="8" t="s">
        <v>55</v>
      </c>
      <c r="F838" s="8" t="s">
        <v>31</v>
      </c>
      <c r="G838" s="8" t="s">
        <v>28</v>
      </c>
      <c r="H838" s="8" t="s">
        <v>39</v>
      </c>
      <c r="I838" s="11">
        <v>2</v>
      </c>
      <c r="J838" s="12">
        <v>243.6</v>
      </c>
      <c r="K838" s="13">
        <v>0</v>
      </c>
      <c r="L838" s="12">
        <v>160.19</v>
      </c>
      <c r="M838" s="14">
        <f>ROUND(tblSprzedaz[[#This Row],[Ilość]]*tblSprzedaz[[#This Row],[Cena netto jednostkowa]]*(1-tblSprzedaz[[#This Row],[Rabat %]]),2)</f>
        <v>487.2</v>
      </c>
      <c r="N838" s="14">
        <f>ROUND(tblSprzedaz[[#This Row],[Ilość]]*tblSprzedaz[[#This Row],[Koszt jednostkowy netto]],2)</f>
        <v>320.38</v>
      </c>
      <c r="O838" s="14">
        <f>tblSprzedaz[[#This Row],[Przychód netto]]-tblSprzedaz[[#This Row],[Koszt całkowity netto]]</f>
        <v>166.82</v>
      </c>
      <c r="P838" s="15">
        <f>IFERROR(tblSprzedaz[[#This Row],[Marża kwotowa]]/tblSprzedaz[[#This Row],[Przychód netto]],0)</f>
        <v>0.3424055829228243</v>
      </c>
      <c r="Q838" s="16">
        <f>YEAR(tblSprzedaz[[#This Row],[Data]])</f>
        <v>2025</v>
      </c>
      <c r="R838" s="16">
        <f>MONTH(tblSprzedaz[[#This Row],[Data]])</f>
        <v>8</v>
      </c>
      <c r="S838" s="9" t="str">
        <f>YEAR(tblSprzedaz[[#This Row],[Data]])&amp;"-"&amp;RIGHT("0"&amp;MONTH(tblSprzedaz[[#This Row],[Data]]),2)</f>
        <v>2025-08</v>
      </c>
    </row>
    <row r="839" spans="1:19" x14ac:dyDescent="0.25">
      <c r="A839" s="7" t="s">
        <v>1845</v>
      </c>
      <c r="B839" s="10">
        <v>45885</v>
      </c>
      <c r="C839" s="7" t="s">
        <v>1846</v>
      </c>
      <c r="D839" s="8" t="s">
        <v>91</v>
      </c>
      <c r="E839" s="8" t="s">
        <v>77</v>
      </c>
      <c r="F839" s="8" t="s">
        <v>37</v>
      </c>
      <c r="G839" s="8" t="s">
        <v>30</v>
      </c>
      <c r="H839" s="8" t="s">
        <v>40</v>
      </c>
      <c r="I839" s="11">
        <v>14</v>
      </c>
      <c r="J839" s="12">
        <v>77.900000000000006</v>
      </c>
      <c r="K839" s="13">
        <v>0</v>
      </c>
      <c r="L839" s="12">
        <v>57.28</v>
      </c>
      <c r="M839" s="14">
        <f>ROUND(tblSprzedaz[[#This Row],[Ilość]]*tblSprzedaz[[#This Row],[Cena netto jednostkowa]]*(1-tblSprzedaz[[#This Row],[Rabat %]]),2)</f>
        <v>1090.5999999999999</v>
      </c>
      <c r="N839" s="14">
        <f>ROUND(tblSprzedaz[[#This Row],[Ilość]]*tblSprzedaz[[#This Row],[Koszt jednostkowy netto]],2)</f>
        <v>801.92</v>
      </c>
      <c r="O839" s="14">
        <f>tblSprzedaz[[#This Row],[Przychód netto]]-tblSprzedaz[[#This Row],[Koszt całkowity netto]]</f>
        <v>288.67999999999995</v>
      </c>
      <c r="P839" s="15">
        <f>IFERROR(tblSprzedaz[[#This Row],[Marża kwotowa]]/tblSprzedaz[[#This Row],[Przychód netto]],0)</f>
        <v>0.26469833119383823</v>
      </c>
      <c r="Q839" s="16">
        <f>YEAR(tblSprzedaz[[#This Row],[Data]])</f>
        <v>2025</v>
      </c>
      <c r="R839" s="16">
        <f>MONTH(tblSprzedaz[[#This Row],[Data]])</f>
        <v>8</v>
      </c>
      <c r="S839" s="9" t="str">
        <f>YEAR(tblSprzedaz[[#This Row],[Data]])&amp;"-"&amp;RIGHT("0"&amp;MONTH(tblSprzedaz[[#This Row],[Data]]),2)</f>
        <v>2025-08</v>
      </c>
    </row>
    <row r="840" spans="1:19" x14ac:dyDescent="0.25">
      <c r="A840" s="7" t="s">
        <v>1847</v>
      </c>
      <c r="B840" s="10">
        <v>45886</v>
      </c>
      <c r="C840" s="7" t="s">
        <v>1848</v>
      </c>
      <c r="D840" s="8" t="s">
        <v>126</v>
      </c>
      <c r="E840" s="8" t="s">
        <v>73</v>
      </c>
      <c r="F840" s="8" t="s">
        <v>37</v>
      </c>
      <c r="G840" s="8" t="s">
        <v>30</v>
      </c>
      <c r="H840" s="8" t="s">
        <v>41</v>
      </c>
      <c r="I840" s="11">
        <v>18</v>
      </c>
      <c r="J840" s="12">
        <v>110.2</v>
      </c>
      <c r="K840" s="13">
        <v>0.15</v>
      </c>
      <c r="L840" s="12">
        <v>87.07</v>
      </c>
      <c r="M840" s="14">
        <f>ROUND(tblSprzedaz[[#This Row],[Ilość]]*tblSprzedaz[[#This Row],[Cena netto jednostkowa]]*(1-tblSprzedaz[[#This Row],[Rabat %]]),2)</f>
        <v>1686.06</v>
      </c>
      <c r="N840" s="14">
        <f>ROUND(tblSprzedaz[[#This Row],[Ilość]]*tblSprzedaz[[#This Row],[Koszt jednostkowy netto]],2)</f>
        <v>1567.26</v>
      </c>
      <c r="O840" s="14">
        <f>tblSprzedaz[[#This Row],[Przychód netto]]-tblSprzedaz[[#This Row],[Koszt całkowity netto]]</f>
        <v>118.79999999999995</v>
      </c>
      <c r="P840" s="15">
        <f>IFERROR(tblSprzedaz[[#This Row],[Marża kwotowa]]/tblSprzedaz[[#This Row],[Przychód netto]],0)</f>
        <v>7.0460125974164595E-2</v>
      </c>
      <c r="Q840" s="16">
        <f>YEAR(tblSprzedaz[[#This Row],[Data]])</f>
        <v>2025</v>
      </c>
      <c r="R840" s="16">
        <f>MONTH(tblSprzedaz[[#This Row],[Data]])</f>
        <v>8</v>
      </c>
      <c r="S840" s="9" t="str">
        <f>YEAR(tblSprzedaz[[#This Row],[Data]])&amp;"-"&amp;RIGHT("0"&amp;MONTH(tblSprzedaz[[#This Row],[Data]]),2)</f>
        <v>2025-08</v>
      </c>
    </row>
    <row r="841" spans="1:19" x14ac:dyDescent="0.25">
      <c r="A841" s="7" t="s">
        <v>1849</v>
      </c>
      <c r="B841" s="10">
        <v>45887</v>
      </c>
      <c r="C841" s="7" t="s">
        <v>1850</v>
      </c>
      <c r="D841" s="8" t="s">
        <v>122</v>
      </c>
      <c r="E841" s="8" t="s">
        <v>72</v>
      </c>
      <c r="F841" s="8" t="s">
        <v>37</v>
      </c>
      <c r="G841" s="8" t="s">
        <v>34</v>
      </c>
      <c r="H841" s="8" t="s">
        <v>45</v>
      </c>
      <c r="I841" s="11">
        <v>2</v>
      </c>
      <c r="J841" s="12">
        <v>94.05</v>
      </c>
      <c r="K841" s="13">
        <v>0.1</v>
      </c>
      <c r="L841" s="12">
        <v>69</v>
      </c>
      <c r="M841" s="14">
        <f>ROUND(tblSprzedaz[[#This Row],[Ilość]]*tblSprzedaz[[#This Row],[Cena netto jednostkowa]]*(1-tblSprzedaz[[#This Row],[Rabat %]]),2)</f>
        <v>169.29</v>
      </c>
      <c r="N841" s="14">
        <f>ROUND(tblSprzedaz[[#This Row],[Ilość]]*tblSprzedaz[[#This Row],[Koszt jednostkowy netto]],2)</f>
        <v>138</v>
      </c>
      <c r="O841" s="14">
        <f>tblSprzedaz[[#This Row],[Przychód netto]]-tblSprzedaz[[#This Row],[Koszt całkowity netto]]</f>
        <v>31.289999999999992</v>
      </c>
      <c r="P841" s="15">
        <f>IFERROR(tblSprzedaz[[#This Row],[Marża kwotowa]]/tblSprzedaz[[#This Row],[Przychód netto]],0)</f>
        <v>0.18483076377813215</v>
      </c>
      <c r="Q841" s="16">
        <f>YEAR(tblSprzedaz[[#This Row],[Data]])</f>
        <v>2025</v>
      </c>
      <c r="R841" s="16">
        <f>MONTH(tblSprzedaz[[#This Row],[Data]])</f>
        <v>8</v>
      </c>
      <c r="S841" s="9" t="str">
        <f>YEAR(tblSprzedaz[[#This Row],[Data]])&amp;"-"&amp;RIGHT("0"&amp;MONTH(tblSprzedaz[[#This Row],[Data]]),2)</f>
        <v>2025-08</v>
      </c>
    </row>
    <row r="842" spans="1:19" x14ac:dyDescent="0.25">
      <c r="A842" s="7" t="s">
        <v>1851</v>
      </c>
      <c r="B842" s="10">
        <v>45887</v>
      </c>
      <c r="C842" s="7" t="s">
        <v>1852</v>
      </c>
      <c r="D842" s="8" t="s">
        <v>122</v>
      </c>
      <c r="E842" s="8" t="s">
        <v>59</v>
      </c>
      <c r="F842" s="8" t="s">
        <v>31</v>
      </c>
      <c r="G842" s="8" t="s">
        <v>30</v>
      </c>
      <c r="H842" s="8" t="s">
        <v>41</v>
      </c>
      <c r="I842" s="11">
        <v>3</v>
      </c>
      <c r="J842" s="12">
        <v>172.2</v>
      </c>
      <c r="K842" s="13">
        <v>0</v>
      </c>
      <c r="L842" s="12">
        <v>106.52</v>
      </c>
      <c r="M842" s="14">
        <f>ROUND(tblSprzedaz[[#This Row],[Ilość]]*tblSprzedaz[[#This Row],[Cena netto jednostkowa]]*(1-tblSprzedaz[[#This Row],[Rabat %]]),2)</f>
        <v>516.6</v>
      </c>
      <c r="N842" s="14">
        <f>ROUND(tblSprzedaz[[#This Row],[Ilość]]*tblSprzedaz[[#This Row],[Koszt jednostkowy netto]],2)</f>
        <v>319.56</v>
      </c>
      <c r="O842" s="14">
        <f>tblSprzedaz[[#This Row],[Przychód netto]]-tblSprzedaz[[#This Row],[Koszt całkowity netto]]</f>
        <v>197.04000000000002</v>
      </c>
      <c r="P842" s="15">
        <f>IFERROR(tblSprzedaz[[#This Row],[Marża kwotowa]]/tblSprzedaz[[#This Row],[Przychód netto]],0)</f>
        <v>0.38141695702671313</v>
      </c>
      <c r="Q842" s="16">
        <f>YEAR(tblSprzedaz[[#This Row],[Data]])</f>
        <v>2025</v>
      </c>
      <c r="R842" s="16">
        <f>MONTH(tblSprzedaz[[#This Row],[Data]])</f>
        <v>8</v>
      </c>
      <c r="S842" s="9" t="str">
        <f>YEAR(tblSprzedaz[[#This Row],[Data]])&amp;"-"&amp;RIGHT("0"&amp;MONTH(tblSprzedaz[[#This Row],[Data]]),2)</f>
        <v>2025-08</v>
      </c>
    </row>
    <row r="843" spans="1:19" x14ac:dyDescent="0.25">
      <c r="A843" s="7" t="s">
        <v>1853</v>
      </c>
      <c r="B843" s="10">
        <v>45887</v>
      </c>
      <c r="C843" s="7" t="s">
        <v>1854</v>
      </c>
      <c r="D843" s="8" t="s">
        <v>88</v>
      </c>
      <c r="E843" s="8" t="s">
        <v>64</v>
      </c>
      <c r="F843" s="8" t="s">
        <v>33</v>
      </c>
      <c r="G843" s="8" t="s">
        <v>32</v>
      </c>
      <c r="H843" s="8" t="s">
        <v>43</v>
      </c>
      <c r="I843" s="11">
        <v>12</v>
      </c>
      <c r="J843" s="12">
        <v>768.2</v>
      </c>
      <c r="K843" s="13">
        <v>0.1</v>
      </c>
      <c r="L843" s="12">
        <v>527.48</v>
      </c>
      <c r="M843" s="14">
        <f>ROUND(tblSprzedaz[[#This Row],[Ilość]]*tblSprzedaz[[#This Row],[Cena netto jednostkowa]]*(1-tblSprzedaz[[#This Row],[Rabat %]]),2)</f>
        <v>8296.56</v>
      </c>
      <c r="N843" s="14">
        <f>ROUND(tblSprzedaz[[#This Row],[Ilość]]*tblSprzedaz[[#This Row],[Koszt jednostkowy netto]],2)</f>
        <v>6329.76</v>
      </c>
      <c r="O843" s="14">
        <f>tblSprzedaz[[#This Row],[Przychód netto]]-tblSprzedaz[[#This Row],[Koszt całkowity netto]]</f>
        <v>1966.7999999999993</v>
      </c>
      <c r="P843" s="15">
        <f>IFERROR(tblSprzedaz[[#This Row],[Marża kwotowa]]/tblSprzedaz[[#This Row],[Przychód netto]],0)</f>
        <v>0.23706210766872046</v>
      </c>
      <c r="Q843" s="16">
        <f>YEAR(tblSprzedaz[[#This Row],[Data]])</f>
        <v>2025</v>
      </c>
      <c r="R843" s="16">
        <f>MONTH(tblSprzedaz[[#This Row],[Data]])</f>
        <v>8</v>
      </c>
      <c r="S843" s="9" t="str">
        <f>YEAR(tblSprzedaz[[#This Row],[Data]])&amp;"-"&amp;RIGHT("0"&amp;MONTH(tblSprzedaz[[#This Row],[Data]]),2)</f>
        <v>2025-08</v>
      </c>
    </row>
    <row r="844" spans="1:19" x14ac:dyDescent="0.25">
      <c r="A844" s="7" t="s">
        <v>1855</v>
      </c>
      <c r="B844" s="10">
        <v>45888</v>
      </c>
      <c r="C844" s="7" t="s">
        <v>1856</v>
      </c>
      <c r="D844" s="8" t="s">
        <v>116</v>
      </c>
      <c r="E844" s="8" t="s">
        <v>66</v>
      </c>
      <c r="F844" s="8" t="s">
        <v>35</v>
      </c>
      <c r="G844" s="8" t="s">
        <v>32</v>
      </c>
      <c r="H844" s="8" t="s">
        <v>42</v>
      </c>
      <c r="I844" s="11">
        <v>11</v>
      </c>
      <c r="J844" s="12">
        <v>67.319999999999993</v>
      </c>
      <c r="K844" s="13">
        <v>0.05</v>
      </c>
      <c r="L844" s="12">
        <v>47.75</v>
      </c>
      <c r="M844" s="14">
        <f>ROUND(tblSprzedaz[[#This Row],[Ilość]]*tblSprzedaz[[#This Row],[Cena netto jednostkowa]]*(1-tblSprzedaz[[#This Row],[Rabat %]]),2)</f>
        <v>703.49</v>
      </c>
      <c r="N844" s="14">
        <f>ROUND(tblSprzedaz[[#This Row],[Ilość]]*tblSprzedaz[[#This Row],[Koszt jednostkowy netto]],2)</f>
        <v>525.25</v>
      </c>
      <c r="O844" s="14">
        <f>tblSprzedaz[[#This Row],[Przychód netto]]-tblSprzedaz[[#This Row],[Koszt całkowity netto]]</f>
        <v>178.24</v>
      </c>
      <c r="P844" s="15">
        <f>IFERROR(tblSprzedaz[[#This Row],[Marża kwotowa]]/tblSprzedaz[[#This Row],[Przychód netto]],0)</f>
        <v>0.25336536411320704</v>
      </c>
      <c r="Q844" s="16">
        <f>YEAR(tblSprzedaz[[#This Row],[Data]])</f>
        <v>2025</v>
      </c>
      <c r="R844" s="16">
        <f>MONTH(tblSprzedaz[[#This Row],[Data]])</f>
        <v>8</v>
      </c>
      <c r="S844" s="9" t="str">
        <f>YEAR(tblSprzedaz[[#This Row],[Data]])&amp;"-"&amp;RIGHT("0"&amp;MONTH(tblSprzedaz[[#This Row],[Data]]),2)</f>
        <v>2025-08</v>
      </c>
    </row>
    <row r="845" spans="1:19" x14ac:dyDescent="0.25">
      <c r="A845" s="7" t="s">
        <v>1857</v>
      </c>
      <c r="B845" s="10">
        <v>45888</v>
      </c>
      <c r="C845" s="7" t="s">
        <v>1858</v>
      </c>
      <c r="D845" s="8" t="s">
        <v>146</v>
      </c>
      <c r="E845" s="8" t="s">
        <v>60</v>
      </c>
      <c r="F845" s="8" t="s">
        <v>33</v>
      </c>
      <c r="G845" s="8" t="s">
        <v>28</v>
      </c>
      <c r="H845" s="8" t="s">
        <v>38</v>
      </c>
      <c r="I845" s="11">
        <v>15</v>
      </c>
      <c r="J845" s="12">
        <v>455.4</v>
      </c>
      <c r="K845" s="13">
        <v>0</v>
      </c>
      <c r="L845" s="12">
        <v>326.18</v>
      </c>
      <c r="M845" s="14">
        <f>ROUND(tblSprzedaz[[#This Row],[Ilość]]*tblSprzedaz[[#This Row],[Cena netto jednostkowa]]*(1-tblSprzedaz[[#This Row],[Rabat %]]),2)</f>
        <v>6831</v>
      </c>
      <c r="N845" s="14">
        <f>ROUND(tblSprzedaz[[#This Row],[Ilość]]*tblSprzedaz[[#This Row],[Koszt jednostkowy netto]],2)</f>
        <v>4892.7</v>
      </c>
      <c r="O845" s="14">
        <f>tblSprzedaz[[#This Row],[Przychód netto]]-tblSprzedaz[[#This Row],[Koszt całkowity netto]]</f>
        <v>1938.3000000000002</v>
      </c>
      <c r="P845" s="15">
        <f>IFERROR(tblSprzedaz[[#This Row],[Marża kwotowa]]/tblSprzedaz[[#This Row],[Przychód netto]],0)</f>
        <v>0.28375054896794027</v>
      </c>
      <c r="Q845" s="16">
        <f>YEAR(tblSprzedaz[[#This Row],[Data]])</f>
        <v>2025</v>
      </c>
      <c r="R845" s="16">
        <f>MONTH(tblSprzedaz[[#This Row],[Data]])</f>
        <v>8</v>
      </c>
      <c r="S845" s="9" t="str">
        <f>YEAR(tblSprzedaz[[#This Row],[Data]])&amp;"-"&amp;RIGHT("0"&amp;MONTH(tblSprzedaz[[#This Row],[Data]]),2)</f>
        <v>2025-08</v>
      </c>
    </row>
    <row r="846" spans="1:19" x14ac:dyDescent="0.25">
      <c r="A846" s="7" t="s">
        <v>1859</v>
      </c>
      <c r="B846" s="10">
        <v>45888</v>
      </c>
      <c r="C846" s="7" t="s">
        <v>1860</v>
      </c>
      <c r="D846" s="8" t="s">
        <v>150</v>
      </c>
      <c r="E846" s="8" t="s">
        <v>65</v>
      </c>
      <c r="F846" s="8" t="s">
        <v>33</v>
      </c>
      <c r="G846" s="8" t="s">
        <v>32</v>
      </c>
      <c r="H846" s="8" t="s">
        <v>42</v>
      </c>
      <c r="I846" s="11">
        <v>23</v>
      </c>
      <c r="J846" s="12">
        <v>377.2</v>
      </c>
      <c r="K846" s="13">
        <v>0.1</v>
      </c>
      <c r="L846" s="12">
        <v>254.23</v>
      </c>
      <c r="M846" s="14">
        <f>ROUND(tblSprzedaz[[#This Row],[Ilość]]*tblSprzedaz[[#This Row],[Cena netto jednostkowa]]*(1-tblSprzedaz[[#This Row],[Rabat %]]),2)</f>
        <v>7808.04</v>
      </c>
      <c r="N846" s="14">
        <f>ROUND(tblSprzedaz[[#This Row],[Ilość]]*tblSprzedaz[[#This Row],[Koszt jednostkowy netto]],2)</f>
        <v>5847.29</v>
      </c>
      <c r="O846" s="14">
        <f>tblSprzedaz[[#This Row],[Przychód netto]]-tblSprzedaz[[#This Row],[Koszt całkowity netto]]</f>
        <v>1960.75</v>
      </c>
      <c r="P846" s="15">
        <f>IFERROR(tblSprzedaz[[#This Row],[Marża kwotowa]]/tblSprzedaz[[#This Row],[Przychód netto]],0)</f>
        <v>0.25111935901967714</v>
      </c>
      <c r="Q846" s="16">
        <f>YEAR(tblSprzedaz[[#This Row],[Data]])</f>
        <v>2025</v>
      </c>
      <c r="R846" s="16">
        <f>MONTH(tblSprzedaz[[#This Row],[Data]])</f>
        <v>8</v>
      </c>
      <c r="S846" s="9" t="str">
        <f>YEAR(tblSprzedaz[[#This Row],[Data]])&amp;"-"&amp;RIGHT("0"&amp;MONTH(tblSprzedaz[[#This Row],[Data]]),2)</f>
        <v>2025-08</v>
      </c>
    </row>
    <row r="847" spans="1:19" x14ac:dyDescent="0.25">
      <c r="A847" s="7" t="s">
        <v>1861</v>
      </c>
      <c r="B847" s="10">
        <v>45888</v>
      </c>
      <c r="C847" s="7" t="s">
        <v>1862</v>
      </c>
      <c r="D847" s="8" t="s">
        <v>115</v>
      </c>
      <c r="E847" s="8" t="s">
        <v>70</v>
      </c>
      <c r="F847" s="8" t="s">
        <v>35</v>
      </c>
      <c r="G847" s="8" t="s">
        <v>36</v>
      </c>
      <c r="H847" s="8" t="s">
        <v>47</v>
      </c>
      <c r="I847" s="11">
        <v>3</v>
      </c>
      <c r="J847" s="12">
        <v>113.56</v>
      </c>
      <c r="K847" s="13">
        <v>0.05</v>
      </c>
      <c r="L847" s="12">
        <v>83.17</v>
      </c>
      <c r="M847" s="14">
        <f>ROUND(tblSprzedaz[[#This Row],[Ilość]]*tblSprzedaz[[#This Row],[Cena netto jednostkowa]]*(1-tblSprzedaz[[#This Row],[Rabat %]]),2)</f>
        <v>323.64999999999998</v>
      </c>
      <c r="N847" s="14">
        <f>ROUND(tblSprzedaz[[#This Row],[Ilość]]*tblSprzedaz[[#This Row],[Koszt jednostkowy netto]],2)</f>
        <v>249.51</v>
      </c>
      <c r="O847" s="14">
        <f>tblSprzedaz[[#This Row],[Przychód netto]]-tblSprzedaz[[#This Row],[Koszt całkowity netto]]</f>
        <v>74.139999999999986</v>
      </c>
      <c r="P847" s="15">
        <f>IFERROR(tblSprzedaz[[#This Row],[Marża kwotowa]]/tblSprzedaz[[#This Row],[Przychód netto]],0)</f>
        <v>0.22907461764251505</v>
      </c>
      <c r="Q847" s="16">
        <f>YEAR(tblSprzedaz[[#This Row],[Data]])</f>
        <v>2025</v>
      </c>
      <c r="R847" s="16">
        <f>MONTH(tblSprzedaz[[#This Row],[Data]])</f>
        <v>8</v>
      </c>
      <c r="S847" s="9" t="str">
        <f>YEAR(tblSprzedaz[[#This Row],[Data]])&amp;"-"&amp;RIGHT("0"&amp;MONTH(tblSprzedaz[[#This Row],[Data]]),2)</f>
        <v>2025-08</v>
      </c>
    </row>
    <row r="848" spans="1:19" x14ac:dyDescent="0.25">
      <c r="A848" s="7" t="s">
        <v>1863</v>
      </c>
      <c r="B848" s="10">
        <v>45888</v>
      </c>
      <c r="C848" s="7" t="s">
        <v>1864</v>
      </c>
      <c r="D848" s="8" t="s">
        <v>101</v>
      </c>
      <c r="E848" s="8" t="s">
        <v>68</v>
      </c>
      <c r="F848" s="8" t="s">
        <v>35</v>
      </c>
      <c r="G848" s="8" t="s">
        <v>32</v>
      </c>
      <c r="H848" s="8" t="s">
        <v>42</v>
      </c>
      <c r="I848" s="11">
        <v>21</v>
      </c>
      <c r="J848" s="12">
        <v>90.44</v>
      </c>
      <c r="K848" s="13">
        <v>0.1</v>
      </c>
      <c r="L848" s="12">
        <v>65.75</v>
      </c>
      <c r="M848" s="14">
        <f>ROUND(tblSprzedaz[[#This Row],[Ilość]]*tblSprzedaz[[#This Row],[Cena netto jednostkowa]]*(1-tblSprzedaz[[#This Row],[Rabat %]]),2)</f>
        <v>1709.32</v>
      </c>
      <c r="N848" s="14">
        <f>ROUND(tblSprzedaz[[#This Row],[Ilość]]*tblSprzedaz[[#This Row],[Koszt jednostkowy netto]],2)</f>
        <v>1380.75</v>
      </c>
      <c r="O848" s="14">
        <f>tblSprzedaz[[#This Row],[Przychód netto]]-tblSprzedaz[[#This Row],[Koszt całkowity netto]]</f>
        <v>328.56999999999994</v>
      </c>
      <c r="P848" s="15">
        <f>IFERROR(tblSprzedaz[[#This Row],[Marża kwotowa]]/tblSprzedaz[[#This Row],[Przychód netto]],0)</f>
        <v>0.19222263824210795</v>
      </c>
      <c r="Q848" s="16">
        <f>YEAR(tblSprzedaz[[#This Row],[Data]])</f>
        <v>2025</v>
      </c>
      <c r="R848" s="16">
        <f>MONTH(tblSprzedaz[[#This Row],[Data]])</f>
        <v>8</v>
      </c>
      <c r="S848" s="9" t="str">
        <f>YEAR(tblSprzedaz[[#This Row],[Data]])&amp;"-"&amp;RIGHT("0"&amp;MONTH(tblSprzedaz[[#This Row],[Data]]),2)</f>
        <v>2025-08</v>
      </c>
    </row>
    <row r="849" spans="1:19" x14ac:dyDescent="0.25">
      <c r="A849" s="7" t="s">
        <v>1865</v>
      </c>
      <c r="B849" s="10">
        <v>45888</v>
      </c>
      <c r="C849" s="7" t="s">
        <v>1866</v>
      </c>
      <c r="D849" s="8" t="s">
        <v>148</v>
      </c>
      <c r="E849" s="8" t="s">
        <v>77</v>
      </c>
      <c r="F849" s="8" t="s">
        <v>37</v>
      </c>
      <c r="G849" s="8" t="s">
        <v>30</v>
      </c>
      <c r="H849" s="8" t="s">
        <v>40</v>
      </c>
      <c r="I849" s="11">
        <v>16</v>
      </c>
      <c r="J849" s="12">
        <v>77.900000000000006</v>
      </c>
      <c r="K849" s="13">
        <v>0</v>
      </c>
      <c r="L849" s="12">
        <v>57.22</v>
      </c>
      <c r="M849" s="14">
        <f>ROUND(tblSprzedaz[[#This Row],[Ilość]]*tblSprzedaz[[#This Row],[Cena netto jednostkowa]]*(1-tblSprzedaz[[#This Row],[Rabat %]]),2)</f>
        <v>1246.4000000000001</v>
      </c>
      <c r="N849" s="14">
        <f>ROUND(tblSprzedaz[[#This Row],[Ilość]]*tblSprzedaz[[#This Row],[Koszt jednostkowy netto]],2)</f>
        <v>915.52</v>
      </c>
      <c r="O849" s="14">
        <f>tblSprzedaz[[#This Row],[Przychód netto]]-tblSprzedaz[[#This Row],[Koszt całkowity netto]]</f>
        <v>330.88000000000011</v>
      </c>
      <c r="P849" s="15">
        <f>IFERROR(tblSprzedaz[[#This Row],[Marża kwotowa]]/tblSprzedaz[[#This Row],[Przychód netto]],0)</f>
        <v>0.26546854942233639</v>
      </c>
      <c r="Q849" s="16">
        <f>YEAR(tblSprzedaz[[#This Row],[Data]])</f>
        <v>2025</v>
      </c>
      <c r="R849" s="16">
        <f>MONTH(tblSprzedaz[[#This Row],[Data]])</f>
        <v>8</v>
      </c>
      <c r="S849" s="9" t="str">
        <f>YEAR(tblSprzedaz[[#This Row],[Data]])&amp;"-"&amp;RIGHT("0"&amp;MONTH(tblSprzedaz[[#This Row],[Data]]),2)</f>
        <v>2025-08</v>
      </c>
    </row>
    <row r="850" spans="1:19" x14ac:dyDescent="0.25">
      <c r="A850" s="7" t="s">
        <v>1867</v>
      </c>
      <c r="B850" s="10">
        <v>45889</v>
      </c>
      <c r="C850" s="7" t="s">
        <v>1868</v>
      </c>
      <c r="D850" s="8" t="s">
        <v>111</v>
      </c>
      <c r="E850" s="8" t="s">
        <v>55</v>
      </c>
      <c r="F850" s="8" t="s">
        <v>31</v>
      </c>
      <c r="G850" s="8" t="s">
        <v>30</v>
      </c>
      <c r="H850" s="8" t="s">
        <v>40</v>
      </c>
      <c r="I850" s="11">
        <v>13</v>
      </c>
      <c r="J850" s="12">
        <v>243.6</v>
      </c>
      <c r="K850" s="13">
        <v>0.15</v>
      </c>
      <c r="L850" s="12">
        <v>153.84</v>
      </c>
      <c r="M850" s="14">
        <f>ROUND(tblSprzedaz[[#This Row],[Ilość]]*tblSprzedaz[[#This Row],[Cena netto jednostkowa]]*(1-tblSprzedaz[[#This Row],[Rabat %]]),2)</f>
        <v>2691.78</v>
      </c>
      <c r="N850" s="14">
        <f>ROUND(tblSprzedaz[[#This Row],[Ilość]]*tblSprzedaz[[#This Row],[Koszt jednostkowy netto]],2)</f>
        <v>1999.92</v>
      </c>
      <c r="O850" s="14">
        <f>tblSprzedaz[[#This Row],[Przychód netto]]-tblSprzedaz[[#This Row],[Koszt całkowity netto]]</f>
        <v>691.86000000000013</v>
      </c>
      <c r="P850" s="15">
        <f>IFERROR(tblSprzedaz[[#This Row],[Marża kwotowa]]/tblSprzedaz[[#This Row],[Przychód netto]],0)</f>
        <v>0.25702694871051873</v>
      </c>
      <c r="Q850" s="16">
        <f>YEAR(tblSprzedaz[[#This Row],[Data]])</f>
        <v>2025</v>
      </c>
      <c r="R850" s="16">
        <f>MONTH(tblSprzedaz[[#This Row],[Data]])</f>
        <v>8</v>
      </c>
      <c r="S850" s="9" t="str">
        <f>YEAR(tblSprzedaz[[#This Row],[Data]])&amp;"-"&amp;RIGHT("0"&amp;MONTH(tblSprzedaz[[#This Row],[Data]]),2)</f>
        <v>2025-08</v>
      </c>
    </row>
    <row r="851" spans="1:19" x14ac:dyDescent="0.25">
      <c r="A851" s="7" t="s">
        <v>1869</v>
      </c>
      <c r="B851" s="10">
        <v>45889</v>
      </c>
      <c r="C851" s="7" t="s">
        <v>1870</v>
      </c>
      <c r="D851" s="8" t="s">
        <v>138</v>
      </c>
      <c r="E851" s="8" t="s">
        <v>69</v>
      </c>
      <c r="F851" s="8" t="s">
        <v>35</v>
      </c>
      <c r="G851" s="8" t="s">
        <v>32</v>
      </c>
      <c r="H851" s="8" t="s">
        <v>42</v>
      </c>
      <c r="I851" s="11">
        <v>9</v>
      </c>
      <c r="J851" s="12">
        <v>102</v>
      </c>
      <c r="K851" s="13">
        <v>0.15</v>
      </c>
      <c r="L851" s="12">
        <v>72.760000000000005</v>
      </c>
      <c r="M851" s="14">
        <f>ROUND(tblSprzedaz[[#This Row],[Ilość]]*tblSprzedaz[[#This Row],[Cena netto jednostkowa]]*(1-tblSprzedaz[[#This Row],[Rabat %]]),2)</f>
        <v>780.3</v>
      </c>
      <c r="N851" s="14">
        <f>ROUND(tblSprzedaz[[#This Row],[Ilość]]*tblSprzedaz[[#This Row],[Koszt jednostkowy netto]],2)</f>
        <v>654.84</v>
      </c>
      <c r="O851" s="14">
        <f>tblSprzedaz[[#This Row],[Przychód netto]]-tblSprzedaz[[#This Row],[Koszt całkowity netto]]</f>
        <v>125.45999999999992</v>
      </c>
      <c r="P851" s="15">
        <f>IFERROR(tblSprzedaz[[#This Row],[Marża kwotowa]]/tblSprzedaz[[#This Row],[Przychód netto]],0)</f>
        <v>0.1607843137254901</v>
      </c>
      <c r="Q851" s="16">
        <f>YEAR(tblSprzedaz[[#This Row],[Data]])</f>
        <v>2025</v>
      </c>
      <c r="R851" s="16">
        <f>MONTH(tblSprzedaz[[#This Row],[Data]])</f>
        <v>8</v>
      </c>
      <c r="S851" s="9" t="str">
        <f>YEAR(tblSprzedaz[[#This Row],[Data]])&amp;"-"&amp;RIGHT("0"&amp;MONTH(tblSprzedaz[[#This Row],[Data]]),2)</f>
        <v>2025-08</v>
      </c>
    </row>
    <row r="852" spans="1:19" x14ac:dyDescent="0.25">
      <c r="A852" s="7" t="s">
        <v>1871</v>
      </c>
      <c r="B852" s="10">
        <v>45889</v>
      </c>
      <c r="C852" s="7" t="s">
        <v>1872</v>
      </c>
      <c r="D852" s="8" t="s">
        <v>128</v>
      </c>
      <c r="E852" s="8" t="s">
        <v>54</v>
      </c>
      <c r="F852" s="8" t="s">
        <v>31</v>
      </c>
      <c r="G852" s="8" t="s">
        <v>36</v>
      </c>
      <c r="H852" s="8" t="s">
        <v>46</v>
      </c>
      <c r="I852" s="11">
        <v>3</v>
      </c>
      <c r="J852" s="12">
        <v>207.9</v>
      </c>
      <c r="K852" s="13">
        <v>0.1</v>
      </c>
      <c r="L852" s="12">
        <v>137.72</v>
      </c>
      <c r="M852" s="14">
        <f>ROUND(tblSprzedaz[[#This Row],[Ilość]]*tblSprzedaz[[#This Row],[Cena netto jednostkowa]]*(1-tblSprzedaz[[#This Row],[Rabat %]]),2)</f>
        <v>561.33000000000004</v>
      </c>
      <c r="N852" s="14">
        <f>ROUND(tblSprzedaz[[#This Row],[Ilość]]*tblSprzedaz[[#This Row],[Koszt jednostkowy netto]],2)</f>
        <v>413.16</v>
      </c>
      <c r="O852" s="14">
        <f>tblSprzedaz[[#This Row],[Przychód netto]]-tblSprzedaz[[#This Row],[Koszt całkowity netto]]</f>
        <v>148.17000000000002</v>
      </c>
      <c r="P852" s="15">
        <f>IFERROR(tblSprzedaz[[#This Row],[Marża kwotowa]]/tblSprzedaz[[#This Row],[Przychód netto]],0)</f>
        <v>0.26396237507348619</v>
      </c>
      <c r="Q852" s="16">
        <f>YEAR(tblSprzedaz[[#This Row],[Data]])</f>
        <v>2025</v>
      </c>
      <c r="R852" s="16">
        <f>MONTH(tblSprzedaz[[#This Row],[Data]])</f>
        <v>8</v>
      </c>
      <c r="S852" s="9" t="str">
        <f>YEAR(tblSprzedaz[[#This Row],[Data]])&amp;"-"&amp;RIGHT("0"&amp;MONTH(tblSprzedaz[[#This Row],[Data]]),2)</f>
        <v>2025-08</v>
      </c>
    </row>
    <row r="853" spans="1:19" x14ac:dyDescent="0.25">
      <c r="A853" s="7" t="s">
        <v>1873</v>
      </c>
      <c r="B853" s="10">
        <v>45889</v>
      </c>
      <c r="C853" s="7" t="s">
        <v>1874</v>
      </c>
      <c r="D853" s="8" t="s">
        <v>146</v>
      </c>
      <c r="E853" s="8" t="s">
        <v>51</v>
      </c>
      <c r="F853" s="8" t="s">
        <v>29</v>
      </c>
      <c r="G853" s="8" t="s">
        <v>36</v>
      </c>
      <c r="H853" s="8" t="s">
        <v>46</v>
      </c>
      <c r="I853" s="11">
        <v>11</v>
      </c>
      <c r="J853" s="12">
        <v>51</v>
      </c>
      <c r="K853" s="13">
        <v>0</v>
      </c>
      <c r="L853" s="12">
        <v>30.78</v>
      </c>
      <c r="M853" s="14">
        <f>ROUND(tblSprzedaz[[#This Row],[Ilość]]*tblSprzedaz[[#This Row],[Cena netto jednostkowa]]*(1-tblSprzedaz[[#This Row],[Rabat %]]),2)</f>
        <v>561</v>
      </c>
      <c r="N853" s="14">
        <f>ROUND(tblSprzedaz[[#This Row],[Ilość]]*tblSprzedaz[[#This Row],[Koszt jednostkowy netto]],2)</f>
        <v>338.58</v>
      </c>
      <c r="O853" s="14">
        <f>tblSprzedaz[[#This Row],[Przychód netto]]-tblSprzedaz[[#This Row],[Koszt całkowity netto]]</f>
        <v>222.42000000000002</v>
      </c>
      <c r="P853" s="15">
        <f>IFERROR(tblSprzedaz[[#This Row],[Marża kwotowa]]/tblSprzedaz[[#This Row],[Przychód netto]],0)</f>
        <v>0.39647058823529413</v>
      </c>
      <c r="Q853" s="16">
        <f>YEAR(tblSprzedaz[[#This Row],[Data]])</f>
        <v>2025</v>
      </c>
      <c r="R853" s="16">
        <f>MONTH(tblSprzedaz[[#This Row],[Data]])</f>
        <v>8</v>
      </c>
      <c r="S853" s="9" t="str">
        <f>YEAR(tblSprzedaz[[#This Row],[Data]])&amp;"-"&amp;RIGHT("0"&amp;MONTH(tblSprzedaz[[#This Row],[Data]]),2)</f>
        <v>2025-08</v>
      </c>
    </row>
    <row r="854" spans="1:19" x14ac:dyDescent="0.25">
      <c r="A854" s="7" t="s">
        <v>1875</v>
      </c>
      <c r="B854" s="10">
        <v>45889</v>
      </c>
      <c r="C854" s="7" t="s">
        <v>1876</v>
      </c>
      <c r="D854" s="8" t="s">
        <v>112</v>
      </c>
      <c r="E854" s="8" t="s">
        <v>64</v>
      </c>
      <c r="F854" s="8" t="s">
        <v>33</v>
      </c>
      <c r="G854" s="8" t="s">
        <v>36</v>
      </c>
      <c r="H854" s="8" t="s">
        <v>47</v>
      </c>
      <c r="I854" s="11">
        <v>18</v>
      </c>
      <c r="J854" s="12">
        <v>768.2</v>
      </c>
      <c r="K854" s="13">
        <v>0.1</v>
      </c>
      <c r="L854" s="12">
        <v>510.45</v>
      </c>
      <c r="M854" s="14">
        <f>ROUND(tblSprzedaz[[#This Row],[Ilość]]*tblSprzedaz[[#This Row],[Cena netto jednostkowa]]*(1-tblSprzedaz[[#This Row],[Rabat %]]),2)</f>
        <v>12444.84</v>
      </c>
      <c r="N854" s="14">
        <f>ROUND(tblSprzedaz[[#This Row],[Ilość]]*tblSprzedaz[[#This Row],[Koszt jednostkowy netto]],2)</f>
        <v>9188.1</v>
      </c>
      <c r="O854" s="14">
        <f>tblSprzedaz[[#This Row],[Przychód netto]]-tblSprzedaz[[#This Row],[Koszt całkowity netto]]</f>
        <v>3256.74</v>
      </c>
      <c r="P854" s="15">
        <f>IFERROR(tblSprzedaz[[#This Row],[Marża kwotowa]]/tblSprzedaz[[#This Row],[Przychód netto]],0)</f>
        <v>0.26169400329775228</v>
      </c>
      <c r="Q854" s="16">
        <f>YEAR(tblSprzedaz[[#This Row],[Data]])</f>
        <v>2025</v>
      </c>
      <c r="R854" s="16">
        <f>MONTH(tblSprzedaz[[#This Row],[Data]])</f>
        <v>8</v>
      </c>
      <c r="S854" s="9" t="str">
        <f>YEAR(tblSprzedaz[[#This Row],[Data]])&amp;"-"&amp;RIGHT("0"&amp;MONTH(tblSprzedaz[[#This Row],[Data]]),2)</f>
        <v>2025-08</v>
      </c>
    </row>
    <row r="855" spans="1:19" x14ac:dyDescent="0.25">
      <c r="A855" s="7" t="s">
        <v>1877</v>
      </c>
      <c r="B855" s="10">
        <v>45890</v>
      </c>
      <c r="C855" s="7" t="s">
        <v>1878</v>
      </c>
      <c r="D855" s="8" t="s">
        <v>122</v>
      </c>
      <c r="E855" s="8" t="s">
        <v>74</v>
      </c>
      <c r="F855" s="8" t="s">
        <v>37</v>
      </c>
      <c r="G855" s="8" t="s">
        <v>28</v>
      </c>
      <c r="H855" s="8" t="s">
        <v>38</v>
      </c>
      <c r="I855" s="11">
        <v>2</v>
      </c>
      <c r="J855" s="12">
        <v>126.35</v>
      </c>
      <c r="K855" s="13">
        <v>0.05</v>
      </c>
      <c r="L855" s="12">
        <v>99.21</v>
      </c>
      <c r="M855" s="14">
        <f>ROUND(tblSprzedaz[[#This Row],[Ilość]]*tblSprzedaz[[#This Row],[Cena netto jednostkowa]]*(1-tblSprzedaz[[#This Row],[Rabat %]]),2)</f>
        <v>240.07</v>
      </c>
      <c r="N855" s="14">
        <f>ROUND(tblSprzedaz[[#This Row],[Ilość]]*tblSprzedaz[[#This Row],[Koszt jednostkowy netto]],2)</f>
        <v>198.42</v>
      </c>
      <c r="O855" s="14">
        <f>tblSprzedaz[[#This Row],[Przychód netto]]-tblSprzedaz[[#This Row],[Koszt całkowity netto]]</f>
        <v>41.650000000000006</v>
      </c>
      <c r="P855" s="15">
        <f>IFERROR(tblSprzedaz[[#This Row],[Marża kwotowa]]/tblSprzedaz[[#This Row],[Przychód netto]],0)</f>
        <v>0.17349106510601078</v>
      </c>
      <c r="Q855" s="16">
        <f>YEAR(tblSprzedaz[[#This Row],[Data]])</f>
        <v>2025</v>
      </c>
      <c r="R855" s="16">
        <f>MONTH(tblSprzedaz[[#This Row],[Data]])</f>
        <v>8</v>
      </c>
      <c r="S855" s="9" t="str">
        <f>YEAR(tblSprzedaz[[#This Row],[Data]])&amp;"-"&amp;RIGHT("0"&amp;MONTH(tblSprzedaz[[#This Row],[Data]]),2)</f>
        <v>2025-08</v>
      </c>
    </row>
    <row r="856" spans="1:19" x14ac:dyDescent="0.25">
      <c r="A856" s="7" t="s">
        <v>1879</v>
      </c>
      <c r="B856" s="10">
        <v>45890</v>
      </c>
      <c r="C856" s="7" t="s">
        <v>1880</v>
      </c>
      <c r="D856" s="8" t="s">
        <v>95</v>
      </c>
      <c r="E856" s="8" t="s">
        <v>72</v>
      </c>
      <c r="F856" s="8" t="s">
        <v>37</v>
      </c>
      <c r="G856" s="8" t="s">
        <v>34</v>
      </c>
      <c r="H856" s="8" t="s">
        <v>44</v>
      </c>
      <c r="I856" s="11">
        <v>12</v>
      </c>
      <c r="J856" s="12">
        <v>94.05</v>
      </c>
      <c r="K856" s="13">
        <v>0.1</v>
      </c>
      <c r="L856" s="12">
        <v>71.510000000000005</v>
      </c>
      <c r="M856" s="14">
        <f>ROUND(tblSprzedaz[[#This Row],[Ilość]]*tblSprzedaz[[#This Row],[Cena netto jednostkowa]]*(1-tblSprzedaz[[#This Row],[Rabat %]]),2)</f>
        <v>1015.74</v>
      </c>
      <c r="N856" s="14">
        <f>ROUND(tblSprzedaz[[#This Row],[Ilość]]*tblSprzedaz[[#This Row],[Koszt jednostkowy netto]],2)</f>
        <v>858.12</v>
      </c>
      <c r="O856" s="14">
        <f>tblSprzedaz[[#This Row],[Przychód netto]]-tblSprzedaz[[#This Row],[Koszt całkowity netto]]</f>
        <v>157.62</v>
      </c>
      <c r="P856" s="15">
        <f>IFERROR(tblSprzedaz[[#This Row],[Marża kwotowa]]/tblSprzedaz[[#This Row],[Przychód netto]],0)</f>
        <v>0.15517750605469904</v>
      </c>
      <c r="Q856" s="16">
        <f>YEAR(tblSprzedaz[[#This Row],[Data]])</f>
        <v>2025</v>
      </c>
      <c r="R856" s="16">
        <f>MONTH(tblSprzedaz[[#This Row],[Data]])</f>
        <v>8</v>
      </c>
      <c r="S856" s="9" t="str">
        <f>YEAR(tblSprzedaz[[#This Row],[Data]])&amp;"-"&amp;RIGHT("0"&amp;MONTH(tblSprzedaz[[#This Row],[Data]]),2)</f>
        <v>2025-08</v>
      </c>
    </row>
    <row r="857" spans="1:19" x14ac:dyDescent="0.25">
      <c r="A857" s="7" t="s">
        <v>1881</v>
      </c>
      <c r="B857" s="10">
        <v>45890</v>
      </c>
      <c r="C857" s="7" t="s">
        <v>1882</v>
      </c>
      <c r="D857" s="8" t="s">
        <v>130</v>
      </c>
      <c r="E857" s="8" t="s">
        <v>52</v>
      </c>
      <c r="F857" s="8" t="s">
        <v>29</v>
      </c>
      <c r="G857" s="8" t="s">
        <v>34</v>
      </c>
      <c r="H857" s="8" t="s">
        <v>45</v>
      </c>
      <c r="I857" s="11">
        <v>8</v>
      </c>
      <c r="J857" s="12">
        <v>56.78</v>
      </c>
      <c r="K857" s="13">
        <v>0.1</v>
      </c>
      <c r="L857" s="12">
        <v>33.380000000000003</v>
      </c>
      <c r="M857" s="14">
        <f>ROUND(tblSprzedaz[[#This Row],[Ilość]]*tblSprzedaz[[#This Row],[Cena netto jednostkowa]]*(1-tblSprzedaz[[#This Row],[Rabat %]]),2)</f>
        <v>408.82</v>
      </c>
      <c r="N857" s="14">
        <f>ROUND(tblSprzedaz[[#This Row],[Ilość]]*tblSprzedaz[[#This Row],[Koszt jednostkowy netto]],2)</f>
        <v>267.04000000000002</v>
      </c>
      <c r="O857" s="14">
        <f>tblSprzedaz[[#This Row],[Przychód netto]]-tblSprzedaz[[#This Row],[Koszt całkowity netto]]</f>
        <v>141.77999999999997</v>
      </c>
      <c r="P857" s="15">
        <f>IFERROR(tblSprzedaz[[#This Row],[Marża kwotowa]]/tblSprzedaz[[#This Row],[Przychód netto]],0)</f>
        <v>0.34680299398268183</v>
      </c>
      <c r="Q857" s="16">
        <f>YEAR(tblSprzedaz[[#This Row],[Data]])</f>
        <v>2025</v>
      </c>
      <c r="R857" s="16">
        <f>MONTH(tblSprzedaz[[#This Row],[Data]])</f>
        <v>8</v>
      </c>
      <c r="S857" s="9" t="str">
        <f>YEAR(tblSprzedaz[[#This Row],[Data]])&amp;"-"&amp;RIGHT("0"&amp;MONTH(tblSprzedaz[[#This Row],[Data]]),2)</f>
        <v>2025-08</v>
      </c>
    </row>
    <row r="858" spans="1:19" x14ac:dyDescent="0.25">
      <c r="A858" s="7" t="s">
        <v>1883</v>
      </c>
      <c r="B858" s="10">
        <v>45891</v>
      </c>
      <c r="C858" s="7" t="s">
        <v>1884</v>
      </c>
      <c r="D858" s="8" t="s">
        <v>102</v>
      </c>
      <c r="E858" s="8" t="s">
        <v>59</v>
      </c>
      <c r="F858" s="8" t="s">
        <v>31</v>
      </c>
      <c r="G858" s="8" t="s">
        <v>34</v>
      </c>
      <c r="H858" s="8" t="s">
        <v>45</v>
      </c>
      <c r="I858" s="11">
        <v>1</v>
      </c>
      <c r="J858" s="12">
        <v>172.2</v>
      </c>
      <c r="K858" s="13">
        <v>0.05</v>
      </c>
      <c r="L858" s="12">
        <v>112.79</v>
      </c>
      <c r="M858" s="14">
        <f>ROUND(tblSprzedaz[[#This Row],[Ilość]]*tblSprzedaz[[#This Row],[Cena netto jednostkowa]]*(1-tblSprzedaz[[#This Row],[Rabat %]]),2)</f>
        <v>163.59</v>
      </c>
      <c r="N858" s="14">
        <f>ROUND(tblSprzedaz[[#This Row],[Ilość]]*tblSprzedaz[[#This Row],[Koszt jednostkowy netto]],2)</f>
        <v>112.79</v>
      </c>
      <c r="O858" s="14">
        <f>tblSprzedaz[[#This Row],[Przychód netto]]-tblSprzedaz[[#This Row],[Koszt całkowity netto]]</f>
        <v>50.8</v>
      </c>
      <c r="P858" s="15">
        <f>IFERROR(tblSprzedaz[[#This Row],[Marża kwotowa]]/tblSprzedaz[[#This Row],[Przychód netto]],0)</f>
        <v>0.31053242863255698</v>
      </c>
      <c r="Q858" s="16">
        <f>YEAR(tblSprzedaz[[#This Row],[Data]])</f>
        <v>2025</v>
      </c>
      <c r="R858" s="16">
        <f>MONTH(tblSprzedaz[[#This Row],[Data]])</f>
        <v>8</v>
      </c>
      <c r="S858" s="9" t="str">
        <f>YEAR(tblSprzedaz[[#This Row],[Data]])&amp;"-"&amp;RIGHT("0"&amp;MONTH(tblSprzedaz[[#This Row],[Data]]),2)</f>
        <v>2025-08</v>
      </c>
    </row>
    <row r="859" spans="1:19" x14ac:dyDescent="0.25">
      <c r="A859" s="7" t="s">
        <v>1885</v>
      </c>
      <c r="B859" s="10">
        <v>45891</v>
      </c>
      <c r="C859" s="7" t="s">
        <v>1886</v>
      </c>
      <c r="D859" s="8" t="s">
        <v>135</v>
      </c>
      <c r="E859" s="8" t="s">
        <v>65</v>
      </c>
      <c r="F859" s="8" t="s">
        <v>33</v>
      </c>
      <c r="G859" s="8" t="s">
        <v>30</v>
      </c>
      <c r="H859" s="8" t="s">
        <v>40</v>
      </c>
      <c r="I859" s="11">
        <v>15</v>
      </c>
      <c r="J859" s="12">
        <v>377.2</v>
      </c>
      <c r="K859" s="13">
        <v>0.05</v>
      </c>
      <c r="L859" s="12">
        <v>256.04000000000002</v>
      </c>
      <c r="M859" s="14">
        <f>ROUND(tblSprzedaz[[#This Row],[Ilość]]*tblSprzedaz[[#This Row],[Cena netto jednostkowa]]*(1-tblSprzedaz[[#This Row],[Rabat %]]),2)</f>
        <v>5375.1</v>
      </c>
      <c r="N859" s="14">
        <f>ROUND(tblSprzedaz[[#This Row],[Ilość]]*tblSprzedaz[[#This Row],[Koszt jednostkowy netto]],2)</f>
        <v>3840.6</v>
      </c>
      <c r="O859" s="14">
        <f>tblSprzedaz[[#This Row],[Przychód netto]]-tblSprzedaz[[#This Row],[Koszt całkowity netto]]</f>
        <v>1534.5000000000005</v>
      </c>
      <c r="P859" s="15">
        <f>IFERROR(tblSprzedaz[[#This Row],[Marża kwotowa]]/tblSprzedaz[[#This Row],[Przychód netto]],0)</f>
        <v>0.28548306078026464</v>
      </c>
      <c r="Q859" s="16">
        <f>YEAR(tblSprzedaz[[#This Row],[Data]])</f>
        <v>2025</v>
      </c>
      <c r="R859" s="16">
        <f>MONTH(tblSprzedaz[[#This Row],[Data]])</f>
        <v>8</v>
      </c>
      <c r="S859" s="9" t="str">
        <f>YEAR(tblSprzedaz[[#This Row],[Data]])&amp;"-"&amp;RIGHT("0"&amp;MONTH(tblSprzedaz[[#This Row],[Data]]),2)</f>
        <v>2025-08</v>
      </c>
    </row>
    <row r="860" spans="1:19" x14ac:dyDescent="0.25">
      <c r="A860" s="7" t="s">
        <v>1887</v>
      </c>
      <c r="B860" s="10">
        <v>45891</v>
      </c>
      <c r="C860" s="7" t="s">
        <v>1888</v>
      </c>
      <c r="D860" s="8" t="s">
        <v>98</v>
      </c>
      <c r="E860" s="8" t="s">
        <v>73</v>
      </c>
      <c r="F860" s="8" t="s">
        <v>37</v>
      </c>
      <c r="G860" s="8" t="s">
        <v>32</v>
      </c>
      <c r="H860" s="8" t="s">
        <v>43</v>
      </c>
      <c r="I860" s="11">
        <v>10</v>
      </c>
      <c r="J860" s="12">
        <v>110.2</v>
      </c>
      <c r="K860" s="13">
        <v>0</v>
      </c>
      <c r="L860" s="12">
        <v>82.88</v>
      </c>
      <c r="M860" s="14">
        <f>ROUND(tblSprzedaz[[#This Row],[Ilość]]*tblSprzedaz[[#This Row],[Cena netto jednostkowa]]*(1-tblSprzedaz[[#This Row],[Rabat %]]),2)</f>
        <v>1102</v>
      </c>
      <c r="N860" s="14">
        <f>ROUND(tblSprzedaz[[#This Row],[Ilość]]*tblSprzedaz[[#This Row],[Koszt jednostkowy netto]],2)</f>
        <v>828.8</v>
      </c>
      <c r="O860" s="14">
        <f>tblSprzedaz[[#This Row],[Przychód netto]]-tblSprzedaz[[#This Row],[Koszt całkowity netto]]</f>
        <v>273.20000000000005</v>
      </c>
      <c r="P860" s="15">
        <f>IFERROR(tblSprzedaz[[#This Row],[Marża kwotowa]]/tblSprzedaz[[#This Row],[Przychód netto]],0)</f>
        <v>0.24791288566243197</v>
      </c>
      <c r="Q860" s="16">
        <f>YEAR(tblSprzedaz[[#This Row],[Data]])</f>
        <v>2025</v>
      </c>
      <c r="R860" s="16">
        <f>MONTH(tblSprzedaz[[#This Row],[Data]])</f>
        <v>8</v>
      </c>
      <c r="S860" s="9" t="str">
        <f>YEAR(tblSprzedaz[[#This Row],[Data]])&amp;"-"&amp;RIGHT("0"&amp;MONTH(tblSprzedaz[[#This Row],[Data]]),2)</f>
        <v>2025-08</v>
      </c>
    </row>
    <row r="861" spans="1:19" x14ac:dyDescent="0.25">
      <c r="A861" s="7" t="s">
        <v>1889</v>
      </c>
      <c r="B861" s="10">
        <v>45891</v>
      </c>
      <c r="C861" s="7" t="s">
        <v>1890</v>
      </c>
      <c r="D861" s="8" t="s">
        <v>119</v>
      </c>
      <c r="E861" s="8" t="s">
        <v>75</v>
      </c>
      <c r="F861" s="8" t="s">
        <v>37</v>
      </c>
      <c r="G861" s="8" t="s">
        <v>36</v>
      </c>
      <c r="H861" s="8" t="s">
        <v>47</v>
      </c>
      <c r="I861" s="11">
        <v>17</v>
      </c>
      <c r="J861" s="12">
        <v>142.5</v>
      </c>
      <c r="K861" s="13">
        <v>0.15</v>
      </c>
      <c r="L861" s="12">
        <v>112.82</v>
      </c>
      <c r="M861" s="14">
        <f>ROUND(tblSprzedaz[[#This Row],[Ilość]]*tblSprzedaz[[#This Row],[Cena netto jednostkowa]]*(1-tblSprzedaz[[#This Row],[Rabat %]]),2)</f>
        <v>2059.13</v>
      </c>
      <c r="N861" s="14">
        <f>ROUND(tblSprzedaz[[#This Row],[Ilość]]*tblSprzedaz[[#This Row],[Koszt jednostkowy netto]],2)</f>
        <v>1917.94</v>
      </c>
      <c r="O861" s="14">
        <f>tblSprzedaz[[#This Row],[Przychód netto]]-tblSprzedaz[[#This Row],[Koszt całkowity netto]]</f>
        <v>141.19000000000005</v>
      </c>
      <c r="P861" s="15">
        <f>IFERROR(tblSprzedaz[[#This Row],[Marża kwotowa]]/tblSprzedaz[[#This Row],[Przychód netto]],0)</f>
        <v>6.856779319421312E-2</v>
      </c>
      <c r="Q861" s="16">
        <f>YEAR(tblSprzedaz[[#This Row],[Data]])</f>
        <v>2025</v>
      </c>
      <c r="R861" s="16">
        <f>MONTH(tblSprzedaz[[#This Row],[Data]])</f>
        <v>8</v>
      </c>
      <c r="S861" s="9" t="str">
        <f>YEAR(tblSprzedaz[[#This Row],[Data]])&amp;"-"&amp;RIGHT("0"&amp;MONTH(tblSprzedaz[[#This Row],[Data]]),2)</f>
        <v>2025-08</v>
      </c>
    </row>
    <row r="862" spans="1:19" x14ac:dyDescent="0.25">
      <c r="A862" s="7" t="s">
        <v>1891</v>
      </c>
      <c r="B862" s="10">
        <v>45891</v>
      </c>
      <c r="C862" s="7" t="s">
        <v>1892</v>
      </c>
      <c r="D862" s="8" t="s">
        <v>109</v>
      </c>
      <c r="E862" s="8" t="s">
        <v>56</v>
      </c>
      <c r="F862" s="8" t="s">
        <v>31</v>
      </c>
      <c r="G862" s="8" t="s">
        <v>28</v>
      </c>
      <c r="H862" s="8" t="s">
        <v>39</v>
      </c>
      <c r="I862" s="11">
        <v>11</v>
      </c>
      <c r="J862" s="12">
        <v>279.3</v>
      </c>
      <c r="K862" s="13">
        <v>0</v>
      </c>
      <c r="L862" s="12">
        <v>185.36</v>
      </c>
      <c r="M862" s="14">
        <f>ROUND(tblSprzedaz[[#This Row],[Ilość]]*tblSprzedaz[[#This Row],[Cena netto jednostkowa]]*(1-tblSprzedaz[[#This Row],[Rabat %]]),2)</f>
        <v>3072.3</v>
      </c>
      <c r="N862" s="14">
        <f>ROUND(tblSprzedaz[[#This Row],[Ilość]]*tblSprzedaz[[#This Row],[Koszt jednostkowy netto]],2)</f>
        <v>2038.96</v>
      </c>
      <c r="O862" s="14">
        <f>tblSprzedaz[[#This Row],[Przychód netto]]-tblSprzedaz[[#This Row],[Koszt całkowity netto]]</f>
        <v>1033.3400000000001</v>
      </c>
      <c r="P862" s="15">
        <f>IFERROR(tblSprzedaz[[#This Row],[Marża kwotowa]]/tblSprzedaz[[#This Row],[Przychód netto]],0)</f>
        <v>0.33634085213032583</v>
      </c>
      <c r="Q862" s="16">
        <f>YEAR(tblSprzedaz[[#This Row],[Data]])</f>
        <v>2025</v>
      </c>
      <c r="R862" s="16">
        <f>MONTH(tblSprzedaz[[#This Row],[Data]])</f>
        <v>8</v>
      </c>
      <c r="S862" s="9" t="str">
        <f>YEAR(tblSprzedaz[[#This Row],[Data]])&amp;"-"&amp;RIGHT("0"&amp;MONTH(tblSprzedaz[[#This Row],[Data]]),2)</f>
        <v>2025-08</v>
      </c>
    </row>
    <row r="863" spans="1:19" x14ac:dyDescent="0.25">
      <c r="A863" s="7" t="s">
        <v>1893</v>
      </c>
      <c r="B863" s="10">
        <v>45891</v>
      </c>
      <c r="C863" s="7" t="s">
        <v>1894</v>
      </c>
      <c r="D863" s="8" t="s">
        <v>127</v>
      </c>
      <c r="E863" s="8" t="s">
        <v>75</v>
      </c>
      <c r="F863" s="8" t="s">
        <v>37</v>
      </c>
      <c r="G863" s="8" t="s">
        <v>36</v>
      </c>
      <c r="H863" s="8" t="s">
        <v>46</v>
      </c>
      <c r="I863" s="11">
        <v>14</v>
      </c>
      <c r="J863" s="12">
        <v>142.5</v>
      </c>
      <c r="K863" s="13">
        <v>0</v>
      </c>
      <c r="L863" s="12">
        <v>113.37</v>
      </c>
      <c r="M863" s="14">
        <f>ROUND(tblSprzedaz[[#This Row],[Ilość]]*tblSprzedaz[[#This Row],[Cena netto jednostkowa]]*(1-tblSprzedaz[[#This Row],[Rabat %]]),2)</f>
        <v>1995</v>
      </c>
      <c r="N863" s="14">
        <f>ROUND(tblSprzedaz[[#This Row],[Ilość]]*tblSprzedaz[[#This Row],[Koszt jednostkowy netto]],2)</f>
        <v>1587.18</v>
      </c>
      <c r="O863" s="14">
        <f>tblSprzedaz[[#This Row],[Przychód netto]]-tblSprzedaz[[#This Row],[Koszt całkowity netto]]</f>
        <v>407.81999999999994</v>
      </c>
      <c r="P863" s="15">
        <f>IFERROR(tblSprzedaz[[#This Row],[Marża kwotowa]]/tblSprzedaz[[#This Row],[Przychód netto]],0)</f>
        <v>0.20442105263157892</v>
      </c>
      <c r="Q863" s="16">
        <f>YEAR(tblSprzedaz[[#This Row],[Data]])</f>
        <v>2025</v>
      </c>
      <c r="R863" s="16">
        <f>MONTH(tblSprzedaz[[#This Row],[Data]])</f>
        <v>8</v>
      </c>
      <c r="S863" s="9" t="str">
        <f>YEAR(tblSprzedaz[[#This Row],[Data]])&amp;"-"&amp;RIGHT("0"&amp;MONTH(tblSprzedaz[[#This Row],[Data]]),2)</f>
        <v>2025-08</v>
      </c>
    </row>
    <row r="864" spans="1:19" x14ac:dyDescent="0.25">
      <c r="A864" s="7" t="s">
        <v>1895</v>
      </c>
      <c r="B864" s="10">
        <v>45892</v>
      </c>
      <c r="C864" s="7" t="s">
        <v>1896</v>
      </c>
      <c r="D864" s="8" t="s">
        <v>118</v>
      </c>
      <c r="E864" s="8" t="s">
        <v>74</v>
      </c>
      <c r="F864" s="8" t="s">
        <v>37</v>
      </c>
      <c r="G864" s="8" t="s">
        <v>36</v>
      </c>
      <c r="H864" s="8" t="s">
        <v>47</v>
      </c>
      <c r="I864" s="11">
        <v>10</v>
      </c>
      <c r="J864" s="12">
        <v>126.35</v>
      </c>
      <c r="K864" s="13">
        <v>0</v>
      </c>
      <c r="L864" s="12">
        <v>96.45</v>
      </c>
      <c r="M864" s="14">
        <f>ROUND(tblSprzedaz[[#This Row],[Ilość]]*tblSprzedaz[[#This Row],[Cena netto jednostkowa]]*(1-tblSprzedaz[[#This Row],[Rabat %]]),2)</f>
        <v>1263.5</v>
      </c>
      <c r="N864" s="14">
        <f>ROUND(tblSprzedaz[[#This Row],[Ilość]]*tblSprzedaz[[#This Row],[Koszt jednostkowy netto]],2)</f>
        <v>964.5</v>
      </c>
      <c r="O864" s="14">
        <f>tblSprzedaz[[#This Row],[Przychód netto]]-tblSprzedaz[[#This Row],[Koszt całkowity netto]]</f>
        <v>299</v>
      </c>
      <c r="P864" s="15">
        <f>IFERROR(tblSprzedaz[[#This Row],[Marża kwotowa]]/tblSprzedaz[[#This Row],[Przychód netto]],0)</f>
        <v>0.23664424218440838</v>
      </c>
      <c r="Q864" s="16">
        <f>YEAR(tblSprzedaz[[#This Row],[Data]])</f>
        <v>2025</v>
      </c>
      <c r="R864" s="16">
        <f>MONTH(tblSprzedaz[[#This Row],[Data]])</f>
        <v>8</v>
      </c>
      <c r="S864" s="9" t="str">
        <f>YEAR(tblSprzedaz[[#This Row],[Data]])&amp;"-"&amp;RIGHT("0"&amp;MONTH(tblSprzedaz[[#This Row],[Data]]),2)</f>
        <v>2025-08</v>
      </c>
    </row>
    <row r="865" spans="1:19" x14ac:dyDescent="0.25">
      <c r="A865" s="7" t="s">
        <v>1897</v>
      </c>
      <c r="B865" s="10">
        <v>45892</v>
      </c>
      <c r="C865" s="7" t="s">
        <v>1898</v>
      </c>
      <c r="D865" s="8" t="s">
        <v>137</v>
      </c>
      <c r="E865" s="8" t="s">
        <v>69</v>
      </c>
      <c r="F865" s="8" t="s">
        <v>35</v>
      </c>
      <c r="G865" s="8" t="s">
        <v>36</v>
      </c>
      <c r="H865" s="8" t="s">
        <v>46</v>
      </c>
      <c r="I865" s="11">
        <v>7</v>
      </c>
      <c r="J865" s="12">
        <v>102</v>
      </c>
      <c r="K865" s="13">
        <v>0.1</v>
      </c>
      <c r="L865" s="12">
        <v>77.739999999999995</v>
      </c>
      <c r="M865" s="14">
        <f>ROUND(tblSprzedaz[[#This Row],[Ilość]]*tblSprzedaz[[#This Row],[Cena netto jednostkowa]]*(1-tblSprzedaz[[#This Row],[Rabat %]]),2)</f>
        <v>642.6</v>
      </c>
      <c r="N865" s="14">
        <f>ROUND(tblSprzedaz[[#This Row],[Ilość]]*tblSprzedaz[[#This Row],[Koszt jednostkowy netto]],2)</f>
        <v>544.17999999999995</v>
      </c>
      <c r="O865" s="14">
        <f>tblSprzedaz[[#This Row],[Przychód netto]]-tblSprzedaz[[#This Row],[Koszt całkowity netto]]</f>
        <v>98.420000000000073</v>
      </c>
      <c r="P865" s="15">
        <f>IFERROR(tblSprzedaz[[#This Row],[Marża kwotowa]]/tblSprzedaz[[#This Row],[Przychód netto]],0)</f>
        <v>0.15315904139433562</v>
      </c>
      <c r="Q865" s="16">
        <f>YEAR(tblSprzedaz[[#This Row],[Data]])</f>
        <v>2025</v>
      </c>
      <c r="R865" s="16">
        <f>MONTH(tblSprzedaz[[#This Row],[Data]])</f>
        <v>8</v>
      </c>
      <c r="S865" s="9" t="str">
        <f>YEAR(tblSprzedaz[[#This Row],[Data]])&amp;"-"&amp;RIGHT("0"&amp;MONTH(tblSprzedaz[[#This Row],[Data]]),2)</f>
        <v>2025-08</v>
      </c>
    </row>
    <row r="866" spans="1:19" x14ac:dyDescent="0.25">
      <c r="A866" s="7" t="s">
        <v>1899</v>
      </c>
      <c r="B866" s="10">
        <v>45893</v>
      </c>
      <c r="C866" s="7" t="s">
        <v>1900</v>
      </c>
      <c r="D866" s="8" t="s">
        <v>113</v>
      </c>
      <c r="E866" s="8" t="s">
        <v>73</v>
      </c>
      <c r="F866" s="8" t="s">
        <v>37</v>
      </c>
      <c r="G866" s="8" t="s">
        <v>30</v>
      </c>
      <c r="H866" s="8" t="s">
        <v>40</v>
      </c>
      <c r="I866" s="11">
        <v>5</v>
      </c>
      <c r="J866" s="12">
        <v>110.2</v>
      </c>
      <c r="K866" s="13">
        <v>0.15</v>
      </c>
      <c r="L866" s="12">
        <v>87.12</v>
      </c>
      <c r="M866" s="14">
        <f>ROUND(tblSprzedaz[[#This Row],[Ilość]]*tblSprzedaz[[#This Row],[Cena netto jednostkowa]]*(1-tblSprzedaz[[#This Row],[Rabat %]]),2)</f>
        <v>468.35</v>
      </c>
      <c r="N866" s="14">
        <f>ROUND(tblSprzedaz[[#This Row],[Ilość]]*tblSprzedaz[[#This Row],[Koszt jednostkowy netto]],2)</f>
        <v>435.6</v>
      </c>
      <c r="O866" s="14">
        <f>tblSprzedaz[[#This Row],[Przychód netto]]-tblSprzedaz[[#This Row],[Koszt całkowity netto]]</f>
        <v>32.75</v>
      </c>
      <c r="P866" s="15">
        <f>IFERROR(tblSprzedaz[[#This Row],[Marża kwotowa]]/tblSprzedaz[[#This Row],[Przychód netto]],0)</f>
        <v>6.9926337141027001E-2</v>
      </c>
      <c r="Q866" s="16">
        <f>YEAR(tblSprzedaz[[#This Row],[Data]])</f>
        <v>2025</v>
      </c>
      <c r="R866" s="16">
        <f>MONTH(tblSprzedaz[[#This Row],[Data]])</f>
        <v>8</v>
      </c>
      <c r="S866" s="9" t="str">
        <f>YEAR(tblSprzedaz[[#This Row],[Data]])&amp;"-"&amp;RIGHT("0"&amp;MONTH(tblSprzedaz[[#This Row],[Data]]),2)</f>
        <v>2025-08</v>
      </c>
    </row>
    <row r="867" spans="1:19" x14ac:dyDescent="0.25">
      <c r="A867" s="7" t="s">
        <v>1901</v>
      </c>
      <c r="B867" s="10">
        <v>45893</v>
      </c>
      <c r="C867" s="7" t="s">
        <v>1902</v>
      </c>
      <c r="D867" s="8" t="s">
        <v>111</v>
      </c>
      <c r="E867" s="8" t="s">
        <v>57</v>
      </c>
      <c r="F867" s="8" t="s">
        <v>31</v>
      </c>
      <c r="G867" s="8" t="s">
        <v>28</v>
      </c>
      <c r="H867" s="8" t="s">
        <v>38</v>
      </c>
      <c r="I867" s="11">
        <v>9</v>
      </c>
      <c r="J867" s="12">
        <v>315</v>
      </c>
      <c r="K867" s="13">
        <v>0</v>
      </c>
      <c r="L867" s="12">
        <v>192.49</v>
      </c>
      <c r="M867" s="14">
        <f>ROUND(tblSprzedaz[[#This Row],[Ilość]]*tblSprzedaz[[#This Row],[Cena netto jednostkowa]]*(1-tblSprzedaz[[#This Row],[Rabat %]]),2)</f>
        <v>2835</v>
      </c>
      <c r="N867" s="14">
        <f>ROUND(tblSprzedaz[[#This Row],[Ilość]]*tblSprzedaz[[#This Row],[Koszt jednostkowy netto]],2)</f>
        <v>1732.41</v>
      </c>
      <c r="O867" s="14">
        <f>tblSprzedaz[[#This Row],[Przychód netto]]-tblSprzedaz[[#This Row],[Koszt całkowity netto]]</f>
        <v>1102.5899999999999</v>
      </c>
      <c r="P867" s="15">
        <f>IFERROR(tblSprzedaz[[#This Row],[Marża kwotowa]]/tblSprzedaz[[#This Row],[Przychód netto]],0)</f>
        <v>0.38892063492063489</v>
      </c>
      <c r="Q867" s="16">
        <f>YEAR(tblSprzedaz[[#This Row],[Data]])</f>
        <v>2025</v>
      </c>
      <c r="R867" s="16">
        <f>MONTH(tblSprzedaz[[#This Row],[Data]])</f>
        <v>8</v>
      </c>
      <c r="S867" s="9" t="str">
        <f>YEAR(tblSprzedaz[[#This Row],[Data]])&amp;"-"&amp;RIGHT("0"&amp;MONTH(tblSprzedaz[[#This Row],[Data]]),2)</f>
        <v>2025-08</v>
      </c>
    </row>
    <row r="868" spans="1:19" x14ac:dyDescent="0.25">
      <c r="A868" s="7" t="s">
        <v>1903</v>
      </c>
      <c r="B868" s="10">
        <v>45894</v>
      </c>
      <c r="C868" s="7" t="s">
        <v>1904</v>
      </c>
      <c r="D868" s="8" t="s">
        <v>117</v>
      </c>
      <c r="E868" s="8" t="s">
        <v>76</v>
      </c>
      <c r="F868" s="8" t="s">
        <v>37</v>
      </c>
      <c r="G868" s="8" t="s">
        <v>34</v>
      </c>
      <c r="H868" s="8" t="s">
        <v>45</v>
      </c>
      <c r="I868" s="11">
        <v>12</v>
      </c>
      <c r="J868" s="12">
        <v>158.65</v>
      </c>
      <c r="K868" s="13">
        <v>0.1</v>
      </c>
      <c r="L868" s="12">
        <v>120.55</v>
      </c>
      <c r="M868" s="14">
        <f>ROUND(tblSprzedaz[[#This Row],[Ilość]]*tblSprzedaz[[#This Row],[Cena netto jednostkowa]]*(1-tblSprzedaz[[#This Row],[Rabat %]]),2)</f>
        <v>1713.42</v>
      </c>
      <c r="N868" s="14">
        <f>ROUND(tblSprzedaz[[#This Row],[Ilość]]*tblSprzedaz[[#This Row],[Koszt jednostkowy netto]],2)</f>
        <v>1446.6</v>
      </c>
      <c r="O868" s="14">
        <f>tblSprzedaz[[#This Row],[Przychód netto]]-tblSprzedaz[[#This Row],[Koszt całkowity netto]]</f>
        <v>266.82000000000016</v>
      </c>
      <c r="P868" s="15">
        <f>IFERROR(tblSprzedaz[[#This Row],[Marża kwotowa]]/tblSprzedaz[[#This Row],[Przychód netto]],0)</f>
        <v>0.15572364043842149</v>
      </c>
      <c r="Q868" s="16">
        <f>YEAR(tblSprzedaz[[#This Row],[Data]])</f>
        <v>2025</v>
      </c>
      <c r="R868" s="16">
        <f>MONTH(tblSprzedaz[[#This Row],[Data]])</f>
        <v>8</v>
      </c>
      <c r="S868" s="9" t="str">
        <f>YEAR(tblSprzedaz[[#This Row],[Data]])&amp;"-"&amp;RIGHT("0"&amp;MONTH(tblSprzedaz[[#This Row],[Data]]),2)</f>
        <v>2025-08</v>
      </c>
    </row>
    <row r="869" spans="1:19" x14ac:dyDescent="0.25">
      <c r="A869" s="7" t="s">
        <v>1905</v>
      </c>
      <c r="B869" s="10">
        <v>45894</v>
      </c>
      <c r="C869" s="7" t="s">
        <v>1906</v>
      </c>
      <c r="D869" s="8" t="s">
        <v>108</v>
      </c>
      <c r="E869" s="8" t="s">
        <v>77</v>
      </c>
      <c r="F869" s="8" t="s">
        <v>37</v>
      </c>
      <c r="G869" s="8" t="s">
        <v>34</v>
      </c>
      <c r="H869" s="8" t="s">
        <v>44</v>
      </c>
      <c r="I869" s="11">
        <v>3</v>
      </c>
      <c r="J869" s="12">
        <v>77.900000000000006</v>
      </c>
      <c r="K869" s="13">
        <v>0.05</v>
      </c>
      <c r="L869" s="12">
        <v>58.34</v>
      </c>
      <c r="M869" s="14">
        <f>ROUND(tblSprzedaz[[#This Row],[Ilość]]*tblSprzedaz[[#This Row],[Cena netto jednostkowa]]*(1-tblSprzedaz[[#This Row],[Rabat %]]),2)</f>
        <v>222.02</v>
      </c>
      <c r="N869" s="14">
        <f>ROUND(tblSprzedaz[[#This Row],[Ilość]]*tblSprzedaz[[#This Row],[Koszt jednostkowy netto]],2)</f>
        <v>175.02</v>
      </c>
      <c r="O869" s="14">
        <f>tblSprzedaz[[#This Row],[Przychód netto]]-tblSprzedaz[[#This Row],[Koszt całkowity netto]]</f>
        <v>47</v>
      </c>
      <c r="P869" s="15">
        <f>IFERROR(tblSprzedaz[[#This Row],[Marża kwotowa]]/tblSprzedaz[[#This Row],[Przychód netto]],0)</f>
        <v>0.21169264030267543</v>
      </c>
      <c r="Q869" s="16">
        <f>YEAR(tblSprzedaz[[#This Row],[Data]])</f>
        <v>2025</v>
      </c>
      <c r="R869" s="16">
        <f>MONTH(tblSprzedaz[[#This Row],[Data]])</f>
        <v>8</v>
      </c>
      <c r="S869" s="9" t="str">
        <f>YEAR(tblSprzedaz[[#This Row],[Data]])&amp;"-"&amp;RIGHT("0"&amp;MONTH(tblSprzedaz[[#This Row],[Data]]),2)</f>
        <v>2025-08</v>
      </c>
    </row>
    <row r="870" spans="1:19" x14ac:dyDescent="0.25">
      <c r="A870" s="7" t="s">
        <v>1907</v>
      </c>
      <c r="B870" s="10">
        <v>45894</v>
      </c>
      <c r="C870" s="7" t="s">
        <v>1908</v>
      </c>
      <c r="D870" s="8" t="s">
        <v>79</v>
      </c>
      <c r="E870" s="8" t="s">
        <v>59</v>
      </c>
      <c r="F870" s="8" t="s">
        <v>31</v>
      </c>
      <c r="G870" s="8" t="s">
        <v>28</v>
      </c>
      <c r="H870" s="8" t="s">
        <v>39</v>
      </c>
      <c r="I870" s="11">
        <v>1</v>
      </c>
      <c r="J870" s="12">
        <v>172.2</v>
      </c>
      <c r="K870" s="13">
        <v>0</v>
      </c>
      <c r="L870" s="12">
        <v>114.48</v>
      </c>
      <c r="M870" s="14">
        <f>ROUND(tblSprzedaz[[#This Row],[Ilość]]*tblSprzedaz[[#This Row],[Cena netto jednostkowa]]*(1-tblSprzedaz[[#This Row],[Rabat %]]),2)</f>
        <v>172.2</v>
      </c>
      <c r="N870" s="14">
        <f>ROUND(tblSprzedaz[[#This Row],[Ilość]]*tblSprzedaz[[#This Row],[Koszt jednostkowy netto]],2)</f>
        <v>114.48</v>
      </c>
      <c r="O870" s="14">
        <f>tblSprzedaz[[#This Row],[Przychód netto]]-tblSprzedaz[[#This Row],[Koszt całkowity netto]]</f>
        <v>57.719999999999985</v>
      </c>
      <c r="P870" s="15">
        <f>IFERROR(tblSprzedaz[[#This Row],[Marża kwotowa]]/tblSprzedaz[[#This Row],[Przychód netto]],0)</f>
        <v>0.33519163763066195</v>
      </c>
      <c r="Q870" s="16">
        <f>YEAR(tblSprzedaz[[#This Row],[Data]])</f>
        <v>2025</v>
      </c>
      <c r="R870" s="16">
        <f>MONTH(tblSprzedaz[[#This Row],[Data]])</f>
        <v>8</v>
      </c>
      <c r="S870" s="9" t="str">
        <f>YEAR(tblSprzedaz[[#This Row],[Data]])&amp;"-"&amp;RIGHT("0"&amp;MONTH(tblSprzedaz[[#This Row],[Data]]),2)</f>
        <v>2025-08</v>
      </c>
    </row>
    <row r="871" spans="1:19" x14ac:dyDescent="0.25">
      <c r="A871" s="7" t="s">
        <v>1909</v>
      </c>
      <c r="B871" s="10">
        <v>45894</v>
      </c>
      <c r="C871" s="7" t="s">
        <v>1910</v>
      </c>
      <c r="D871" s="8" t="s">
        <v>120</v>
      </c>
      <c r="E871" s="8" t="s">
        <v>67</v>
      </c>
      <c r="F871" s="8" t="s">
        <v>35</v>
      </c>
      <c r="G871" s="8" t="s">
        <v>30</v>
      </c>
      <c r="H871" s="8" t="s">
        <v>40</v>
      </c>
      <c r="I871" s="11">
        <v>9</v>
      </c>
      <c r="J871" s="12">
        <v>78.88</v>
      </c>
      <c r="K871" s="13">
        <v>0.05</v>
      </c>
      <c r="L871" s="12">
        <v>57.27</v>
      </c>
      <c r="M871" s="14">
        <f>ROUND(tblSprzedaz[[#This Row],[Ilość]]*tblSprzedaz[[#This Row],[Cena netto jednostkowa]]*(1-tblSprzedaz[[#This Row],[Rabat %]]),2)</f>
        <v>674.42</v>
      </c>
      <c r="N871" s="14">
        <f>ROUND(tblSprzedaz[[#This Row],[Ilość]]*tblSprzedaz[[#This Row],[Koszt jednostkowy netto]],2)</f>
        <v>515.42999999999995</v>
      </c>
      <c r="O871" s="14">
        <f>tblSprzedaz[[#This Row],[Przychód netto]]-tblSprzedaz[[#This Row],[Koszt całkowity netto]]</f>
        <v>158.99</v>
      </c>
      <c r="P871" s="15">
        <f>IFERROR(tblSprzedaz[[#This Row],[Marża kwotowa]]/tblSprzedaz[[#This Row],[Przychód netto]],0)</f>
        <v>0.2357433053586786</v>
      </c>
      <c r="Q871" s="16">
        <f>YEAR(tblSprzedaz[[#This Row],[Data]])</f>
        <v>2025</v>
      </c>
      <c r="R871" s="16">
        <f>MONTH(tblSprzedaz[[#This Row],[Data]])</f>
        <v>8</v>
      </c>
      <c r="S871" s="9" t="str">
        <f>YEAR(tblSprzedaz[[#This Row],[Data]])&amp;"-"&amp;RIGHT("0"&amp;MONTH(tblSprzedaz[[#This Row],[Data]]),2)</f>
        <v>2025-08</v>
      </c>
    </row>
    <row r="872" spans="1:19" x14ac:dyDescent="0.25">
      <c r="A872" s="7" t="s">
        <v>1911</v>
      </c>
      <c r="B872" s="10">
        <v>45894</v>
      </c>
      <c r="C872" s="7" t="s">
        <v>1912</v>
      </c>
      <c r="D872" s="8" t="s">
        <v>129</v>
      </c>
      <c r="E872" s="8" t="s">
        <v>69</v>
      </c>
      <c r="F872" s="8" t="s">
        <v>35</v>
      </c>
      <c r="G872" s="8" t="s">
        <v>32</v>
      </c>
      <c r="H872" s="8" t="s">
        <v>42</v>
      </c>
      <c r="I872" s="11">
        <v>2</v>
      </c>
      <c r="J872" s="12">
        <v>102</v>
      </c>
      <c r="K872" s="13">
        <v>0.15</v>
      </c>
      <c r="L872" s="12">
        <v>71.86</v>
      </c>
      <c r="M872" s="14">
        <f>ROUND(tblSprzedaz[[#This Row],[Ilość]]*tblSprzedaz[[#This Row],[Cena netto jednostkowa]]*(1-tblSprzedaz[[#This Row],[Rabat %]]),2)</f>
        <v>173.4</v>
      </c>
      <c r="N872" s="14">
        <f>ROUND(tblSprzedaz[[#This Row],[Ilość]]*tblSprzedaz[[#This Row],[Koszt jednostkowy netto]],2)</f>
        <v>143.72</v>
      </c>
      <c r="O872" s="14">
        <f>tblSprzedaz[[#This Row],[Przychód netto]]-tblSprzedaz[[#This Row],[Koszt całkowity netto]]</f>
        <v>29.680000000000007</v>
      </c>
      <c r="P872" s="15">
        <f>IFERROR(tblSprzedaz[[#This Row],[Marża kwotowa]]/tblSprzedaz[[#This Row],[Przychód netto]],0)</f>
        <v>0.17116493656286047</v>
      </c>
      <c r="Q872" s="16">
        <f>YEAR(tblSprzedaz[[#This Row],[Data]])</f>
        <v>2025</v>
      </c>
      <c r="R872" s="16">
        <f>MONTH(tblSprzedaz[[#This Row],[Data]])</f>
        <v>8</v>
      </c>
      <c r="S872" s="9" t="str">
        <f>YEAR(tblSprzedaz[[#This Row],[Data]])&amp;"-"&amp;RIGHT("0"&amp;MONTH(tblSprzedaz[[#This Row],[Data]]),2)</f>
        <v>2025-08</v>
      </c>
    </row>
    <row r="873" spans="1:19" x14ac:dyDescent="0.25">
      <c r="A873" s="7" t="s">
        <v>1913</v>
      </c>
      <c r="B873" s="10">
        <v>45894</v>
      </c>
      <c r="C873" s="7" t="s">
        <v>1914</v>
      </c>
      <c r="D873" s="8" t="s">
        <v>113</v>
      </c>
      <c r="E873" s="8" t="s">
        <v>71</v>
      </c>
      <c r="F873" s="8" t="s">
        <v>35</v>
      </c>
      <c r="G873" s="8" t="s">
        <v>30</v>
      </c>
      <c r="H873" s="8" t="s">
        <v>40</v>
      </c>
      <c r="I873" s="11">
        <v>7</v>
      </c>
      <c r="J873" s="12">
        <v>55.76</v>
      </c>
      <c r="K873" s="13">
        <v>0.15</v>
      </c>
      <c r="L873" s="12">
        <v>40.76</v>
      </c>
      <c r="M873" s="14">
        <f>ROUND(tblSprzedaz[[#This Row],[Ilość]]*tblSprzedaz[[#This Row],[Cena netto jednostkowa]]*(1-tblSprzedaz[[#This Row],[Rabat %]]),2)</f>
        <v>331.77</v>
      </c>
      <c r="N873" s="14">
        <f>ROUND(tblSprzedaz[[#This Row],[Ilość]]*tblSprzedaz[[#This Row],[Koszt jednostkowy netto]],2)</f>
        <v>285.32</v>
      </c>
      <c r="O873" s="14">
        <f>tblSprzedaz[[#This Row],[Przychód netto]]-tblSprzedaz[[#This Row],[Koszt całkowity netto]]</f>
        <v>46.449999999999989</v>
      </c>
      <c r="P873" s="15">
        <f>IFERROR(tblSprzedaz[[#This Row],[Marża kwotowa]]/tblSprzedaz[[#This Row],[Przychód netto]],0)</f>
        <v>0.14000663109985831</v>
      </c>
      <c r="Q873" s="16">
        <f>YEAR(tblSprzedaz[[#This Row],[Data]])</f>
        <v>2025</v>
      </c>
      <c r="R873" s="16">
        <f>MONTH(tblSprzedaz[[#This Row],[Data]])</f>
        <v>8</v>
      </c>
      <c r="S873" s="9" t="str">
        <f>YEAR(tblSprzedaz[[#This Row],[Data]])&amp;"-"&amp;RIGHT("0"&amp;MONTH(tblSprzedaz[[#This Row],[Data]]),2)</f>
        <v>2025-08</v>
      </c>
    </row>
    <row r="874" spans="1:19" x14ac:dyDescent="0.25">
      <c r="A874" s="7" t="s">
        <v>1915</v>
      </c>
      <c r="B874" s="10">
        <v>45895</v>
      </c>
      <c r="C874" s="7" t="s">
        <v>1916</v>
      </c>
      <c r="D874" s="8" t="s">
        <v>95</v>
      </c>
      <c r="E874" s="8" t="s">
        <v>52</v>
      </c>
      <c r="F874" s="8" t="s">
        <v>29</v>
      </c>
      <c r="G874" s="8" t="s">
        <v>32</v>
      </c>
      <c r="H874" s="8" t="s">
        <v>43</v>
      </c>
      <c r="I874" s="11">
        <v>17</v>
      </c>
      <c r="J874" s="12">
        <v>56.78</v>
      </c>
      <c r="K874" s="13">
        <v>0</v>
      </c>
      <c r="L874" s="12">
        <v>31.86</v>
      </c>
      <c r="M874" s="14">
        <f>ROUND(tblSprzedaz[[#This Row],[Ilość]]*tblSprzedaz[[#This Row],[Cena netto jednostkowa]]*(1-tblSprzedaz[[#This Row],[Rabat %]]),2)</f>
        <v>965.26</v>
      </c>
      <c r="N874" s="14">
        <f>ROUND(tblSprzedaz[[#This Row],[Ilość]]*tblSprzedaz[[#This Row],[Koszt jednostkowy netto]],2)</f>
        <v>541.62</v>
      </c>
      <c r="O874" s="14">
        <f>tblSprzedaz[[#This Row],[Przychód netto]]-tblSprzedaz[[#This Row],[Koszt całkowity netto]]</f>
        <v>423.64</v>
      </c>
      <c r="P874" s="15">
        <f>IFERROR(tblSprzedaz[[#This Row],[Marża kwotowa]]/tblSprzedaz[[#This Row],[Przychód netto]],0)</f>
        <v>0.4388869320183163</v>
      </c>
      <c r="Q874" s="16">
        <f>YEAR(tblSprzedaz[[#This Row],[Data]])</f>
        <v>2025</v>
      </c>
      <c r="R874" s="16">
        <f>MONTH(tblSprzedaz[[#This Row],[Data]])</f>
        <v>8</v>
      </c>
      <c r="S874" s="9" t="str">
        <f>YEAR(tblSprzedaz[[#This Row],[Data]])&amp;"-"&amp;RIGHT("0"&amp;MONTH(tblSprzedaz[[#This Row],[Data]]),2)</f>
        <v>2025-08</v>
      </c>
    </row>
    <row r="875" spans="1:19" x14ac:dyDescent="0.25">
      <c r="A875" s="7" t="s">
        <v>1917</v>
      </c>
      <c r="B875" s="10">
        <v>45895</v>
      </c>
      <c r="C875" s="7" t="s">
        <v>1918</v>
      </c>
      <c r="D875" s="8" t="s">
        <v>79</v>
      </c>
      <c r="E875" s="8" t="s">
        <v>73</v>
      </c>
      <c r="F875" s="8" t="s">
        <v>37</v>
      </c>
      <c r="G875" s="8" t="s">
        <v>28</v>
      </c>
      <c r="H875" s="8" t="s">
        <v>38</v>
      </c>
      <c r="I875" s="11">
        <v>7</v>
      </c>
      <c r="J875" s="12">
        <v>110.2</v>
      </c>
      <c r="K875" s="13">
        <v>0</v>
      </c>
      <c r="L875" s="12">
        <v>84.41</v>
      </c>
      <c r="M875" s="14">
        <f>ROUND(tblSprzedaz[[#This Row],[Ilość]]*tblSprzedaz[[#This Row],[Cena netto jednostkowa]]*(1-tblSprzedaz[[#This Row],[Rabat %]]),2)</f>
        <v>771.4</v>
      </c>
      <c r="N875" s="14">
        <f>ROUND(tblSprzedaz[[#This Row],[Ilość]]*tblSprzedaz[[#This Row],[Koszt jednostkowy netto]],2)</f>
        <v>590.87</v>
      </c>
      <c r="O875" s="14">
        <f>tblSprzedaz[[#This Row],[Przychód netto]]-tblSprzedaz[[#This Row],[Koszt całkowity netto]]</f>
        <v>180.52999999999997</v>
      </c>
      <c r="P875" s="15">
        <f>IFERROR(tblSprzedaz[[#This Row],[Marża kwotowa]]/tblSprzedaz[[#This Row],[Przychód netto]],0)</f>
        <v>0.23402903811252265</v>
      </c>
      <c r="Q875" s="16">
        <f>YEAR(tblSprzedaz[[#This Row],[Data]])</f>
        <v>2025</v>
      </c>
      <c r="R875" s="16">
        <f>MONTH(tblSprzedaz[[#This Row],[Data]])</f>
        <v>8</v>
      </c>
      <c r="S875" s="9" t="str">
        <f>YEAR(tblSprzedaz[[#This Row],[Data]])&amp;"-"&amp;RIGHT("0"&amp;MONTH(tblSprzedaz[[#This Row],[Data]]),2)</f>
        <v>2025-08</v>
      </c>
    </row>
    <row r="876" spans="1:19" x14ac:dyDescent="0.25">
      <c r="A876" s="7" t="s">
        <v>1919</v>
      </c>
      <c r="B876" s="10">
        <v>45895</v>
      </c>
      <c r="C876" s="7" t="s">
        <v>1920</v>
      </c>
      <c r="D876" s="8" t="s">
        <v>122</v>
      </c>
      <c r="E876" s="8" t="s">
        <v>61</v>
      </c>
      <c r="F876" s="8" t="s">
        <v>33</v>
      </c>
      <c r="G876" s="8" t="s">
        <v>30</v>
      </c>
      <c r="H876" s="8" t="s">
        <v>40</v>
      </c>
      <c r="I876" s="11">
        <v>14</v>
      </c>
      <c r="J876" s="12">
        <v>533.6</v>
      </c>
      <c r="K876" s="13">
        <v>0.05</v>
      </c>
      <c r="L876" s="12">
        <v>343.18</v>
      </c>
      <c r="M876" s="14">
        <f>ROUND(tblSprzedaz[[#This Row],[Ilość]]*tblSprzedaz[[#This Row],[Cena netto jednostkowa]]*(1-tblSprzedaz[[#This Row],[Rabat %]]),2)</f>
        <v>7096.88</v>
      </c>
      <c r="N876" s="14">
        <f>ROUND(tblSprzedaz[[#This Row],[Ilość]]*tblSprzedaz[[#This Row],[Koszt jednostkowy netto]],2)</f>
        <v>4804.5200000000004</v>
      </c>
      <c r="O876" s="14">
        <f>tblSprzedaz[[#This Row],[Przychód netto]]-tblSprzedaz[[#This Row],[Koszt całkowity netto]]</f>
        <v>2292.3599999999997</v>
      </c>
      <c r="P876" s="15">
        <f>IFERROR(tblSprzedaz[[#This Row],[Marża kwotowa]]/tblSprzedaz[[#This Row],[Przychód netto]],0)</f>
        <v>0.32300954785765007</v>
      </c>
      <c r="Q876" s="16">
        <f>YEAR(tblSprzedaz[[#This Row],[Data]])</f>
        <v>2025</v>
      </c>
      <c r="R876" s="16">
        <f>MONTH(tblSprzedaz[[#This Row],[Data]])</f>
        <v>8</v>
      </c>
      <c r="S876" s="9" t="str">
        <f>YEAR(tblSprzedaz[[#This Row],[Data]])&amp;"-"&amp;RIGHT("0"&amp;MONTH(tblSprzedaz[[#This Row],[Data]]),2)</f>
        <v>2025-08</v>
      </c>
    </row>
    <row r="877" spans="1:19" x14ac:dyDescent="0.25">
      <c r="A877" s="7" t="s">
        <v>1921</v>
      </c>
      <c r="B877" s="10">
        <v>45895</v>
      </c>
      <c r="C877" s="7" t="s">
        <v>1922</v>
      </c>
      <c r="D877" s="8" t="s">
        <v>99</v>
      </c>
      <c r="E877" s="8" t="s">
        <v>76</v>
      </c>
      <c r="F877" s="8" t="s">
        <v>37</v>
      </c>
      <c r="G877" s="8" t="s">
        <v>32</v>
      </c>
      <c r="H877" s="8" t="s">
        <v>42</v>
      </c>
      <c r="I877" s="11">
        <v>21</v>
      </c>
      <c r="J877" s="12">
        <v>158.65</v>
      </c>
      <c r="K877" s="13">
        <v>0.15</v>
      </c>
      <c r="L877" s="12">
        <v>123.49</v>
      </c>
      <c r="M877" s="14">
        <f>ROUND(tblSprzedaz[[#This Row],[Ilość]]*tblSprzedaz[[#This Row],[Cena netto jednostkowa]]*(1-tblSprzedaz[[#This Row],[Rabat %]]),2)</f>
        <v>2831.9</v>
      </c>
      <c r="N877" s="14">
        <f>ROUND(tblSprzedaz[[#This Row],[Ilość]]*tblSprzedaz[[#This Row],[Koszt jednostkowy netto]],2)</f>
        <v>2593.29</v>
      </c>
      <c r="O877" s="14">
        <f>tblSprzedaz[[#This Row],[Przychód netto]]-tblSprzedaz[[#This Row],[Koszt całkowity netto]]</f>
        <v>238.61000000000013</v>
      </c>
      <c r="P877" s="15">
        <f>IFERROR(tblSprzedaz[[#This Row],[Marża kwotowa]]/tblSprzedaz[[#This Row],[Przychód netto]],0)</f>
        <v>8.4257918711818966E-2</v>
      </c>
      <c r="Q877" s="16">
        <f>YEAR(tblSprzedaz[[#This Row],[Data]])</f>
        <v>2025</v>
      </c>
      <c r="R877" s="16">
        <f>MONTH(tblSprzedaz[[#This Row],[Data]])</f>
        <v>8</v>
      </c>
      <c r="S877" s="9" t="str">
        <f>YEAR(tblSprzedaz[[#This Row],[Data]])&amp;"-"&amp;RIGHT("0"&amp;MONTH(tblSprzedaz[[#This Row],[Data]]),2)</f>
        <v>2025-08</v>
      </c>
    </row>
    <row r="878" spans="1:19" x14ac:dyDescent="0.25">
      <c r="A878" s="7" t="s">
        <v>1923</v>
      </c>
      <c r="B878" s="10">
        <v>45896</v>
      </c>
      <c r="C878" s="7" t="s">
        <v>1924</v>
      </c>
      <c r="D878" s="8" t="s">
        <v>152</v>
      </c>
      <c r="E878" s="8" t="s">
        <v>65</v>
      </c>
      <c r="F878" s="8" t="s">
        <v>33</v>
      </c>
      <c r="G878" s="8" t="s">
        <v>30</v>
      </c>
      <c r="H878" s="8" t="s">
        <v>41</v>
      </c>
      <c r="I878" s="11">
        <v>13</v>
      </c>
      <c r="J878" s="12">
        <v>377.2</v>
      </c>
      <c r="K878" s="13">
        <v>0.1</v>
      </c>
      <c r="L878" s="12">
        <v>269.70999999999998</v>
      </c>
      <c r="M878" s="14">
        <f>ROUND(tblSprzedaz[[#This Row],[Ilość]]*tblSprzedaz[[#This Row],[Cena netto jednostkowa]]*(1-tblSprzedaz[[#This Row],[Rabat %]]),2)</f>
        <v>4413.24</v>
      </c>
      <c r="N878" s="14">
        <f>ROUND(tblSprzedaz[[#This Row],[Ilość]]*tblSprzedaz[[#This Row],[Koszt jednostkowy netto]],2)</f>
        <v>3506.23</v>
      </c>
      <c r="O878" s="14">
        <f>tblSprzedaz[[#This Row],[Przychód netto]]-tblSprzedaz[[#This Row],[Koszt całkowity netto]]</f>
        <v>907.00999999999976</v>
      </c>
      <c r="P878" s="15">
        <f>IFERROR(tblSprzedaz[[#This Row],[Marża kwotowa]]/tblSprzedaz[[#This Row],[Przychód netto]],0)</f>
        <v>0.20552020737598675</v>
      </c>
      <c r="Q878" s="16">
        <f>YEAR(tblSprzedaz[[#This Row],[Data]])</f>
        <v>2025</v>
      </c>
      <c r="R878" s="16">
        <f>MONTH(tblSprzedaz[[#This Row],[Data]])</f>
        <v>8</v>
      </c>
      <c r="S878" s="9" t="str">
        <f>YEAR(tblSprzedaz[[#This Row],[Data]])&amp;"-"&amp;RIGHT("0"&amp;MONTH(tblSprzedaz[[#This Row],[Data]]),2)</f>
        <v>2025-08</v>
      </c>
    </row>
    <row r="879" spans="1:19" x14ac:dyDescent="0.25">
      <c r="A879" s="7" t="s">
        <v>1925</v>
      </c>
      <c r="B879" s="10">
        <v>45896</v>
      </c>
      <c r="C879" s="7" t="s">
        <v>1926</v>
      </c>
      <c r="D879" s="8" t="s">
        <v>128</v>
      </c>
      <c r="E879" s="8" t="s">
        <v>69</v>
      </c>
      <c r="F879" s="8" t="s">
        <v>35</v>
      </c>
      <c r="G879" s="8" t="s">
        <v>32</v>
      </c>
      <c r="H879" s="8" t="s">
        <v>42</v>
      </c>
      <c r="I879" s="11">
        <v>19</v>
      </c>
      <c r="J879" s="12">
        <v>102</v>
      </c>
      <c r="K879" s="13">
        <v>0.15</v>
      </c>
      <c r="L879" s="12">
        <v>71.55</v>
      </c>
      <c r="M879" s="14">
        <f>ROUND(tblSprzedaz[[#This Row],[Ilość]]*tblSprzedaz[[#This Row],[Cena netto jednostkowa]]*(1-tblSprzedaz[[#This Row],[Rabat %]]),2)</f>
        <v>1647.3</v>
      </c>
      <c r="N879" s="14">
        <f>ROUND(tblSprzedaz[[#This Row],[Ilość]]*tblSprzedaz[[#This Row],[Koszt jednostkowy netto]],2)</f>
        <v>1359.45</v>
      </c>
      <c r="O879" s="14">
        <f>tblSprzedaz[[#This Row],[Przychód netto]]-tblSprzedaz[[#This Row],[Koszt całkowity netto]]</f>
        <v>287.84999999999991</v>
      </c>
      <c r="P879" s="15">
        <f>IFERROR(tblSprzedaz[[#This Row],[Marża kwotowa]]/tblSprzedaz[[#This Row],[Przychód netto]],0)</f>
        <v>0.1747404844290657</v>
      </c>
      <c r="Q879" s="16">
        <f>YEAR(tblSprzedaz[[#This Row],[Data]])</f>
        <v>2025</v>
      </c>
      <c r="R879" s="16">
        <f>MONTH(tblSprzedaz[[#This Row],[Data]])</f>
        <v>8</v>
      </c>
      <c r="S879" s="9" t="str">
        <f>YEAR(tblSprzedaz[[#This Row],[Data]])&amp;"-"&amp;RIGHT("0"&amp;MONTH(tblSprzedaz[[#This Row],[Data]]),2)</f>
        <v>2025-08</v>
      </c>
    </row>
    <row r="880" spans="1:19" x14ac:dyDescent="0.25">
      <c r="A880" s="7" t="s">
        <v>1927</v>
      </c>
      <c r="B880" s="10">
        <v>45896</v>
      </c>
      <c r="C880" s="7" t="s">
        <v>1928</v>
      </c>
      <c r="D880" s="8" t="s">
        <v>130</v>
      </c>
      <c r="E880" s="8" t="s">
        <v>76</v>
      </c>
      <c r="F880" s="8" t="s">
        <v>37</v>
      </c>
      <c r="G880" s="8" t="s">
        <v>30</v>
      </c>
      <c r="H880" s="8" t="s">
        <v>40</v>
      </c>
      <c r="I880" s="11">
        <v>14</v>
      </c>
      <c r="J880" s="12">
        <v>158.65</v>
      </c>
      <c r="K880" s="13">
        <v>0</v>
      </c>
      <c r="L880" s="12">
        <v>119.98</v>
      </c>
      <c r="M880" s="14">
        <f>ROUND(tblSprzedaz[[#This Row],[Ilość]]*tblSprzedaz[[#This Row],[Cena netto jednostkowa]]*(1-tblSprzedaz[[#This Row],[Rabat %]]),2)</f>
        <v>2221.1</v>
      </c>
      <c r="N880" s="14">
        <f>ROUND(tblSprzedaz[[#This Row],[Ilość]]*tblSprzedaz[[#This Row],[Koszt jednostkowy netto]],2)</f>
        <v>1679.72</v>
      </c>
      <c r="O880" s="14">
        <f>tblSprzedaz[[#This Row],[Przychód netto]]-tblSprzedaz[[#This Row],[Koszt całkowity netto]]</f>
        <v>541.37999999999988</v>
      </c>
      <c r="P880" s="15">
        <f>IFERROR(tblSprzedaz[[#This Row],[Marża kwotowa]]/tblSprzedaz[[#This Row],[Przychód netto]],0)</f>
        <v>0.2437440907658367</v>
      </c>
      <c r="Q880" s="16">
        <f>YEAR(tblSprzedaz[[#This Row],[Data]])</f>
        <v>2025</v>
      </c>
      <c r="R880" s="16">
        <f>MONTH(tblSprzedaz[[#This Row],[Data]])</f>
        <v>8</v>
      </c>
      <c r="S880" s="9" t="str">
        <f>YEAR(tblSprzedaz[[#This Row],[Data]])&amp;"-"&amp;RIGHT("0"&amp;MONTH(tblSprzedaz[[#This Row],[Data]]),2)</f>
        <v>2025-08</v>
      </c>
    </row>
    <row r="881" spans="1:19" x14ac:dyDescent="0.25">
      <c r="A881" s="7" t="s">
        <v>1929</v>
      </c>
      <c r="B881" s="10">
        <v>45896</v>
      </c>
      <c r="C881" s="7" t="s">
        <v>1930</v>
      </c>
      <c r="D881" s="8" t="s">
        <v>119</v>
      </c>
      <c r="E881" s="8" t="s">
        <v>61</v>
      </c>
      <c r="F881" s="8" t="s">
        <v>33</v>
      </c>
      <c r="G881" s="8" t="s">
        <v>34</v>
      </c>
      <c r="H881" s="8" t="s">
        <v>44</v>
      </c>
      <c r="I881" s="11">
        <v>1</v>
      </c>
      <c r="J881" s="12">
        <v>533.6</v>
      </c>
      <c r="K881" s="13">
        <v>0.15</v>
      </c>
      <c r="L881" s="12">
        <v>344.59</v>
      </c>
      <c r="M881" s="14">
        <f>ROUND(tblSprzedaz[[#This Row],[Ilość]]*tblSprzedaz[[#This Row],[Cena netto jednostkowa]]*(1-tblSprzedaz[[#This Row],[Rabat %]]),2)</f>
        <v>453.56</v>
      </c>
      <c r="N881" s="14">
        <f>ROUND(tblSprzedaz[[#This Row],[Ilość]]*tblSprzedaz[[#This Row],[Koszt jednostkowy netto]],2)</f>
        <v>344.59</v>
      </c>
      <c r="O881" s="14">
        <f>tblSprzedaz[[#This Row],[Przychód netto]]-tblSprzedaz[[#This Row],[Koszt całkowity netto]]</f>
        <v>108.97000000000003</v>
      </c>
      <c r="P881" s="15">
        <f>IFERROR(tblSprzedaz[[#This Row],[Marża kwotowa]]/tblSprzedaz[[#This Row],[Przychód netto]],0)</f>
        <v>0.24025487256371819</v>
      </c>
      <c r="Q881" s="16">
        <f>YEAR(tblSprzedaz[[#This Row],[Data]])</f>
        <v>2025</v>
      </c>
      <c r="R881" s="16">
        <f>MONTH(tblSprzedaz[[#This Row],[Data]])</f>
        <v>8</v>
      </c>
      <c r="S881" s="9" t="str">
        <f>YEAR(tblSprzedaz[[#This Row],[Data]])&amp;"-"&amp;RIGHT("0"&amp;MONTH(tblSprzedaz[[#This Row],[Data]]),2)</f>
        <v>2025-08</v>
      </c>
    </row>
    <row r="882" spans="1:19" x14ac:dyDescent="0.25">
      <c r="A882" s="7" t="s">
        <v>1931</v>
      </c>
      <c r="B882" s="10">
        <v>45897</v>
      </c>
      <c r="C882" s="7" t="s">
        <v>1932</v>
      </c>
      <c r="D882" s="8" t="s">
        <v>111</v>
      </c>
      <c r="E882" s="8" t="s">
        <v>48</v>
      </c>
      <c r="F882" s="8" t="s">
        <v>29</v>
      </c>
      <c r="G882" s="8" t="s">
        <v>28</v>
      </c>
      <c r="H882" s="8" t="s">
        <v>38</v>
      </c>
      <c r="I882" s="11">
        <v>2</v>
      </c>
      <c r="J882" s="12">
        <v>33.659999999999997</v>
      </c>
      <c r="K882" s="13">
        <v>0</v>
      </c>
      <c r="L882" s="12">
        <v>19.45</v>
      </c>
      <c r="M882" s="14">
        <f>ROUND(tblSprzedaz[[#This Row],[Ilość]]*tblSprzedaz[[#This Row],[Cena netto jednostkowa]]*(1-tblSprzedaz[[#This Row],[Rabat %]]),2)</f>
        <v>67.319999999999993</v>
      </c>
      <c r="N882" s="14">
        <f>ROUND(tblSprzedaz[[#This Row],[Ilość]]*tblSprzedaz[[#This Row],[Koszt jednostkowy netto]],2)</f>
        <v>38.9</v>
      </c>
      <c r="O882" s="14">
        <f>tblSprzedaz[[#This Row],[Przychód netto]]-tblSprzedaz[[#This Row],[Koszt całkowity netto]]</f>
        <v>28.419999999999995</v>
      </c>
      <c r="P882" s="15">
        <f>IFERROR(tblSprzedaz[[#This Row],[Marża kwotowa]]/tblSprzedaz[[#This Row],[Przychód netto]],0)</f>
        <v>0.42216280451574567</v>
      </c>
      <c r="Q882" s="16">
        <f>YEAR(tblSprzedaz[[#This Row],[Data]])</f>
        <v>2025</v>
      </c>
      <c r="R882" s="16">
        <f>MONTH(tblSprzedaz[[#This Row],[Data]])</f>
        <v>8</v>
      </c>
      <c r="S882" s="9" t="str">
        <f>YEAR(tblSprzedaz[[#This Row],[Data]])&amp;"-"&amp;RIGHT("0"&amp;MONTH(tblSprzedaz[[#This Row],[Data]]),2)</f>
        <v>2025-08</v>
      </c>
    </row>
    <row r="883" spans="1:19" x14ac:dyDescent="0.25">
      <c r="A883" s="7" t="s">
        <v>1933</v>
      </c>
      <c r="B883" s="10">
        <v>45897</v>
      </c>
      <c r="C883" s="7" t="s">
        <v>1934</v>
      </c>
      <c r="D883" s="8" t="s">
        <v>143</v>
      </c>
      <c r="E883" s="8" t="s">
        <v>57</v>
      </c>
      <c r="F883" s="8" t="s">
        <v>31</v>
      </c>
      <c r="G883" s="8" t="s">
        <v>34</v>
      </c>
      <c r="H883" s="8" t="s">
        <v>44</v>
      </c>
      <c r="I883" s="11">
        <v>5</v>
      </c>
      <c r="J883" s="12">
        <v>315</v>
      </c>
      <c r="K883" s="13">
        <v>0.05</v>
      </c>
      <c r="L883" s="12">
        <v>193.55</v>
      </c>
      <c r="M883" s="14">
        <f>ROUND(tblSprzedaz[[#This Row],[Ilość]]*tblSprzedaz[[#This Row],[Cena netto jednostkowa]]*(1-tblSprzedaz[[#This Row],[Rabat %]]),2)</f>
        <v>1496.25</v>
      </c>
      <c r="N883" s="14">
        <f>ROUND(tblSprzedaz[[#This Row],[Ilość]]*tblSprzedaz[[#This Row],[Koszt jednostkowy netto]],2)</f>
        <v>967.75</v>
      </c>
      <c r="O883" s="14">
        <f>tblSprzedaz[[#This Row],[Przychód netto]]-tblSprzedaz[[#This Row],[Koszt całkowity netto]]</f>
        <v>528.5</v>
      </c>
      <c r="P883" s="15">
        <f>IFERROR(tblSprzedaz[[#This Row],[Marża kwotowa]]/tblSprzedaz[[#This Row],[Przychód netto]],0)</f>
        <v>0.35321637426900587</v>
      </c>
      <c r="Q883" s="16">
        <f>YEAR(tblSprzedaz[[#This Row],[Data]])</f>
        <v>2025</v>
      </c>
      <c r="R883" s="16">
        <f>MONTH(tblSprzedaz[[#This Row],[Data]])</f>
        <v>8</v>
      </c>
      <c r="S883" s="9" t="str">
        <f>YEAR(tblSprzedaz[[#This Row],[Data]])&amp;"-"&amp;RIGHT("0"&amp;MONTH(tblSprzedaz[[#This Row],[Data]]),2)</f>
        <v>2025-08</v>
      </c>
    </row>
    <row r="884" spans="1:19" x14ac:dyDescent="0.25">
      <c r="A884" s="7" t="s">
        <v>1935</v>
      </c>
      <c r="B884" s="10">
        <v>45897</v>
      </c>
      <c r="C884" s="7" t="s">
        <v>1936</v>
      </c>
      <c r="D884" s="8" t="s">
        <v>88</v>
      </c>
      <c r="E884" s="8" t="s">
        <v>74</v>
      </c>
      <c r="F884" s="8" t="s">
        <v>37</v>
      </c>
      <c r="G884" s="8" t="s">
        <v>30</v>
      </c>
      <c r="H884" s="8" t="s">
        <v>40</v>
      </c>
      <c r="I884" s="11">
        <v>19</v>
      </c>
      <c r="J884" s="12">
        <v>126.35</v>
      </c>
      <c r="K884" s="13">
        <v>0</v>
      </c>
      <c r="L884" s="12">
        <v>101.43</v>
      </c>
      <c r="M884" s="14">
        <f>ROUND(tblSprzedaz[[#This Row],[Ilość]]*tblSprzedaz[[#This Row],[Cena netto jednostkowa]]*(1-tblSprzedaz[[#This Row],[Rabat %]]),2)</f>
        <v>2400.65</v>
      </c>
      <c r="N884" s="14">
        <f>ROUND(tblSprzedaz[[#This Row],[Ilość]]*tblSprzedaz[[#This Row],[Koszt jednostkowy netto]],2)</f>
        <v>1927.17</v>
      </c>
      <c r="O884" s="14">
        <f>tblSprzedaz[[#This Row],[Przychód netto]]-tblSprzedaz[[#This Row],[Koszt całkowity netto]]</f>
        <v>473.48</v>
      </c>
      <c r="P884" s="15">
        <f>IFERROR(tblSprzedaz[[#This Row],[Marża kwotowa]]/tblSprzedaz[[#This Row],[Przychód netto]],0)</f>
        <v>0.19722991689750694</v>
      </c>
      <c r="Q884" s="16">
        <f>YEAR(tblSprzedaz[[#This Row],[Data]])</f>
        <v>2025</v>
      </c>
      <c r="R884" s="16">
        <f>MONTH(tblSprzedaz[[#This Row],[Data]])</f>
        <v>8</v>
      </c>
      <c r="S884" s="9" t="str">
        <f>YEAR(tblSprzedaz[[#This Row],[Data]])&amp;"-"&amp;RIGHT("0"&amp;MONTH(tblSprzedaz[[#This Row],[Data]]),2)</f>
        <v>2025-08</v>
      </c>
    </row>
    <row r="885" spans="1:19" x14ac:dyDescent="0.25">
      <c r="A885" s="7" t="s">
        <v>1937</v>
      </c>
      <c r="B885" s="10">
        <v>45897</v>
      </c>
      <c r="C885" s="7" t="s">
        <v>1938</v>
      </c>
      <c r="D885" s="8" t="s">
        <v>134</v>
      </c>
      <c r="E885" s="8" t="s">
        <v>70</v>
      </c>
      <c r="F885" s="8" t="s">
        <v>35</v>
      </c>
      <c r="G885" s="8" t="s">
        <v>30</v>
      </c>
      <c r="H885" s="8" t="s">
        <v>41</v>
      </c>
      <c r="I885" s="11">
        <v>10</v>
      </c>
      <c r="J885" s="12">
        <v>113.56</v>
      </c>
      <c r="K885" s="13">
        <v>0.05</v>
      </c>
      <c r="L885" s="12">
        <v>82.29</v>
      </c>
      <c r="M885" s="14">
        <f>ROUND(tblSprzedaz[[#This Row],[Ilość]]*tblSprzedaz[[#This Row],[Cena netto jednostkowa]]*(1-tblSprzedaz[[#This Row],[Rabat %]]),2)</f>
        <v>1078.82</v>
      </c>
      <c r="N885" s="14">
        <f>ROUND(tblSprzedaz[[#This Row],[Ilość]]*tblSprzedaz[[#This Row],[Koszt jednostkowy netto]],2)</f>
        <v>822.9</v>
      </c>
      <c r="O885" s="14">
        <f>tblSprzedaz[[#This Row],[Przychód netto]]-tblSprzedaz[[#This Row],[Koszt całkowity netto]]</f>
        <v>255.91999999999996</v>
      </c>
      <c r="P885" s="15">
        <f>IFERROR(tblSprzedaz[[#This Row],[Marża kwotowa]]/tblSprzedaz[[#This Row],[Przychód netto]],0)</f>
        <v>0.23722215012699058</v>
      </c>
      <c r="Q885" s="16">
        <f>YEAR(tblSprzedaz[[#This Row],[Data]])</f>
        <v>2025</v>
      </c>
      <c r="R885" s="16">
        <f>MONTH(tblSprzedaz[[#This Row],[Data]])</f>
        <v>8</v>
      </c>
      <c r="S885" s="9" t="str">
        <f>YEAR(tblSprzedaz[[#This Row],[Data]])&amp;"-"&amp;RIGHT("0"&amp;MONTH(tblSprzedaz[[#This Row],[Data]]),2)</f>
        <v>2025-08</v>
      </c>
    </row>
    <row r="886" spans="1:19" x14ac:dyDescent="0.25">
      <c r="A886" s="7" t="s">
        <v>1939</v>
      </c>
      <c r="B886" s="10">
        <v>45897</v>
      </c>
      <c r="C886" s="7" t="s">
        <v>1940</v>
      </c>
      <c r="D886" s="8" t="s">
        <v>81</v>
      </c>
      <c r="E886" s="8" t="s">
        <v>48</v>
      </c>
      <c r="F886" s="8" t="s">
        <v>29</v>
      </c>
      <c r="G886" s="8" t="s">
        <v>36</v>
      </c>
      <c r="H886" s="8" t="s">
        <v>46</v>
      </c>
      <c r="I886" s="11">
        <v>8</v>
      </c>
      <c r="J886" s="12">
        <v>33.659999999999997</v>
      </c>
      <c r="K886" s="13">
        <v>0.1</v>
      </c>
      <c r="L886" s="12">
        <v>18.55</v>
      </c>
      <c r="M886" s="14">
        <f>ROUND(tblSprzedaz[[#This Row],[Ilość]]*tblSprzedaz[[#This Row],[Cena netto jednostkowa]]*(1-tblSprzedaz[[#This Row],[Rabat %]]),2)</f>
        <v>242.35</v>
      </c>
      <c r="N886" s="14">
        <f>ROUND(tblSprzedaz[[#This Row],[Ilość]]*tblSprzedaz[[#This Row],[Koszt jednostkowy netto]],2)</f>
        <v>148.4</v>
      </c>
      <c r="O886" s="14">
        <f>tblSprzedaz[[#This Row],[Przychód netto]]-tblSprzedaz[[#This Row],[Koszt całkowity netto]]</f>
        <v>93.949999999999989</v>
      </c>
      <c r="P886" s="15">
        <f>IFERROR(tblSprzedaz[[#This Row],[Marża kwotowa]]/tblSprzedaz[[#This Row],[Przychód netto]],0)</f>
        <v>0.38766247163193723</v>
      </c>
      <c r="Q886" s="16">
        <f>YEAR(tblSprzedaz[[#This Row],[Data]])</f>
        <v>2025</v>
      </c>
      <c r="R886" s="16">
        <f>MONTH(tblSprzedaz[[#This Row],[Data]])</f>
        <v>8</v>
      </c>
      <c r="S886" s="9" t="str">
        <f>YEAR(tblSprzedaz[[#This Row],[Data]])&amp;"-"&amp;RIGHT("0"&amp;MONTH(tblSprzedaz[[#This Row],[Data]]),2)</f>
        <v>2025-08</v>
      </c>
    </row>
    <row r="887" spans="1:19" x14ac:dyDescent="0.25">
      <c r="A887" s="7" t="s">
        <v>1941</v>
      </c>
      <c r="B887" s="10">
        <v>45898</v>
      </c>
      <c r="C887" s="7" t="s">
        <v>1942</v>
      </c>
      <c r="D887" s="8" t="s">
        <v>133</v>
      </c>
      <c r="E887" s="8" t="s">
        <v>55</v>
      </c>
      <c r="F887" s="8" t="s">
        <v>31</v>
      </c>
      <c r="G887" s="8" t="s">
        <v>36</v>
      </c>
      <c r="H887" s="8" t="s">
        <v>46</v>
      </c>
      <c r="I887" s="11">
        <v>5</v>
      </c>
      <c r="J887" s="12">
        <v>243.6</v>
      </c>
      <c r="K887" s="13">
        <v>0.05</v>
      </c>
      <c r="L887" s="12">
        <v>147.97999999999999</v>
      </c>
      <c r="M887" s="14">
        <f>ROUND(tblSprzedaz[[#This Row],[Ilość]]*tblSprzedaz[[#This Row],[Cena netto jednostkowa]]*(1-tblSprzedaz[[#This Row],[Rabat %]]),2)</f>
        <v>1157.0999999999999</v>
      </c>
      <c r="N887" s="14">
        <f>ROUND(tblSprzedaz[[#This Row],[Ilość]]*tblSprzedaz[[#This Row],[Koszt jednostkowy netto]],2)</f>
        <v>739.9</v>
      </c>
      <c r="O887" s="14">
        <f>tblSprzedaz[[#This Row],[Przychód netto]]-tblSprzedaz[[#This Row],[Koszt całkowity netto]]</f>
        <v>417.19999999999993</v>
      </c>
      <c r="P887" s="15">
        <f>IFERROR(tblSprzedaz[[#This Row],[Marża kwotowa]]/tblSprzedaz[[#This Row],[Przychód netto]],0)</f>
        <v>0.36055656382335144</v>
      </c>
      <c r="Q887" s="16">
        <f>YEAR(tblSprzedaz[[#This Row],[Data]])</f>
        <v>2025</v>
      </c>
      <c r="R887" s="16">
        <f>MONTH(tblSprzedaz[[#This Row],[Data]])</f>
        <v>8</v>
      </c>
      <c r="S887" s="9" t="str">
        <f>YEAR(tblSprzedaz[[#This Row],[Data]])&amp;"-"&amp;RIGHT("0"&amp;MONTH(tblSprzedaz[[#This Row],[Data]]),2)</f>
        <v>2025-08</v>
      </c>
    </row>
    <row r="888" spans="1:19" x14ac:dyDescent="0.25">
      <c r="A888" s="7" t="s">
        <v>1943</v>
      </c>
      <c r="B888" s="10">
        <v>45898</v>
      </c>
      <c r="C888" s="7" t="s">
        <v>1944</v>
      </c>
      <c r="D888" s="8" t="s">
        <v>87</v>
      </c>
      <c r="E888" s="8" t="s">
        <v>62</v>
      </c>
      <c r="F888" s="8" t="s">
        <v>33</v>
      </c>
      <c r="G888" s="8" t="s">
        <v>30</v>
      </c>
      <c r="H888" s="8" t="s">
        <v>40</v>
      </c>
      <c r="I888" s="11">
        <v>16</v>
      </c>
      <c r="J888" s="12">
        <v>611.79999999999995</v>
      </c>
      <c r="K888" s="13">
        <v>0</v>
      </c>
      <c r="L888" s="12">
        <v>421.03</v>
      </c>
      <c r="M888" s="14">
        <f>ROUND(tblSprzedaz[[#This Row],[Ilość]]*tblSprzedaz[[#This Row],[Cena netto jednostkowa]]*(1-tblSprzedaz[[#This Row],[Rabat %]]),2)</f>
        <v>9788.7999999999993</v>
      </c>
      <c r="N888" s="14">
        <f>ROUND(tblSprzedaz[[#This Row],[Ilość]]*tblSprzedaz[[#This Row],[Koszt jednostkowy netto]],2)</f>
        <v>6736.48</v>
      </c>
      <c r="O888" s="14">
        <f>tblSprzedaz[[#This Row],[Przychód netto]]-tblSprzedaz[[#This Row],[Koszt całkowity netto]]</f>
        <v>3052.3199999999997</v>
      </c>
      <c r="P888" s="15">
        <f>IFERROR(tblSprzedaz[[#This Row],[Marża kwotowa]]/tblSprzedaz[[#This Row],[Przychód netto]],0)</f>
        <v>0.31181758744687804</v>
      </c>
      <c r="Q888" s="16">
        <f>YEAR(tblSprzedaz[[#This Row],[Data]])</f>
        <v>2025</v>
      </c>
      <c r="R888" s="16">
        <f>MONTH(tblSprzedaz[[#This Row],[Data]])</f>
        <v>8</v>
      </c>
      <c r="S888" s="9" t="str">
        <f>YEAR(tblSprzedaz[[#This Row],[Data]])&amp;"-"&amp;RIGHT("0"&amp;MONTH(tblSprzedaz[[#This Row],[Data]]),2)</f>
        <v>2025-08</v>
      </c>
    </row>
    <row r="889" spans="1:19" x14ac:dyDescent="0.25">
      <c r="A889" s="7" t="s">
        <v>1945</v>
      </c>
      <c r="B889" s="10">
        <v>45898</v>
      </c>
      <c r="C889" s="7" t="s">
        <v>1946</v>
      </c>
      <c r="D889" s="8" t="s">
        <v>152</v>
      </c>
      <c r="E889" s="8" t="s">
        <v>72</v>
      </c>
      <c r="F889" s="8" t="s">
        <v>37</v>
      </c>
      <c r="G889" s="8" t="s">
        <v>36</v>
      </c>
      <c r="H889" s="8" t="s">
        <v>46</v>
      </c>
      <c r="I889" s="11">
        <v>12</v>
      </c>
      <c r="J889" s="12">
        <v>94.05</v>
      </c>
      <c r="K889" s="13">
        <v>0</v>
      </c>
      <c r="L889" s="12">
        <v>74.55</v>
      </c>
      <c r="M889" s="14">
        <f>ROUND(tblSprzedaz[[#This Row],[Ilość]]*tblSprzedaz[[#This Row],[Cena netto jednostkowa]]*(1-tblSprzedaz[[#This Row],[Rabat %]]),2)</f>
        <v>1128.5999999999999</v>
      </c>
      <c r="N889" s="14">
        <f>ROUND(tblSprzedaz[[#This Row],[Ilość]]*tblSprzedaz[[#This Row],[Koszt jednostkowy netto]],2)</f>
        <v>894.6</v>
      </c>
      <c r="O889" s="14">
        <f>tblSprzedaz[[#This Row],[Przychód netto]]-tblSprzedaz[[#This Row],[Koszt całkowity netto]]</f>
        <v>233.99999999999989</v>
      </c>
      <c r="P889" s="15">
        <f>IFERROR(tblSprzedaz[[#This Row],[Marża kwotowa]]/tblSprzedaz[[#This Row],[Przychód netto]],0)</f>
        <v>0.20733652312599674</v>
      </c>
      <c r="Q889" s="16">
        <f>YEAR(tblSprzedaz[[#This Row],[Data]])</f>
        <v>2025</v>
      </c>
      <c r="R889" s="16">
        <f>MONTH(tblSprzedaz[[#This Row],[Data]])</f>
        <v>8</v>
      </c>
      <c r="S889" s="9" t="str">
        <f>YEAR(tblSprzedaz[[#This Row],[Data]])&amp;"-"&amp;RIGHT("0"&amp;MONTH(tblSprzedaz[[#This Row],[Data]]),2)</f>
        <v>2025-08</v>
      </c>
    </row>
    <row r="890" spans="1:19" x14ac:dyDescent="0.25">
      <c r="A890" s="7" t="s">
        <v>1947</v>
      </c>
      <c r="B890" s="10">
        <v>45898</v>
      </c>
      <c r="C890" s="7" t="s">
        <v>1948</v>
      </c>
      <c r="D890" s="8" t="s">
        <v>129</v>
      </c>
      <c r="E890" s="8" t="s">
        <v>69</v>
      </c>
      <c r="F890" s="8" t="s">
        <v>35</v>
      </c>
      <c r="G890" s="8" t="s">
        <v>28</v>
      </c>
      <c r="H890" s="8" t="s">
        <v>38</v>
      </c>
      <c r="I890" s="11">
        <v>3</v>
      </c>
      <c r="J890" s="12">
        <v>102</v>
      </c>
      <c r="K890" s="13">
        <v>0.05</v>
      </c>
      <c r="L890" s="12">
        <v>73.45</v>
      </c>
      <c r="M890" s="14">
        <f>ROUND(tblSprzedaz[[#This Row],[Ilość]]*tblSprzedaz[[#This Row],[Cena netto jednostkowa]]*(1-tblSprzedaz[[#This Row],[Rabat %]]),2)</f>
        <v>290.7</v>
      </c>
      <c r="N890" s="14">
        <f>ROUND(tblSprzedaz[[#This Row],[Ilość]]*tblSprzedaz[[#This Row],[Koszt jednostkowy netto]],2)</f>
        <v>220.35</v>
      </c>
      <c r="O890" s="14">
        <f>tblSprzedaz[[#This Row],[Przychód netto]]-tblSprzedaz[[#This Row],[Koszt całkowity netto]]</f>
        <v>70.349999999999994</v>
      </c>
      <c r="P890" s="15">
        <f>IFERROR(tblSprzedaz[[#This Row],[Marża kwotowa]]/tblSprzedaz[[#This Row],[Przychód netto]],0)</f>
        <v>0.24200206398348811</v>
      </c>
      <c r="Q890" s="16">
        <f>YEAR(tblSprzedaz[[#This Row],[Data]])</f>
        <v>2025</v>
      </c>
      <c r="R890" s="16">
        <f>MONTH(tblSprzedaz[[#This Row],[Data]])</f>
        <v>8</v>
      </c>
      <c r="S890" s="9" t="str">
        <f>YEAR(tblSprzedaz[[#This Row],[Data]])&amp;"-"&amp;RIGHT("0"&amp;MONTH(tblSprzedaz[[#This Row],[Data]]),2)</f>
        <v>2025-08</v>
      </c>
    </row>
    <row r="891" spans="1:19" x14ac:dyDescent="0.25">
      <c r="A891" s="7" t="s">
        <v>1949</v>
      </c>
      <c r="B891" s="10">
        <v>45899</v>
      </c>
      <c r="C891" s="7" t="s">
        <v>1950</v>
      </c>
      <c r="D891" s="8" t="s">
        <v>132</v>
      </c>
      <c r="E891" s="8" t="s">
        <v>75</v>
      </c>
      <c r="F891" s="8" t="s">
        <v>37</v>
      </c>
      <c r="G891" s="8" t="s">
        <v>28</v>
      </c>
      <c r="H891" s="8" t="s">
        <v>39</v>
      </c>
      <c r="I891" s="11">
        <v>17</v>
      </c>
      <c r="J891" s="12">
        <v>142.5</v>
      </c>
      <c r="K891" s="13">
        <v>0</v>
      </c>
      <c r="L891" s="12">
        <v>109.35</v>
      </c>
      <c r="M891" s="14">
        <f>ROUND(tblSprzedaz[[#This Row],[Ilość]]*tblSprzedaz[[#This Row],[Cena netto jednostkowa]]*(1-tblSprzedaz[[#This Row],[Rabat %]]),2)</f>
        <v>2422.5</v>
      </c>
      <c r="N891" s="14">
        <f>ROUND(tblSprzedaz[[#This Row],[Ilość]]*tblSprzedaz[[#This Row],[Koszt jednostkowy netto]],2)</f>
        <v>1858.95</v>
      </c>
      <c r="O891" s="14">
        <f>tblSprzedaz[[#This Row],[Przychód netto]]-tblSprzedaz[[#This Row],[Koszt całkowity netto]]</f>
        <v>563.54999999999995</v>
      </c>
      <c r="P891" s="15">
        <f>IFERROR(tblSprzedaz[[#This Row],[Marża kwotowa]]/tblSprzedaz[[#This Row],[Przychód netto]],0)</f>
        <v>0.23263157894736841</v>
      </c>
      <c r="Q891" s="16">
        <f>YEAR(tblSprzedaz[[#This Row],[Data]])</f>
        <v>2025</v>
      </c>
      <c r="R891" s="16">
        <f>MONTH(tblSprzedaz[[#This Row],[Data]])</f>
        <v>8</v>
      </c>
      <c r="S891" s="9" t="str">
        <f>YEAR(tblSprzedaz[[#This Row],[Data]])&amp;"-"&amp;RIGHT("0"&amp;MONTH(tblSprzedaz[[#This Row],[Data]]),2)</f>
        <v>2025-08</v>
      </c>
    </row>
    <row r="892" spans="1:19" x14ac:dyDescent="0.25">
      <c r="A892" s="7" t="s">
        <v>1951</v>
      </c>
      <c r="B892" s="10">
        <v>45900</v>
      </c>
      <c r="C892" s="7" t="s">
        <v>1952</v>
      </c>
      <c r="D892" s="8" t="s">
        <v>112</v>
      </c>
      <c r="E892" s="8" t="s">
        <v>74</v>
      </c>
      <c r="F892" s="8" t="s">
        <v>37</v>
      </c>
      <c r="G892" s="8" t="s">
        <v>32</v>
      </c>
      <c r="H892" s="8" t="s">
        <v>43</v>
      </c>
      <c r="I892" s="11">
        <v>7</v>
      </c>
      <c r="J892" s="12">
        <v>126.35</v>
      </c>
      <c r="K892" s="13">
        <v>0.15</v>
      </c>
      <c r="L892" s="12">
        <v>98.39</v>
      </c>
      <c r="M892" s="14">
        <f>ROUND(tblSprzedaz[[#This Row],[Ilość]]*tblSprzedaz[[#This Row],[Cena netto jednostkowa]]*(1-tblSprzedaz[[#This Row],[Rabat %]]),2)</f>
        <v>751.78</v>
      </c>
      <c r="N892" s="14">
        <f>ROUND(tblSprzedaz[[#This Row],[Ilość]]*tblSprzedaz[[#This Row],[Koszt jednostkowy netto]],2)</f>
        <v>688.73</v>
      </c>
      <c r="O892" s="14">
        <f>tblSprzedaz[[#This Row],[Przychód netto]]-tblSprzedaz[[#This Row],[Koszt całkowity netto]]</f>
        <v>63.049999999999955</v>
      </c>
      <c r="P892" s="15">
        <f>IFERROR(tblSprzedaz[[#This Row],[Marża kwotowa]]/tblSprzedaz[[#This Row],[Przychód netto]],0)</f>
        <v>8.3867620846524188E-2</v>
      </c>
      <c r="Q892" s="16">
        <f>YEAR(tblSprzedaz[[#This Row],[Data]])</f>
        <v>2025</v>
      </c>
      <c r="R892" s="16">
        <f>MONTH(tblSprzedaz[[#This Row],[Data]])</f>
        <v>8</v>
      </c>
      <c r="S892" s="9" t="str">
        <f>YEAR(tblSprzedaz[[#This Row],[Data]])&amp;"-"&amp;RIGHT("0"&amp;MONTH(tblSprzedaz[[#This Row],[Data]]),2)</f>
        <v>2025-08</v>
      </c>
    </row>
    <row r="893" spans="1:19" x14ac:dyDescent="0.25">
      <c r="A893" s="7" t="s">
        <v>1953</v>
      </c>
      <c r="B893" s="10">
        <v>45901</v>
      </c>
      <c r="C893" s="7" t="s">
        <v>1954</v>
      </c>
      <c r="D893" s="8" t="s">
        <v>133</v>
      </c>
      <c r="E893" s="8" t="s">
        <v>54</v>
      </c>
      <c r="F893" s="8" t="s">
        <v>31</v>
      </c>
      <c r="G893" s="8" t="s">
        <v>32</v>
      </c>
      <c r="H893" s="8" t="s">
        <v>42</v>
      </c>
      <c r="I893" s="11">
        <v>24</v>
      </c>
      <c r="J893" s="12">
        <v>207.9</v>
      </c>
      <c r="K893" s="13">
        <v>0.15</v>
      </c>
      <c r="L893" s="12">
        <v>136.41999999999999</v>
      </c>
      <c r="M893" s="14">
        <f>ROUND(tblSprzedaz[[#This Row],[Ilość]]*tblSprzedaz[[#This Row],[Cena netto jednostkowa]]*(1-tblSprzedaz[[#This Row],[Rabat %]]),2)</f>
        <v>4241.16</v>
      </c>
      <c r="N893" s="14">
        <f>ROUND(tblSprzedaz[[#This Row],[Ilość]]*tblSprzedaz[[#This Row],[Koszt jednostkowy netto]],2)</f>
        <v>3274.08</v>
      </c>
      <c r="O893" s="14">
        <f>tblSprzedaz[[#This Row],[Przychód netto]]-tblSprzedaz[[#This Row],[Koszt całkowity netto]]</f>
        <v>967.07999999999993</v>
      </c>
      <c r="P893" s="15">
        <f>IFERROR(tblSprzedaz[[#This Row],[Marża kwotowa]]/tblSprzedaz[[#This Row],[Przychód netto]],0)</f>
        <v>0.22802252214016919</v>
      </c>
      <c r="Q893" s="16">
        <f>YEAR(tblSprzedaz[[#This Row],[Data]])</f>
        <v>2025</v>
      </c>
      <c r="R893" s="16">
        <f>MONTH(tblSprzedaz[[#This Row],[Data]])</f>
        <v>9</v>
      </c>
      <c r="S893" s="9" t="str">
        <f>YEAR(tblSprzedaz[[#This Row],[Data]])&amp;"-"&amp;RIGHT("0"&amp;MONTH(tblSprzedaz[[#This Row],[Data]]),2)</f>
        <v>2025-09</v>
      </c>
    </row>
    <row r="894" spans="1:19" x14ac:dyDescent="0.25">
      <c r="A894" s="7" t="s">
        <v>1955</v>
      </c>
      <c r="B894" s="10">
        <v>45901</v>
      </c>
      <c r="C894" s="7" t="s">
        <v>1956</v>
      </c>
      <c r="D894" s="8" t="s">
        <v>145</v>
      </c>
      <c r="E894" s="8" t="s">
        <v>53</v>
      </c>
      <c r="F894" s="8" t="s">
        <v>29</v>
      </c>
      <c r="G894" s="8" t="s">
        <v>28</v>
      </c>
      <c r="H894" s="8" t="s">
        <v>39</v>
      </c>
      <c r="I894" s="11">
        <v>1</v>
      </c>
      <c r="J894" s="12">
        <v>27.88</v>
      </c>
      <c r="K894" s="13">
        <v>0</v>
      </c>
      <c r="L894" s="12">
        <v>15.57</v>
      </c>
      <c r="M894" s="14">
        <f>ROUND(tblSprzedaz[[#This Row],[Ilość]]*tblSprzedaz[[#This Row],[Cena netto jednostkowa]]*(1-tblSprzedaz[[#This Row],[Rabat %]]),2)</f>
        <v>27.88</v>
      </c>
      <c r="N894" s="14">
        <f>ROUND(tblSprzedaz[[#This Row],[Ilość]]*tblSprzedaz[[#This Row],[Koszt jednostkowy netto]],2)</f>
        <v>15.57</v>
      </c>
      <c r="O894" s="14">
        <f>tblSprzedaz[[#This Row],[Przychód netto]]-tblSprzedaz[[#This Row],[Koszt całkowity netto]]</f>
        <v>12.309999999999999</v>
      </c>
      <c r="P894" s="15">
        <f>IFERROR(tblSprzedaz[[#This Row],[Marża kwotowa]]/tblSprzedaz[[#This Row],[Przychód netto]],0)</f>
        <v>0.4415351506456241</v>
      </c>
      <c r="Q894" s="16">
        <f>YEAR(tblSprzedaz[[#This Row],[Data]])</f>
        <v>2025</v>
      </c>
      <c r="R894" s="16">
        <f>MONTH(tblSprzedaz[[#This Row],[Data]])</f>
        <v>9</v>
      </c>
      <c r="S894" s="9" t="str">
        <f>YEAR(tblSprzedaz[[#This Row],[Data]])&amp;"-"&amp;RIGHT("0"&amp;MONTH(tblSprzedaz[[#This Row],[Data]]),2)</f>
        <v>2025-09</v>
      </c>
    </row>
    <row r="895" spans="1:19" x14ac:dyDescent="0.25">
      <c r="A895" s="7" t="s">
        <v>1957</v>
      </c>
      <c r="B895" s="10">
        <v>45901</v>
      </c>
      <c r="C895" s="7" t="s">
        <v>1958</v>
      </c>
      <c r="D895" s="8" t="s">
        <v>97</v>
      </c>
      <c r="E895" s="8" t="s">
        <v>73</v>
      </c>
      <c r="F895" s="8" t="s">
        <v>37</v>
      </c>
      <c r="G895" s="8" t="s">
        <v>30</v>
      </c>
      <c r="H895" s="8" t="s">
        <v>40</v>
      </c>
      <c r="I895" s="11">
        <v>1</v>
      </c>
      <c r="J895" s="12">
        <v>110.2</v>
      </c>
      <c r="K895" s="13">
        <v>0.15</v>
      </c>
      <c r="L895" s="12">
        <v>86.03</v>
      </c>
      <c r="M895" s="14">
        <f>ROUND(tblSprzedaz[[#This Row],[Ilość]]*tblSprzedaz[[#This Row],[Cena netto jednostkowa]]*(1-tblSprzedaz[[#This Row],[Rabat %]]),2)</f>
        <v>93.67</v>
      </c>
      <c r="N895" s="14">
        <f>ROUND(tblSprzedaz[[#This Row],[Ilość]]*tblSprzedaz[[#This Row],[Koszt jednostkowy netto]],2)</f>
        <v>86.03</v>
      </c>
      <c r="O895" s="14">
        <f>tblSprzedaz[[#This Row],[Przychód netto]]-tblSprzedaz[[#This Row],[Koszt całkowity netto]]</f>
        <v>7.6400000000000006</v>
      </c>
      <c r="P895" s="15">
        <f>IFERROR(tblSprzedaz[[#This Row],[Marża kwotowa]]/tblSprzedaz[[#This Row],[Przychód netto]],0)</f>
        <v>8.1562933703426932E-2</v>
      </c>
      <c r="Q895" s="16">
        <f>YEAR(tblSprzedaz[[#This Row],[Data]])</f>
        <v>2025</v>
      </c>
      <c r="R895" s="16">
        <f>MONTH(tblSprzedaz[[#This Row],[Data]])</f>
        <v>9</v>
      </c>
      <c r="S895" s="9" t="str">
        <f>YEAR(tblSprzedaz[[#This Row],[Data]])&amp;"-"&amp;RIGHT("0"&amp;MONTH(tblSprzedaz[[#This Row],[Data]]),2)</f>
        <v>2025-09</v>
      </c>
    </row>
    <row r="896" spans="1:19" x14ac:dyDescent="0.25">
      <c r="A896" s="7" t="s">
        <v>1959</v>
      </c>
      <c r="B896" s="10">
        <v>45901</v>
      </c>
      <c r="C896" s="7" t="s">
        <v>1960</v>
      </c>
      <c r="D896" s="8" t="s">
        <v>133</v>
      </c>
      <c r="E896" s="8" t="s">
        <v>75</v>
      </c>
      <c r="F896" s="8" t="s">
        <v>37</v>
      </c>
      <c r="G896" s="8" t="s">
        <v>34</v>
      </c>
      <c r="H896" s="8" t="s">
        <v>44</v>
      </c>
      <c r="I896" s="11">
        <v>9</v>
      </c>
      <c r="J896" s="12">
        <v>142.5</v>
      </c>
      <c r="K896" s="13">
        <v>0.15</v>
      </c>
      <c r="L896" s="12">
        <v>104.05</v>
      </c>
      <c r="M896" s="14">
        <f>ROUND(tblSprzedaz[[#This Row],[Ilość]]*tblSprzedaz[[#This Row],[Cena netto jednostkowa]]*(1-tblSprzedaz[[#This Row],[Rabat %]]),2)</f>
        <v>1090.1300000000001</v>
      </c>
      <c r="N896" s="14">
        <f>ROUND(tblSprzedaz[[#This Row],[Ilość]]*tblSprzedaz[[#This Row],[Koszt jednostkowy netto]],2)</f>
        <v>936.45</v>
      </c>
      <c r="O896" s="14">
        <f>tblSprzedaz[[#This Row],[Przychód netto]]-tblSprzedaz[[#This Row],[Koszt całkowity netto]]</f>
        <v>153.68000000000006</v>
      </c>
      <c r="P896" s="15">
        <f>IFERROR(tblSprzedaz[[#This Row],[Marża kwotowa]]/tblSprzedaz[[#This Row],[Przychód netto]],0)</f>
        <v>0.14097401227376555</v>
      </c>
      <c r="Q896" s="16">
        <f>YEAR(tblSprzedaz[[#This Row],[Data]])</f>
        <v>2025</v>
      </c>
      <c r="R896" s="16">
        <f>MONTH(tblSprzedaz[[#This Row],[Data]])</f>
        <v>9</v>
      </c>
      <c r="S896" s="9" t="str">
        <f>YEAR(tblSprzedaz[[#This Row],[Data]])&amp;"-"&amp;RIGHT("0"&amp;MONTH(tblSprzedaz[[#This Row],[Data]]),2)</f>
        <v>2025-09</v>
      </c>
    </row>
    <row r="897" spans="1:19" x14ac:dyDescent="0.25">
      <c r="A897" s="7" t="s">
        <v>1961</v>
      </c>
      <c r="B897" s="10">
        <v>45901</v>
      </c>
      <c r="C897" s="7" t="s">
        <v>1962</v>
      </c>
      <c r="D897" s="8" t="s">
        <v>139</v>
      </c>
      <c r="E897" s="8" t="s">
        <v>52</v>
      </c>
      <c r="F897" s="8" t="s">
        <v>29</v>
      </c>
      <c r="G897" s="8" t="s">
        <v>30</v>
      </c>
      <c r="H897" s="8" t="s">
        <v>40</v>
      </c>
      <c r="I897" s="11">
        <v>24</v>
      </c>
      <c r="J897" s="12">
        <v>56.78</v>
      </c>
      <c r="K897" s="13">
        <v>0.15</v>
      </c>
      <c r="L897" s="12">
        <v>31.63</v>
      </c>
      <c r="M897" s="14">
        <f>ROUND(tblSprzedaz[[#This Row],[Ilość]]*tblSprzedaz[[#This Row],[Cena netto jednostkowa]]*(1-tblSprzedaz[[#This Row],[Rabat %]]),2)</f>
        <v>1158.31</v>
      </c>
      <c r="N897" s="14">
        <f>ROUND(tblSprzedaz[[#This Row],[Ilość]]*tblSprzedaz[[#This Row],[Koszt jednostkowy netto]],2)</f>
        <v>759.12</v>
      </c>
      <c r="O897" s="14">
        <f>tblSprzedaz[[#This Row],[Przychód netto]]-tblSprzedaz[[#This Row],[Koszt całkowity netto]]</f>
        <v>399.18999999999994</v>
      </c>
      <c r="P897" s="15">
        <f>IFERROR(tblSprzedaz[[#This Row],[Marża kwotowa]]/tblSprzedaz[[#This Row],[Przychód netto]],0)</f>
        <v>0.34463140264695974</v>
      </c>
      <c r="Q897" s="16">
        <f>YEAR(tblSprzedaz[[#This Row],[Data]])</f>
        <v>2025</v>
      </c>
      <c r="R897" s="16">
        <f>MONTH(tblSprzedaz[[#This Row],[Data]])</f>
        <v>9</v>
      </c>
      <c r="S897" s="9" t="str">
        <f>YEAR(tblSprzedaz[[#This Row],[Data]])&amp;"-"&amp;RIGHT("0"&amp;MONTH(tblSprzedaz[[#This Row],[Data]]),2)</f>
        <v>2025-09</v>
      </c>
    </row>
    <row r="898" spans="1:19" x14ac:dyDescent="0.25">
      <c r="A898" s="7" t="s">
        <v>1963</v>
      </c>
      <c r="B898" s="10">
        <v>45901</v>
      </c>
      <c r="C898" s="7" t="s">
        <v>1964</v>
      </c>
      <c r="D898" s="8" t="s">
        <v>145</v>
      </c>
      <c r="E898" s="8" t="s">
        <v>48</v>
      </c>
      <c r="F898" s="8" t="s">
        <v>29</v>
      </c>
      <c r="G898" s="8" t="s">
        <v>36</v>
      </c>
      <c r="H898" s="8" t="s">
        <v>46</v>
      </c>
      <c r="I898" s="11">
        <v>24</v>
      </c>
      <c r="J898" s="12">
        <v>33.659999999999997</v>
      </c>
      <c r="K898" s="13">
        <v>0</v>
      </c>
      <c r="L898" s="12">
        <v>19.8</v>
      </c>
      <c r="M898" s="14">
        <f>ROUND(tblSprzedaz[[#This Row],[Ilość]]*tblSprzedaz[[#This Row],[Cena netto jednostkowa]]*(1-tblSprzedaz[[#This Row],[Rabat %]]),2)</f>
        <v>807.84</v>
      </c>
      <c r="N898" s="14">
        <f>ROUND(tblSprzedaz[[#This Row],[Ilość]]*tblSprzedaz[[#This Row],[Koszt jednostkowy netto]],2)</f>
        <v>475.2</v>
      </c>
      <c r="O898" s="14">
        <f>tblSprzedaz[[#This Row],[Przychód netto]]-tblSprzedaz[[#This Row],[Koszt całkowity netto]]</f>
        <v>332.64000000000004</v>
      </c>
      <c r="P898" s="15">
        <f>IFERROR(tblSprzedaz[[#This Row],[Marża kwotowa]]/tblSprzedaz[[#This Row],[Przychód netto]],0)</f>
        <v>0.41176470588235298</v>
      </c>
      <c r="Q898" s="16">
        <f>YEAR(tblSprzedaz[[#This Row],[Data]])</f>
        <v>2025</v>
      </c>
      <c r="R898" s="16">
        <f>MONTH(tblSprzedaz[[#This Row],[Data]])</f>
        <v>9</v>
      </c>
      <c r="S898" s="9" t="str">
        <f>YEAR(tblSprzedaz[[#This Row],[Data]])&amp;"-"&amp;RIGHT("0"&amp;MONTH(tblSprzedaz[[#This Row],[Data]]),2)</f>
        <v>2025-09</v>
      </c>
    </row>
    <row r="899" spans="1:19" x14ac:dyDescent="0.25">
      <c r="A899" s="7" t="s">
        <v>1965</v>
      </c>
      <c r="B899" s="10">
        <v>45901</v>
      </c>
      <c r="C899" s="7" t="s">
        <v>1966</v>
      </c>
      <c r="D899" s="8" t="s">
        <v>104</v>
      </c>
      <c r="E899" s="8" t="s">
        <v>72</v>
      </c>
      <c r="F899" s="8" t="s">
        <v>37</v>
      </c>
      <c r="G899" s="8" t="s">
        <v>34</v>
      </c>
      <c r="H899" s="8" t="s">
        <v>45</v>
      </c>
      <c r="I899" s="11">
        <v>14</v>
      </c>
      <c r="J899" s="12">
        <v>94.05</v>
      </c>
      <c r="K899" s="13">
        <v>0.05</v>
      </c>
      <c r="L899" s="12">
        <v>69.83</v>
      </c>
      <c r="M899" s="14">
        <f>ROUND(tblSprzedaz[[#This Row],[Ilość]]*tblSprzedaz[[#This Row],[Cena netto jednostkowa]]*(1-tblSprzedaz[[#This Row],[Rabat %]]),2)</f>
        <v>1250.8699999999999</v>
      </c>
      <c r="N899" s="14">
        <f>ROUND(tblSprzedaz[[#This Row],[Ilość]]*tblSprzedaz[[#This Row],[Koszt jednostkowy netto]],2)</f>
        <v>977.62</v>
      </c>
      <c r="O899" s="14">
        <f>tblSprzedaz[[#This Row],[Przychód netto]]-tblSprzedaz[[#This Row],[Koszt całkowity netto]]</f>
        <v>273.24999999999989</v>
      </c>
      <c r="P899" s="15">
        <f>IFERROR(tblSprzedaz[[#This Row],[Marża kwotowa]]/tblSprzedaz[[#This Row],[Przychód netto]],0)</f>
        <v>0.21844796021968702</v>
      </c>
      <c r="Q899" s="16">
        <f>YEAR(tblSprzedaz[[#This Row],[Data]])</f>
        <v>2025</v>
      </c>
      <c r="R899" s="16">
        <f>MONTH(tblSprzedaz[[#This Row],[Data]])</f>
        <v>9</v>
      </c>
      <c r="S899" s="9" t="str">
        <f>YEAR(tblSprzedaz[[#This Row],[Data]])&amp;"-"&amp;RIGHT("0"&amp;MONTH(tblSprzedaz[[#This Row],[Data]]),2)</f>
        <v>2025-09</v>
      </c>
    </row>
    <row r="900" spans="1:19" x14ac:dyDescent="0.25">
      <c r="A900" s="7" t="s">
        <v>1967</v>
      </c>
      <c r="B900" s="10">
        <v>45901</v>
      </c>
      <c r="C900" s="7" t="s">
        <v>1968</v>
      </c>
      <c r="D900" s="8" t="s">
        <v>136</v>
      </c>
      <c r="E900" s="8" t="s">
        <v>72</v>
      </c>
      <c r="F900" s="8" t="s">
        <v>37</v>
      </c>
      <c r="G900" s="8" t="s">
        <v>36</v>
      </c>
      <c r="H900" s="8" t="s">
        <v>46</v>
      </c>
      <c r="I900" s="11">
        <v>13</v>
      </c>
      <c r="J900" s="12">
        <v>94.05</v>
      </c>
      <c r="K900" s="13">
        <v>0</v>
      </c>
      <c r="L900" s="12">
        <v>69.95</v>
      </c>
      <c r="M900" s="14">
        <f>ROUND(tblSprzedaz[[#This Row],[Ilość]]*tblSprzedaz[[#This Row],[Cena netto jednostkowa]]*(1-tblSprzedaz[[#This Row],[Rabat %]]),2)</f>
        <v>1222.6500000000001</v>
      </c>
      <c r="N900" s="14">
        <f>ROUND(tblSprzedaz[[#This Row],[Ilość]]*tblSprzedaz[[#This Row],[Koszt jednostkowy netto]],2)</f>
        <v>909.35</v>
      </c>
      <c r="O900" s="14">
        <f>tblSprzedaz[[#This Row],[Przychód netto]]-tblSprzedaz[[#This Row],[Koszt całkowity netto]]</f>
        <v>313.30000000000007</v>
      </c>
      <c r="P900" s="15">
        <f>IFERROR(tblSprzedaz[[#This Row],[Marża kwotowa]]/tblSprzedaz[[#This Row],[Przychód netto]],0)</f>
        <v>0.25624667729930889</v>
      </c>
      <c r="Q900" s="16">
        <f>YEAR(tblSprzedaz[[#This Row],[Data]])</f>
        <v>2025</v>
      </c>
      <c r="R900" s="16">
        <f>MONTH(tblSprzedaz[[#This Row],[Data]])</f>
        <v>9</v>
      </c>
      <c r="S900" s="9" t="str">
        <f>YEAR(tblSprzedaz[[#This Row],[Data]])&amp;"-"&amp;RIGHT("0"&amp;MONTH(tblSprzedaz[[#This Row],[Data]]),2)</f>
        <v>2025-09</v>
      </c>
    </row>
    <row r="901" spans="1:19" x14ac:dyDescent="0.25">
      <c r="A901" s="7" t="s">
        <v>1969</v>
      </c>
      <c r="B901" s="10">
        <v>45902</v>
      </c>
      <c r="C901" s="7" t="s">
        <v>1970</v>
      </c>
      <c r="D901" s="8" t="s">
        <v>79</v>
      </c>
      <c r="E901" s="8" t="s">
        <v>54</v>
      </c>
      <c r="F901" s="8" t="s">
        <v>31</v>
      </c>
      <c r="G901" s="8" t="s">
        <v>32</v>
      </c>
      <c r="H901" s="8" t="s">
        <v>43</v>
      </c>
      <c r="I901" s="11">
        <v>34</v>
      </c>
      <c r="J901" s="12">
        <v>207.9</v>
      </c>
      <c r="K901" s="13">
        <v>0.05</v>
      </c>
      <c r="L901" s="12">
        <v>137.19</v>
      </c>
      <c r="M901" s="14">
        <f>ROUND(tblSprzedaz[[#This Row],[Ilość]]*tblSprzedaz[[#This Row],[Cena netto jednostkowa]]*(1-tblSprzedaz[[#This Row],[Rabat %]]),2)</f>
        <v>6715.17</v>
      </c>
      <c r="N901" s="14">
        <f>ROUND(tblSprzedaz[[#This Row],[Ilość]]*tblSprzedaz[[#This Row],[Koszt jednostkowy netto]],2)</f>
        <v>4664.46</v>
      </c>
      <c r="O901" s="14">
        <f>tblSprzedaz[[#This Row],[Przychód netto]]-tblSprzedaz[[#This Row],[Koszt całkowity netto]]</f>
        <v>2050.71</v>
      </c>
      <c r="P901" s="15">
        <f>IFERROR(tblSprzedaz[[#This Row],[Marża kwotowa]]/tblSprzedaz[[#This Row],[Przychód netto]],0)</f>
        <v>0.30538467380572643</v>
      </c>
      <c r="Q901" s="16">
        <f>YEAR(tblSprzedaz[[#This Row],[Data]])</f>
        <v>2025</v>
      </c>
      <c r="R901" s="16">
        <f>MONTH(tblSprzedaz[[#This Row],[Data]])</f>
        <v>9</v>
      </c>
      <c r="S901" s="9" t="str">
        <f>YEAR(tblSprzedaz[[#This Row],[Data]])&amp;"-"&amp;RIGHT("0"&amp;MONTH(tblSprzedaz[[#This Row],[Data]]),2)</f>
        <v>2025-09</v>
      </c>
    </row>
    <row r="902" spans="1:19" x14ac:dyDescent="0.25">
      <c r="A902" s="7" t="s">
        <v>1971</v>
      </c>
      <c r="B902" s="10">
        <v>45902</v>
      </c>
      <c r="C902" s="7" t="s">
        <v>1972</v>
      </c>
      <c r="D902" s="8" t="s">
        <v>96</v>
      </c>
      <c r="E902" s="8" t="s">
        <v>72</v>
      </c>
      <c r="F902" s="8" t="s">
        <v>37</v>
      </c>
      <c r="G902" s="8" t="s">
        <v>30</v>
      </c>
      <c r="H902" s="8" t="s">
        <v>41</v>
      </c>
      <c r="I902" s="11">
        <v>3</v>
      </c>
      <c r="J902" s="12">
        <v>94.05</v>
      </c>
      <c r="K902" s="13">
        <v>0.15</v>
      </c>
      <c r="L902" s="12">
        <v>69.69</v>
      </c>
      <c r="M902" s="14">
        <f>ROUND(tblSprzedaz[[#This Row],[Ilość]]*tblSprzedaz[[#This Row],[Cena netto jednostkowa]]*(1-tblSprzedaz[[#This Row],[Rabat %]]),2)</f>
        <v>239.83</v>
      </c>
      <c r="N902" s="14">
        <f>ROUND(tblSprzedaz[[#This Row],[Ilość]]*tblSprzedaz[[#This Row],[Koszt jednostkowy netto]],2)</f>
        <v>209.07</v>
      </c>
      <c r="O902" s="14">
        <f>tblSprzedaz[[#This Row],[Przychód netto]]-tblSprzedaz[[#This Row],[Koszt całkowity netto]]</f>
        <v>30.760000000000019</v>
      </c>
      <c r="P902" s="15">
        <f>IFERROR(tblSprzedaz[[#This Row],[Marża kwotowa]]/tblSprzedaz[[#This Row],[Przychód netto]],0)</f>
        <v>0.12825751574031613</v>
      </c>
      <c r="Q902" s="16">
        <f>YEAR(tblSprzedaz[[#This Row],[Data]])</f>
        <v>2025</v>
      </c>
      <c r="R902" s="16">
        <f>MONTH(tblSprzedaz[[#This Row],[Data]])</f>
        <v>9</v>
      </c>
      <c r="S902" s="9" t="str">
        <f>YEAR(tblSprzedaz[[#This Row],[Data]])&amp;"-"&amp;RIGHT("0"&amp;MONTH(tblSprzedaz[[#This Row],[Data]]),2)</f>
        <v>2025-09</v>
      </c>
    </row>
    <row r="903" spans="1:19" x14ac:dyDescent="0.25">
      <c r="A903" s="7" t="s">
        <v>1973</v>
      </c>
      <c r="B903" s="10">
        <v>45902</v>
      </c>
      <c r="C903" s="7" t="s">
        <v>1974</v>
      </c>
      <c r="D903" s="8" t="s">
        <v>117</v>
      </c>
      <c r="E903" s="8" t="s">
        <v>69</v>
      </c>
      <c r="F903" s="8" t="s">
        <v>35</v>
      </c>
      <c r="G903" s="8" t="s">
        <v>34</v>
      </c>
      <c r="H903" s="8" t="s">
        <v>44</v>
      </c>
      <c r="I903" s="11">
        <v>18</v>
      </c>
      <c r="J903" s="12">
        <v>102</v>
      </c>
      <c r="K903" s="13">
        <v>0.1</v>
      </c>
      <c r="L903" s="12">
        <v>74.599999999999994</v>
      </c>
      <c r="M903" s="14">
        <f>ROUND(tblSprzedaz[[#This Row],[Ilość]]*tblSprzedaz[[#This Row],[Cena netto jednostkowa]]*(1-tblSprzedaz[[#This Row],[Rabat %]]),2)</f>
        <v>1652.4</v>
      </c>
      <c r="N903" s="14">
        <f>ROUND(tblSprzedaz[[#This Row],[Ilość]]*tblSprzedaz[[#This Row],[Koszt jednostkowy netto]],2)</f>
        <v>1342.8</v>
      </c>
      <c r="O903" s="14">
        <f>tblSprzedaz[[#This Row],[Przychód netto]]-tblSprzedaz[[#This Row],[Koszt całkowity netto]]</f>
        <v>309.60000000000014</v>
      </c>
      <c r="P903" s="15">
        <f>IFERROR(tblSprzedaz[[#This Row],[Marża kwotowa]]/tblSprzedaz[[#This Row],[Przychód netto]],0)</f>
        <v>0.18736383442265803</v>
      </c>
      <c r="Q903" s="16">
        <f>YEAR(tblSprzedaz[[#This Row],[Data]])</f>
        <v>2025</v>
      </c>
      <c r="R903" s="16">
        <f>MONTH(tblSprzedaz[[#This Row],[Data]])</f>
        <v>9</v>
      </c>
      <c r="S903" s="9" t="str">
        <f>YEAR(tblSprzedaz[[#This Row],[Data]])&amp;"-"&amp;RIGHT("0"&amp;MONTH(tblSprzedaz[[#This Row],[Data]]),2)</f>
        <v>2025-09</v>
      </c>
    </row>
    <row r="904" spans="1:19" x14ac:dyDescent="0.25">
      <c r="A904" s="7" t="s">
        <v>1975</v>
      </c>
      <c r="B904" s="10">
        <v>45902</v>
      </c>
      <c r="C904" s="7" t="s">
        <v>1976</v>
      </c>
      <c r="D904" s="8" t="s">
        <v>85</v>
      </c>
      <c r="E904" s="8" t="s">
        <v>75</v>
      </c>
      <c r="F904" s="8" t="s">
        <v>37</v>
      </c>
      <c r="G904" s="8" t="s">
        <v>36</v>
      </c>
      <c r="H904" s="8" t="s">
        <v>47</v>
      </c>
      <c r="I904" s="11">
        <v>17</v>
      </c>
      <c r="J904" s="12">
        <v>142.5</v>
      </c>
      <c r="K904" s="13">
        <v>0.05</v>
      </c>
      <c r="L904" s="12">
        <v>104.38</v>
      </c>
      <c r="M904" s="14">
        <f>ROUND(tblSprzedaz[[#This Row],[Ilość]]*tblSprzedaz[[#This Row],[Cena netto jednostkowa]]*(1-tblSprzedaz[[#This Row],[Rabat %]]),2)</f>
        <v>2301.38</v>
      </c>
      <c r="N904" s="14">
        <f>ROUND(tblSprzedaz[[#This Row],[Ilość]]*tblSprzedaz[[#This Row],[Koszt jednostkowy netto]],2)</f>
        <v>1774.46</v>
      </c>
      <c r="O904" s="14">
        <f>tblSprzedaz[[#This Row],[Przychód netto]]-tblSprzedaz[[#This Row],[Koszt całkowity netto]]</f>
        <v>526.92000000000007</v>
      </c>
      <c r="P904" s="15">
        <f>IFERROR(tblSprzedaz[[#This Row],[Marża kwotowa]]/tblSprzedaz[[#This Row],[Przychód netto]],0)</f>
        <v>0.22895827720758852</v>
      </c>
      <c r="Q904" s="16">
        <f>YEAR(tblSprzedaz[[#This Row],[Data]])</f>
        <v>2025</v>
      </c>
      <c r="R904" s="16">
        <f>MONTH(tblSprzedaz[[#This Row],[Data]])</f>
        <v>9</v>
      </c>
      <c r="S904" s="9" t="str">
        <f>YEAR(tblSprzedaz[[#This Row],[Data]])&amp;"-"&amp;RIGHT("0"&amp;MONTH(tblSprzedaz[[#This Row],[Data]]),2)</f>
        <v>2025-09</v>
      </c>
    </row>
    <row r="905" spans="1:19" x14ac:dyDescent="0.25">
      <c r="A905" s="7" t="s">
        <v>1977</v>
      </c>
      <c r="B905" s="10">
        <v>45903</v>
      </c>
      <c r="C905" s="7" t="s">
        <v>1978</v>
      </c>
      <c r="D905" s="8" t="s">
        <v>141</v>
      </c>
      <c r="E905" s="8" t="s">
        <v>72</v>
      </c>
      <c r="F905" s="8" t="s">
        <v>37</v>
      </c>
      <c r="G905" s="8" t="s">
        <v>36</v>
      </c>
      <c r="H905" s="8" t="s">
        <v>46</v>
      </c>
      <c r="I905" s="11">
        <v>25</v>
      </c>
      <c r="J905" s="12">
        <v>94.05</v>
      </c>
      <c r="K905" s="13">
        <v>0.05</v>
      </c>
      <c r="L905" s="12">
        <v>70.290000000000006</v>
      </c>
      <c r="M905" s="14">
        <f>ROUND(tblSprzedaz[[#This Row],[Ilość]]*tblSprzedaz[[#This Row],[Cena netto jednostkowa]]*(1-tblSprzedaz[[#This Row],[Rabat %]]),2)</f>
        <v>2233.69</v>
      </c>
      <c r="N905" s="14">
        <f>ROUND(tblSprzedaz[[#This Row],[Ilość]]*tblSprzedaz[[#This Row],[Koszt jednostkowy netto]],2)</f>
        <v>1757.25</v>
      </c>
      <c r="O905" s="14">
        <f>tblSprzedaz[[#This Row],[Przychód netto]]-tblSprzedaz[[#This Row],[Koszt całkowity netto]]</f>
        <v>476.44000000000005</v>
      </c>
      <c r="P905" s="15">
        <f>IFERROR(tblSprzedaz[[#This Row],[Marża kwotowa]]/tblSprzedaz[[#This Row],[Przychód netto]],0)</f>
        <v>0.21329727938970944</v>
      </c>
      <c r="Q905" s="16">
        <f>YEAR(tblSprzedaz[[#This Row],[Data]])</f>
        <v>2025</v>
      </c>
      <c r="R905" s="16">
        <f>MONTH(tblSprzedaz[[#This Row],[Data]])</f>
        <v>9</v>
      </c>
      <c r="S905" s="9" t="str">
        <f>YEAR(tblSprzedaz[[#This Row],[Data]])&amp;"-"&amp;RIGHT("0"&amp;MONTH(tblSprzedaz[[#This Row],[Data]]),2)</f>
        <v>2025-09</v>
      </c>
    </row>
    <row r="906" spans="1:19" x14ac:dyDescent="0.25">
      <c r="A906" s="7" t="s">
        <v>1979</v>
      </c>
      <c r="B906" s="10">
        <v>45903</v>
      </c>
      <c r="C906" s="7" t="s">
        <v>1980</v>
      </c>
      <c r="D906" s="8" t="s">
        <v>140</v>
      </c>
      <c r="E906" s="8" t="s">
        <v>77</v>
      </c>
      <c r="F906" s="8" t="s">
        <v>37</v>
      </c>
      <c r="G906" s="8" t="s">
        <v>36</v>
      </c>
      <c r="H906" s="8" t="s">
        <v>46</v>
      </c>
      <c r="I906" s="11">
        <v>19</v>
      </c>
      <c r="J906" s="12">
        <v>77.900000000000006</v>
      </c>
      <c r="K906" s="13">
        <v>0.05</v>
      </c>
      <c r="L906" s="12">
        <v>62.21</v>
      </c>
      <c r="M906" s="14">
        <f>ROUND(tblSprzedaz[[#This Row],[Ilość]]*tblSprzedaz[[#This Row],[Cena netto jednostkowa]]*(1-tblSprzedaz[[#This Row],[Rabat %]]),2)</f>
        <v>1406.1</v>
      </c>
      <c r="N906" s="14">
        <f>ROUND(tblSprzedaz[[#This Row],[Ilość]]*tblSprzedaz[[#This Row],[Koszt jednostkowy netto]],2)</f>
        <v>1181.99</v>
      </c>
      <c r="O906" s="14">
        <f>tblSprzedaz[[#This Row],[Przychód netto]]-tblSprzedaz[[#This Row],[Koszt całkowity netto]]</f>
        <v>224.1099999999999</v>
      </c>
      <c r="P906" s="15">
        <f>IFERROR(tblSprzedaz[[#This Row],[Marża kwotowa]]/tblSprzedaz[[#This Row],[Przychód netto]],0)</f>
        <v>0.15938411208306658</v>
      </c>
      <c r="Q906" s="16">
        <f>YEAR(tblSprzedaz[[#This Row],[Data]])</f>
        <v>2025</v>
      </c>
      <c r="R906" s="16">
        <f>MONTH(tblSprzedaz[[#This Row],[Data]])</f>
        <v>9</v>
      </c>
      <c r="S906" s="9" t="str">
        <f>YEAR(tblSprzedaz[[#This Row],[Data]])&amp;"-"&amp;RIGHT("0"&amp;MONTH(tblSprzedaz[[#This Row],[Data]]),2)</f>
        <v>2025-09</v>
      </c>
    </row>
    <row r="907" spans="1:19" x14ac:dyDescent="0.25">
      <c r="A907" s="7" t="s">
        <v>1981</v>
      </c>
      <c r="B907" s="10">
        <v>45903</v>
      </c>
      <c r="C907" s="7" t="s">
        <v>1982</v>
      </c>
      <c r="D907" s="8" t="s">
        <v>93</v>
      </c>
      <c r="E907" s="8" t="s">
        <v>72</v>
      </c>
      <c r="F907" s="8" t="s">
        <v>37</v>
      </c>
      <c r="G907" s="8" t="s">
        <v>28</v>
      </c>
      <c r="H907" s="8" t="s">
        <v>39</v>
      </c>
      <c r="I907" s="11">
        <v>24</v>
      </c>
      <c r="J907" s="12">
        <v>94.05</v>
      </c>
      <c r="K907" s="13">
        <v>0</v>
      </c>
      <c r="L907" s="12">
        <v>73.650000000000006</v>
      </c>
      <c r="M907" s="14">
        <f>ROUND(tblSprzedaz[[#This Row],[Ilość]]*tblSprzedaz[[#This Row],[Cena netto jednostkowa]]*(1-tblSprzedaz[[#This Row],[Rabat %]]),2)</f>
        <v>2257.1999999999998</v>
      </c>
      <c r="N907" s="14">
        <f>ROUND(tblSprzedaz[[#This Row],[Ilość]]*tblSprzedaz[[#This Row],[Koszt jednostkowy netto]],2)</f>
        <v>1767.6</v>
      </c>
      <c r="O907" s="14">
        <f>tblSprzedaz[[#This Row],[Przychód netto]]-tblSprzedaz[[#This Row],[Koszt całkowity netto]]</f>
        <v>489.59999999999991</v>
      </c>
      <c r="P907" s="15">
        <f>IFERROR(tblSprzedaz[[#This Row],[Marża kwotowa]]/tblSprzedaz[[#This Row],[Przychód netto]],0)</f>
        <v>0.21690590111642741</v>
      </c>
      <c r="Q907" s="16">
        <f>YEAR(tblSprzedaz[[#This Row],[Data]])</f>
        <v>2025</v>
      </c>
      <c r="R907" s="16">
        <f>MONTH(tblSprzedaz[[#This Row],[Data]])</f>
        <v>9</v>
      </c>
      <c r="S907" s="9" t="str">
        <f>YEAR(tblSprzedaz[[#This Row],[Data]])&amp;"-"&amp;RIGHT("0"&amp;MONTH(tblSprzedaz[[#This Row],[Data]]),2)</f>
        <v>2025-09</v>
      </c>
    </row>
    <row r="908" spans="1:19" x14ac:dyDescent="0.25">
      <c r="A908" s="7" t="s">
        <v>1983</v>
      </c>
      <c r="B908" s="10">
        <v>45903</v>
      </c>
      <c r="C908" s="7" t="s">
        <v>1984</v>
      </c>
      <c r="D908" s="8" t="s">
        <v>145</v>
      </c>
      <c r="E908" s="8" t="s">
        <v>76</v>
      </c>
      <c r="F908" s="8" t="s">
        <v>37</v>
      </c>
      <c r="G908" s="8" t="s">
        <v>36</v>
      </c>
      <c r="H908" s="8" t="s">
        <v>46</v>
      </c>
      <c r="I908" s="11">
        <v>22</v>
      </c>
      <c r="J908" s="12">
        <v>158.65</v>
      </c>
      <c r="K908" s="13">
        <v>0</v>
      </c>
      <c r="L908" s="12">
        <v>124.71</v>
      </c>
      <c r="M908" s="14">
        <f>ROUND(tblSprzedaz[[#This Row],[Ilość]]*tblSprzedaz[[#This Row],[Cena netto jednostkowa]]*(1-tblSprzedaz[[#This Row],[Rabat %]]),2)</f>
        <v>3490.3</v>
      </c>
      <c r="N908" s="14">
        <f>ROUND(tblSprzedaz[[#This Row],[Ilość]]*tblSprzedaz[[#This Row],[Koszt jednostkowy netto]],2)</f>
        <v>2743.62</v>
      </c>
      <c r="O908" s="14">
        <f>tblSprzedaz[[#This Row],[Przychód netto]]-tblSprzedaz[[#This Row],[Koszt całkowity netto]]</f>
        <v>746.68000000000029</v>
      </c>
      <c r="P908" s="15">
        <f>IFERROR(tblSprzedaz[[#This Row],[Marża kwotowa]]/tblSprzedaz[[#This Row],[Przychód netto]],0)</f>
        <v>0.21393003466750715</v>
      </c>
      <c r="Q908" s="16">
        <f>YEAR(tblSprzedaz[[#This Row],[Data]])</f>
        <v>2025</v>
      </c>
      <c r="R908" s="16">
        <f>MONTH(tblSprzedaz[[#This Row],[Data]])</f>
        <v>9</v>
      </c>
      <c r="S908" s="9" t="str">
        <f>YEAR(tblSprzedaz[[#This Row],[Data]])&amp;"-"&amp;RIGHT("0"&amp;MONTH(tblSprzedaz[[#This Row],[Data]]),2)</f>
        <v>2025-09</v>
      </c>
    </row>
    <row r="909" spans="1:19" x14ac:dyDescent="0.25">
      <c r="A909" s="7" t="s">
        <v>1985</v>
      </c>
      <c r="B909" s="10">
        <v>45903</v>
      </c>
      <c r="C909" s="7" t="s">
        <v>1986</v>
      </c>
      <c r="D909" s="8" t="s">
        <v>137</v>
      </c>
      <c r="E909" s="8" t="s">
        <v>62</v>
      </c>
      <c r="F909" s="8" t="s">
        <v>33</v>
      </c>
      <c r="G909" s="8" t="s">
        <v>28</v>
      </c>
      <c r="H909" s="8" t="s">
        <v>38</v>
      </c>
      <c r="I909" s="11">
        <v>3</v>
      </c>
      <c r="J909" s="12">
        <v>611.79999999999995</v>
      </c>
      <c r="K909" s="13">
        <v>0.15</v>
      </c>
      <c r="L909" s="12">
        <v>406.44</v>
      </c>
      <c r="M909" s="14">
        <f>ROUND(tblSprzedaz[[#This Row],[Ilość]]*tblSprzedaz[[#This Row],[Cena netto jednostkowa]]*(1-tblSprzedaz[[#This Row],[Rabat %]]),2)</f>
        <v>1560.09</v>
      </c>
      <c r="N909" s="14">
        <f>ROUND(tblSprzedaz[[#This Row],[Ilość]]*tblSprzedaz[[#This Row],[Koszt jednostkowy netto]],2)</f>
        <v>1219.32</v>
      </c>
      <c r="O909" s="14">
        <f>tblSprzedaz[[#This Row],[Przychód netto]]-tblSprzedaz[[#This Row],[Koszt całkowity netto]]</f>
        <v>340.77</v>
      </c>
      <c r="P909" s="15">
        <f>IFERROR(tblSprzedaz[[#This Row],[Marża kwotowa]]/tblSprzedaz[[#This Row],[Przychód netto]],0)</f>
        <v>0.21842970597850123</v>
      </c>
      <c r="Q909" s="16">
        <f>YEAR(tblSprzedaz[[#This Row],[Data]])</f>
        <v>2025</v>
      </c>
      <c r="R909" s="16">
        <f>MONTH(tblSprzedaz[[#This Row],[Data]])</f>
        <v>9</v>
      </c>
      <c r="S909" s="9" t="str">
        <f>YEAR(tblSprzedaz[[#This Row],[Data]])&amp;"-"&amp;RIGHT("0"&amp;MONTH(tblSprzedaz[[#This Row],[Data]]),2)</f>
        <v>2025-09</v>
      </c>
    </row>
    <row r="910" spans="1:19" x14ac:dyDescent="0.25">
      <c r="A910" s="7" t="s">
        <v>1987</v>
      </c>
      <c r="B910" s="10">
        <v>45904</v>
      </c>
      <c r="C910" s="7" t="s">
        <v>1988</v>
      </c>
      <c r="D910" s="8" t="s">
        <v>121</v>
      </c>
      <c r="E910" s="8" t="s">
        <v>70</v>
      </c>
      <c r="F910" s="8" t="s">
        <v>35</v>
      </c>
      <c r="G910" s="8" t="s">
        <v>34</v>
      </c>
      <c r="H910" s="8" t="s">
        <v>44</v>
      </c>
      <c r="I910" s="11">
        <v>6</v>
      </c>
      <c r="J910" s="12">
        <v>113.56</v>
      </c>
      <c r="K910" s="13">
        <v>0.05</v>
      </c>
      <c r="L910" s="12">
        <v>79.599999999999994</v>
      </c>
      <c r="M910" s="14">
        <f>ROUND(tblSprzedaz[[#This Row],[Ilość]]*tblSprzedaz[[#This Row],[Cena netto jednostkowa]]*(1-tblSprzedaz[[#This Row],[Rabat %]]),2)</f>
        <v>647.29</v>
      </c>
      <c r="N910" s="14">
        <f>ROUND(tblSprzedaz[[#This Row],[Ilość]]*tblSprzedaz[[#This Row],[Koszt jednostkowy netto]],2)</f>
        <v>477.6</v>
      </c>
      <c r="O910" s="14">
        <f>tblSprzedaz[[#This Row],[Przychód netto]]-tblSprzedaz[[#This Row],[Koszt całkowity netto]]</f>
        <v>169.68999999999994</v>
      </c>
      <c r="P910" s="15">
        <f>IFERROR(tblSprzedaz[[#This Row],[Marża kwotowa]]/tblSprzedaz[[#This Row],[Przychód netto]],0)</f>
        <v>0.26215452115744092</v>
      </c>
      <c r="Q910" s="16">
        <f>YEAR(tblSprzedaz[[#This Row],[Data]])</f>
        <v>2025</v>
      </c>
      <c r="R910" s="16">
        <f>MONTH(tblSprzedaz[[#This Row],[Data]])</f>
        <v>9</v>
      </c>
      <c r="S910" s="9" t="str">
        <f>YEAR(tblSprzedaz[[#This Row],[Data]])&amp;"-"&amp;RIGHT("0"&amp;MONTH(tblSprzedaz[[#This Row],[Data]]),2)</f>
        <v>2025-09</v>
      </c>
    </row>
    <row r="911" spans="1:19" x14ac:dyDescent="0.25">
      <c r="A911" s="7" t="s">
        <v>1989</v>
      </c>
      <c r="B911" s="10">
        <v>45904</v>
      </c>
      <c r="C911" s="7" t="s">
        <v>1990</v>
      </c>
      <c r="D911" s="8" t="s">
        <v>127</v>
      </c>
      <c r="E911" s="8" t="s">
        <v>58</v>
      </c>
      <c r="F911" s="8" t="s">
        <v>31</v>
      </c>
      <c r="G911" s="8" t="s">
        <v>28</v>
      </c>
      <c r="H911" s="8" t="s">
        <v>38</v>
      </c>
      <c r="I911" s="11">
        <v>23</v>
      </c>
      <c r="J911" s="12">
        <v>350.7</v>
      </c>
      <c r="K911" s="13">
        <v>0.1</v>
      </c>
      <c r="L911" s="12">
        <v>233.67</v>
      </c>
      <c r="M911" s="14">
        <f>ROUND(tblSprzedaz[[#This Row],[Ilość]]*tblSprzedaz[[#This Row],[Cena netto jednostkowa]]*(1-tblSprzedaz[[#This Row],[Rabat %]]),2)</f>
        <v>7259.49</v>
      </c>
      <c r="N911" s="14">
        <f>ROUND(tblSprzedaz[[#This Row],[Ilość]]*tblSprzedaz[[#This Row],[Koszt jednostkowy netto]],2)</f>
        <v>5374.41</v>
      </c>
      <c r="O911" s="14">
        <f>tblSprzedaz[[#This Row],[Przychód netto]]-tblSprzedaz[[#This Row],[Koszt całkowity netto]]</f>
        <v>1885.08</v>
      </c>
      <c r="P911" s="15">
        <f>IFERROR(tblSprzedaz[[#This Row],[Marża kwotowa]]/tblSprzedaz[[#This Row],[Przychód netto]],0)</f>
        <v>0.25967113392263091</v>
      </c>
      <c r="Q911" s="16">
        <f>YEAR(tblSprzedaz[[#This Row],[Data]])</f>
        <v>2025</v>
      </c>
      <c r="R911" s="16">
        <f>MONTH(tblSprzedaz[[#This Row],[Data]])</f>
        <v>9</v>
      </c>
      <c r="S911" s="9" t="str">
        <f>YEAR(tblSprzedaz[[#This Row],[Data]])&amp;"-"&amp;RIGHT("0"&amp;MONTH(tblSprzedaz[[#This Row],[Data]]),2)</f>
        <v>2025-09</v>
      </c>
    </row>
    <row r="912" spans="1:19" x14ac:dyDescent="0.25">
      <c r="A912" s="7" t="s">
        <v>1991</v>
      </c>
      <c r="B912" s="10">
        <v>45904</v>
      </c>
      <c r="C912" s="7" t="s">
        <v>1992</v>
      </c>
      <c r="D912" s="8" t="s">
        <v>82</v>
      </c>
      <c r="E912" s="8" t="s">
        <v>56</v>
      </c>
      <c r="F912" s="8" t="s">
        <v>31</v>
      </c>
      <c r="G912" s="8" t="s">
        <v>36</v>
      </c>
      <c r="H912" s="8" t="s">
        <v>47</v>
      </c>
      <c r="I912" s="11">
        <v>11</v>
      </c>
      <c r="J912" s="12">
        <v>279.3</v>
      </c>
      <c r="K912" s="13">
        <v>0.1</v>
      </c>
      <c r="L912" s="12">
        <v>185.99</v>
      </c>
      <c r="M912" s="14">
        <f>ROUND(tblSprzedaz[[#This Row],[Ilość]]*tblSprzedaz[[#This Row],[Cena netto jednostkowa]]*(1-tblSprzedaz[[#This Row],[Rabat %]]),2)</f>
        <v>2765.07</v>
      </c>
      <c r="N912" s="14">
        <f>ROUND(tblSprzedaz[[#This Row],[Ilość]]*tblSprzedaz[[#This Row],[Koszt jednostkowy netto]],2)</f>
        <v>2045.89</v>
      </c>
      <c r="O912" s="14">
        <f>tblSprzedaz[[#This Row],[Przychód netto]]-tblSprzedaz[[#This Row],[Koszt całkowity netto]]</f>
        <v>719.18000000000006</v>
      </c>
      <c r="P912" s="15">
        <f>IFERROR(tblSprzedaz[[#This Row],[Marża kwotowa]]/tblSprzedaz[[#This Row],[Przychód netto]],0)</f>
        <v>0.26009468114731271</v>
      </c>
      <c r="Q912" s="16">
        <f>YEAR(tblSprzedaz[[#This Row],[Data]])</f>
        <v>2025</v>
      </c>
      <c r="R912" s="16">
        <f>MONTH(tblSprzedaz[[#This Row],[Data]])</f>
        <v>9</v>
      </c>
      <c r="S912" s="9" t="str">
        <f>YEAR(tblSprzedaz[[#This Row],[Data]])&amp;"-"&amp;RIGHT("0"&amp;MONTH(tblSprzedaz[[#This Row],[Data]]),2)</f>
        <v>2025-09</v>
      </c>
    </row>
    <row r="913" spans="1:19" x14ac:dyDescent="0.25">
      <c r="A913" s="7" t="s">
        <v>1993</v>
      </c>
      <c r="B913" s="10">
        <v>45904</v>
      </c>
      <c r="C913" s="7" t="s">
        <v>1994</v>
      </c>
      <c r="D913" s="8" t="s">
        <v>137</v>
      </c>
      <c r="E913" s="8" t="s">
        <v>66</v>
      </c>
      <c r="F913" s="8" t="s">
        <v>35</v>
      </c>
      <c r="G913" s="8" t="s">
        <v>28</v>
      </c>
      <c r="H913" s="8" t="s">
        <v>39</v>
      </c>
      <c r="I913" s="11">
        <v>10</v>
      </c>
      <c r="J913" s="12">
        <v>67.319999999999993</v>
      </c>
      <c r="K913" s="13">
        <v>0</v>
      </c>
      <c r="L913" s="12">
        <v>49.54</v>
      </c>
      <c r="M913" s="14">
        <f>ROUND(tblSprzedaz[[#This Row],[Ilość]]*tblSprzedaz[[#This Row],[Cena netto jednostkowa]]*(1-tblSprzedaz[[#This Row],[Rabat %]]),2)</f>
        <v>673.2</v>
      </c>
      <c r="N913" s="14">
        <f>ROUND(tblSprzedaz[[#This Row],[Ilość]]*tblSprzedaz[[#This Row],[Koszt jednostkowy netto]],2)</f>
        <v>495.4</v>
      </c>
      <c r="O913" s="14">
        <f>tblSprzedaz[[#This Row],[Przychód netto]]-tblSprzedaz[[#This Row],[Koszt całkowity netto]]</f>
        <v>177.80000000000007</v>
      </c>
      <c r="P913" s="15">
        <f>IFERROR(tblSprzedaz[[#This Row],[Marża kwotowa]]/tblSprzedaz[[#This Row],[Przychód netto]],0)</f>
        <v>0.26411170528817596</v>
      </c>
      <c r="Q913" s="16">
        <f>YEAR(tblSprzedaz[[#This Row],[Data]])</f>
        <v>2025</v>
      </c>
      <c r="R913" s="16">
        <f>MONTH(tblSprzedaz[[#This Row],[Data]])</f>
        <v>9</v>
      </c>
      <c r="S913" s="9" t="str">
        <f>YEAR(tblSprzedaz[[#This Row],[Data]])&amp;"-"&amp;RIGHT("0"&amp;MONTH(tblSprzedaz[[#This Row],[Data]]),2)</f>
        <v>2025-09</v>
      </c>
    </row>
    <row r="914" spans="1:19" x14ac:dyDescent="0.25">
      <c r="A914" s="7" t="s">
        <v>1995</v>
      </c>
      <c r="B914" s="10">
        <v>45905</v>
      </c>
      <c r="C914" s="7" t="s">
        <v>1996</v>
      </c>
      <c r="D914" s="8" t="s">
        <v>94</v>
      </c>
      <c r="E914" s="8" t="s">
        <v>57</v>
      </c>
      <c r="F914" s="8" t="s">
        <v>31</v>
      </c>
      <c r="G914" s="8" t="s">
        <v>30</v>
      </c>
      <c r="H914" s="8" t="s">
        <v>41</v>
      </c>
      <c r="I914" s="11">
        <v>25</v>
      </c>
      <c r="J914" s="12">
        <v>315</v>
      </c>
      <c r="K914" s="13">
        <v>0</v>
      </c>
      <c r="L914" s="12">
        <v>210.79</v>
      </c>
      <c r="M914" s="14">
        <f>ROUND(tblSprzedaz[[#This Row],[Ilość]]*tblSprzedaz[[#This Row],[Cena netto jednostkowa]]*(1-tblSprzedaz[[#This Row],[Rabat %]]),2)</f>
        <v>7875</v>
      </c>
      <c r="N914" s="14">
        <f>ROUND(tblSprzedaz[[#This Row],[Ilość]]*tblSprzedaz[[#This Row],[Koszt jednostkowy netto]],2)</f>
        <v>5269.75</v>
      </c>
      <c r="O914" s="14">
        <f>tblSprzedaz[[#This Row],[Przychód netto]]-tblSprzedaz[[#This Row],[Koszt całkowity netto]]</f>
        <v>2605.25</v>
      </c>
      <c r="P914" s="15">
        <f>IFERROR(tblSprzedaz[[#This Row],[Marża kwotowa]]/tblSprzedaz[[#This Row],[Przychód netto]],0)</f>
        <v>0.3308253968253968</v>
      </c>
      <c r="Q914" s="16">
        <f>YEAR(tblSprzedaz[[#This Row],[Data]])</f>
        <v>2025</v>
      </c>
      <c r="R914" s="16">
        <f>MONTH(tblSprzedaz[[#This Row],[Data]])</f>
        <v>9</v>
      </c>
      <c r="S914" s="9" t="str">
        <f>YEAR(tblSprzedaz[[#This Row],[Data]])&amp;"-"&amp;RIGHT("0"&amp;MONTH(tblSprzedaz[[#This Row],[Data]]),2)</f>
        <v>2025-09</v>
      </c>
    </row>
    <row r="915" spans="1:19" x14ac:dyDescent="0.25">
      <c r="A915" s="7" t="s">
        <v>1997</v>
      </c>
      <c r="B915" s="10">
        <v>45905</v>
      </c>
      <c r="C915" s="7" t="s">
        <v>1998</v>
      </c>
      <c r="D915" s="8" t="s">
        <v>129</v>
      </c>
      <c r="E915" s="8" t="s">
        <v>58</v>
      </c>
      <c r="F915" s="8" t="s">
        <v>31</v>
      </c>
      <c r="G915" s="8" t="s">
        <v>30</v>
      </c>
      <c r="H915" s="8" t="s">
        <v>41</v>
      </c>
      <c r="I915" s="11">
        <v>27</v>
      </c>
      <c r="J915" s="12">
        <v>350.7</v>
      </c>
      <c r="K915" s="13">
        <v>0</v>
      </c>
      <c r="L915" s="12">
        <v>215.97</v>
      </c>
      <c r="M915" s="14">
        <f>ROUND(tblSprzedaz[[#This Row],[Ilość]]*tblSprzedaz[[#This Row],[Cena netto jednostkowa]]*(1-tblSprzedaz[[#This Row],[Rabat %]]),2)</f>
        <v>9468.9</v>
      </c>
      <c r="N915" s="14">
        <f>ROUND(tblSprzedaz[[#This Row],[Ilość]]*tblSprzedaz[[#This Row],[Koszt jednostkowy netto]],2)</f>
        <v>5831.19</v>
      </c>
      <c r="O915" s="14">
        <f>tblSprzedaz[[#This Row],[Przychód netto]]-tblSprzedaz[[#This Row],[Koszt całkowity netto]]</f>
        <v>3637.71</v>
      </c>
      <c r="P915" s="15">
        <f>IFERROR(tblSprzedaz[[#This Row],[Marża kwotowa]]/tblSprzedaz[[#This Row],[Przychód netto]],0)</f>
        <v>0.38417450812660398</v>
      </c>
      <c r="Q915" s="16">
        <f>YEAR(tblSprzedaz[[#This Row],[Data]])</f>
        <v>2025</v>
      </c>
      <c r="R915" s="16">
        <f>MONTH(tblSprzedaz[[#This Row],[Data]])</f>
        <v>9</v>
      </c>
      <c r="S915" s="9" t="str">
        <f>YEAR(tblSprzedaz[[#This Row],[Data]])&amp;"-"&amp;RIGHT("0"&amp;MONTH(tblSprzedaz[[#This Row],[Data]]),2)</f>
        <v>2025-09</v>
      </c>
    </row>
    <row r="916" spans="1:19" x14ac:dyDescent="0.25">
      <c r="A916" s="7" t="s">
        <v>1999</v>
      </c>
      <c r="B916" s="10">
        <v>45905</v>
      </c>
      <c r="C916" s="7" t="s">
        <v>2000</v>
      </c>
      <c r="D916" s="8" t="s">
        <v>123</v>
      </c>
      <c r="E916" s="8" t="s">
        <v>74</v>
      </c>
      <c r="F916" s="8" t="s">
        <v>37</v>
      </c>
      <c r="G916" s="8" t="s">
        <v>34</v>
      </c>
      <c r="H916" s="8" t="s">
        <v>44</v>
      </c>
      <c r="I916" s="11">
        <v>9</v>
      </c>
      <c r="J916" s="12">
        <v>126.35</v>
      </c>
      <c r="K916" s="13">
        <v>0</v>
      </c>
      <c r="L916" s="12">
        <v>92.41</v>
      </c>
      <c r="M916" s="14">
        <f>ROUND(tblSprzedaz[[#This Row],[Ilość]]*tblSprzedaz[[#This Row],[Cena netto jednostkowa]]*(1-tblSprzedaz[[#This Row],[Rabat %]]),2)</f>
        <v>1137.1500000000001</v>
      </c>
      <c r="N916" s="14">
        <f>ROUND(tblSprzedaz[[#This Row],[Ilość]]*tblSprzedaz[[#This Row],[Koszt jednostkowy netto]],2)</f>
        <v>831.69</v>
      </c>
      <c r="O916" s="14">
        <f>tblSprzedaz[[#This Row],[Przychód netto]]-tblSprzedaz[[#This Row],[Koszt całkowity netto]]</f>
        <v>305.46000000000004</v>
      </c>
      <c r="P916" s="15">
        <f>IFERROR(tblSprzedaz[[#This Row],[Marża kwotowa]]/tblSprzedaz[[#This Row],[Przychód netto]],0)</f>
        <v>0.26861891571032848</v>
      </c>
      <c r="Q916" s="16">
        <f>YEAR(tblSprzedaz[[#This Row],[Data]])</f>
        <v>2025</v>
      </c>
      <c r="R916" s="16">
        <f>MONTH(tblSprzedaz[[#This Row],[Data]])</f>
        <v>9</v>
      </c>
      <c r="S916" s="9" t="str">
        <f>YEAR(tblSprzedaz[[#This Row],[Data]])&amp;"-"&amp;RIGHT("0"&amp;MONTH(tblSprzedaz[[#This Row],[Data]]),2)</f>
        <v>2025-09</v>
      </c>
    </row>
    <row r="917" spans="1:19" x14ac:dyDescent="0.25">
      <c r="A917" s="7" t="s">
        <v>2001</v>
      </c>
      <c r="B917" s="10">
        <v>45905</v>
      </c>
      <c r="C917" s="7" t="s">
        <v>2002</v>
      </c>
      <c r="D917" s="8" t="s">
        <v>102</v>
      </c>
      <c r="E917" s="8" t="s">
        <v>70</v>
      </c>
      <c r="F917" s="8" t="s">
        <v>35</v>
      </c>
      <c r="G917" s="8" t="s">
        <v>32</v>
      </c>
      <c r="H917" s="8" t="s">
        <v>43</v>
      </c>
      <c r="I917" s="11">
        <v>17</v>
      </c>
      <c r="J917" s="12">
        <v>113.56</v>
      </c>
      <c r="K917" s="13">
        <v>0.15</v>
      </c>
      <c r="L917" s="12">
        <v>86.1</v>
      </c>
      <c r="M917" s="14">
        <f>ROUND(tblSprzedaz[[#This Row],[Ilość]]*tblSprzedaz[[#This Row],[Cena netto jednostkowa]]*(1-tblSprzedaz[[#This Row],[Rabat %]]),2)</f>
        <v>1640.94</v>
      </c>
      <c r="N917" s="14">
        <f>ROUND(tblSprzedaz[[#This Row],[Ilość]]*tblSprzedaz[[#This Row],[Koszt jednostkowy netto]],2)</f>
        <v>1463.7</v>
      </c>
      <c r="O917" s="14">
        <f>tblSprzedaz[[#This Row],[Przychód netto]]-tblSprzedaz[[#This Row],[Koszt całkowity netto]]</f>
        <v>177.24</v>
      </c>
      <c r="P917" s="15">
        <f>IFERROR(tblSprzedaz[[#This Row],[Marża kwotowa]]/tblSprzedaz[[#This Row],[Przychód netto]],0)</f>
        <v>0.10801126183772716</v>
      </c>
      <c r="Q917" s="16">
        <f>YEAR(tblSprzedaz[[#This Row],[Data]])</f>
        <v>2025</v>
      </c>
      <c r="R917" s="16">
        <f>MONTH(tblSprzedaz[[#This Row],[Data]])</f>
        <v>9</v>
      </c>
      <c r="S917" s="9" t="str">
        <f>YEAR(tblSprzedaz[[#This Row],[Data]])&amp;"-"&amp;RIGHT("0"&amp;MONTH(tblSprzedaz[[#This Row],[Data]]),2)</f>
        <v>2025-09</v>
      </c>
    </row>
    <row r="918" spans="1:19" x14ac:dyDescent="0.25">
      <c r="A918" s="7" t="s">
        <v>2003</v>
      </c>
      <c r="B918" s="10">
        <v>45906</v>
      </c>
      <c r="C918" s="7" t="s">
        <v>2004</v>
      </c>
      <c r="D918" s="8" t="s">
        <v>83</v>
      </c>
      <c r="E918" s="8" t="s">
        <v>74</v>
      </c>
      <c r="F918" s="8" t="s">
        <v>37</v>
      </c>
      <c r="G918" s="8" t="s">
        <v>34</v>
      </c>
      <c r="H918" s="8" t="s">
        <v>44</v>
      </c>
      <c r="I918" s="11">
        <v>6</v>
      </c>
      <c r="J918" s="12">
        <v>126.35</v>
      </c>
      <c r="K918" s="13">
        <v>0.05</v>
      </c>
      <c r="L918" s="12">
        <v>95.21</v>
      </c>
      <c r="M918" s="14">
        <f>ROUND(tblSprzedaz[[#This Row],[Ilość]]*tblSprzedaz[[#This Row],[Cena netto jednostkowa]]*(1-tblSprzedaz[[#This Row],[Rabat %]]),2)</f>
        <v>720.2</v>
      </c>
      <c r="N918" s="14">
        <f>ROUND(tblSprzedaz[[#This Row],[Ilość]]*tblSprzedaz[[#This Row],[Koszt jednostkowy netto]],2)</f>
        <v>571.26</v>
      </c>
      <c r="O918" s="14">
        <f>tblSprzedaz[[#This Row],[Przychód netto]]-tblSprzedaz[[#This Row],[Koszt całkowity netto]]</f>
        <v>148.94000000000005</v>
      </c>
      <c r="P918" s="15">
        <f>IFERROR(tblSprzedaz[[#This Row],[Marża kwotowa]]/tblSprzedaz[[#This Row],[Przychód netto]],0)</f>
        <v>0.20680366564843106</v>
      </c>
      <c r="Q918" s="16">
        <f>YEAR(tblSprzedaz[[#This Row],[Data]])</f>
        <v>2025</v>
      </c>
      <c r="R918" s="16">
        <f>MONTH(tblSprzedaz[[#This Row],[Data]])</f>
        <v>9</v>
      </c>
      <c r="S918" s="9" t="str">
        <f>YEAR(tblSprzedaz[[#This Row],[Data]])&amp;"-"&amp;RIGHT("0"&amp;MONTH(tblSprzedaz[[#This Row],[Data]]),2)</f>
        <v>2025-09</v>
      </c>
    </row>
    <row r="919" spans="1:19" x14ac:dyDescent="0.25">
      <c r="A919" s="7" t="s">
        <v>2005</v>
      </c>
      <c r="B919" s="10">
        <v>45907</v>
      </c>
      <c r="C919" s="7" t="s">
        <v>2006</v>
      </c>
      <c r="D919" s="8" t="s">
        <v>94</v>
      </c>
      <c r="E919" s="8" t="s">
        <v>75</v>
      </c>
      <c r="F919" s="8" t="s">
        <v>37</v>
      </c>
      <c r="G919" s="8" t="s">
        <v>34</v>
      </c>
      <c r="H919" s="8" t="s">
        <v>45</v>
      </c>
      <c r="I919" s="11">
        <v>13</v>
      </c>
      <c r="J919" s="12">
        <v>142.5</v>
      </c>
      <c r="K919" s="13">
        <v>0.05</v>
      </c>
      <c r="L919" s="12">
        <v>112.05</v>
      </c>
      <c r="M919" s="14">
        <f>ROUND(tblSprzedaz[[#This Row],[Ilość]]*tblSprzedaz[[#This Row],[Cena netto jednostkowa]]*(1-tblSprzedaz[[#This Row],[Rabat %]]),2)</f>
        <v>1759.88</v>
      </c>
      <c r="N919" s="14">
        <f>ROUND(tblSprzedaz[[#This Row],[Ilość]]*tblSprzedaz[[#This Row],[Koszt jednostkowy netto]],2)</f>
        <v>1456.65</v>
      </c>
      <c r="O919" s="14">
        <f>tblSprzedaz[[#This Row],[Przychód netto]]-tblSprzedaz[[#This Row],[Koszt całkowity netto]]</f>
        <v>303.23</v>
      </c>
      <c r="P919" s="15">
        <f>IFERROR(tblSprzedaz[[#This Row],[Marża kwotowa]]/tblSprzedaz[[#This Row],[Przychód netto]],0)</f>
        <v>0.17230152055821987</v>
      </c>
      <c r="Q919" s="16">
        <f>YEAR(tblSprzedaz[[#This Row],[Data]])</f>
        <v>2025</v>
      </c>
      <c r="R919" s="16">
        <f>MONTH(tblSprzedaz[[#This Row],[Data]])</f>
        <v>9</v>
      </c>
      <c r="S919" s="9" t="str">
        <f>YEAR(tblSprzedaz[[#This Row],[Data]])&amp;"-"&amp;RIGHT("0"&amp;MONTH(tblSprzedaz[[#This Row],[Data]]),2)</f>
        <v>2025-09</v>
      </c>
    </row>
    <row r="920" spans="1:19" x14ac:dyDescent="0.25">
      <c r="A920" s="7" t="s">
        <v>2007</v>
      </c>
      <c r="B920" s="10">
        <v>45908</v>
      </c>
      <c r="C920" s="7" t="s">
        <v>2008</v>
      </c>
      <c r="D920" s="8" t="s">
        <v>140</v>
      </c>
      <c r="E920" s="8" t="s">
        <v>58</v>
      </c>
      <c r="F920" s="8" t="s">
        <v>31</v>
      </c>
      <c r="G920" s="8" t="s">
        <v>30</v>
      </c>
      <c r="H920" s="8" t="s">
        <v>40</v>
      </c>
      <c r="I920" s="11">
        <v>26</v>
      </c>
      <c r="J920" s="12">
        <v>350.7</v>
      </c>
      <c r="K920" s="13">
        <v>0.1</v>
      </c>
      <c r="L920" s="12">
        <v>219.04</v>
      </c>
      <c r="M920" s="14">
        <f>ROUND(tblSprzedaz[[#This Row],[Ilość]]*tblSprzedaz[[#This Row],[Cena netto jednostkowa]]*(1-tblSprzedaz[[#This Row],[Rabat %]]),2)</f>
        <v>8206.3799999999992</v>
      </c>
      <c r="N920" s="14">
        <f>ROUND(tblSprzedaz[[#This Row],[Ilość]]*tblSprzedaz[[#This Row],[Koszt jednostkowy netto]],2)</f>
        <v>5695.04</v>
      </c>
      <c r="O920" s="14">
        <f>tblSprzedaz[[#This Row],[Przychód netto]]-tblSprzedaz[[#This Row],[Koszt całkowity netto]]</f>
        <v>2511.3399999999992</v>
      </c>
      <c r="P920" s="15">
        <f>IFERROR(tblSprzedaz[[#This Row],[Marża kwotowa]]/tblSprzedaz[[#This Row],[Przychód netto]],0)</f>
        <v>0.30602287488515029</v>
      </c>
      <c r="Q920" s="16">
        <f>YEAR(tblSprzedaz[[#This Row],[Data]])</f>
        <v>2025</v>
      </c>
      <c r="R920" s="16">
        <f>MONTH(tblSprzedaz[[#This Row],[Data]])</f>
        <v>9</v>
      </c>
      <c r="S920" s="9" t="str">
        <f>YEAR(tblSprzedaz[[#This Row],[Data]])&amp;"-"&amp;RIGHT("0"&amp;MONTH(tblSprzedaz[[#This Row],[Data]]),2)</f>
        <v>2025-09</v>
      </c>
    </row>
    <row r="921" spans="1:19" x14ac:dyDescent="0.25">
      <c r="A921" s="7" t="s">
        <v>2009</v>
      </c>
      <c r="B921" s="10">
        <v>45908</v>
      </c>
      <c r="C921" s="7" t="s">
        <v>2010</v>
      </c>
      <c r="D921" s="8" t="s">
        <v>114</v>
      </c>
      <c r="E921" s="8" t="s">
        <v>65</v>
      </c>
      <c r="F921" s="8" t="s">
        <v>33</v>
      </c>
      <c r="G921" s="8" t="s">
        <v>28</v>
      </c>
      <c r="H921" s="8" t="s">
        <v>39</v>
      </c>
      <c r="I921" s="11">
        <v>16</v>
      </c>
      <c r="J921" s="12">
        <v>377.2</v>
      </c>
      <c r="K921" s="13">
        <v>0</v>
      </c>
      <c r="L921" s="12">
        <v>262.12</v>
      </c>
      <c r="M921" s="14">
        <f>ROUND(tblSprzedaz[[#This Row],[Ilość]]*tblSprzedaz[[#This Row],[Cena netto jednostkowa]]*(1-tblSprzedaz[[#This Row],[Rabat %]]),2)</f>
        <v>6035.2</v>
      </c>
      <c r="N921" s="14">
        <f>ROUND(tblSprzedaz[[#This Row],[Ilość]]*tblSprzedaz[[#This Row],[Koszt jednostkowy netto]],2)</f>
        <v>4193.92</v>
      </c>
      <c r="O921" s="14">
        <f>tblSprzedaz[[#This Row],[Przychód netto]]-tblSprzedaz[[#This Row],[Koszt całkowity netto]]</f>
        <v>1841.2799999999997</v>
      </c>
      <c r="P921" s="15">
        <f>IFERROR(tblSprzedaz[[#This Row],[Marża kwotowa]]/tblSprzedaz[[#This Row],[Przychód netto]],0)</f>
        <v>0.30509013785790029</v>
      </c>
      <c r="Q921" s="16">
        <f>YEAR(tblSprzedaz[[#This Row],[Data]])</f>
        <v>2025</v>
      </c>
      <c r="R921" s="16">
        <f>MONTH(tblSprzedaz[[#This Row],[Data]])</f>
        <v>9</v>
      </c>
      <c r="S921" s="9" t="str">
        <f>YEAR(tblSprzedaz[[#This Row],[Data]])&amp;"-"&amp;RIGHT("0"&amp;MONTH(tblSprzedaz[[#This Row],[Data]]),2)</f>
        <v>2025-09</v>
      </c>
    </row>
    <row r="922" spans="1:19" x14ac:dyDescent="0.25">
      <c r="A922" s="7" t="s">
        <v>2011</v>
      </c>
      <c r="B922" s="10">
        <v>45908</v>
      </c>
      <c r="C922" s="7" t="s">
        <v>2012</v>
      </c>
      <c r="D922" s="8" t="s">
        <v>81</v>
      </c>
      <c r="E922" s="8" t="s">
        <v>58</v>
      </c>
      <c r="F922" s="8" t="s">
        <v>31</v>
      </c>
      <c r="G922" s="8" t="s">
        <v>34</v>
      </c>
      <c r="H922" s="8" t="s">
        <v>44</v>
      </c>
      <c r="I922" s="11">
        <v>4</v>
      </c>
      <c r="J922" s="12">
        <v>350.7</v>
      </c>
      <c r="K922" s="13">
        <v>0.15</v>
      </c>
      <c r="L922" s="12">
        <v>224.44</v>
      </c>
      <c r="M922" s="14">
        <f>ROUND(tblSprzedaz[[#This Row],[Ilość]]*tblSprzedaz[[#This Row],[Cena netto jednostkowa]]*(1-tblSprzedaz[[#This Row],[Rabat %]]),2)</f>
        <v>1192.3800000000001</v>
      </c>
      <c r="N922" s="14">
        <f>ROUND(tblSprzedaz[[#This Row],[Ilość]]*tblSprzedaz[[#This Row],[Koszt jednostkowy netto]],2)</f>
        <v>897.76</v>
      </c>
      <c r="O922" s="14">
        <f>tblSprzedaz[[#This Row],[Przychód netto]]-tblSprzedaz[[#This Row],[Koszt całkowity netto]]</f>
        <v>294.62000000000012</v>
      </c>
      <c r="P922" s="15">
        <f>IFERROR(tblSprzedaz[[#This Row],[Marża kwotowa]]/tblSprzedaz[[#This Row],[Przychód netto]],0)</f>
        <v>0.24708566061155007</v>
      </c>
      <c r="Q922" s="16">
        <f>YEAR(tblSprzedaz[[#This Row],[Data]])</f>
        <v>2025</v>
      </c>
      <c r="R922" s="16">
        <f>MONTH(tblSprzedaz[[#This Row],[Data]])</f>
        <v>9</v>
      </c>
      <c r="S922" s="9" t="str">
        <f>YEAR(tblSprzedaz[[#This Row],[Data]])&amp;"-"&amp;RIGHT("0"&amp;MONTH(tblSprzedaz[[#This Row],[Data]]),2)</f>
        <v>2025-09</v>
      </c>
    </row>
    <row r="923" spans="1:19" x14ac:dyDescent="0.25">
      <c r="A923" s="7" t="s">
        <v>2013</v>
      </c>
      <c r="B923" s="10">
        <v>45908</v>
      </c>
      <c r="C923" s="7" t="s">
        <v>2014</v>
      </c>
      <c r="D923" s="8" t="s">
        <v>82</v>
      </c>
      <c r="E923" s="8" t="s">
        <v>53</v>
      </c>
      <c r="F923" s="8" t="s">
        <v>29</v>
      </c>
      <c r="G923" s="8" t="s">
        <v>30</v>
      </c>
      <c r="H923" s="8" t="s">
        <v>41</v>
      </c>
      <c r="I923" s="11">
        <v>25</v>
      </c>
      <c r="J923" s="12">
        <v>27.88</v>
      </c>
      <c r="K923" s="13">
        <v>0.05</v>
      </c>
      <c r="L923" s="12">
        <v>15.49</v>
      </c>
      <c r="M923" s="14">
        <f>ROUND(tblSprzedaz[[#This Row],[Ilość]]*tblSprzedaz[[#This Row],[Cena netto jednostkowa]]*(1-tblSprzedaz[[#This Row],[Rabat %]]),2)</f>
        <v>662.15</v>
      </c>
      <c r="N923" s="14">
        <f>ROUND(tblSprzedaz[[#This Row],[Ilość]]*tblSprzedaz[[#This Row],[Koszt jednostkowy netto]],2)</f>
        <v>387.25</v>
      </c>
      <c r="O923" s="14">
        <f>tblSprzedaz[[#This Row],[Przychód netto]]-tblSprzedaz[[#This Row],[Koszt całkowity netto]]</f>
        <v>274.89999999999998</v>
      </c>
      <c r="P923" s="15">
        <f>IFERROR(tblSprzedaz[[#This Row],[Marża kwotowa]]/tblSprzedaz[[#This Row],[Przychód netto]],0)</f>
        <v>0.41516272747866795</v>
      </c>
      <c r="Q923" s="16">
        <f>YEAR(tblSprzedaz[[#This Row],[Data]])</f>
        <v>2025</v>
      </c>
      <c r="R923" s="16">
        <f>MONTH(tblSprzedaz[[#This Row],[Data]])</f>
        <v>9</v>
      </c>
      <c r="S923" s="9" t="str">
        <f>YEAR(tblSprzedaz[[#This Row],[Data]])&amp;"-"&amp;RIGHT("0"&amp;MONTH(tblSprzedaz[[#This Row],[Data]]),2)</f>
        <v>2025-09</v>
      </c>
    </row>
    <row r="924" spans="1:19" x14ac:dyDescent="0.25">
      <c r="A924" s="7" t="s">
        <v>2015</v>
      </c>
      <c r="B924" s="10">
        <v>45908</v>
      </c>
      <c r="C924" s="7" t="s">
        <v>2016</v>
      </c>
      <c r="D924" s="8" t="s">
        <v>123</v>
      </c>
      <c r="E924" s="8" t="s">
        <v>59</v>
      </c>
      <c r="F924" s="8" t="s">
        <v>31</v>
      </c>
      <c r="G924" s="8" t="s">
        <v>36</v>
      </c>
      <c r="H924" s="8" t="s">
        <v>46</v>
      </c>
      <c r="I924" s="11">
        <v>15</v>
      </c>
      <c r="J924" s="12">
        <v>172.2</v>
      </c>
      <c r="K924" s="13">
        <v>0.1</v>
      </c>
      <c r="L924" s="12">
        <v>114.46</v>
      </c>
      <c r="M924" s="14">
        <f>ROUND(tblSprzedaz[[#This Row],[Ilość]]*tblSprzedaz[[#This Row],[Cena netto jednostkowa]]*(1-tblSprzedaz[[#This Row],[Rabat %]]),2)</f>
        <v>2324.6999999999998</v>
      </c>
      <c r="N924" s="14">
        <f>ROUND(tblSprzedaz[[#This Row],[Ilość]]*tblSprzedaz[[#This Row],[Koszt jednostkowy netto]],2)</f>
        <v>1716.9</v>
      </c>
      <c r="O924" s="14">
        <f>tblSprzedaz[[#This Row],[Przychód netto]]-tblSprzedaz[[#This Row],[Koszt całkowity netto]]</f>
        <v>607.79999999999973</v>
      </c>
      <c r="P924" s="15">
        <f>IFERROR(tblSprzedaz[[#This Row],[Marża kwotowa]]/tblSprzedaz[[#This Row],[Przychód netto]],0)</f>
        <v>0.26145309072138329</v>
      </c>
      <c r="Q924" s="16">
        <f>YEAR(tblSprzedaz[[#This Row],[Data]])</f>
        <v>2025</v>
      </c>
      <c r="R924" s="16">
        <f>MONTH(tblSprzedaz[[#This Row],[Data]])</f>
        <v>9</v>
      </c>
      <c r="S924" s="9" t="str">
        <f>YEAR(tblSprzedaz[[#This Row],[Data]])&amp;"-"&amp;RIGHT("0"&amp;MONTH(tblSprzedaz[[#This Row],[Data]]),2)</f>
        <v>2025-09</v>
      </c>
    </row>
    <row r="925" spans="1:19" x14ac:dyDescent="0.25">
      <c r="A925" s="7" t="s">
        <v>2017</v>
      </c>
      <c r="B925" s="10">
        <v>45909</v>
      </c>
      <c r="C925" s="7" t="s">
        <v>2018</v>
      </c>
      <c r="D925" s="8" t="s">
        <v>136</v>
      </c>
      <c r="E925" s="8" t="s">
        <v>76</v>
      </c>
      <c r="F925" s="8" t="s">
        <v>37</v>
      </c>
      <c r="G925" s="8" t="s">
        <v>30</v>
      </c>
      <c r="H925" s="8" t="s">
        <v>40</v>
      </c>
      <c r="I925" s="11">
        <v>7</v>
      </c>
      <c r="J925" s="12">
        <v>158.65</v>
      </c>
      <c r="K925" s="13">
        <v>0.05</v>
      </c>
      <c r="L925" s="12">
        <v>119.18</v>
      </c>
      <c r="M925" s="14">
        <f>ROUND(tblSprzedaz[[#This Row],[Ilość]]*tblSprzedaz[[#This Row],[Cena netto jednostkowa]]*(1-tblSprzedaz[[#This Row],[Rabat %]]),2)</f>
        <v>1055.02</v>
      </c>
      <c r="N925" s="14">
        <f>ROUND(tblSprzedaz[[#This Row],[Ilość]]*tblSprzedaz[[#This Row],[Koszt jednostkowy netto]],2)</f>
        <v>834.26</v>
      </c>
      <c r="O925" s="14">
        <f>tblSprzedaz[[#This Row],[Przychód netto]]-tblSprzedaz[[#This Row],[Koszt całkowity netto]]</f>
        <v>220.76</v>
      </c>
      <c r="P925" s="15">
        <f>IFERROR(tblSprzedaz[[#This Row],[Marża kwotowa]]/tblSprzedaz[[#This Row],[Przychód netto]],0)</f>
        <v>0.20924721806221683</v>
      </c>
      <c r="Q925" s="16">
        <f>YEAR(tblSprzedaz[[#This Row],[Data]])</f>
        <v>2025</v>
      </c>
      <c r="R925" s="16">
        <f>MONTH(tblSprzedaz[[#This Row],[Data]])</f>
        <v>9</v>
      </c>
      <c r="S925" s="9" t="str">
        <f>YEAR(tblSprzedaz[[#This Row],[Data]])&amp;"-"&amp;RIGHT("0"&amp;MONTH(tblSprzedaz[[#This Row],[Data]]),2)</f>
        <v>2025-09</v>
      </c>
    </row>
    <row r="926" spans="1:19" x14ac:dyDescent="0.25">
      <c r="A926" s="7" t="s">
        <v>2019</v>
      </c>
      <c r="B926" s="10">
        <v>45909</v>
      </c>
      <c r="C926" s="7" t="s">
        <v>2020</v>
      </c>
      <c r="D926" s="8" t="s">
        <v>135</v>
      </c>
      <c r="E926" s="8" t="s">
        <v>50</v>
      </c>
      <c r="F926" s="8" t="s">
        <v>29</v>
      </c>
      <c r="G926" s="8" t="s">
        <v>36</v>
      </c>
      <c r="H926" s="8" t="s">
        <v>47</v>
      </c>
      <c r="I926" s="11">
        <v>16</v>
      </c>
      <c r="J926" s="12">
        <v>45.22</v>
      </c>
      <c r="K926" s="13">
        <v>0</v>
      </c>
      <c r="L926" s="12">
        <v>27.01</v>
      </c>
      <c r="M926" s="14">
        <f>ROUND(tblSprzedaz[[#This Row],[Ilość]]*tblSprzedaz[[#This Row],[Cena netto jednostkowa]]*(1-tblSprzedaz[[#This Row],[Rabat %]]),2)</f>
        <v>723.52</v>
      </c>
      <c r="N926" s="14">
        <f>ROUND(tblSprzedaz[[#This Row],[Ilość]]*tblSprzedaz[[#This Row],[Koszt jednostkowy netto]],2)</f>
        <v>432.16</v>
      </c>
      <c r="O926" s="14">
        <f>tblSprzedaz[[#This Row],[Przychód netto]]-tblSprzedaz[[#This Row],[Koszt całkowity netto]]</f>
        <v>291.35999999999996</v>
      </c>
      <c r="P926" s="15">
        <f>IFERROR(tblSprzedaz[[#This Row],[Marża kwotowa]]/tblSprzedaz[[#This Row],[Przychód netto]],0)</f>
        <v>0.40269792127377263</v>
      </c>
      <c r="Q926" s="16">
        <f>YEAR(tblSprzedaz[[#This Row],[Data]])</f>
        <v>2025</v>
      </c>
      <c r="R926" s="16">
        <f>MONTH(tblSprzedaz[[#This Row],[Data]])</f>
        <v>9</v>
      </c>
      <c r="S926" s="9" t="str">
        <f>YEAR(tblSprzedaz[[#This Row],[Data]])&amp;"-"&amp;RIGHT("0"&amp;MONTH(tblSprzedaz[[#This Row],[Data]]),2)</f>
        <v>2025-09</v>
      </c>
    </row>
    <row r="927" spans="1:19" x14ac:dyDescent="0.25">
      <c r="A927" s="7" t="s">
        <v>2021</v>
      </c>
      <c r="B927" s="10">
        <v>45909</v>
      </c>
      <c r="C927" s="7" t="s">
        <v>2022</v>
      </c>
      <c r="D927" s="8" t="s">
        <v>96</v>
      </c>
      <c r="E927" s="8" t="s">
        <v>65</v>
      </c>
      <c r="F927" s="8" t="s">
        <v>33</v>
      </c>
      <c r="G927" s="8" t="s">
        <v>36</v>
      </c>
      <c r="H927" s="8" t="s">
        <v>47</v>
      </c>
      <c r="I927" s="11">
        <v>24</v>
      </c>
      <c r="J927" s="12">
        <v>377.2</v>
      </c>
      <c r="K927" s="13">
        <v>0.1</v>
      </c>
      <c r="L927" s="12">
        <v>246.74</v>
      </c>
      <c r="M927" s="14">
        <f>ROUND(tblSprzedaz[[#This Row],[Ilość]]*tblSprzedaz[[#This Row],[Cena netto jednostkowa]]*(1-tblSprzedaz[[#This Row],[Rabat %]]),2)</f>
        <v>8147.52</v>
      </c>
      <c r="N927" s="14">
        <f>ROUND(tblSprzedaz[[#This Row],[Ilość]]*tblSprzedaz[[#This Row],[Koszt jednostkowy netto]],2)</f>
        <v>5921.76</v>
      </c>
      <c r="O927" s="14">
        <f>tblSprzedaz[[#This Row],[Przychód netto]]-tblSprzedaz[[#This Row],[Koszt całkowity netto]]</f>
        <v>2225.7600000000002</v>
      </c>
      <c r="P927" s="15">
        <f>IFERROR(tblSprzedaz[[#This Row],[Marża kwotowa]]/tblSprzedaz[[#This Row],[Przychód netto]],0)</f>
        <v>0.27318251443384001</v>
      </c>
      <c r="Q927" s="16">
        <f>YEAR(tblSprzedaz[[#This Row],[Data]])</f>
        <v>2025</v>
      </c>
      <c r="R927" s="16">
        <f>MONTH(tblSprzedaz[[#This Row],[Data]])</f>
        <v>9</v>
      </c>
      <c r="S927" s="9" t="str">
        <f>YEAR(tblSprzedaz[[#This Row],[Data]])&amp;"-"&amp;RIGHT("0"&amp;MONTH(tblSprzedaz[[#This Row],[Data]]),2)</f>
        <v>2025-09</v>
      </c>
    </row>
    <row r="928" spans="1:19" x14ac:dyDescent="0.25">
      <c r="A928" s="7" t="s">
        <v>2023</v>
      </c>
      <c r="B928" s="10">
        <v>45909</v>
      </c>
      <c r="C928" s="7" t="s">
        <v>2024</v>
      </c>
      <c r="D928" s="8" t="s">
        <v>101</v>
      </c>
      <c r="E928" s="8" t="s">
        <v>58</v>
      </c>
      <c r="F928" s="8" t="s">
        <v>31</v>
      </c>
      <c r="G928" s="8" t="s">
        <v>34</v>
      </c>
      <c r="H928" s="8" t="s">
        <v>44</v>
      </c>
      <c r="I928" s="11">
        <v>12</v>
      </c>
      <c r="J928" s="12">
        <v>350.7</v>
      </c>
      <c r="K928" s="13">
        <v>0</v>
      </c>
      <c r="L928" s="12">
        <v>217.97</v>
      </c>
      <c r="M928" s="14">
        <f>ROUND(tblSprzedaz[[#This Row],[Ilość]]*tblSprzedaz[[#This Row],[Cena netto jednostkowa]]*(1-tblSprzedaz[[#This Row],[Rabat %]]),2)</f>
        <v>4208.3999999999996</v>
      </c>
      <c r="N928" s="14">
        <f>ROUND(tblSprzedaz[[#This Row],[Ilość]]*tblSprzedaz[[#This Row],[Koszt jednostkowy netto]],2)</f>
        <v>2615.64</v>
      </c>
      <c r="O928" s="14">
        <f>tblSprzedaz[[#This Row],[Przychód netto]]-tblSprzedaz[[#This Row],[Koszt całkowity netto]]</f>
        <v>1592.7599999999998</v>
      </c>
      <c r="P928" s="15">
        <f>IFERROR(tblSprzedaz[[#This Row],[Marża kwotowa]]/tblSprzedaz[[#This Row],[Przychód netto]],0)</f>
        <v>0.37847162817222696</v>
      </c>
      <c r="Q928" s="16">
        <f>YEAR(tblSprzedaz[[#This Row],[Data]])</f>
        <v>2025</v>
      </c>
      <c r="R928" s="16">
        <f>MONTH(tblSprzedaz[[#This Row],[Data]])</f>
        <v>9</v>
      </c>
      <c r="S928" s="9" t="str">
        <f>YEAR(tblSprzedaz[[#This Row],[Data]])&amp;"-"&amp;RIGHT("0"&amp;MONTH(tblSprzedaz[[#This Row],[Data]]),2)</f>
        <v>2025-09</v>
      </c>
    </row>
    <row r="929" spans="1:19" x14ac:dyDescent="0.25">
      <c r="A929" s="7" t="s">
        <v>2025</v>
      </c>
      <c r="B929" s="10">
        <v>45909</v>
      </c>
      <c r="C929" s="7" t="s">
        <v>2026</v>
      </c>
      <c r="D929" s="8" t="s">
        <v>101</v>
      </c>
      <c r="E929" s="8" t="s">
        <v>60</v>
      </c>
      <c r="F929" s="8" t="s">
        <v>33</v>
      </c>
      <c r="G929" s="8" t="s">
        <v>36</v>
      </c>
      <c r="H929" s="8" t="s">
        <v>46</v>
      </c>
      <c r="I929" s="11">
        <v>9</v>
      </c>
      <c r="J929" s="12">
        <v>455.4</v>
      </c>
      <c r="K929" s="13">
        <v>0</v>
      </c>
      <c r="L929" s="12">
        <v>316.39999999999998</v>
      </c>
      <c r="M929" s="14">
        <f>ROUND(tblSprzedaz[[#This Row],[Ilość]]*tblSprzedaz[[#This Row],[Cena netto jednostkowa]]*(1-tblSprzedaz[[#This Row],[Rabat %]]),2)</f>
        <v>4098.6000000000004</v>
      </c>
      <c r="N929" s="14">
        <f>ROUND(tblSprzedaz[[#This Row],[Ilość]]*tblSprzedaz[[#This Row],[Koszt jednostkowy netto]],2)</f>
        <v>2847.6</v>
      </c>
      <c r="O929" s="14">
        <f>tblSprzedaz[[#This Row],[Przychód netto]]-tblSprzedaz[[#This Row],[Koszt całkowity netto]]</f>
        <v>1251.0000000000005</v>
      </c>
      <c r="P929" s="15">
        <f>IFERROR(tblSprzedaz[[#This Row],[Marża kwotowa]]/tblSprzedaz[[#This Row],[Przychód netto]],0)</f>
        <v>0.30522617479139225</v>
      </c>
      <c r="Q929" s="16">
        <f>YEAR(tblSprzedaz[[#This Row],[Data]])</f>
        <v>2025</v>
      </c>
      <c r="R929" s="16">
        <f>MONTH(tblSprzedaz[[#This Row],[Data]])</f>
        <v>9</v>
      </c>
      <c r="S929" s="9" t="str">
        <f>YEAR(tblSprzedaz[[#This Row],[Data]])&amp;"-"&amp;RIGHT("0"&amp;MONTH(tblSprzedaz[[#This Row],[Data]]),2)</f>
        <v>2025-09</v>
      </c>
    </row>
    <row r="930" spans="1:19" x14ac:dyDescent="0.25">
      <c r="A930" s="7" t="s">
        <v>2027</v>
      </c>
      <c r="B930" s="10">
        <v>45910</v>
      </c>
      <c r="C930" s="7" t="s">
        <v>2028</v>
      </c>
      <c r="D930" s="8" t="s">
        <v>133</v>
      </c>
      <c r="E930" s="8" t="s">
        <v>54</v>
      </c>
      <c r="F930" s="8" t="s">
        <v>31</v>
      </c>
      <c r="G930" s="8" t="s">
        <v>32</v>
      </c>
      <c r="H930" s="8" t="s">
        <v>42</v>
      </c>
      <c r="I930" s="11">
        <v>30</v>
      </c>
      <c r="J930" s="12">
        <v>207.9</v>
      </c>
      <c r="K930" s="13">
        <v>0.1</v>
      </c>
      <c r="L930" s="12">
        <v>137.84</v>
      </c>
      <c r="M930" s="14">
        <f>ROUND(tblSprzedaz[[#This Row],[Ilość]]*tblSprzedaz[[#This Row],[Cena netto jednostkowa]]*(1-tblSprzedaz[[#This Row],[Rabat %]]),2)</f>
        <v>5613.3</v>
      </c>
      <c r="N930" s="14">
        <f>ROUND(tblSprzedaz[[#This Row],[Ilość]]*tblSprzedaz[[#This Row],[Koszt jednostkowy netto]],2)</f>
        <v>4135.2</v>
      </c>
      <c r="O930" s="14">
        <f>tblSprzedaz[[#This Row],[Przychód netto]]-tblSprzedaz[[#This Row],[Koszt całkowity netto]]</f>
        <v>1478.1000000000004</v>
      </c>
      <c r="P930" s="15">
        <f>IFERROR(tblSprzedaz[[#This Row],[Marża kwotowa]]/tblSprzedaz[[#This Row],[Przychód netto]],0)</f>
        <v>0.26332104109881893</v>
      </c>
      <c r="Q930" s="16">
        <f>YEAR(tblSprzedaz[[#This Row],[Data]])</f>
        <v>2025</v>
      </c>
      <c r="R930" s="16">
        <f>MONTH(tblSprzedaz[[#This Row],[Data]])</f>
        <v>9</v>
      </c>
      <c r="S930" s="9" t="str">
        <f>YEAR(tblSprzedaz[[#This Row],[Data]])&amp;"-"&amp;RIGHT("0"&amp;MONTH(tblSprzedaz[[#This Row],[Data]]),2)</f>
        <v>2025-09</v>
      </c>
    </row>
    <row r="931" spans="1:19" x14ac:dyDescent="0.25">
      <c r="A931" s="7" t="s">
        <v>2029</v>
      </c>
      <c r="B931" s="10">
        <v>45910</v>
      </c>
      <c r="C931" s="7" t="s">
        <v>2030</v>
      </c>
      <c r="D931" s="8" t="s">
        <v>89</v>
      </c>
      <c r="E931" s="8" t="s">
        <v>67</v>
      </c>
      <c r="F931" s="8" t="s">
        <v>35</v>
      </c>
      <c r="G931" s="8" t="s">
        <v>32</v>
      </c>
      <c r="H931" s="8" t="s">
        <v>42</v>
      </c>
      <c r="I931" s="11">
        <v>7</v>
      </c>
      <c r="J931" s="12">
        <v>78.88</v>
      </c>
      <c r="K931" s="13">
        <v>0.1</v>
      </c>
      <c r="L931" s="12">
        <v>56.53</v>
      </c>
      <c r="M931" s="14">
        <f>ROUND(tblSprzedaz[[#This Row],[Ilość]]*tblSprzedaz[[#This Row],[Cena netto jednostkowa]]*(1-tblSprzedaz[[#This Row],[Rabat %]]),2)</f>
        <v>496.94</v>
      </c>
      <c r="N931" s="14">
        <f>ROUND(tblSprzedaz[[#This Row],[Ilość]]*tblSprzedaz[[#This Row],[Koszt jednostkowy netto]],2)</f>
        <v>395.71</v>
      </c>
      <c r="O931" s="14">
        <f>tblSprzedaz[[#This Row],[Przychód netto]]-tblSprzedaz[[#This Row],[Koszt całkowity netto]]</f>
        <v>101.23000000000002</v>
      </c>
      <c r="P931" s="15">
        <f>IFERROR(tblSprzedaz[[#This Row],[Marża kwotowa]]/tblSprzedaz[[#This Row],[Przychód netto]],0)</f>
        <v>0.20370668491165939</v>
      </c>
      <c r="Q931" s="16">
        <f>YEAR(tblSprzedaz[[#This Row],[Data]])</f>
        <v>2025</v>
      </c>
      <c r="R931" s="16">
        <f>MONTH(tblSprzedaz[[#This Row],[Data]])</f>
        <v>9</v>
      </c>
      <c r="S931" s="9" t="str">
        <f>YEAR(tblSprzedaz[[#This Row],[Data]])&amp;"-"&amp;RIGHT("0"&amp;MONTH(tblSprzedaz[[#This Row],[Data]]),2)</f>
        <v>2025-09</v>
      </c>
    </row>
    <row r="932" spans="1:19" x14ac:dyDescent="0.25">
      <c r="A932" s="7" t="s">
        <v>2031</v>
      </c>
      <c r="B932" s="10">
        <v>45910</v>
      </c>
      <c r="C932" s="7" t="s">
        <v>2032</v>
      </c>
      <c r="D932" s="8" t="s">
        <v>132</v>
      </c>
      <c r="E932" s="8" t="s">
        <v>69</v>
      </c>
      <c r="F932" s="8" t="s">
        <v>35</v>
      </c>
      <c r="G932" s="8" t="s">
        <v>36</v>
      </c>
      <c r="H932" s="8" t="s">
        <v>46</v>
      </c>
      <c r="I932" s="11">
        <v>14</v>
      </c>
      <c r="J932" s="12">
        <v>102</v>
      </c>
      <c r="K932" s="13">
        <v>0</v>
      </c>
      <c r="L932" s="12">
        <v>70.45</v>
      </c>
      <c r="M932" s="14">
        <f>ROUND(tblSprzedaz[[#This Row],[Ilość]]*tblSprzedaz[[#This Row],[Cena netto jednostkowa]]*(1-tblSprzedaz[[#This Row],[Rabat %]]),2)</f>
        <v>1428</v>
      </c>
      <c r="N932" s="14">
        <f>ROUND(tblSprzedaz[[#This Row],[Ilość]]*tblSprzedaz[[#This Row],[Koszt jednostkowy netto]],2)</f>
        <v>986.3</v>
      </c>
      <c r="O932" s="14">
        <f>tblSprzedaz[[#This Row],[Przychód netto]]-tblSprzedaz[[#This Row],[Koszt całkowity netto]]</f>
        <v>441.70000000000005</v>
      </c>
      <c r="P932" s="15">
        <f>IFERROR(tblSprzedaz[[#This Row],[Marża kwotowa]]/tblSprzedaz[[#This Row],[Przychód netto]],0)</f>
        <v>0.30931372549019609</v>
      </c>
      <c r="Q932" s="16">
        <f>YEAR(tblSprzedaz[[#This Row],[Data]])</f>
        <v>2025</v>
      </c>
      <c r="R932" s="16">
        <f>MONTH(tblSprzedaz[[#This Row],[Data]])</f>
        <v>9</v>
      </c>
      <c r="S932" s="9" t="str">
        <f>YEAR(tblSprzedaz[[#This Row],[Data]])&amp;"-"&amp;RIGHT("0"&amp;MONTH(tblSprzedaz[[#This Row],[Data]]),2)</f>
        <v>2025-09</v>
      </c>
    </row>
    <row r="933" spans="1:19" x14ac:dyDescent="0.25">
      <c r="A933" s="7" t="s">
        <v>2033</v>
      </c>
      <c r="B933" s="10">
        <v>45910</v>
      </c>
      <c r="C933" s="7" t="s">
        <v>2034</v>
      </c>
      <c r="D933" s="8" t="s">
        <v>139</v>
      </c>
      <c r="E933" s="8" t="s">
        <v>77</v>
      </c>
      <c r="F933" s="8" t="s">
        <v>37</v>
      </c>
      <c r="G933" s="8" t="s">
        <v>36</v>
      </c>
      <c r="H933" s="8" t="s">
        <v>46</v>
      </c>
      <c r="I933" s="11">
        <v>22</v>
      </c>
      <c r="J933" s="12">
        <v>77.900000000000006</v>
      </c>
      <c r="K933" s="13">
        <v>0.1</v>
      </c>
      <c r="L933" s="12">
        <v>57.52</v>
      </c>
      <c r="M933" s="14">
        <f>ROUND(tblSprzedaz[[#This Row],[Ilość]]*tblSprzedaz[[#This Row],[Cena netto jednostkowa]]*(1-tblSprzedaz[[#This Row],[Rabat %]]),2)</f>
        <v>1542.42</v>
      </c>
      <c r="N933" s="14">
        <f>ROUND(tblSprzedaz[[#This Row],[Ilość]]*tblSprzedaz[[#This Row],[Koszt jednostkowy netto]],2)</f>
        <v>1265.44</v>
      </c>
      <c r="O933" s="14">
        <f>tblSprzedaz[[#This Row],[Przychód netto]]-tblSprzedaz[[#This Row],[Koszt całkowity netto]]</f>
        <v>276.98</v>
      </c>
      <c r="P933" s="15">
        <f>IFERROR(tblSprzedaz[[#This Row],[Marża kwotowa]]/tblSprzedaz[[#This Row],[Przychód netto]],0)</f>
        <v>0.17957495364427328</v>
      </c>
      <c r="Q933" s="16">
        <f>YEAR(tblSprzedaz[[#This Row],[Data]])</f>
        <v>2025</v>
      </c>
      <c r="R933" s="16">
        <f>MONTH(tblSprzedaz[[#This Row],[Data]])</f>
        <v>9</v>
      </c>
      <c r="S933" s="9" t="str">
        <f>YEAR(tblSprzedaz[[#This Row],[Data]])&amp;"-"&amp;RIGHT("0"&amp;MONTH(tblSprzedaz[[#This Row],[Data]]),2)</f>
        <v>2025-09</v>
      </c>
    </row>
    <row r="934" spans="1:19" x14ac:dyDescent="0.25">
      <c r="A934" s="7" t="s">
        <v>2035</v>
      </c>
      <c r="B934" s="10">
        <v>45910</v>
      </c>
      <c r="C934" s="7" t="s">
        <v>2036</v>
      </c>
      <c r="D934" s="8" t="s">
        <v>91</v>
      </c>
      <c r="E934" s="8" t="s">
        <v>76</v>
      </c>
      <c r="F934" s="8" t="s">
        <v>37</v>
      </c>
      <c r="G934" s="8" t="s">
        <v>36</v>
      </c>
      <c r="H934" s="8" t="s">
        <v>46</v>
      </c>
      <c r="I934" s="11">
        <v>18</v>
      </c>
      <c r="J934" s="12">
        <v>158.65</v>
      </c>
      <c r="K934" s="13">
        <v>0</v>
      </c>
      <c r="L934" s="12">
        <v>124.67</v>
      </c>
      <c r="M934" s="14">
        <f>ROUND(tblSprzedaz[[#This Row],[Ilość]]*tblSprzedaz[[#This Row],[Cena netto jednostkowa]]*(1-tblSprzedaz[[#This Row],[Rabat %]]),2)</f>
        <v>2855.7</v>
      </c>
      <c r="N934" s="14">
        <f>ROUND(tblSprzedaz[[#This Row],[Ilość]]*tblSprzedaz[[#This Row],[Koszt jednostkowy netto]],2)</f>
        <v>2244.06</v>
      </c>
      <c r="O934" s="14">
        <f>tblSprzedaz[[#This Row],[Przychód netto]]-tblSprzedaz[[#This Row],[Koszt całkowity netto]]</f>
        <v>611.63999999999987</v>
      </c>
      <c r="P934" s="15">
        <f>IFERROR(tblSprzedaz[[#This Row],[Marża kwotowa]]/tblSprzedaz[[#This Row],[Przychód netto]],0)</f>
        <v>0.21418216199180584</v>
      </c>
      <c r="Q934" s="16">
        <f>YEAR(tblSprzedaz[[#This Row],[Data]])</f>
        <v>2025</v>
      </c>
      <c r="R934" s="16">
        <f>MONTH(tblSprzedaz[[#This Row],[Data]])</f>
        <v>9</v>
      </c>
      <c r="S934" s="9" t="str">
        <f>YEAR(tblSprzedaz[[#This Row],[Data]])&amp;"-"&amp;RIGHT("0"&amp;MONTH(tblSprzedaz[[#This Row],[Data]]),2)</f>
        <v>2025-09</v>
      </c>
    </row>
    <row r="935" spans="1:19" x14ac:dyDescent="0.25">
      <c r="A935" s="7" t="s">
        <v>2037</v>
      </c>
      <c r="B935" s="10">
        <v>45910</v>
      </c>
      <c r="C935" s="7" t="s">
        <v>2038</v>
      </c>
      <c r="D935" s="8" t="s">
        <v>107</v>
      </c>
      <c r="E935" s="8" t="s">
        <v>49</v>
      </c>
      <c r="F935" s="8" t="s">
        <v>29</v>
      </c>
      <c r="G935" s="8" t="s">
        <v>36</v>
      </c>
      <c r="H935" s="8" t="s">
        <v>46</v>
      </c>
      <c r="I935" s="11">
        <v>24</v>
      </c>
      <c r="J935" s="12">
        <v>39.44</v>
      </c>
      <c r="K935" s="13">
        <v>0.05</v>
      </c>
      <c r="L935" s="12">
        <v>24.36</v>
      </c>
      <c r="M935" s="14">
        <f>ROUND(tblSprzedaz[[#This Row],[Ilość]]*tblSprzedaz[[#This Row],[Cena netto jednostkowa]]*(1-tblSprzedaz[[#This Row],[Rabat %]]),2)</f>
        <v>899.23</v>
      </c>
      <c r="N935" s="14">
        <f>ROUND(tblSprzedaz[[#This Row],[Ilość]]*tblSprzedaz[[#This Row],[Koszt jednostkowy netto]],2)</f>
        <v>584.64</v>
      </c>
      <c r="O935" s="14">
        <f>tblSprzedaz[[#This Row],[Przychód netto]]-tblSprzedaz[[#This Row],[Koszt całkowity netto]]</f>
        <v>314.59000000000003</v>
      </c>
      <c r="P935" s="15">
        <f>IFERROR(tblSprzedaz[[#This Row],[Marża kwotowa]]/tblSprzedaz[[#This Row],[Przychód netto]],0)</f>
        <v>0.34984375521279321</v>
      </c>
      <c r="Q935" s="16">
        <f>YEAR(tblSprzedaz[[#This Row],[Data]])</f>
        <v>2025</v>
      </c>
      <c r="R935" s="16">
        <f>MONTH(tblSprzedaz[[#This Row],[Data]])</f>
        <v>9</v>
      </c>
      <c r="S935" s="9" t="str">
        <f>YEAR(tblSprzedaz[[#This Row],[Data]])&amp;"-"&amp;RIGHT("0"&amp;MONTH(tblSprzedaz[[#This Row],[Data]]),2)</f>
        <v>2025-09</v>
      </c>
    </row>
    <row r="936" spans="1:19" x14ac:dyDescent="0.25">
      <c r="A936" s="7" t="s">
        <v>2039</v>
      </c>
      <c r="B936" s="10">
        <v>45911</v>
      </c>
      <c r="C936" s="7" t="s">
        <v>2040</v>
      </c>
      <c r="D936" s="8" t="s">
        <v>102</v>
      </c>
      <c r="E936" s="8" t="s">
        <v>68</v>
      </c>
      <c r="F936" s="8" t="s">
        <v>35</v>
      </c>
      <c r="G936" s="8" t="s">
        <v>34</v>
      </c>
      <c r="H936" s="8" t="s">
        <v>44</v>
      </c>
      <c r="I936" s="11">
        <v>14</v>
      </c>
      <c r="J936" s="12">
        <v>90.44</v>
      </c>
      <c r="K936" s="13">
        <v>0</v>
      </c>
      <c r="L936" s="12">
        <v>67.38</v>
      </c>
      <c r="M936" s="14">
        <f>ROUND(tblSprzedaz[[#This Row],[Ilość]]*tblSprzedaz[[#This Row],[Cena netto jednostkowa]]*(1-tblSprzedaz[[#This Row],[Rabat %]]),2)</f>
        <v>1266.1600000000001</v>
      </c>
      <c r="N936" s="14">
        <f>ROUND(tblSprzedaz[[#This Row],[Ilość]]*tblSprzedaz[[#This Row],[Koszt jednostkowy netto]],2)</f>
        <v>943.32</v>
      </c>
      <c r="O936" s="14">
        <f>tblSprzedaz[[#This Row],[Przychód netto]]-tblSprzedaz[[#This Row],[Koszt całkowity netto]]</f>
        <v>322.84000000000003</v>
      </c>
      <c r="P936" s="15">
        <f>IFERROR(tblSprzedaz[[#This Row],[Marża kwotowa]]/tblSprzedaz[[#This Row],[Przychód netto]],0)</f>
        <v>0.25497567448031844</v>
      </c>
      <c r="Q936" s="16">
        <f>YEAR(tblSprzedaz[[#This Row],[Data]])</f>
        <v>2025</v>
      </c>
      <c r="R936" s="16">
        <f>MONTH(tblSprzedaz[[#This Row],[Data]])</f>
        <v>9</v>
      </c>
      <c r="S936" s="9" t="str">
        <f>YEAR(tblSprzedaz[[#This Row],[Data]])&amp;"-"&amp;RIGHT("0"&amp;MONTH(tblSprzedaz[[#This Row],[Data]]),2)</f>
        <v>2025-09</v>
      </c>
    </row>
    <row r="937" spans="1:19" x14ac:dyDescent="0.25">
      <c r="A937" s="7" t="s">
        <v>2041</v>
      </c>
      <c r="B937" s="10">
        <v>45911</v>
      </c>
      <c r="C937" s="7" t="s">
        <v>2042</v>
      </c>
      <c r="D937" s="8" t="s">
        <v>116</v>
      </c>
      <c r="E937" s="8" t="s">
        <v>52</v>
      </c>
      <c r="F937" s="8" t="s">
        <v>29</v>
      </c>
      <c r="G937" s="8" t="s">
        <v>30</v>
      </c>
      <c r="H937" s="8" t="s">
        <v>40</v>
      </c>
      <c r="I937" s="11">
        <v>10</v>
      </c>
      <c r="J937" s="12">
        <v>56.78</v>
      </c>
      <c r="K937" s="13">
        <v>0</v>
      </c>
      <c r="L937" s="12">
        <v>32.15</v>
      </c>
      <c r="M937" s="14">
        <f>ROUND(tblSprzedaz[[#This Row],[Ilość]]*tblSprzedaz[[#This Row],[Cena netto jednostkowa]]*(1-tblSprzedaz[[#This Row],[Rabat %]]),2)</f>
        <v>567.79999999999995</v>
      </c>
      <c r="N937" s="14">
        <f>ROUND(tblSprzedaz[[#This Row],[Ilość]]*tblSprzedaz[[#This Row],[Koszt jednostkowy netto]],2)</f>
        <v>321.5</v>
      </c>
      <c r="O937" s="14">
        <f>tblSprzedaz[[#This Row],[Przychód netto]]-tblSprzedaz[[#This Row],[Koszt całkowity netto]]</f>
        <v>246.29999999999995</v>
      </c>
      <c r="P937" s="15">
        <f>IFERROR(tblSprzedaz[[#This Row],[Marża kwotowa]]/tblSprzedaz[[#This Row],[Przychód netto]],0)</f>
        <v>0.43377949982388159</v>
      </c>
      <c r="Q937" s="16">
        <f>YEAR(tblSprzedaz[[#This Row],[Data]])</f>
        <v>2025</v>
      </c>
      <c r="R937" s="16">
        <f>MONTH(tblSprzedaz[[#This Row],[Data]])</f>
        <v>9</v>
      </c>
      <c r="S937" s="9" t="str">
        <f>YEAR(tblSprzedaz[[#This Row],[Data]])&amp;"-"&amp;RIGHT("0"&amp;MONTH(tblSprzedaz[[#This Row],[Data]]),2)</f>
        <v>2025-09</v>
      </c>
    </row>
    <row r="938" spans="1:19" x14ac:dyDescent="0.25">
      <c r="A938" s="7" t="s">
        <v>2043</v>
      </c>
      <c r="B938" s="10">
        <v>45911</v>
      </c>
      <c r="C938" s="7" t="s">
        <v>2044</v>
      </c>
      <c r="D938" s="8" t="s">
        <v>131</v>
      </c>
      <c r="E938" s="8" t="s">
        <v>63</v>
      </c>
      <c r="F938" s="8" t="s">
        <v>33</v>
      </c>
      <c r="G938" s="8" t="s">
        <v>32</v>
      </c>
      <c r="H938" s="8" t="s">
        <v>42</v>
      </c>
      <c r="I938" s="11">
        <v>28</v>
      </c>
      <c r="J938" s="12">
        <v>690</v>
      </c>
      <c r="K938" s="13">
        <v>0.05</v>
      </c>
      <c r="L938" s="12">
        <v>475.97</v>
      </c>
      <c r="M938" s="14">
        <f>ROUND(tblSprzedaz[[#This Row],[Ilość]]*tblSprzedaz[[#This Row],[Cena netto jednostkowa]]*(1-tblSprzedaz[[#This Row],[Rabat %]]),2)</f>
        <v>18354</v>
      </c>
      <c r="N938" s="14">
        <f>ROUND(tblSprzedaz[[#This Row],[Ilość]]*tblSprzedaz[[#This Row],[Koszt jednostkowy netto]],2)</f>
        <v>13327.16</v>
      </c>
      <c r="O938" s="14">
        <f>tblSprzedaz[[#This Row],[Przychód netto]]-tblSprzedaz[[#This Row],[Koszt całkowity netto]]</f>
        <v>5026.84</v>
      </c>
      <c r="P938" s="15">
        <f>IFERROR(tblSprzedaz[[#This Row],[Marża kwotowa]]/tblSprzedaz[[#This Row],[Przychód netto]],0)</f>
        <v>0.27388253241800153</v>
      </c>
      <c r="Q938" s="16">
        <f>YEAR(tblSprzedaz[[#This Row],[Data]])</f>
        <v>2025</v>
      </c>
      <c r="R938" s="16">
        <f>MONTH(tblSprzedaz[[#This Row],[Data]])</f>
        <v>9</v>
      </c>
      <c r="S938" s="9" t="str">
        <f>YEAR(tblSprzedaz[[#This Row],[Data]])&amp;"-"&amp;RIGHT("0"&amp;MONTH(tblSprzedaz[[#This Row],[Data]]),2)</f>
        <v>2025-09</v>
      </c>
    </row>
    <row r="939" spans="1:19" x14ac:dyDescent="0.25">
      <c r="A939" s="7" t="s">
        <v>2045</v>
      </c>
      <c r="B939" s="10">
        <v>45911</v>
      </c>
      <c r="C939" s="7" t="s">
        <v>2046</v>
      </c>
      <c r="D939" s="8" t="s">
        <v>116</v>
      </c>
      <c r="E939" s="8" t="s">
        <v>75</v>
      </c>
      <c r="F939" s="8" t="s">
        <v>37</v>
      </c>
      <c r="G939" s="8" t="s">
        <v>28</v>
      </c>
      <c r="H939" s="8" t="s">
        <v>38</v>
      </c>
      <c r="I939" s="11">
        <v>21</v>
      </c>
      <c r="J939" s="12">
        <v>142.5</v>
      </c>
      <c r="K939" s="13">
        <v>0</v>
      </c>
      <c r="L939" s="12">
        <v>111.25</v>
      </c>
      <c r="M939" s="14">
        <f>ROUND(tblSprzedaz[[#This Row],[Ilość]]*tblSprzedaz[[#This Row],[Cena netto jednostkowa]]*(1-tblSprzedaz[[#This Row],[Rabat %]]),2)</f>
        <v>2992.5</v>
      </c>
      <c r="N939" s="14">
        <f>ROUND(tblSprzedaz[[#This Row],[Ilość]]*tblSprzedaz[[#This Row],[Koszt jednostkowy netto]],2)</f>
        <v>2336.25</v>
      </c>
      <c r="O939" s="14">
        <f>tblSprzedaz[[#This Row],[Przychód netto]]-tblSprzedaz[[#This Row],[Koszt całkowity netto]]</f>
        <v>656.25</v>
      </c>
      <c r="P939" s="15">
        <f>IFERROR(tblSprzedaz[[#This Row],[Marża kwotowa]]/tblSprzedaz[[#This Row],[Przychód netto]],0)</f>
        <v>0.21929824561403508</v>
      </c>
      <c r="Q939" s="16">
        <f>YEAR(tblSprzedaz[[#This Row],[Data]])</f>
        <v>2025</v>
      </c>
      <c r="R939" s="16">
        <f>MONTH(tblSprzedaz[[#This Row],[Data]])</f>
        <v>9</v>
      </c>
      <c r="S939" s="9" t="str">
        <f>YEAR(tblSprzedaz[[#This Row],[Data]])&amp;"-"&amp;RIGHT("0"&amp;MONTH(tblSprzedaz[[#This Row],[Data]]),2)</f>
        <v>2025-09</v>
      </c>
    </row>
    <row r="940" spans="1:19" x14ac:dyDescent="0.25">
      <c r="A940" s="7" t="s">
        <v>2047</v>
      </c>
      <c r="B940" s="10">
        <v>45911</v>
      </c>
      <c r="C940" s="7" t="s">
        <v>2048</v>
      </c>
      <c r="D940" s="8" t="s">
        <v>135</v>
      </c>
      <c r="E940" s="8" t="s">
        <v>68</v>
      </c>
      <c r="F940" s="8" t="s">
        <v>35</v>
      </c>
      <c r="G940" s="8" t="s">
        <v>28</v>
      </c>
      <c r="H940" s="8" t="s">
        <v>38</v>
      </c>
      <c r="I940" s="11">
        <v>11</v>
      </c>
      <c r="J940" s="12">
        <v>90.44</v>
      </c>
      <c r="K940" s="13">
        <v>0</v>
      </c>
      <c r="L940" s="12">
        <v>68.78</v>
      </c>
      <c r="M940" s="14">
        <f>ROUND(tblSprzedaz[[#This Row],[Ilość]]*tblSprzedaz[[#This Row],[Cena netto jednostkowa]]*(1-tblSprzedaz[[#This Row],[Rabat %]]),2)</f>
        <v>994.84</v>
      </c>
      <c r="N940" s="14">
        <f>ROUND(tblSprzedaz[[#This Row],[Ilość]]*tblSprzedaz[[#This Row],[Koszt jednostkowy netto]],2)</f>
        <v>756.58</v>
      </c>
      <c r="O940" s="14">
        <f>tblSprzedaz[[#This Row],[Przychód netto]]-tblSprzedaz[[#This Row],[Koszt całkowity netto]]</f>
        <v>238.26</v>
      </c>
      <c r="P940" s="15">
        <f>IFERROR(tblSprzedaz[[#This Row],[Marża kwotowa]]/tblSprzedaz[[#This Row],[Przychód netto]],0)</f>
        <v>0.23949579831932771</v>
      </c>
      <c r="Q940" s="16">
        <f>YEAR(tblSprzedaz[[#This Row],[Data]])</f>
        <v>2025</v>
      </c>
      <c r="R940" s="16">
        <f>MONTH(tblSprzedaz[[#This Row],[Data]])</f>
        <v>9</v>
      </c>
      <c r="S940" s="9" t="str">
        <f>YEAR(tblSprzedaz[[#This Row],[Data]])&amp;"-"&amp;RIGHT("0"&amp;MONTH(tblSprzedaz[[#This Row],[Data]]),2)</f>
        <v>2025-09</v>
      </c>
    </row>
    <row r="941" spans="1:19" x14ac:dyDescent="0.25">
      <c r="A941" s="7" t="s">
        <v>2049</v>
      </c>
      <c r="B941" s="10">
        <v>45911</v>
      </c>
      <c r="C941" s="7" t="s">
        <v>2050</v>
      </c>
      <c r="D941" s="8" t="s">
        <v>145</v>
      </c>
      <c r="E941" s="8" t="s">
        <v>63</v>
      </c>
      <c r="F941" s="8" t="s">
        <v>33</v>
      </c>
      <c r="G941" s="8" t="s">
        <v>30</v>
      </c>
      <c r="H941" s="8" t="s">
        <v>40</v>
      </c>
      <c r="I941" s="11">
        <v>25</v>
      </c>
      <c r="J941" s="12">
        <v>690</v>
      </c>
      <c r="K941" s="13">
        <v>0</v>
      </c>
      <c r="L941" s="12">
        <v>468.65</v>
      </c>
      <c r="M941" s="14">
        <f>ROUND(tblSprzedaz[[#This Row],[Ilość]]*tblSprzedaz[[#This Row],[Cena netto jednostkowa]]*(1-tblSprzedaz[[#This Row],[Rabat %]]),2)</f>
        <v>17250</v>
      </c>
      <c r="N941" s="14">
        <f>ROUND(tblSprzedaz[[#This Row],[Ilość]]*tblSprzedaz[[#This Row],[Koszt jednostkowy netto]],2)</f>
        <v>11716.25</v>
      </c>
      <c r="O941" s="14">
        <f>tblSprzedaz[[#This Row],[Przychód netto]]-tblSprzedaz[[#This Row],[Koszt całkowity netto]]</f>
        <v>5533.75</v>
      </c>
      <c r="P941" s="15">
        <f>IFERROR(tblSprzedaz[[#This Row],[Marża kwotowa]]/tblSprzedaz[[#This Row],[Przychód netto]],0)</f>
        <v>0.32079710144927537</v>
      </c>
      <c r="Q941" s="16">
        <f>YEAR(tblSprzedaz[[#This Row],[Data]])</f>
        <v>2025</v>
      </c>
      <c r="R941" s="16">
        <f>MONTH(tblSprzedaz[[#This Row],[Data]])</f>
        <v>9</v>
      </c>
      <c r="S941" s="9" t="str">
        <f>YEAR(tblSprzedaz[[#This Row],[Data]])&amp;"-"&amp;RIGHT("0"&amp;MONTH(tblSprzedaz[[#This Row],[Data]]),2)</f>
        <v>2025-09</v>
      </c>
    </row>
    <row r="942" spans="1:19" x14ac:dyDescent="0.25">
      <c r="A942" s="7" t="s">
        <v>2051</v>
      </c>
      <c r="B942" s="10">
        <v>45912</v>
      </c>
      <c r="C942" s="7" t="s">
        <v>2052</v>
      </c>
      <c r="D942" s="8" t="s">
        <v>112</v>
      </c>
      <c r="E942" s="8" t="s">
        <v>64</v>
      </c>
      <c r="F942" s="8" t="s">
        <v>33</v>
      </c>
      <c r="G942" s="8" t="s">
        <v>28</v>
      </c>
      <c r="H942" s="8" t="s">
        <v>38</v>
      </c>
      <c r="I942" s="11">
        <v>8</v>
      </c>
      <c r="J942" s="12">
        <v>768.2</v>
      </c>
      <c r="K942" s="13">
        <v>0</v>
      </c>
      <c r="L942" s="12">
        <v>533.75</v>
      </c>
      <c r="M942" s="14">
        <f>ROUND(tblSprzedaz[[#This Row],[Ilość]]*tblSprzedaz[[#This Row],[Cena netto jednostkowa]]*(1-tblSprzedaz[[#This Row],[Rabat %]]),2)</f>
        <v>6145.6</v>
      </c>
      <c r="N942" s="14">
        <f>ROUND(tblSprzedaz[[#This Row],[Ilość]]*tblSprzedaz[[#This Row],[Koszt jednostkowy netto]],2)</f>
        <v>4270</v>
      </c>
      <c r="O942" s="14">
        <f>tblSprzedaz[[#This Row],[Przychód netto]]-tblSprzedaz[[#This Row],[Koszt całkowity netto]]</f>
        <v>1875.6000000000004</v>
      </c>
      <c r="P942" s="15">
        <f>IFERROR(tblSprzedaz[[#This Row],[Marża kwotowa]]/tblSprzedaz[[#This Row],[Przychód netto]],0)</f>
        <v>0.30519395990627446</v>
      </c>
      <c r="Q942" s="16">
        <f>YEAR(tblSprzedaz[[#This Row],[Data]])</f>
        <v>2025</v>
      </c>
      <c r="R942" s="16">
        <f>MONTH(tblSprzedaz[[#This Row],[Data]])</f>
        <v>9</v>
      </c>
      <c r="S942" s="9" t="str">
        <f>YEAR(tblSprzedaz[[#This Row],[Data]])&amp;"-"&amp;RIGHT("0"&amp;MONTH(tblSprzedaz[[#This Row],[Data]]),2)</f>
        <v>2025-09</v>
      </c>
    </row>
    <row r="943" spans="1:19" x14ac:dyDescent="0.25">
      <c r="A943" s="7" t="s">
        <v>2053</v>
      </c>
      <c r="B943" s="10">
        <v>45912</v>
      </c>
      <c r="C943" s="7" t="s">
        <v>2054</v>
      </c>
      <c r="D943" s="8" t="s">
        <v>137</v>
      </c>
      <c r="E943" s="8" t="s">
        <v>76</v>
      </c>
      <c r="F943" s="8" t="s">
        <v>37</v>
      </c>
      <c r="G943" s="8" t="s">
        <v>36</v>
      </c>
      <c r="H943" s="8" t="s">
        <v>47</v>
      </c>
      <c r="I943" s="11">
        <v>28</v>
      </c>
      <c r="J943" s="12">
        <v>158.65</v>
      </c>
      <c r="K943" s="13">
        <v>0.1</v>
      </c>
      <c r="L943" s="12">
        <v>125.27</v>
      </c>
      <c r="M943" s="14">
        <f>ROUND(tblSprzedaz[[#This Row],[Ilość]]*tblSprzedaz[[#This Row],[Cena netto jednostkowa]]*(1-tblSprzedaz[[#This Row],[Rabat %]]),2)</f>
        <v>3997.98</v>
      </c>
      <c r="N943" s="14">
        <f>ROUND(tblSprzedaz[[#This Row],[Ilość]]*tblSprzedaz[[#This Row],[Koszt jednostkowy netto]],2)</f>
        <v>3507.56</v>
      </c>
      <c r="O943" s="14">
        <f>tblSprzedaz[[#This Row],[Przychód netto]]-tblSprzedaz[[#This Row],[Koszt całkowity netto]]</f>
        <v>490.42000000000007</v>
      </c>
      <c r="P943" s="15">
        <f>IFERROR(tblSprzedaz[[#This Row],[Marża kwotowa]]/tblSprzedaz[[#This Row],[Przychód netto]],0)</f>
        <v>0.12266694680813812</v>
      </c>
      <c r="Q943" s="16">
        <f>YEAR(tblSprzedaz[[#This Row],[Data]])</f>
        <v>2025</v>
      </c>
      <c r="R943" s="16">
        <f>MONTH(tblSprzedaz[[#This Row],[Data]])</f>
        <v>9</v>
      </c>
      <c r="S943" s="9" t="str">
        <f>YEAR(tblSprzedaz[[#This Row],[Data]])&amp;"-"&amp;RIGHT("0"&amp;MONTH(tblSprzedaz[[#This Row],[Data]]),2)</f>
        <v>2025-09</v>
      </c>
    </row>
    <row r="944" spans="1:19" x14ac:dyDescent="0.25">
      <c r="A944" s="7" t="s">
        <v>2055</v>
      </c>
      <c r="B944" s="10">
        <v>45912</v>
      </c>
      <c r="C944" s="7" t="s">
        <v>2056</v>
      </c>
      <c r="D944" s="8" t="s">
        <v>88</v>
      </c>
      <c r="E944" s="8" t="s">
        <v>63</v>
      </c>
      <c r="F944" s="8" t="s">
        <v>33</v>
      </c>
      <c r="G944" s="8" t="s">
        <v>34</v>
      </c>
      <c r="H944" s="8" t="s">
        <v>45</v>
      </c>
      <c r="I944" s="11">
        <v>14</v>
      </c>
      <c r="J944" s="12">
        <v>690</v>
      </c>
      <c r="K944" s="13">
        <v>0</v>
      </c>
      <c r="L944" s="12">
        <v>461.67</v>
      </c>
      <c r="M944" s="14">
        <f>ROUND(tblSprzedaz[[#This Row],[Ilość]]*tblSprzedaz[[#This Row],[Cena netto jednostkowa]]*(1-tblSprzedaz[[#This Row],[Rabat %]]),2)</f>
        <v>9660</v>
      </c>
      <c r="N944" s="14">
        <f>ROUND(tblSprzedaz[[#This Row],[Ilość]]*tblSprzedaz[[#This Row],[Koszt jednostkowy netto]],2)</f>
        <v>6463.38</v>
      </c>
      <c r="O944" s="14">
        <f>tblSprzedaz[[#This Row],[Przychód netto]]-tblSprzedaz[[#This Row],[Koszt całkowity netto]]</f>
        <v>3196.62</v>
      </c>
      <c r="P944" s="15">
        <f>IFERROR(tblSprzedaz[[#This Row],[Marża kwotowa]]/tblSprzedaz[[#This Row],[Przychód netto]],0)</f>
        <v>0.33091304347826084</v>
      </c>
      <c r="Q944" s="16">
        <f>YEAR(tblSprzedaz[[#This Row],[Data]])</f>
        <v>2025</v>
      </c>
      <c r="R944" s="16">
        <f>MONTH(tblSprzedaz[[#This Row],[Data]])</f>
        <v>9</v>
      </c>
      <c r="S944" s="9" t="str">
        <f>YEAR(tblSprzedaz[[#This Row],[Data]])&amp;"-"&amp;RIGHT("0"&amp;MONTH(tblSprzedaz[[#This Row],[Data]]),2)</f>
        <v>2025-09</v>
      </c>
    </row>
    <row r="945" spans="1:19" x14ac:dyDescent="0.25">
      <c r="A945" s="7" t="s">
        <v>2057</v>
      </c>
      <c r="B945" s="10">
        <v>45912</v>
      </c>
      <c r="C945" s="7" t="s">
        <v>2058</v>
      </c>
      <c r="D945" s="8" t="s">
        <v>100</v>
      </c>
      <c r="E945" s="8" t="s">
        <v>74</v>
      </c>
      <c r="F945" s="8" t="s">
        <v>37</v>
      </c>
      <c r="G945" s="8" t="s">
        <v>32</v>
      </c>
      <c r="H945" s="8" t="s">
        <v>42</v>
      </c>
      <c r="I945" s="11">
        <v>33</v>
      </c>
      <c r="J945" s="12">
        <v>126.35</v>
      </c>
      <c r="K945" s="13">
        <v>0.15</v>
      </c>
      <c r="L945" s="12">
        <v>99.57</v>
      </c>
      <c r="M945" s="14">
        <f>ROUND(tblSprzedaz[[#This Row],[Ilość]]*tblSprzedaz[[#This Row],[Cena netto jednostkowa]]*(1-tblSprzedaz[[#This Row],[Rabat %]]),2)</f>
        <v>3544.12</v>
      </c>
      <c r="N945" s="14">
        <f>ROUND(tblSprzedaz[[#This Row],[Ilość]]*tblSprzedaz[[#This Row],[Koszt jednostkowy netto]],2)</f>
        <v>3285.81</v>
      </c>
      <c r="O945" s="14">
        <f>tblSprzedaz[[#This Row],[Przychód netto]]-tblSprzedaz[[#This Row],[Koszt całkowity netto]]</f>
        <v>258.30999999999995</v>
      </c>
      <c r="P945" s="15">
        <f>IFERROR(tblSprzedaz[[#This Row],[Marża kwotowa]]/tblSprzedaz[[#This Row],[Przychód netto]],0)</f>
        <v>7.2884100989808465E-2</v>
      </c>
      <c r="Q945" s="16">
        <f>YEAR(tblSprzedaz[[#This Row],[Data]])</f>
        <v>2025</v>
      </c>
      <c r="R945" s="16">
        <f>MONTH(tblSprzedaz[[#This Row],[Data]])</f>
        <v>9</v>
      </c>
      <c r="S945" s="9" t="str">
        <f>YEAR(tblSprzedaz[[#This Row],[Data]])&amp;"-"&amp;RIGHT("0"&amp;MONTH(tblSprzedaz[[#This Row],[Data]]),2)</f>
        <v>2025-09</v>
      </c>
    </row>
    <row r="946" spans="1:19" x14ac:dyDescent="0.25">
      <c r="A946" s="7" t="s">
        <v>2059</v>
      </c>
      <c r="B946" s="10">
        <v>45912</v>
      </c>
      <c r="C946" s="7" t="s">
        <v>2060</v>
      </c>
      <c r="D946" s="8" t="s">
        <v>136</v>
      </c>
      <c r="E946" s="8" t="s">
        <v>77</v>
      </c>
      <c r="F946" s="8" t="s">
        <v>37</v>
      </c>
      <c r="G946" s="8" t="s">
        <v>36</v>
      </c>
      <c r="H946" s="8" t="s">
        <v>46</v>
      </c>
      <c r="I946" s="11">
        <v>18</v>
      </c>
      <c r="J946" s="12">
        <v>77.900000000000006</v>
      </c>
      <c r="K946" s="13">
        <v>0.1</v>
      </c>
      <c r="L946" s="12">
        <v>59.76</v>
      </c>
      <c r="M946" s="14">
        <f>ROUND(tblSprzedaz[[#This Row],[Ilość]]*tblSprzedaz[[#This Row],[Cena netto jednostkowa]]*(1-tblSprzedaz[[#This Row],[Rabat %]]),2)</f>
        <v>1261.98</v>
      </c>
      <c r="N946" s="14">
        <f>ROUND(tblSprzedaz[[#This Row],[Ilość]]*tblSprzedaz[[#This Row],[Koszt jednostkowy netto]],2)</f>
        <v>1075.68</v>
      </c>
      <c r="O946" s="14">
        <f>tblSprzedaz[[#This Row],[Przychód netto]]-tblSprzedaz[[#This Row],[Koszt całkowity netto]]</f>
        <v>186.29999999999995</v>
      </c>
      <c r="P946" s="15">
        <f>IFERROR(tblSprzedaz[[#This Row],[Marża kwotowa]]/tblSprzedaz[[#This Row],[Przychód netto]],0)</f>
        <v>0.14762516046213089</v>
      </c>
      <c r="Q946" s="16">
        <f>YEAR(tblSprzedaz[[#This Row],[Data]])</f>
        <v>2025</v>
      </c>
      <c r="R946" s="16">
        <f>MONTH(tblSprzedaz[[#This Row],[Data]])</f>
        <v>9</v>
      </c>
      <c r="S946" s="9" t="str">
        <f>YEAR(tblSprzedaz[[#This Row],[Data]])&amp;"-"&amp;RIGHT("0"&amp;MONTH(tblSprzedaz[[#This Row],[Data]]),2)</f>
        <v>2025-09</v>
      </c>
    </row>
    <row r="947" spans="1:19" x14ac:dyDescent="0.25">
      <c r="A947" s="7" t="s">
        <v>2061</v>
      </c>
      <c r="B947" s="10">
        <v>45912</v>
      </c>
      <c r="C947" s="7" t="s">
        <v>2062</v>
      </c>
      <c r="D947" s="8" t="s">
        <v>88</v>
      </c>
      <c r="E947" s="8" t="s">
        <v>71</v>
      </c>
      <c r="F947" s="8" t="s">
        <v>35</v>
      </c>
      <c r="G947" s="8" t="s">
        <v>32</v>
      </c>
      <c r="H947" s="8" t="s">
        <v>42</v>
      </c>
      <c r="I947" s="11">
        <v>33</v>
      </c>
      <c r="J947" s="12">
        <v>55.76</v>
      </c>
      <c r="K947" s="13">
        <v>0</v>
      </c>
      <c r="L947" s="12">
        <v>40.31</v>
      </c>
      <c r="M947" s="14">
        <f>ROUND(tblSprzedaz[[#This Row],[Ilość]]*tblSprzedaz[[#This Row],[Cena netto jednostkowa]]*(1-tblSprzedaz[[#This Row],[Rabat %]]),2)</f>
        <v>1840.08</v>
      </c>
      <c r="N947" s="14">
        <f>ROUND(tblSprzedaz[[#This Row],[Ilość]]*tblSprzedaz[[#This Row],[Koszt jednostkowy netto]],2)</f>
        <v>1330.23</v>
      </c>
      <c r="O947" s="14">
        <f>tblSprzedaz[[#This Row],[Przychód netto]]-tblSprzedaz[[#This Row],[Koszt całkowity netto]]</f>
        <v>509.84999999999991</v>
      </c>
      <c r="P947" s="15">
        <f>IFERROR(tblSprzedaz[[#This Row],[Marża kwotowa]]/tblSprzedaz[[#This Row],[Przychód netto]],0)</f>
        <v>0.27708034433285506</v>
      </c>
      <c r="Q947" s="16">
        <f>YEAR(tblSprzedaz[[#This Row],[Data]])</f>
        <v>2025</v>
      </c>
      <c r="R947" s="16">
        <f>MONTH(tblSprzedaz[[#This Row],[Data]])</f>
        <v>9</v>
      </c>
      <c r="S947" s="9" t="str">
        <f>YEAR(tblSprzedaz[[#This Row],[Data]])&amp;"-"&amp;RIGHT("0"&amp;MONTH(tblSprzedaz[[#This Row],[Data]]),2)</f>
        <v>2025-09</v>
      </c>
    </row>
    <row r="948" spans="1:19" x14ac:dyDescent="0.25">
      <c r="A948" s="7" t="s">
        <v>2063</v>
      </c>
      <c r="B948" s="10">
        <v>45913</v>
      </c>
      <c r="C948" s="7" t="s">
        <v>2064</v>
      </c>
      <c r="D948" s="8" t="s">
        <v>127</v>
      </c>
      <c r="E948" s="8" t="s">
        <v>54</v>
      </c>
      <c r="F948" s="8" t="s">
        <v>31</v>
      </c>
      <c r="G948" s="8" t="s">
        <v>30</v>
      </c>
      <c r="H948" s="8" t="s">
        <v>40</v>
      </c>
      <c r="I948" s="11">
        <v>4</v>
      </c>
      <c r="J948" s="12">
        <v>207.9</v>
      </c>
      <c r="K948" s="13">
        <v>0</v>
      </c>
      <c r="L948" s="12">
        <v>137.28</v>
      </c>
      <c r="M948" s="14">
        <f>ROUND(tblSprzedaz[[#This Row],[Ilość]]*tblSprzedaz[[#This Row],[Cena netto jednostkowa]]*(1-tblSprzedaz[[#This Row],[Rabat %]]),2)</f>
        <v>831.6</v>
      </c>
      <c r="N948" s="14">
        <f>ROUND(tblSprzedaz[[#This Row],[Ilość]]*tblSprzedaz[[#This Row],[Koszt jednostkowy netto]],2)</f>
        <v>549.12</v>
      </c>
      <c r="O948" s="14">
        <f>tblSprzedaz[[#This Row],[Przychód netto]]-tblSprzedaz[[#This Row],[Koszt całkowity netto]]</f>
        <v>282.48</v>
      </c>
      <c r="P948" s="15">
        <f>IFERROR(tblSprzedaz[[#This Row],[Marża kwotowa]]/tblSprzedaz[[#This Row],[Przychód netto]],0)</f>
        <v>0.3396825396825397</v>
      </c>
      <c r="Q948" s="16">
        <f>YEAR(tblSprzedaz[[#This Row],[Data]])</f>
        <v>2025</v>
      </c>
      <c r="R948" s="16">
        <f>MONTH(tblSprzedaz[[#This Row],[Data]])</f>
        <v>9</v>
      </c>
      <c r="S948" s="9" t="str">
        <f>YEAR(tblSprzedaz[[#This Row],[Data]])&amp;"-"&amp;RIGHT("0"&amp;MONTH(tblSprzedaz[[#This Row],[Data]]),2)</f>
        <v>2025-09</v>
      </c>
    </row>
    <row r="949" spans="1:19" x14ac:dyDescent="0.25">
      <c r="A949" s="7" t="s">
        <v>2065</v>
      </c>
      <c r="B949" s="10">
        <v>45914</v>
      </c>
      <c r="C949" s="7" t="s">
        <v>2066</v>
      </c>
      <c r="D949" s="8" t="s">
        <v>112</v>
      </c>
      <c r="E949" s="8" t="s">
        <v>51</v>
      </c>
      <c r="F949" s="8" t="s">
        <v>29</v>
      </c>
      <c r="G949" s="8" t="s">
        <v>30</v>
      </c>
      <c r="H949" s="8" t="s">
        <v>40</v>
      </c>
      <c r="I949" s="11">
        <v>20</v>
      </c>
      <c r="J949" s="12">
        <v>51</v>
      </c>
      <c r="K949" s="13">
        <v>0</v>
      </c>
      <c r="L949" s="12">
        <v>28.23</v>
      </c>
      <c r="M949" s="14">
        <f>ROUND(tblSprzedaz[[#This Row],[Ilość]]*tblSprzedaz[[#This Row],[Cena netto jednostkowa]]*(1-tblSprzedaz[[#This Row],[Rabat %]]),2)</f>
        <v>1020</v>
      </c>
      <c r="N949" s="14">
        <f>ROUND(tblSprzedaz[[#This Row],[Ilość]]*tblSprzedaz[[#This Row],[Koszt jednostkowy netto]],2)</f>
        <v>564.6</v>
      </c>
      <c r="O949" s="14">
        <f>tblSprzedaz[[#This Row],[Przychód netto]]-tblSprzedaz[[#This Row],[Koszt całkowity netto]]</f>
        <v>455.4</v>
      </c>
      <c r="P949" s="15">
        <f>IFERROR(tblSprzedaz[[#This Row],[Marża kwotowa]]/tblSprzedaz[[#This Row],[Przychód netto]],0)</f>
        <v>0.44647058823529412</v>
      </c>
      <c r="Q949" s="16">
        <f>YEAR(tblSprzedaz[[#This Row],[Data]])</f>
        <v>2025</v>
      </c>
      <c r="R949" s="16">
        <f>MONTH(tblSprzedaz[[#This Row],[Data]])</f>
        <v>9</v>
      </c>
      <c r="S949" s="9" t="str">
        <f>YEAR(tblSprzedaz[[#This Row],[Data]])&amp;"-"&amp;RIGHT("0"&amp;MONTH(tblSprzedaz[[#This Row],[Data]]),2)</f>
        <v>2025-09</v>
      </c>
    </row>
    <row r="950" spans="1:19" x14ac:dyDescent="0.25">
      <c r="A950" s="7" t="s">
        <v>2067</v>
      </c>
      <c r="B950" s="10">
        <v>45914</v>
      </c>
      <c r="C950" s="7" t="s">
        <v>2068</v>
      </c>
      <c r="D950" s="8" t="s">
        <v>109</v>
      </c>
      <c r="E950" s="8" t="s">
        <v>49</v>
      </c>
      <c r="F950" s="8" t="s">
        <v>29</v>
      </c>
      <c r="G950" s="8" t="s">
        <v>30</v>
      </c>
      <c r="H950" s="8" t="s">
        <v>40</v>
      </c>
      <c r="I950" s="11">
        <v>24</v>
      </c>
      <c r="J950" s="12">
        <v>39.44</v>
      </c>
      <c r="K950" s="13">
        <v>0</v>
      </c>
      <c r="L950" s="12">
        <v>24.75</v>
      </c>
      <c r="M950" s="14">
        <f>ROUND(tblSprzedaz[[#This Row],[Ilość]]*tblSprzedaz[[#This Row],[Cena netto jednostkowa]]*(1-tblSprzedaz[[#This Row],[Rabat %]]),2)</f>
        <v>946.56</v>
      </c>
      <c r="N950" s="14">
        <f>ROUND(tblSprzedaz[[#This Row],[Ilość]]*tblSprzedaz[[#This Row],[Koszt jednostkowy netto]],2)</f>
        <v>594</v>
      </c>
      <c r="O950" s="14">
        <f>tblSprzedaz[[#This Row],[Przychód netto]]-tblSprzedaz[[#This Row],[Koszt całkowity netto]]</f>
        <v>352.55999999999995</v>
      </c>
      <c r="P950" s="15">
        <f>IFERROR(tblSprzedaz[[#This Row],[Marża kwotowa]]/tblSprzedaz[[#This Row],[Przychód netto]],0)</f>
        <v>0.37246450304259632</v>
      </c>
      <c r="Q950" s="16">
        <f>YEAR(tblSprzedaz[[#This Row],[Data]])</f>
        <v>2025</v>
      </c>
      <c r="R950" s="16">
        <f>MONTH(tblSprzedaz[[#This Row],[Data]])</f>
        <v>9</v>
      </c>
      <c r="S950" s="9" t="str">
        <f>YEAR(tblSprzedaz[[#This Row],[Data]])&amp;"-"&amp;RIGHT("0"&amp;MONTH(tblSprzedaz[[#This Row],[Data]]),2)</f>
        <v>2025-09</v>
      </c>
    </row>
    <row r="951" spans="1:19" x14ac:dyDescent="0.25">
      <c r="A951" s="7" t="s">
        <v>2069</v>
      </c>
      <c r="B951" s="10">
        <v>45915</v>
      </c>
      <c r="C951" s="7" t="s">
        <v>2070</v>
      </c>
      <c r="D951" s="8" t="s">
        <v>144</v>
      </c>
      <c r="E951" s="8" t="s">
        <v>50</v>
      </c>
      <c r="F951" s="8" t="s">
        <v>29</v>
      </c>
      <c r="G951" s="8" t="s">
        <v>28</v>
      </c>
      <c r="H951" s="8" t="s">
        <v>38</v>
      </c>
      <c r="I951" s="11">
        <v>18</v>
      </c>
      <c r="J951" s="12">
        <v>45.22</v>
      </c>
      <c r="K951" s="13">
        <v>0.05</v>
      </c>
      <c r="L951" s="12">
        <v>27.14</v>
      </c>
      <c r="M951" s="14">
        <f>ROUND(tblSprzedaz[[#This Row],[Ilość]]*tblSprzedaz[[#This Row],[Cena netto jednostkowa]]*(1-tblSprzedaz[[#This Row],[Rabat %]]),2)</f>
        <v>773.26</v>
      </c>
      <c r="N951" s="14">
        <f>ROUND(tblSprzedaz[[#This Row],[Ilość]]*tblSprzedaz[[#This Row],[Koszt jednostkowy netto]],2)</f>
        <v>488.52</v>
      </c>
      <c r="O951" s="14">
        <f>tblSprzedaz[[#This Row],[Przychód netto]]-tblSprzedaz[[#This Row],[Koszt całkowity netto]]</f>
        <v>284.74</v>
      </c>
      <c r="P951" s="15">
        <f>IFERROR(tblSprzedaz[[#This Row],[Marża kwotowa]]/tblSprzedaz[[#This Row],[Przychód netto]],0)</f>
        <v>0.36823319452706726</v>
      </c>
      <c r="Q951" s="16">
        <f>YEAR(tblSprzedaz[[#This Row],[Data]])</f>
        <v>2025</v>
      </c>
      <c r="R951" s="16">
        <f>MONTH(tblSprzedaz[[#This Row],[Data]])</f>
        <v>9</v>
      </c>
      <c r="S951" s="9" t="str">
        <f>YEAR(tblSprzedaz[[#This Row],[Data]])&amp;"-"&amp;RIGHT("0"&amp;MONTH(tblSprzedaz[[#This Row],[Data]]),2)</f>
        <v>2025-09</v>
      </c>
    </row>
    <row r="952" spans="1:19" x14ac:dyDescent="0.25">
      <c r="A952" s="7" t="s">
        <v>2071</v>
      </c>
      <c r="B952" s="10">
        <v>45915</v>
      </c>
      <c r="C952" s="7" t="s">
        <v>2072</v>
      </c>
      <c r="D952" s="8" t="s">
        <v>124</v>
      </c>
      <c r="E952" s="8" t="s">
        <v>74</v>
      </c>
      <c r="F952" s="8" t="s">
        <v>37</v>
      </c>
      <c r="G952" s="8" t="s">
        <v>32</v>
      </c>
      <c r="H952" s="8" t="s">
        <v>43</v>
      </c>
      <c r="I952" s="11">
        <v>11</v>
      </c>
      <c r="J952" s="12">
        <v>126.35</v>
      </c>
      <c r="K952" s="13">
        <v>0.1</v>
      </c>
      <c r="L952" s="12">
        <v>97.22</v>
      </c>
      <c r="M952" s="14">
        <f>ROUND(tblSprzedaz[[#This Row],[Ilość]]*tblSprzedaz[[#This Row],[Cena netto jednostkowa]]*(1-tblSprzedaz[[#This Row],[Rabat %]]),2)</f>
        <v>1250.8699999999999</v>
      </c>
      <c r="N952" s="14">
        <f>ROUND(tblSprzedaz[[#This Row],[Ilość]]*tblSprzedaz[[#This Row],[Koszt jednostkowy netto]],2)</f>
        <v>1069.42</v>
      </c>
      <c r="O952" s="14">
        <f>tblSprzedaz[[#This Row],[Przychód netto]]-tblSprzedaz[[#This Row],[Koszt całkowity netto]]</f>
        <v>181.44999999999982</v>
      </c>
      <c r="P952" s="15">
        <f>IFERROR(tblSprzedaz[[#This Row],[Marża kwotowa]]/tblSprzedaz[[#This Row],[Przychód netto]],0)</f>
        <v>0.14505903890891925</v>
      </c>
      <c r="Q952" s="16">
        <f>YEAR(tblSprzedaz[[#This Row],[Data]])</f>
        <v>2025</v>
      </c>
      <c r="R952" s="16">
        <f>MONTH(tblSprzedaz[[#This Row],[Data]])</f>
        <v>9</v>
      </c>
      <c r="S952" s="9" t="str">
        <f>YEAR(tblSprzedaz[[#This Row],[Data]])&amp;"-"&amp;RIGHT("0"&amp;MONTH(tblSprzedaz[[#This Row],[Data]]),2)</f>
        <v>2025-09</v>
      </c>
    </row>
    <row r="953" spans="1:19" x14ac:dyDescent="0.25">
      <c r="A953" s="7" t="s">
        <v>2073</v>
      </c>
      <c r="B953" s="10">
        <v>45915</v>
      </c>
      <c r="C953" s="7" t="s">
        <v>2074</v>
      </c>
      <c r="D953" s="8" t="s">
        <v>105</v>
      </c>
      <c r="E953" s="8" t="s">
        <v>48</v>
      </c>
      <c r="F953" s="8" t="s">
        <v>29</v>
      </c>
      <c r="G953" s="8" t="s">
        <v>28</v>
      </c>
      <c r="H953" s="8" t="s">
        <v>38</v>
      </c>
      <c r="I953" s="11">
        <v>10</v>
      </c>
      <c r="J953" s="12">
        <v>33.659999999999997</v>
      </c>
      <c r="K953" s="13">
        <v>0.1</v>
      </c>
      <c r="L953" s="12">
        <v>19.71</v>
      </c>
      <c r="M953" s="14">
        <f>ROUND(tblSprzedaz[[#This Row],[Ilość]]*tblSprzedaz[[#This Row],[Cena netto jednostkowa]]*(1-tblSprzedaz[[#This Row],[Rabat %]]),2)</f>
        <v>302.94</v>
      </c>
      <c r="N953" s="14">
        <f>ROUND(tblSprzedaz[[#This Row],[Ilość]]*tblSprzedaz[[#This Row],[Koszt jednostkowy netto]],2)</f>
        <v>197.1</v>
      </c>
      <c r="O953" s="14">
        <f>tblSprzedaz[[#This Row],[Przychód netto]]-tblSprzedaz[[#This Row],[Koszt całkowity netto]]</f>
        <v>105.84</v>
      </c>
      <c r="P953" s="15">
        <f>IFERROR(tblSprzedaz[[#This Row],[Marża kwotowa]]/tblSprzedaz[[#This Row],[Przychód netto]],0)</f>
        <v>0.34937611408199643</v>
      </c>
      <c r="Q953" s="16">
        <f>YEAR(tblSprzedaz[[#This Row],[Data]])</f>
        <v>2025</v>
      </c>
      <c r="R953" s="16">
        <f>MONTH(tblSprzedaz[[#This Row],[Data]])</f>
        <v>9</v>
      </c>
      <c r="S953" s="9" t="str">
        <f>YEAR(tblSprzedaz[[#This Row],[Data]])&amp;"-"&amp;RIGHT("0"&amp;MONTH(tblSprzedaz[[#This Row],[Data]]),2)</f>
        <v>2025-09</v>
      </c>
    </row>
    <row r="954" spans="1:19" x14ac:dyDescent="0.25">
      <c r="A954" s="7" t="s">
        <v>2075</v>
      </c>
      <c r="B954" s="10">
        <v>45915</v>
      </c>
      <c r="C954" s="7" t="s">
        <v>2076</v>
      </c>
      <c r="D954" s="8" t="s">
        <v>84</v>
      </c>
      <c r="E954" s="8" t="s">
        <v>56</v>
      </c>
      <c r="F954" s="8" t="s">
        <v>31</v>
      </c>
      <c r="G954" s="8" t="s">
        <v>28</v>
      </c>
      <c r="H954" s="8" t="s">
        <v>39</v>
      </c>
      <c r="I954" s="11">
        <v>25</v>
      </c>
      <c r="J954" s="12">
        <v>279.3</v>
      </c>
      <c r="K954" s="13">
        <v>0.1</v>
      </c>
      <c r="L954" s="12">
        <v>187.16</v>
      </c>
      <c r="M954" s="14">
        <f>ROUND(tblSprzedaz[[#This Row],[Ilość]]*tblSprzedaz[[#This Row],[Cena netto jednostkowa]]*(1-tblSprzedaz[[#This Row],[Rabat %]]),2)</f>
        <v>6284.25</v>
      </c>
      <c r="N954" s="14">
        <f>ROUND(tblSprzedaz[[#This Row],[Ilość]]*tblSprzedaz[[#This Row],[Koszt jednostkowy netto]],2)</f>
        <v>4679</v>
      </c>
      <c r="O954" s="14">
        <f>tblSprzedaz[[#This Row],[Przychód netto]]-tblSprzedaz[[#This Row],[Koszt całkowity netto]]</f>
        <v>1605.25</v>
      </c>
      <c r="P954" s="15">
        <f>IFERROR(tblSprzedaz[[#This Row],[Marża kwotowa]]/tblSprzedaz[[#This Row],[Przychód netto]],0)</f>
        <v>0.25544018777101485</v>
      </c>
      <c r="Q954" s="16">
        <f>YEAR(tblSprzedaz[[#This Row],[Data]])</f>
        <v>2025</v>
      </c>
      <c r="R954" s="16">
        <f>MONTH(tblSprzedaz[[#This Row],[Data]])</f>
        <v>9</v>
      </c>
      <c r="S954" s="9" t="str">
        <f>YEAR(tblSprzedaz[[#This Row],[Data]])&amp;"-"&amp;RIGHT("0"&amp;MONTH(tblSprzedaz[[#This Row],[Data]]),2)</f>
        <v>2025-09</v>
      </c>
    </row>
    <row r="955" spans="1:19" x14ac:dyDescent="0.25">
      <c r="A955" s="7" t="s">
        <v>2077</v>
      </c>
      <c r="B955" s="10">
        <v>45915</v>
      </c>
      <c r="C955" s="7" t="s">
        <v>2078</v>
      </c>
      <c r="D955" s="8" t="s">
        <v>149</v>
      </c>
      <c r="E955" s="8" t="s">
        <v>56</v>
      </c>
      <c r="F955" s="8" t="s">
        <v>31</v>
      </c>
      <c r="G955" s="8" t="s">
        <v>28</v>
      </c>
      <c r="H955" s="8" t="s">
        <v>38</v>
      </c>
      <c r="I955" s="11">
        <v>3</v>
      </c>
      <c r="J955" s="12">
        <v>279.3</v>
      </c>
      <c r="K955" s="13">
        <v>0.05</v>
      </c>
      <c r="L955" s="12">
        <v>182.22</v>
      </c>
      <c r="M955" s="14">
        <f>ROUND(tblSprzedaz[[#This Row],[Ilość]]*tblSprzedaz[[#This Row],[Cena netto jednostkowa]]*(1-tblSprzedaz[[#This Row],[Rabat %]]),2)</f>
        <v>796.01</v>
      </c>
      <c r="N955" s="14">
        <f>ROUND(tblSprzedaz[[#This Row],[Ilość]]*tblSprzedaz[[#This Row],[Koszt jednostkowy netto]],2)</f>
        <v>546.66</v>
      </c>
      <c r="O955" s="14">
        <f>tblSprzedaz[[#This Row],[Przychód netto]]-tblSprzedaz[[#This Row],[Koszt całkowity netto]]</f>
        <v>249.35000000000002</v>
      </c>
      <c r="P955" s="15">
        <f>IFERROR(tblSprzedaz[[#This Row],[Marża kwotowa]]/tblSprzedaz[[#This Row],[Przychód netto]],0)</f>
        <v>0.31324983354480473</v>
      </c>
      <c r="Q955" s="16">
        <f>YEAR(tblSprzedaz[[#This Row],[Data]])</f>
        <v>2025</v>
      </c>
      <c r="R955" s="16">
        <f>MONTH(tblSprzedaz[[#This Row],[Data]])</f>
        <v>9</v>
      </c>
      <c r="S955" s="9" t="str">
        <f>YEAR(tblSprzedaz[[#This Row],[Data]])&amp;"-"&amp;RIGHT("0"&amp;MONTH(tblSprzedaz[[#This Row],[Data]]),2)</f>
        <v>2025-09</v>
      </c>
    </row>
    <row r="956" spans="1:19" x14ac:dyDescent="0.25">
      <c r="A956" s="7" t="s">
        <v>2079</v>
      </c>
      <c r="B956" s="10">
        <v>45915</v>
      </c>
      <c r="C956" s="7" t="s">
        <v>2080</v>
      </c>
      <c r="D956" s="8" t="s">
        <v>111</v>
      </c>
      <c r="E956" s="8" t="s">
        <v>76</v>
      </c>
      <c r="F956" s="8" t="s">
        <v>37</v>
      </c>
      <c r="G956" s="8" t="s">
        <v>32</v>
      </c>
      <c r="H956" s="8" t="s">
        <v>43</v>
      </c>
      <c r="I956" s="11">
        <v>10</v>
      </c>
      <c r="J956" s="12">
        <v>158.65</v>
      </c>
      <c r="K956" s="13">
        <v>0.1</v>
      </c>
      <c r="L956" s="12">
        <v>127.3</v>
      </c>
      <c r="M956" s="14">
        <f>ROUND(tblSprzedaz[[#This Row],[Ilość]]*tblSprzedaz[[#This Row],[Cena netto jednostkowa]]*(1-tblSprzedaz[[#This Row],[Rabat %]]),2)</f>
        <v>1427.85</v>
      </c>
      <c r="N956" s="14">
        <f>ROUND(tblSprzedaz[[#This Row],[Ilość]]*tblSprzedaz[[#This Row],[Koszt jednostkowy netto]],2)</f>
        <v>1273</v>
      </c>
      <c r="O956" s="14">
        <f>tblSprzedaz[[#This Row],[Przychód netto]]-tblSprzedaz[[#This Row],[Koszt całkowity netto]]</f>
        <v>154.84999999999991</v>
      </c>
      <c r="P956" s="15">
        <f>IFERROR(tblSprzedaz[[#This Row],[Marża kwotowa]]/tblSprzedaz[[#This Row],[Przychód netto]],0)</f>
        <v>0.1084497671324018</v>
      </c>
      <c r="Q956" s="16">
        <f>YEAR(tblSprzedaz[[#This Row],[Data]])</f>
        <v>2025</v>
      </c>
      <c r="R956" s="16">
        <f>MONTH(tblSprzedaz[[#This Row],[Data]])</f>
        <v>9</v>
      </c>
      <c r="S956" s="9" t="str">
        <f>YEAR(tblSprzedaz[[#This Row],[Data]])&amp;"-"&amp;RIGHT("0"&amp;MONTH(tblSprzedaz[[#This Row],[Data]]),2)</f>
        <v>2025-09</v>
      </c>
    </row>
    <row r="957" spans="1:19" x14ac:dyDescent="0.25">
      <c r="A957" s="7" t="s">
        <v>2081</v>
      </c>
      <c r="B957" s="10">
        <v>45915</v>
      </c>
      <c r="C957" s="7" t="s">
        <v>2082</v>
      </c>
      <c r="D957" s="8" t="s">
        <v>132</v>
      </c>
      <c r="E957" s="8" t="s">
        <v>52</v>
      </c>
      <c r="F957" s="8" t="s">
        <v>29</v>
      </c>
      <c r="G957" s="8" t="s">
        <v>28</v>
      </c>
      <c r="H957" s="8" t="s">
        <v>38</v>
      </c>
      <c r="I957" s="11">
        <v>17</v>
      </c>
      <c r="J957" s="12">
        <v>56.78</v>
      </c>
      <c r="K957" s="13">
        <v>0.05</v>
      </c>
      <c r="L957" s="12">
        <v>33.76</v>
      </c>
      <c r="M957" s="14">
        <f>ROUND(tblSprzedaz[[#This Row],[Ilość]]*tblSprzedaz[[#This Row],[Cena netto jednostkowa]]*(1-tblSprzedaz[[#This Row],[Rabat %]]),2)</f>
        <v>917</v>
      </c>
      <c r="N957" s="14">
        <f>ROUND(tblSprzedaz[[#This Row],[Ilość]]*tblSprzedaz[[#This Row],[Koszt jednostkowy netto]],2)</f>
        <v>573.91999999999996</v>
      </c>
      <c r="O957" s="14">
        <f>tblSprzedaz[[#This Row],[Przychód netto]]-tblSprzedaz[[#This Row],[Koszt całkowity netto]]</f>
        <v>343.08000000000004</v>
      </c>
      <c r="P957" s="15">
        <f>IFERROR(tblSprzedaz[[#This Row],[Marża kwotowa]]/tblSprzedaz[[#This Row],[Przychód netto]],0)</f>
        <v>0.37413304252998913</v>
      </c>
      <c r="Q957" s="16">
        <f>YEAR(tblSprzedaz[[#This Row],[Data]])</f>
        <v>2025</v>
      </c>
      <c r="R957" s="16">
        <f>MONTH(tblSprzedaz[[#This Row],[Data]])</f>
        <v>9</v>
      </c>
      <c r="S957" s="9" t="str">
        <f>YEAR(tblSprzedaz[[#This Row],[Data]])&amp;"-"&amp;RIGHT("0"&amp;MONTH(tblSprzedaz[[#This Row],[Data]]),2)</f>
        <v>2025-09</v>
      </c>
    </row>
    <row r="958" spans="1:19" x14ac:dyDescent="0.25">
      <c r="A958" s="7" t="s">
        <v>2083</v>
      </c>
      <c r="B958" s="10">
        <v>45916</v>
      </c>
      <c r="C958" s="7" t="s">
        <v>2084</v>
      </c>
      <c r="D958" s="8" t="s">
        <v>94</v>
      </c>
      <c r="E958" s="8" t="s">
        <v>68</v>
      </c>
      <c r="F958" s="8" t="s">
        <v>35</v>
      </c>
      <c r="G958" s="8" t="s">
        <v>36</v>
      </c>
      <c r="H958" s="8" t="s">
        <v>46</v>
      </c>
      <c r="I958" s="11">
        <v>6</v>
      </c>
      <c r="J958" s="12">
        <v>90.44</v>
      </c>
      <c r="K958" s="13">
        <v>0</v>
      </c>
      <c r="L958" s="12">
        <v>66.739999999999995</v>
      </c>
      <c r="M958" s="14">
        <f>ROUND(tblSprzedaz[[#This Row],[Ilość]]*tblSprzedaz[[#This Row],[Cena netto jednostkowa]]*(1-tblSprzedaz[[#This Row],[Rabat %]]),2)</f>
        <v>542.64</v>
      </c>
      <c r="N958" s="14">
        <f>ROUND(tblSprzedaz[[#This Row],[Ilość]]*tblSprzedaz[[#This Row],[Koszt jednostkowy netto]],2)</f>
        <v>400.44</v>
      </c>
      <c r="O958" s="14">
        <f>tblSprzedaz[[#This Row],[Przychód netto]]-tblSprzedaz[[#This Row],[Koszt całkowity netto]]</f>
        <v>142.19999999999999</v>
      </c>
      <c r="P958" s="15">
        <f>IFERROR(tblSprzedaz[[#This Row],[Marża kwotowa]]/tblSprzedaz[[#This Row],[Przychód netto]],0)</f>
        <v>0.26205218929677132</v>
      </c>
      <c r="Q958" s="16">
        <f>YEAR(tblSprzedaz[[#This Row],[Data]])</f>
        <v>2025</v>
      </c>
      <c r="R958" s="16">
        <f>MONTH(tblSprzedaz[[#This Row],[Data]])</f>
        <v>9</v>
      </c>
      <c r="S958" s="9" t="str">
        <f>YEAR(tblSprzedaz[[#This Row],[Data]])&amp;"-"&amp;RIGHT("0"&amp;MONTH(tblSprzedaz[[#This Row],[Data]]),2)</f>
        <v>2025-09</v>
      </c>
    </row>
    <row r="959" spans="1:19" x14ac:dyDescent="0.25">
      <c r="A959" s="7" t="s">
        <v>2085</v>
      </c>
      <c r="B959" s="10">
        <v>45916</v>
      </c>
      <c r="C959" s="7" t="s">
        <v>2086</v>
      </c>
      <c r="D959" s="8" t="s">
        <v>89</v>
      </c>
      <c r="E959" s="8" t="s">
        <v>61</v>
      </c>
      <c r="F959" s="8" t="s">
        <v>33</v>
      </c>
      <c r="G959" s="8" t="s">
        <v>32</v>
      </c>
      <c r="H959" s="8" t="s">
        <v>43</v>
      </c>
      <c r="I959" s="11">
        <v>1</v>
      </c>
      <c r="J959" s="12">
        <v>533.6</v>
      </c>
      <c r="K959" s="13">
        <v>0</v>
      </c>
      <c r="L959" s="12">
        <v>368.81</v>
      </c>
      <c r="M959" s="14">
        <f>ROUND(tblSprzedaz[[#This Row],[Ilość]]*tblSprzedaz[[#This Row],[Cena netto jednostkowa]]*(1-tblSprzedaz[[#This Row],[Rabat %]]),2)</f>
        <v>533.6</v>
      </c>
      <c r="N959" s="14">
        <f>ROUND(tblSprzedaz[[#This Row],[Ilość]]*tblSprzedaz[[#This Row],[Koszt jednostkowy netto]],2)</f>
        <v>368.81</v>
      </c>
      <c r="O959" s="14">
        <f>tblSprzedaz[[#This Row],[Przychód netto]]-tblSprzedaz[[#This Row],[Koszt całkowity netto]]</f>
        <v>164.79000000000002</v>
      </c>
      <c r="P959" s="15">
        <f>IFERROR(tblSprzedaz[[#This Row],[Marża kwotowa]]/tblSprzedaz[[#This Row],[Przychód netto]],0)</f>
        <v>0.30882683658170917</v>
      </c>
      <c r="Q959" s="16">
        <f>YEAR(tblSprzedaz[[#This Row],[Data]])</f>
        <v>2025</v>
      </c>
      <c r="R959" s="16">
        <f>MONTH(tblSprzedaz[[#This Row],[Data]])</f>
        <v>9</v>
      </c>
      <c r="S959" s="9" t="str">
        <f>YEAR(tblSprzedaz[[#This Row],[Data]])&amp;"-"&amp;RIGHT("0"&amp;MONTH(tblSprzedaz[[#This Row],[Data]]),2)</f>
        <v>2025-09</v>
      </c>
    </row>
    <row r="960" spans="1:19" x14ac:dyDescent="0.25">
      <c r="A960" s="7" t="s">
        <v>2087</v>
      </c>
      <c r="B960" s="10">
        <v>45916</v>
      </c>
      <c r="C960" s="7" t="s">
        <v>2088</v>
      </c>
      <c r="D960" s="8" t="s">
        <v>152</v>
      </c>
      <c r="E960" s="8" t="s">
        <v>48</v>
      </c>
      <c r="F960" s="8" t="s">
        <v>29</v>
      </c>
      <c r="G960" s="8" t="s">
        <v>30</v>
      </c>
      <c r="H960" s="8" t="s">
        <v>41</v>
      </c>
      <c r="I960" s="11">
        <v>29</v>
      </c>
      <c r="J960" s="12">
        <v>33.659999999999997</v>
      </c>
      <c r="K960" s="13">
        <v>0.05</v>
      </c>
      <c r="L960" s="12">
        <v>20.03</v>
      </c>
      <c r="M960" s="14">
        <f>ROUND(tblSprzedaz[[#This Row],[Ilość]]*tblSprzedaz[[#This Row],[Cena netto jednostkowa]]*(1-tblSprzedaz[[#This Row],[Rabat %]]),2)</f>
        <v>927.33</v>
      </c>
      <c r="N960" s="14">
        <f>ROUND(tblSprzedaz[[#This Row],[Ilość]]*tblSprzedaz[[#This Row],[Koszt jednostkowy netto]],2)</f>
        <v>580.87</v>
      </c>
      <c r="O960" s="14">
        <f>tblSprzedaz[[#This Row],[Przychód netto]]-tblSprzedaz[[#This Row],[Koszt całkowity netto]]</f>
        <v>346.46000000000004</v>
      </c>
      <c r="P960" s="15">
        <f>IFERROR(tblSprzedaz[[#This Row],[Marża kwotowa]]/tblSprzedaz[[#This Row],[Przychód netto]],0)</f>
        <v>0.37361025740567005</v>
      </c>
      <c r="Q960" s="16">
        <f>YEAR(tblSprzedaz[[#This Row],[Data]])</f>
        <v>2025</v>
      </c>
      <c r="R960" s="16">
        <f>MONTH(tblSprzedaz[[#This Row],[Data]])</f>
        <v>9</v>
      </c>
      <c r="S960" s="9" t="str">
        <f>YEAR(tblSprzedaz[[#This Row],[Data]])&amp;"-"&amp;RIGHT("0"&amp;MONTH(tblSprzedaz[[#This Row],[Data]]),2)</f>
        <v>2025-09</v>
      </c>
    </row>
    <row r="961" spans="1:19" x14ac:dyDescent="0.25">
      <c r="A961" s="7" t="s">
        <v>2089</v>
      </c>
      <c r="B961" s="10">
        <v>45916</v>
      </c>
      <c r="C961" s="7" t="s">
        <v>2090</v>
      </c>
      <c r="D961" s="8" t="s">
        <v>103</v>
      </c>
      <c r="E961" s="8" t="s">
        <v>71</v>
      </c>
      <c r="F961" s="8" t="s">
        <v>35</v>
      </c>
      <c r="G961" s="8" t="s">
        <v>34</v>
      </c>
      <c r="H961" s="8" t="s">
        <v>44</v>
      </c>
      <c r="I961" s="11">
        <v>13</v>
      </c>
      <c r="J961" s="12">
        <v>55.76</v>
      </c>
      <c r="K961" s="13">
        <v>0.15</v>
      </c>
      <c r="L961" s="12">
        <v>42.59</v>
      </c>
      <c r="M961" s="14">
        <f>ROUND(tblSprzedaz[[#This Row],[Ilość]]*tblSprzedaz[[#This Row],[Cena netto jednostkowa]]*(1-tblSprzedaz[[#This Row],[Rabat %]]),2)</f>
        <v>616.15</v>
      </c>
      <c r="N961" s="14">
        <f>ROUND(tblSprzedaz[[#This Row],[Ilość]]*tblSprzedaz[[#This Row],[Koszt jednostkowy netto]],2)</f>
        <v>553.66999999999996</v>
      </c>
      <c r="O961" s="14">
        <f>tblSprzedaz[[#This Row],[Przychód netto]]-tblSprzedaz[[#This Row],[Koszt całkowity netto]]</f>
        <v>62.480000000000018</v>
      </c>
      <c r="P961" s="15">
        <f>IFERROR(tblSprzedaz[[#This Row],[Marża kwotowa]]/tblSprzedaz[[#This Row],[Przychód netto]],0)</f>
        <v>0.10140387892558633</v>
      </c>
      <c r="Q961" s="16">
        <f>YEAR(tblSprzedaz[[#This Row],[Data]])</f>
        <v>2025</v>
      </c>
      <c r="R961" s="16">
        <f>MONTH(tblSprzedaz[[#This Row],[Data]])</f>
        <v>9</v>
      </c>
      <c r="S961" s="9" t="str">
        <f>YEAR(tblSprzedaz[[#This Row],[Data]])&amp;"-"&amp;RIGHT("0"&amp;MONTH(tblSprzedaz[[#This Row],[Data]]),2)</f>
        <v>2025-09</v>
      </c>
    </row>
    <row r="962" spans="1:19" x14ac:dyDescent="0.25">
      <c r="A962" s="7" t="s">
        <v>2091</v>
      </c>
      <c r="B962" s="10">
        <v>45917</v>
      </c>
      <c r="C962" s="7" t="s">
        <v>2092</v>
      </c>
      <c r="D962" s="8" t="s">
        <v>116</v>
      </c>
      <c r="E962" s="8" t="s">
        <v>51</v>
      </c>
      <c r="F962" s="8" t="s">
        <v>29</v>
      </c>
      <c r="G962" s="8" t="s">
        <v>30</v>
      </c>
      <c r="H962" s="8" t="s">
        <v>40</v>
      </c>
      <c r="I962" s="11">
        <v>4</v>
      </c>
      <c r="J962" s="12">
        <v>51</v>
      </c>
      <c r="K962" s="13">
        <v>0</v>
      </c>
      <c r="L962" s="12">
        <v>30.69</v>
      </c>
      <c r="M962" s="14">
        <f>ROUND(tblSprzedaz[[#This Row],[Ilość]]*tblSprzedaz[[#This Row],[Cena netto jednostkowa]]*(1-tblSprzedaz[[#This Row],[Rabat %]]),2)</f>
        <v>204</v>
      </c>
      <c r="N962" s="14">
        <f>ROUND(tblSprzedaz[[#This Row],[Ilość]]*tblSprzedaz[[#This Row],[Koszt jednostkowy netto]],2)</f>
        <v>122.76</v>
      </c>
      <c r="O962" s="14">
        <f>tblSprzedaz[[#This Row],[Przychód netto]]-tblSprzedaz[[#This Row],[Koszt całkowity netto]]</f>
        <v>81.239999999999995</v>
      </c>
      <c r="P962" s="15">
        <f>IFERROR(tblSprzedaz[[#This Row],[Marża kwotowa]]/tblSprzedaz[[#This Row],[Przychód netto]],0)</f>
        <v>0.39823529411764702</v>
      </c>
      <c r="Q962" s="16">
        <f>YEAR(tblSprzedaz[[#This Row],[Data]])</f>
        <v>2025</v>
      </c>
      <c r="R962" s="16">
        <f>MONTH(tblSprzedaz[[#This Row],[Data]])</f>
        <v>9</v>
      </c>
      <c r="S962" s="9" t="str">
        <f>YEAR(tblSprzedaz[[#This Row],[Data]])&amp;"-"&amp;RIGHT("0"&amp;MONTH(tblSprzedaz[[#This Row],[Data]]),2)</f>
        <v>2025-09</v>
      </c>
    </row>
    <row r="963" spans="1:19" x14ac:dyDescent="0.25">
      <c r="A963" s="7" t="s">
        <v>2093</v>
      </c>
      <c r="B963" s="10">
        <v>45917</v>
      </c>
      <c r="C963" s="7" t="s">
        <v>2094</v>
      </c>
      <c r="D963" s="8" t="s">
        <v>124</v>
      </c>
      <c r="E963" s="8" t="s">
        <v>56</v>
      </c>
      <c r="F963" s="8" t="s">
        <v>31</v>
      </c>
      <c r="G963" s="8" t="s">
        <v>36</v>
      </c>
      <c r="H963" s="8" t="s">
        <v>46</v>
      </c>
      <c r="I963" s="11">
        <v>6</v>
      </c>
      <c r="J963" s="12">
        <v>279.3</v>
      </c>
      <c r="K963" s="13">
        <v>0</v>
      </c>
      <c r="L963" s="12">
        <v>188.32</v>
      </c>
      <c r="M963" s="14">
        <f>ROUND(tblSprzedaz[[#This Row],[Ilość]]*tblSprzedaz[[#This Row],[Cena netto jednostkowa]]*(1-tblSprzedaz[[#This Row],[Rabat %]]),2)</f>
        <v>1675.8</v>
      </c>
      <c r="N963" s="14">
        <f>ROUND(tblSprzedaz[[#This Row],[Ilość]]*tblSprzedaz[[#This Row],[Koszt jednostkowy netto]],2)</f>
        <v>1129.92</v>
      </c>
      <c r="O963" s="14">
        <f>tblSprzedaz[[#This Row],[Przychód netto]]-tblSprzedaz[[#This Row],[Koszt całkowity netto]]</f>
        <v>545.87999999999988</v>
      </c>
      <c r="P963" s="15">
        <f>IFERROR(tblSprzedaz[[#This Row],[Marża kwotowa]]/tblSprzedaz[[#This Row],[Przychód netto]],0)</f>
        <v>0.32574292875044747</v>
      </c>
      <c r="Q963" s="16">
        <f>YEAR(tblSprzedaz[[#This Row],[Data]])</f>
        <v>2025</v>
      </c>
      <c r="R963" s="16">
        <f>MONTH(tblSprzedaz[[#This Row],[Data]])</f>
        <v>9</v>
      </c>
      <c r="S963" s="9" t="str">
        <f>YEAR(tblSprzedaz[[#This Row],[Data]])&amp;"-"&amp;RIGHT("0"&amp;MONTH(tblSprzedaz[[#This Row],[Data]]),2)</f>
        <v>2025-09</v>
      </c>
    </row>
    <row r="964" spans="1:19" x14ac:dyDescent="0.25">
      <c r="A964" s="7" t="s">
        <v>2095</v>
      </c>
      <c r="B964" s="10">
        <v>45917</v>
      </c>
      <c r="C964" s="7" t="s">
        <v>2096</v>
      </c>
      <c r="D964" s="8" t="s">
        <v>96</v>
      </c>
      <c r="E964" s="8" t="s">
        <v>68</v>
      </c>
      <c r="F964" s="8" t="s">
        <v>35</v>
      </c>
      <c r="G964" s="8" t="s">
        <v>28</v>
      </c>
      <c r="H964" s="8" t="s">
        <v>38</v>
      </c>
      <c r="I964" s="11">
        <v>16</v>
      </c>
      <c r="J964" s="12">
        <v>90.44</v>
      </c>
      <c r="K964" s="13">
        <v>0</v>
      </c>
      <c r="L964" s="12">
        <v>65.38</v>
      </c>
      <c r="M964" s="14">
        <f>ROUND(tblSprzedaz[[#This Row],[Ilość]]*tblSprzedaz[[#This Row],[Cena netto jednostkowa]]*(1-tblSprzedaz[[#This Row],[Rabat %]]),2)</f>
        <v>1447.04</v>
      </c>
      <c r="N964" s="14">
        <f>ROUND(tblSprzedaz[[#This Row],[Ilość]]*tblSprzedaz[[#This Row],[Koszt jednostkowy netto]],2)</f>
        <v>1046.08</v>
      </c>
      <c r="O964" s="14">
        <f>tblSprzedaz[[#This Row],[Przychód netto]]-tblSprzedaz[[#This Row],[Koszt całkowity netto]]</f>
        <v>400.96000000000004</v>
      </c>
      <c r="P964" s="15">
        <f>IFERROR(tblSprzedaz[[#This Row],[Marża kwotowa]]/tblSprzedaz[[#This Row],[Przychód netto]],0)</f>
        <v>0.27708978328173378</v>
      </c>
      <c r="Q964" s="16">
        <f>YEAR(tblSprzedaz[[#This Row],[Data]])</f>
        <v>2025</v>
      </c>
      <c r="R964" s="16">
        <f>MONTH(tblSprzedaz[[#This Row],[Data]])</f>
        <v>9</v>
      </c>
      <c r="S964" s="9" t="str">
        <f>YEAR(tblSprzedaz[[#This Row],[Data]])&amp;"-"&amp;RIGHT("0"&amp;MONTH(tblSprzedaz[[#This Row],[Data]]),2)</f>
        <v>2025-09</v>
      </c>
    </row>
    <row r="965" spans="1:19" x14ac:dyDescent="0.25">
      <c r="A965" s="7" t="s">
        <v>2097</v>
      </c>
      <c r="B965" s="10">
        <v>45917</v>
      </c>
      <c r="C965" s="7" t="s">
        <v>2098</v>
      </c>
      <c r="D965" s="8" t="s">
        <v>80</v>
      </c>
      <c r="E965" s="8" t="s">
        <v>76</v>
      </c>
      <c r="F965" s="8" t="s">
        <v>37</v>
      </c>
      <c r="G965" s="8" t="s">
        <v>36</v>
      </c>
      <c r="H965" s="8" t="s">
        <v>47</v>
      </c>
      <c r="I965" s="11">
        <v>20</v>
      </c>
      <c r="J965" s="12">
        <v>158.65</v>
      </c>
      <c r="K965" s="13">
        <v>0.1</v>
      </c>
      <c r="L965" s="12">
        <v>125.56</v>
      </c>
      <c r="M965" s="14">
        <f>ROUND(tblSprzedaz[[#This Row],[Ilość]]*tblSprzedaz[[#This Row],[Cena netto jednostkowa]]*(1-tblSprzedaz[[#This Row],[Rabat %]]),2)</f>
        <v>2855.7</v>
      </c>
      <c r="N965" s="14">
        <f>ROUND(tblSprzedaz[[#This Row],[Ilość]]*tblSprzedaz[[#This Row],[Koszt jednostkowy netto]],2)</f>
        <v>2511.1999999999998</v>
      </c>
      <c r="O965" s="14">
        <f>tblSprzedaz[[#This Row],[Przychód netto]]-tblSprzedaz[[#This Row],[Koszt całkowity netto]]</f>
        <v>344.5</v>
      </c>
      <c r="P965" s="15">
        <f>IFERROR(tblSprzedaz[[#This Row],[Marża kwotowa]]/tblSprzedaz[[#This Row],[Przychód netto]],0)</f>
        <v>0.12063592114017579</v>
      </c>
      <c r="Q965" s="16">
        <f>YEAR(tblSprzedaz[[#This Row],[Data]])</f>
        <v>2025</v>
      </c>
      <c r="R965" s="16">
        <f>MONTH(tblSprzedaz[[#This Row],[Data]])</f>
        <v>9</v>
      </c>
      <c r="S965" s="9" t="str">
        <f>YEAR(tblSprzedaz[[#This Row],[Data]])&amp;"-"&amp;RIGHT("0"&amp;MONTH(tblSprzedaz[[#This Row],[Data]]),2)</f>
        <v>2025-09</v>
      </c>
    </row>
    <row r="966" spans="1:19" x14ac:dyDescent="0.25">
      <c r="A966" s="7" t="s">
        <v>2099</v>
      </c>
      <c r="B966" s="10">
        <v>45918</v>
      </c>
      <c r="C966" s="7" t="s">
        <v>2100</v>
      </c>
      <c r="D966" s="8" t="s">
        <v>86</v>
      </c>
      <c r="E966" s="8" t="s">
        <v>72</v>
      </c>
      <c r="F966" s="8" t="s">
        <v>37</v>
      </c>
      <c r="G966" s="8" t="s">
        <v>34</v>
      </c>
      <c r="H966" s="8" t="s">
        <v>44</v>
      </c>
      <c r="I966" s="11">
        <v>3</v>
      </c>
      <c r="J966" s="12">
        <v>94.05</v>
      </c>
      <c r="K966" s="13">
        <v>0</v>
      </c>
      <c r="L966" s="12">
        <v>69.739999999999995</v>
      </c>
      <c r="M966" s="14">
        <f>ROUND(tblSprzedaz[[#This Row],[Ilość]]*tblSprzedaz[[#This Row],[Cena netto jednostkowa]]*(1-tblSprzedaz[[#This Row],[Rabat %]]),2)</f>
        <v>282.14999999999998</v>
      </c>
      <c r="N966" s="14">
        <f>ROUND(tblSprzedaz[[#This Row],[Ilość]]*tblSprzedaz[[#This Row],[Koszt jednostkowy netto]],2)</f>
        <v>209.22</v>
      </c>
      <c r="O966" s="14">
        <f>tblSprzedaz[[#This Row],[Przychód netto]]-tblSprzedaz[[#This Row],[Koszt całkowity netto]]</f>
        <v>72.929999999999978</v>
      </c>
      <c r="P966" s="15">
        <f>IFERROR(tblSprzedaz[[#This Row],[Marża kwotowa]]/tblSprzedaz[[#This Row],[Przychód netto]],0)</f>
        <v>0.25847953216374264</v>
      </c>
      <c r="Q966" s="16">
        <f>YEAR(tblSprzedaz[[#This Row],[Data]])</f>
        <v>2025</v>
      </c>
      <c r="R966" s="16">
        <f>MONTH(tblSprzedaz[[#This Row],[Data]])</f>
        <v>9</v>
      </c>
      <c r="S966" s="9" t="str">
        <f>YEAR(tblSprzedaz[[#This Row],[Data]])&amp;"-"&amp;RIGHT("0"&amp;MONTH(tblSprzedaz[[#This Row],[Data]]),2)</f>
        <v>2025-09</v>
      </c>
    </row>
    <row r="967" spans="1:19" x14ac:dyDescent="0.25">
      <c r="A967" s="7" t="s">
        <v>2101</v>
      </c>
      <c r="B967" s="10">
        <v>45918</v>
      </c>
      <c r="C967" s="7" t="s">
        <v>2102</v>
      </c>
      <c r="D967" s="8" t="s">
        <v>128</v>
      </c>
      <c r="E967" s="8" t="s">
        <v>63</v>
      </c>
      <c r="F967" s="8" t="s">
        <v>33</v>
      </c>
      <c r="G967" s="8" t="s">
        <v>28</v>
      </c>
      <c r="H967" s="8" t="s">
        <v>38</v>
      </c>
      <c r="I967" s="11">
        <v>5</v>
      </c>
      <c r="J967" s="12">
        <v>690</v>
      </c>
      <c r="K967" s="13">
        <v>0.05</v>
      </c>
      <c r="L967" s="12">
        <v>445.85</v>
      </c>
      <c r="M967" s="14">
        <f>ROUND(tblSprzedaz[[#This Row],[Ilość]]*tblSprzedaz[[#This Row],[Cena netto jednostkowa]]*(1-tblSprzedaz[[#This Row],[Rabat %]]),2)</f>
        <v>3277.5</v>
      </c>
      <c r="N967" s="14">
        <f>ROUND(tblSprzedaz[[#This Row],[Ilość]]*tblSprzedaz[[#This Row],[Koszt jednostkowy netto]],2)</f>
        <v>2229.25</v>
      </c>
      <c r="O967" s="14">
        <f>tblSprzedaz[[#This Row],[Przychód netto]]-tblSprzedaz[[#This Row],[Koszt całkowity netto]]</f>
        <v>1048.25</v>
      </c>
      <c r="P967" s="15">
        <f>IFERROR(tblSprzedaz[[#This Row],[Marża kwotowa]]/tblSprzedaz[[#This Row],[Przychód netto]],0)</f>
        <v>0.31983218916857359</v>
      </c>
      <c r="Q967" s="16">
        <f>YEAR(tblSprzedaz[[#This Row],[Data]])</f>
        <v>2025</v>
      </c>
      <c r="R967" s="16">
        <f>MONTH(tblSprzedaz[[#This Row],[Data]])</f>
        <v>9</v>
      </c>
      <c r="S967" s="9" t="str">
        <f>YEAR(tblSprzedaz[[#This Row],[Data]])&amp;"-"&amp;RIGHT("0"&amp;MONTH(tblSprzedaz[[#This Row],[Data]]),2)</f>
        <v>2025-09</v>
      </c>
    </row>
    <row r="968" spans="1:19" x14ac:dyDescent="0.25">
      <c r="A968" s="7" t="s">
        <v>2103</v>
      </c>
      <c r="B968" s="10">
        <v>45918</v>
      </c>
      <c r="C968" s="7" t="s">
        <v>2104</v>
      </c>
      <c r="D968" s="8" t="s">
        <v>129</v>
      </c>
      <c r="E968" s="8" t="s">
        <v>67</v>
      </c>
      <c r="F968" s="8" t="s">
        <v>35</v>
      </c>
      <c r="G968" s="8" t="s">
        <v>34</v>
      </c>
      <c r="H968" s="8" t="s">
        <v>44</v>
      </c>
      <c r="I968" s="11">
        <v>13</v>
      </c>
      <c r="J968" s="12">
        <v>78.88</v>
      </c>
      <c r="K968" s="13">
        <v>0</v>
      </c>
      <c r="L968" s="12">
        <v>57.76</v>
      </c>
      <c r="M968" s="14">
        <f>ROUND(tblSprzedaz[[#This Row],[Ilość]]*tblSprzedaz[[#This Row],[Cena netto jednostkowa]]*(1-tblSprzedaz[[#This Row],[Rabat %]]),2)</f>
        <v>1025.44</v>
      </c>
      <c r="N968" s="14">
        <f>ROUND(tblSprzedaz[[#This Row],[Ilość]]*tblSprzedaz[[#This Row],[Koszt jednostkowy netto]],2)</f>
        <v>750.88</v>
      </c>
      <c r="O968" s="14">
        <f>tblSprzedaz[[#This Row],[Przychód netto]]-tblSprzedaz[[#This Row],[Koszt całkowity netto]]</f>
        <v>274.56000000000006</v>
      </c>
      <c r="P968" s="15">
        <f>IFERROR(tblSprzedaz[[#This Row],[Marża kwotowa]]/tblSprzedaz[[#This Row],[Przychód netto]],0)</f>
        <v>0.26774847870182561</v>
      </c>
      <c r="Q968" s="16">
        <f>YEAR(tblSprzedaz[[#This Row],[Data]])</f>
        <v>2025</v>
      </c>
      <c r="R968" s="16">
        <f>MONTH(tblSprzedaz[[#This Row],[Data]])</f>
        <v>9</v>
      </c>
      <c r="S968" s="9" t="str">
        <f>YEAR(tblSprzedaz[[#This Row],[Data]])&amp;"-"&amp;RIGHT("0"&amp;MONTH(tblSprzedaz[[#This Row],[Data]]),2)</f>
        <v>2025-09</v>
      </c>
    </row>
    <row r="969" spans="1:19" x14ac:dyDescent="0.25">
      <c r="A969" s="7" t="s">
        <v>2105</v>
      </c>
      <c r="B969" s="10">
        <v>45918</v>
      </c>
      <c r="C969" s="7" t="s">
        <v>2106</v>
      </c>
      <c r="D969" s="8" t="s">
        <v>101</v>
      </c>
      <c r="E969" s="8" t="s">
        <v>61</v>
      </c>
      <c r="F969" s="8" t="s">
        <v>33</v>
      </c>
      <c r="G969" s="8" t="s">
        <v>28</v>
      </c>
      <c r="H969" s="8" t="s">
        <v>38</v>
      </c>
      <c r="I969" s="11">
        <v>3</v>
      </c>
      <c r="J969" s="12">
        <v>533.6</v>
      </c>
      <c r="K969" s="13">
        <v>0.15</v>
      </c>
      <c r="L969" s="12">
        <v>380.03</v>
      </c>
      <c r="M969" s="14">
        <f>ROUND(tblSprzedaz[[#This Row],[Ilość]]*tblSprzedaz[[#This Row],[Cena netto jednostkowa]]*(1-tblSprzedaz[[#This Row],[Rabat %]]),2)</f>
        <v>1360.68</v>
      </c>
      <c r="N969" s="14">
        <f>ROUND(tblSprzedaz[[#This Row],[Ilość]]*tblSprzedaz[[#This Row],[Koszt jednostkowy netto]],2)</f>
        <v>1140.0899999999999</v>
      </c>
      <c r="O969" s="14">
        <f>tblSprzedaz[[#This Row],[Przychód netto]]-tblSprzedaz[[#This Row],[Koszt całkowity netto]]</f>
        <v>220.59000000000015</v>
      </c>
      <c r="P969" s="15">
        <f>IFERROR(tblSprzedaz[[#This Row],[Marża kwotowa]]/tblSprzedaz[[#This Row],[Przychód netto]],0)</f>
        <v>0.16211747067642659</v>
      </c>
      <c r="Q969" s="16">
        <f>YEAR(tblSprzedaz[[#This Row],[Data]])</f>
        <v>2025</v>
      </c>
      <c r="R969" s="16">
        <f>MONTH(tblSprzedaz[[#This Row],[Data]])</f>
        <v>9</v>
      </c>
      <c r="S969" s="9" t="str">
        <f>YEAR(tblSprzedaz[[#This Row],[Data]])&amp;"-"&amp;RIGHT("0"&amp;MONTH(tblSprzedaz[[#This Row],[Data]]),2)</f>
        <v>2025-09</v>
      </c>
    </row>
    <row r="970" spans="1:19" x14ac:dyDescent="0.25">
      <c r="A970" s="7" t="s">
        <v>2107</v>
      </c>
      <c r="B970" s="10">
        <v>45919</v>
      </c>
      <c r="C970" s="7" t="s">
        <v>2108</v>
      </c>
      <c r="D970" s="8" t="s">
        <v>132</v>
      </c>
      <c r="E970" s="8" t="s">
        <v>72</v>
      </c>
      <c r="F970" s="8" t="s">
        <v>37</v>
      </c>
      <c r="G970" s="8" t="s">
        <v>34</v>
      </c>
      <c r="H970" s="8" t="s">
        <v>44</v>
      </c>
      <c r="I970" s="11">
        <v>5</v>
      </c>
      <c r="J970" s="12">
        <v>94.05</v>
      </c>
      <c r="K970" s="13">
        <v>0</v>
      </c>
      <c r="L970" s="12">
        <v>69.739999999999995</v>
      </c>
      <c r="M970" s="14">
        <f>ROUND(tblSprzedaz[[#This Row],[Ilość]]*tblSprzedaz[[#This Row],[Cena netto jednostkowa]]*(1-tblSprzedaz[[#This Row],[Rabat %]]),2)</f>
        <v>470.25</v>
      </c>
      <c r="N970" s="14">
        <f>ROUND(tblSprzedaz[[#This Row],[Ilość]]*tblSprzedaz[[#This Row],[Koszt jednostkowy netto]],2)</f>
        <v>348.7</v>
      </c>
      <c r="O970" s="14">
        <f>tblSprzedaz[[#This Row],[Przychód netto]]-tblSprzedaz[[#This Row],[Koszt całkowity netto]]</f>
        <v>121.55000000000001</v>
      </c>
      <c r="P970" s="15">
        <f>IFERROR(tblSprzedaz[[#This Row],[Marża kwotowa]]/tblSprzedaz[[#This Row],[Przychód netto]],0)</f>
        <v>0.2584795321637427</v>
      </c>
      <c r="Q970" s="16">
        <f>YEAR(tblSprzedaz[[#This Row],[Data]])</f>
        <v>2025</v>
      </c>
      <c r="R970" s="16">
        <f>MONTH(tblSprzedaz[[#This Row],[Data]])</f>
        <v>9</v>
      </c>
      <c r="S970" s="9" t="str">
        <f>YEAR(tblSprzedaz[[#This Row],[Data]])&amp;"-"&amp;RIGHT("0"&amp;MONTH(tblSprzedaz[[#This Row],[Data]]),2)</f>
        <v>2025-09</v>
      </c>
    </row>
    <row r="971" spans="1:19" x14ac:dyDescent="0.25">
      <c r="A971" s="7" t="s">
        <v>2109</v>
      </c>
      <c r="B971" s="10">
        <v>45919</v>
      </c>
      <c r="C971" s="7" t="s">
        <v>2110</v>
      </c>
      <c r="D971" s="8" t="s">
        <v>95</v>
      </c>
      <c r="E971" s="8" t="s">
        <v>58</v>
      </c>
      <c r="F971" s="8" t="s">
        <v>31</v>
      </c>
      <c r="G971" s="8" t="s">
        <v>36</v>
      </c>
      <c r="H971" s="8" t="s">
        <v>46</v>
      </c>
      <c r="I971" s="11">
        <v>25</v>
      </c>
      <c r="J971" s="12">
        <v>350.7</v>
      </c>
      <c r="K971" s="13">
        <v>0.15</v>
      </c>
      <c r="L971" s="12">
        <v>222.22</v>
      </c>
      <c r="M971" s="14">
        <f>ROUND(tblSprzedaz[[#This Row],[Ilość]]*tblSprzedaz[[#This Row],[Cena netto jednostkowa]]*(1-tblSprzedaz[[#This Row],[Rabat %]]),2)</f>
        <v>7452.38</v>
      </c>
      <c r="N971" s="14">
        <f>ROUND(tblSprzedaz[[#This Row],[Ilość]]*tblSprzedaz[[#This Row],[Koszt jednostkowy netto]],2)</f>
        <v>5555.5</v>
      </c>
      <c r="O971" s="14">
        <f>tblSprzedaz[[#This Row],[Przychód netto]]-tblSprzedaz[[#This Row],[Koszt całkowity netto]]</f>
        <v>1896.88</v>
      </c>
      <c r="P971" s="15">
        <f>IFERROR(tblSprzedaz[[#This Row],[Marża kwotowa]]/tblSprzedaz[[#This Row],[Przychód netto]],0)</f>
        <v>0.25453345105858799</v>
      </c>
      <c r="Q971" s="16">
        <f>YEAR(tblSprzedaz[[#This Row],[Data]])</f>
        <v>2025</v>
      </c>
      <c r="R971" s="16">
        <f>MONTH(tblSprzedaz[[#This Row],[Data]])</f>
        <v>9</v>
      </c>
      <c r="S971" s="9" t="str">
        <f>YEAR(tblSprzedaz[[#This Row],[Data]])&amp;"-"&amp;RIGHT("0"&amp;MONTH(tblSprzedaz[[#This Row],[Data]]),2)</f>
        <v>2025-09</v>
      </c>
    </row>
    <row r="972" spans="1:19" x14ac:dyDescent="0.25">
      <c r="A972" s="7" t="s">
        <v>2111</v>
      </c>
      <c r="B972" s="10">
        <v>45919</v>
      </c>
      <c r="C972" s="7" t="s">
        <v>2112</v>
      </c>
      <c r="D972" s="8" t="s">
        <v>128</v>
      </c>
      <c r="E972" s="8" t="s">
        <v>55</v>
      </c>
      <c r="F972" s="8" t="s">
        <v>31</v>
      </c>
      <c r="G972" s="8" t="s">
        <v>32</v>
      </c>
      <c r="H972" s="8" t="s">
        <v>42</v>
      </c>
      <c r="I972" s="11">
        <v>8</v>
      </c>
      <c r="J972" s="12">
        <v>243.6</v>
      </c>
      <c r="K972" s="13">
        <v>0</v>
      </c>
      <c r="L972" s="12">
        <v>155.72999999999999</v>
      </c>
      <c r="M972" s="14">
        <f>ROUND(tblSprzedaz[[#This Row],[Ilość]]*tblSprzedaz[[#This Row],[Cena netto jednostkowa]]*(1-tblSprzedaz[[#This Row],[Rabat %]]),2)</f>
        <v>1948.8</v>
      </c>
      <c r="N972" s="14">
        <f>ROUND(tblSprzedaz[[#This Row],[Ilość]]*tblSprzedaz[[#This Row],[Koszt jednostkowy netto]],2)</f>
        <v>1245.8399999999999</v>
      </c>
      <c r="O972" s="14">
        <f>tblSprzedaz[[#This Row],[Przychód netto]]-tblSprzedaz[[#This Row],[Koszt całkowity netto]]</f>
        <v>702.96</v>
      </c>
      <c r="P972" s="15">
        <f>IFERROR(tblSprzedaz[[#This Row],[Marża kwotowa]]/tblSprzedaz[[#This Row],[Przychód netto]],0)</f>
        <v>0.36071428571428577</v>
      </c>
      <c r="Q972" s="16">
        <f>YEAR(tblSprzedaz[[#This Row],[Data]])</f>
        <v>2025</v>
      </c>
      <c r="R972" s="16">
        <f>MONTH(tblSprzedaz[[#This Row],[Data]])</f>
        <v>9</v>
      </c>
      <c r="S972" s="9" t="str">
        <f>YEAR(tblSprzedaz[[#This Row],[Data]])&amp;"-"&amp;RIGHT("0"&amp;MONTH(tblSprzedaz[[#This Row],[Data]]),2)</f>
        <v>2025-09</v>
      </c>
    </row>
    <row r="973" spans="1:19" x14ac:dyDescent="0.25">
      <c r="A973" s="7" t="s">
        <v>2113</v>
      </c>
      <c r="B973" s="10">
        <v>45919</v>
      </c>
      <c r="C973" s="7" t="s">
        <v>2114</v>
      </c>
      <c r="D973" s="8" t="s">
        <v>133</v>
      </c>
      <c r="E973" s="8" t="s">
        <v>70</v>
      </c>
      <c r="F973" s="8" t="s">
        <v>35</v>
      </c>
      <c r="G973" s="8" t="s">
        <v>30</v>
      </c>
      <c r="H973" s="8" t="s">
        <v>41</v>
      </c>
      <c r="I973" s="11">
        <v>16</v>
      </c>
      <c r="J973" s="12">
        <v>113.56</v>
      </c>
      <c r="K973" s="13">
        <v>0.1</v>
      </c>
      <c r="L973" s="12">
        <v>81.63</v>
      </c>
      <c r="M973" s="14">
        <f>ROUND(tblSprzedaz[[#This Row],[Ilość]]*tblSprzedaz[[#This Row],[Cena netto jednostkowa]]*(1-tblSprzedaz[[#This Row],[Rabat %]]),2)</f>
        <v>1635.26</v>
      </c>
      <c r="N973" s="14">
        <f>ROUND(tblSprzedaz[[#This Row],[Ilość]]*tblSprzedaz[[#This Row],[Koszt jednostkowy netto]],2)</f>
        <v>1306.08</v>
      </c>
      <c r="O973" s="14">
        <f>tblSprzedaz[[#This Row],[Przychód netto]]-tblSprzedaz[[#This Row],[Koszt całkowity netto]]</f>
        <v>329.18000000000006</v>
      </c>
      <c r="P973" s="15">
        <f>IFERROR(tblSprzedaz[[#This Row],[Marża kwotowa]]/tblSprzedaz[[#This Row],[Przychód netto]],0)</f>
        <v>0.20130132211391466</v>
      </c>
      <c r="Q973" s="16">
        <f>YEAR(tblSprzedaz[[#This Row],[Data]])</f>
        <v>2025</v>
      </c>
      <c r="R973" s="16">
        <f>MONTH(tblSprzedaz[[#This Row],[Data]])</f>
        <v>9</v>
      </c>
      <c r="S973" s="9" t="str">
        <f>YEAR(tblSprzedaz[[#This Row],[Data]])&amp;"-"&amp;RIGHT("0"&amp;MONTH(tblSprzedaz[[#This Row],[Data]]),2)</f>
        <v>2025-09</v>
      </c>
    </row>
    <row r="974" spans="1:19" x14ac:dyDescent="0.25">
      <c r="A974" s="7" t="s">
        <v>2115</v>
      </c>
      <c r="B974" s="10">
        <v>45919</v>
      </c>
      <c r="C974" s="7" t="s">
        <v>2116</v>
      </c>
      <c r="D974" s="8" t="s">
        <v>96</v>
      </c>
      <c r="E974" s="8" t="s">
        <v>55</v>
      </c>
      <c r="F974" s="8" t="s">
        <v>31</v>
      </c>
      <c r="G974" s="8" t="s">
        <v>28</v>
      </c>
      <c r="H974" s="8" t="s">
        <v>39</v>
      </c>
      <c r="I974" s="11">
        <v>6</v>
      </c>
      <c r="J974" s="12">
        <v>243.6</v>
      </c>
      <c r="K974" s="13">
        <v>0.05</v>
      </c>
      <c r="L974" s="12">
        <v>154.58000000000001</v>
      </c>
      <c r="M974" s="14">
        <f>ROUND(tblSprzedaz[[#This Row],[Ilość]]*tblSprzedaz[[#This Row],[Cena netto jednostkowa]]*(1-tblSprzedaz[[#This Row],[Rabat %]]),2)</f>
        <v>1388.52</v>
      </c>
      <c r="N974" s="14">
        <f>ROUND(tblSprzedaz[[#This Row],[Ilość]]*tblSprzedaz[[#This Row],[Koszt jednostkowy netto]],2)</f>
        <v>927.48</v>
      </c>
      <c r="O974" s="14">
        <f>tblSprzedaz[[#This Row],[Przychód netto]]-tblSprzedaz[[#This Row],[Koszt całkowity netto]]</f>
        <v>461.03999999999996</v>
      </c>
      <c r="P974" s="15">
        <f>IFERROR(tblSprzedaz[[#This Row],[Marża kwotowa]]/tblSprzedaz[[#This Row],[Przychód netto]],0)</f>
        <v>0.3320369890242848</v>
      </c>
      <c r="Q974" s="16">
        <f>YEAR(tblSprzedaz[[#This Row],[Data]])</f>
        <v>2025</v>
      </c>
      <c r="R974" s="16">
        <f>MONTH(tblSprzedaz[[#This Row],[Data]])</f>
        <v>9</v>
      </c>
      <c r="S974" s="9" t="str">
        <f>YEAR(tblSprzedaz[[#This Row],[Data]])&amp;"-"&amp;RIGHT("0"&amp;MONTH(tblSprzedaz[[#This Row],[Data]]),2)</f>
        <v>2025-09</v>
      </c>
    </row>
    <row r="975" spans="1:19" x14ac:dyDescent="0.25">
      <c r="A975" s="7" t="s">
        <v>2117</v>
      </c>
      <c r="B975" s="10">
        <v>45920</v>
      </c>
      <c r="C975" s="7" t="s">
        <v>2118</v>
      </c>
      <c r="D975" s="8" t="s">
        <v>84</v>
      </c>
      <c r="E975" s="8" t="s">
        <v>69</v>
      </c>
      <c r="F975" s="8" t="s">
        <v>35</v>
      </c>
      <c r="G975" s="8" t="s">
        <v>34</v>
      </c>
      <c r="H975" s="8" t="s">
        <v>45</v>
      </c>
      <c r="I975" s="11">
        <v>6</v>
      </c>
      <c r="J975" s="12">
        <v>102</v>
      </c>
      <c r="K975" s="13">
        <v>0</v>
      </c>
      <c r="L975" s="12">
        <v>77.83</v>
      </c>
      <c r="M975" s="14">
        <f>ROUND(tblSprzedaz[[#This Row],[Ilość]]*tblSprzedaz[[#This Row],[Cena netto jednostkowa]]*(1-tblSprzedaz[[#This Row],[Rabat %]]),2)</f>
        <v>612</v>
      </c>
      <c r="N975" s="14">
        <f>ROUND(tblSprzedaz[[#This Row],[Ilość]]*tblSprzedaz[[#This Row],[Koszt jednostkowy netto]],2)</f>
        <v>466.98</v>
      </c>
      <c r="O975" s="14">
        <f>tblSprzedaz[[#This Row],[Przychód netto]]-tblSprzedaz[[#This Row],[Koszt całkowity netto]]</f>
        <v>145.01999999999998</v>
      </c>
      <c r="P975" s="15">
        <f>IFERROR(tblSprzedaz[[#This Row],[Marża kwotowa]]/tblSprzedaz[[#This Row],[Przychód netto]],0)</f>
        <v>0.23696078431372547</v>
      </c>
      <c r="Q975" s="16">
        <f>YEAR(tblSprzedaz[[#This Row],[Data]])</f>
        <v>2025</v>
      </c>
      <c r="R975" s="16">
        <f>MONTH(tblSprzedaz[[#This Row],[Data]])</f>
        <v>9</v>
      </c>
      <c r="S975" s="9" t="str">
        <f>YEAR(tblSprzedaz[[#This Row],[Data]])&amp;"-"&amp;RIGHT("0"&amp;MONTH(tblSprzedaz[[#This Row],[Data]]),2)</f>
        <v>2025-09</v>
      </c>
    </row>
    <row r="976" spans="1:19" x14ac:dyDescent="0.25">
      <c r="A976" s="7" t="s">
        <v>2119</v>
      </c>
      <c r="B976" s="10">
        <v>45920</v>
      </c>
      <c r="C976" s="7" t="s">
        <v>2120</v>
      </c>
      <c r="D976" s="8" t="s">
        <v>135</v>
      </c>
      <c r="E976" s="8" t="s">
        <v>56</v>
      </c>
      <c r="F976" s="8" t="s">
        <v>31</v>
      </c>
      <c r="G976" s="8" t="s">
        <v>32</v>
      </c>
      <c r="H976" s="8" t="s">
        <v>43</v>
      </c>
      <c r="I976" s="11">
        <v>14</v>
      </c>
      <c r="J976" s="12">
        <v>279.3</v>
      </c>
      <c r="K976" s="13">
        <v>0.1</v>
      </c>
      <c r="L976" s="12">
        <v>178.28</v>
      </c>
      <c r="M976" s="14">
        <f>ROUND(tblSprzedaz[[#This Row],[Ilość]]*tblSprzedaz[[#This Row],[Cena netto jednostkowa]]*(1-tblSprzedaz[[#This Row],[Rabat %]]),2)</f>
        <v>3519.18</v>
      </c>
      <c r="N976" s="14">
        <f>ROUND(tblSprzedaz[[#This Row],[Ilość]]*tblSprzedaz[[#This Row],[Koszt jednostkowy netto]],2)</f>
        <v>2495.92</v>
      </c>
      <c r="O976" s="14">
        <f>tblSprzedaz[[#This Row],[Przychód netto]]-tblSprzedaz[[#This Row],[Koszt całkowity netto]]</f>
        <v>1023.2599999999998</v>
      </c>
      <c r="P976" s="15">
        <f>IFERROR(tblSprzedaz[[#This Row],[Marża kwotowa]]/tblSprzedaz[[#This Row],[Przychód netto]],0)</f>
        <v>0.2907665990372757</v>
      </c>
      <c r="Q976" s="16">
        <f>YEAR(tblSprzedaz[[#This Row],[Data]])</f>
        <v>2025</v>
      </c>
      <c r="R976" s="16">
        <f>MONTH(tblSprzedaz[[#This Row],[Data]])</f>
        <v>9</v>
      </c>
      <c r="S976" s="9" t="str">
        <f>YEAR(tblSprzedaz[[#This Row],[Data]])&amp;"-"&amp;RIGHT("0"&amp;MONTH(tblSprzedaz[[#This Row],[Data]]),2)</f>
        <v>2025-09</v>
      </c>
    </row>
    <row r="977" spans="1:19" x14ac:dyDescent="0.25">
      <c r="A977" s="7" t="s">
        <v>2121</v>
      </c>
      <c r="B977" s="10">
        <v>45921</v>
      </c>
      <c r="C977" s="7" t="s">
        <v>2122</v>
      </c>
      <c r="D977" s="8" t="s">
        <v>88</v>
      </c>
      <c r="E977" s="8" t="s">
        <v>52</v>
      </c>
      <c r="F977" s="8" t="s">
        <v>29</v>
      </c>
      <c r="G977" s="8" t="s">
        <v>32</v>
      </c>
      <c r="H977" s="8" t="s">
        <v>42</v>
      </c>
      <c r="I977" s="11">
        <v>2</v>
      </c>
      <c r="J977" s="12">
        <v>56.78</v>
      </c>
      <c r="K977" s="13">
        <v>0.15</v>
      </c>
      <c r="L977" s="12">
        <v>34.659999999999997</v>
      </c>
      <c r="M977" s="14">
        <f>ROUND(tblSprzedaz[[#This Row],[Ilość]]*tblSprzedaz[[#This Row],[Cena netto jednostkowa]]*(1-tblSprzedaz[[#This Row],[Rabat %]]),2)</f>
        <v>96.53</v>
      </c>
      <c r="N977" s="14">
        <f>ROUND(tblSprzedaz[[#This Row],[Ilość]]*tblSprzedaz[[#This Row],[Koszt jednostkowy netto]],2)</f>
        <v>69.319999999999993</v>
      </c>
      <c r="O977" s="14">
        <f>tblSprzedaz[[#This Row],[Przychód netto]]-tblSprzedaz[[#This Row],[Koszt całkowity netto]]</f>
        <v>27.210000000000008</v>
      </c>
      <c r="P977" s="15">
        <f>IFERROR(tblSprzedaz[[#This Row],[Marża kwotowa]]/tblSprzedaz[[#This Row],[Przychód netto]],0)</f>
        <v>0.28188128043095417</v>
      </c>
      <c r="Q977" s="16">
        <f>YEAR(tblSprzedaz[[#This Row],[Data]])</f>
        <v>2025</v>
      </c>
      <c r="R977" s="16">
        <f>MONTH(tblSprzedaz[[#This Row],[Data]])</f>
        <v>9</v>
      </c>
      <c r="S977" s="9" t="str">
        <f>YEAR(tblSprzedaz[[#This Row],[Data]])&amp;"-"&amp;RIGHT("0"&amp;MONTH(tblSprzedaz[[#This Row],[Data]]),2)</f>
        <v>2025-09</v>
      </c>
    </row>
    <row r="978" spans="1:19" x14ac:dyDescent="0.25">
      <c r="A978" s="7" t="s">
        <v>2123</v>
      </c>
      <c r="B978" s="10">
        <v>45922</v>
      </c>
      <c r="C978" s="7" t="s">
        <v>2124</v>
      </c>
      <c r="D978" s="8" t="s">
        <v>140</v>
      </c>
      <c r="E978" s="8" t="s">
        <v>61</v>
      </c>
      <c r="F978" s="8" t="s">
        <v>33</v>
      </c>
      <c r="G978" s="8" t="s">
        <v>30</v>
      </c>
      <c r="H978" s="8" t="s">
        <v>41</v>
      </c>
      <c r="I978" s="11">
        <v>11</v>
      </c>
      <c r="J978" s="12">
        <v>533.6</v>
      </c>
      <c r="K978" s="13">
        <v>0.1</v>
      </c>
      <c r="L978" s="12">
        <v>374.87</v>
      </c>
      <c r="M978" s="14">
        <f>ROUND(tblSprzedaz[[#This Row],[Ilość]]*tblSprzedaz[[#This Row],[Cena netto jednostkowa]]*(1-tblSprzedaz[[#This Row],[Rabat %]]),2)</f>
        <v>5282.64</v>
      </c>
      <c r="N978" s="14">
        <f>ROUND(tblSprzedaz[[#This Row],[Ilość]]*tblSprzedaz[[#This Row],[Koszt jednostkowy netto]],2)</f>
        <v>4123.57</v>
      </c>
      <c r="O978" s="14">
        <f>tblSprzedaz[[#This Row],[Przychód netto]]-tblSprzedaz[[#This Row],[Koszt całkowity netto]]</f>
        <v>1159.0700000000006</v>
      </c>
      <c r="P978" s="15">
        <f>IFERROR(tblSprzedaz[[#This Row],[Marża kwotowa]]/tblSprzedaz[[#This Row],[Przychód netto]],0)</f>
        <v>0.21941112776944871</v>
      </c>
      <c r="Q978" s="16">
        <f>YEAR(tblSprzedaz[[#This Row],[Data]])</f>
        <v>2025</v>
      </c>
      <c r="R978" s="16">
        <f>MONTH(tblSprzedaz[[#This Row],[Data]])</f>
        <v>9</v>
      </c>
      <c r="S978" s="9" t="str">
        <f>YEAR(tblSprzedaz[[#This Row],[Data]])&amp;"-"&amp;RIGHT("0"&amp;MONTH(tblSprzedaz[[#This Row],[Data]]),2)</f>
        <v>2025-09</v>
      </c>
    </row>
    <row r="979" spans="1:19" x14ac:dyDescent="0.25">
      <c r="A979" s="7" t="s">
        <v>2125</v>
      </c>
      <c r="B979" s="10">
        <v>45922</v>
      </c>
      <c r="C979" s="7" t="s">
        <v>2126</v>
      </c>
      <c r="D979" s="8" t="s">
        <v>119</v>
      </c>
      <c r="E979" s="8" t="s">
        <v>56</v>
      </c>
      <c r="F979" s="8" t="s">
        <v>31</v>
      </c>
      <c r="G979" s="8" t="s">
        <v>34</v>
      </c>
      <c r="H979" s="8" t="s">
        <v>44</v>
      </c>
      <c r="I979" s="11">
        <v>10</v>
      </c>
      <c r="J979" s="12">
        <v>279.3</v>
      </c>
      <c r="K979" s="13">
        <v>0.05</v>
      </c>
      <c r="L979" s="12">
        <v>180.63</v>
      </c>
      <c r="M979" s="14">
        <f>ROUND(tblSprzedaz[[#This Row],[Ilość]]*tblSprzedaz[[#This Row],[Cena netto jednostkowa]]*(1-tblSprzedaz[[#This Row],[Rabat %]]),2)</f>
        <v>2653.35</v>
      </c>
      <c r="N979" s="14">
        <f>ROUND(tblSprzedaz[[#This Row],[Ilość]]*tblSprzedaz[[#This Row],[Koszt jednostkowy netto]],2)</f>
        <v>1806.3</v>
      </c>
      <c r="O979" s="14">
        <f>tblSprzedaz[[#This Row],[Przychód netto]]-tblSprzedaz[[#This Row],[Koszt całkowity netto]]</f>
        <v>847.05</v>
      </c>
      <c r="P979" s="15">
        <f>IFERROR(tblSprzedaz[[#This Row],[Marża kwotowa]]/tblSprzedaz[[#This Row],[Przychód netto]],0)</f>
        <v>0.31923794448527332</v>
      </c>
      <c r="Q979" s="16">
        <f>YEAR(tblSprzedaz[[#This Row],[Data]])</f>
        <v>2025</v>
      </c>
      <c r="R979" s="16">
        <f>MONTH(tblSprzedaz[[#This Row],[Data]])</f>
        <v>9</v>
      </c>
      <c r="S979" s="9" t="str">
        <f>YEAR(tblSprzedaz[[#This Row],[Data]])&amp;"-"&amp;RIGHT("0"&amp;MONTH(tblSprzedaz[[#This Row],[Data]]),2)</f>
        <v>2025-09</v>
      </c>
    </row>
    <row r="980" spans="1:19" x14ac:dyDescent="0.25">
      <c r="A980" s="7" t="s">
        <v>2127</v>
      </c>
      <c r="B980" s="10">
        <v>45922</v>
      </c>
      <c r="C980" s="7" t="s">
        <v>2128</v>
      </c>
      <c r="D980" s="8" t="s">
        <v>92</v>
      </c>
      <c r="E980" s="8" t="s">
        <v>73</v>
      </c>
      <c r="F980" s="8" t="s">
        <v>37</v>
      </c>
      <c r="G980" s="8" t="s">
        <v>28</v>
      </c>
      <c r="H980" s="8" t="s">
        <v>38</v>
      </c>
      <c r="I980" s="11">
        <v>9</v>
      </c>
      <c r="J980" s="12">
        <v>110.2</v>
      </c>
      <c r="K980" s="13">
        <v>0</v>
      </c>
      <c r="L980" s="12">
        <v>88.79</v>
      </c>
      <c r="M980" s="14">
        <f>ROUND(tblSprzedaz[[#This Row],[Ilość]]*tblSprzedaz[[#This Row],[Cena netto jednostkowa]]*(1-tblSprzedaz[[#This Row],[Rabat %]]),2)</f>
        <v>991.8</v>
      </c>
      <c r="N980" s="14">
        <f>ROUND(tblSprzedaz[[#This Row],[Ilość]]*tblSprzedaz[[#This Row],[Koszt jednostkowy netto]],2)</f>
        <v>799.11</v>
      </c>
      <c r="O980" s="14">
        <f>tblSprzedaz[[#This Row],[Przychód netto]]-tblSprzedaz[[#This Row],[Koszt całkowity netto]]</f>
        <v>192.68999999999994</v>
      </c>
      <c r="P980" s="15">
        <f>IFERROR(tblSprzedaz[[#This Row],[Marża kwotowa]]/tblSprzedaz[[#This Row],[Przychód netto]],0)</f>
        <v>0.19428312159709613</v>
      </c>
      <c r="Q980" s="16">
        <f>YEAR(tblSprzedaz[[#This Row],[Data]])</f>
        <v>2025</v>
      </c>
      <c r="R980" s="16">
        <f>MONTH(tblSprzedaz[[#This Row],[Data]])</f>
        <v>9</v>
      </c>
      <c r="S980" s="9" t="str">
        <f>YEAR(tblSprzedaz[[#This Row],[Data]])&amp;"-"&amp;RIGHT("0"&amp;MONTH(tblSprzedaz[[#This Row],[Data]]),2)</f>
        <v>2025-09</v>
      </c>
    </row>
    <row r="981" spans="1:19" x14ac:dyDescent="0.25">
      <c r="A981" s="7" t="s">
        <v>2129</v>
      </c>
      <c r="B981" s="10">
        <v>45923</v>
      </c>
      <c r="C981" s="7" t="s">
        <v>2130</v>
      </c>
      <c r="D981" s="8" t="s">
        <v>141</v>
      </c>
      <c r="E981" s="8" t="s">
        <v>64</v>
      </c>
      <c r="F981" s="8" t="s">
        <v>33</v>
      </c>
      <c r="G981" s="8" t="s">
        <v>30</v>
      </c>
      <c r="H981" s="8" t="s">
        <v>41</v>
      </c>
      <c r="I981" s="11">
        <v>1</v>
      </c>
      <c r="J981" s="12">
        <v>768.2</v>
      </c>
      <c r="K981" s="13">
        <v>0.05</v>
      </c>
      <c r="L981" s="12">
        <v>530.82000000000005</v>
      </c>
      <c r="M981" s="14">
        <f>ROUND(tblSprzedaz[[#This Row],[Ilość]]*tblSprzedaz[[#This Row],[Cena netto jednostkowa]]*(1-tblSprzedaz[[#This Row],[Rabat %]]),2)</f>
        <v>729.79</v>
      </c>
      <c r="N981" s="14">
        <f>ROUND(tblSprzedaz[[#This Row],[Ilość]]*tblSprzedaz[[#This Row],[Koszt jednostkowy netto]],2)</f>
        <v>530.82000000000005</v>
      </c>
      <c r="O981" s="14">
        <f>tblSprzedaz[[#This Row],[Przychód netto]]-tblSprzedaz[[#This Row],[Koszt całkowity netto]]</f>
        <v>198.96999999999991</v>
      </c>
      <c r="P981" s="15">
        <f>IFERROR(tblSprzedaz[[#This Row],[Marża kwotowa]]/tblSprzedaz[[#This Row],[Przychód netto]],0)</f>
        <v>0.27264007454199141</v>
      </c>
      <c r="Q981" s="16">
        <f>YEAR(tblSprzedaz[[#This Row],[Data]])</f>
        <v>2025</v>
      </c>
      <c r="R981" s="16">
        <f>MONTH(tblSprzedaz[[#This Row],[Data]])</f>
        <v>9</v>
      </c>
      <c r="S981" s="9" t="str">
        <f>YEAR(tblSprzedaz[[#This Row],[Data]])&amp;"-"&amp;RIGHT("0"&amp;MONTH(tblSprzedaz[[#This Row],[Data]]),2)</f>
        <v>2025-09</v>
      </c>
    </row>
    <row r="982" spans="1:19" x14ac:dyDescent="0.25">
      <c r="A982" s="7" t="s">
        <v>2131</v>
      </c>
      <c r="B982" s="10">
        <v>45923</v>
      </c>
      <c r="C982" s="7" t="s">
        <v>2132</v>
      </c>
      <c r="D982" s="8" t="s">
        <v>86</v>
      </c>
      <c r="E982" s="8" t="s">
        <v>54</v>
      </c>
      <c r="F982" s="8" t="s">
        <v>31</v>
      </c>
      <c r="G982" s="8" t="s">
        <v>30</v>
      </c>
      <c r="H982" s="8" t="s">
        <v>40</v>
      </c>
      <c r="I982" s="11">
        <v>28</v>
      </c>
      <c r="J982" s="12">
        <v>207.9</v>
      </c>
      <c r="K982" s="13">
        <v>0</v>
      </c>
      <c r="L982" s="12">
        <v>129.86000000000001</v>
      </c>
      <c r="M982" s="14">
        <f>ROUND(tblSprzedaz[[#This Row],[Ilość]]*tblSprzedaz[[#This Row],[Cena netto jednostkowa]]*(1-tblSprzedaz[[#This Row],[Rabat %]]),2)</f>
        <v>5821.2</v>
      </c>
      <c r="N982" s="14">
        <f>ROUND(tblSprzedaz[[#This Row],[Ilość]]*tblSprzedaz[[#This Row],[Koszt jednostkowy netto]],2)</f>
        <v>3636.08</v>
      </c>
      <c r="O982" s="14">
        <f>tblSprzedaz[[#This Row],[Przychód netto]]-tblSprzedaz[[#This Row],[Koszt całkowity netto]]</f>
        <v>2185.12</v>
      </c>
      <c r="P982" s="15">
        <f>IFERROR(tblSprzedaz[[#This Row],[Marża kwotowa]]/tblSprzedaz[[#This Row],[Przychód netto]],0)</f>
        <v>0.37537277537277536</v>
      </c>
      <c r="Q982" s="16">
        <f>YEAR(tblSprzedaz[[#This Row],[Data]])</f>
        <v>2025</v>
      </c>
      <c r="R982" s="16">
        <f>MONTH(tblSprzedaz[[#This Row],[Data]])</f>
        <v>9</v>
      </c>
      <c r="S982" s="9" t="str">
        <f>YEAR(tblSprzedaz[[#This Row],[Data]])&amp;"-"&amp;RIGHT("0"&amp;MONTH(tblSprzedaz[[#This Row],[Data]]),2)</f>
        <v>2025-09</v>
      </c>
    </row>
    <row r="983" spans="1:19" x14ac:dyDescent="0.25">
      <c r="A983" s="7" t="s">
        <v>2133</v>
      </c>
      <c r="B983" s="10">
        <v>45923</v>
      </c>
      <c r="C983" s="7" t="s">
        <v>2134</v>
      </c>
      <c r="D983" s="8" t="s">
        <v>128</v>
      </c>
      <c r="E983" s="8" t="s">
        <v>57</v>
      </c>
      <c r="F983" s="8" t="s">
        <v>31</v>
      </c>
      <c r="G983" s="8" t="s">
        <v>36</v>
      </c>
      <c r="H983" s="8" t="s">
        <v>46</v>
      </c>
      <c r="I983" s="11">
        <v>5</v>
      </c>
      <c r="J983" s="12">
        <v>315</v>
      </c>
      <c r="K983" s="13">
        <v>0.1</v>
      </c>
      <c r="L983" s="12">
        <v>188.76</v>
      </c>
      <c r="M983" s="14">
        <f>ROUND(tblSprzedaz[[#This Row],[Ilość]]*tblSprzedaz[[#This Row],[Cena netto jednostkowa]]*(1-tblSprzedaz[[#This Row],[Rabat %]]),2)</f>
        <v>1417.5</v>
      </c>
      <c r="N983" s="14">
        <f>ROUND(tblSprzedaz[[#This Row],[Ilość]]*tblSprzedaz[[#This Row],[Koszt jednostkowy netto]],2)</f>
        <v>943.8</v>
      </c>
      <c r="O983" s="14">
        <f>tblSprzedaz[[#This Row],[Przychód netto]]-tblSprzedaz[[#This Row],[Koszt całkowity netto]]</f>
        <v>473.70000000000005</v>
      </c>
      <c r="P983" s="15">
        <f>IFERROR(tblSprzedaz[[#This Row],[Marża kwotowa]]/tblSprzedaz[[#This Row],[Przychód netto]],0)</f>
        <v>0.33417989417989419</v>
      </c>
      <c r="Q983" s="16">
        <f>YEAR(tblSprzedaz[[#This Row],[Data]])</f>
        <v>2025</v>
      </c>
      <c r="R983" s="16">
        <f>MONTH(tblSprzedaz[[#This Row],[Data]])</f>
        <v>9</v>
      </c>
      <c r="S983" s="9" t="str">
        <f>YEAR(tblSprzedaz[[#This Row],[Data]])&amp;"-"&amp;RIGHT("0"&amp;MONTH(tblSprzedaz[[#This Row],[Data]]),2)</f>
        <v>2025-09</v>
      </c>
    </row>
    <row r="984" spans="1:19" x14ac:dyDescent="0.25">
      <c r="A984" s="7" t="s">
        <v>2135</v>
      </c>
      <c r="B984" s="10">
        <v>45924</v>
      </c>
      <c r="C984" s="7" t="s">
        <v>2136</v>
      </c>
      <c r="D984" s="8" t="s">
        <v>116</v>
      </c>
      <c r="E984" s="8" t="s">
        <v>69</v>
      </c>
      <c r="F984" s="8" t="s">
        <v>35</v>
      </c>
      <c r="G984" s="8" t="s">
        <v>34</v>
      </c>
      <c r="H984" s="8" t="s">
        <v>44</v>
      </c>
      <c r="I984" s="11">
        <v>3</v>
      </c>
      <c r="J984" s="12">
        <v>102</v>
      </c>
      <c r="K984" s="13">
        <v>0.1</v>
      </c>
      <c r="L984" s="12">
        <v>74.7</v>
      </c>
      <c r="M984" s="14">
        <f>ROUND(tblSprzedaz[[#This Row],[Ilość]]*tblSprzedaz[[#This Row],[Cena netto jednostkowa]]*(1-tblSprzedaz[[#This Row],[Rabat %]]),2)</f>
        <v>275.39999999999998</v>
      </c>
      <c r="N984" s="14">
        <f>ROUND(tblSprzedaz[[#This Row],[Ilość]]*tblSprzedaz[[#This Row],[Koszt jednostkowy netto]],2)</f>
        <v>224.1</v>
      </c>
      <c r="O984" s="14">
        <f>tblSprzedaz[[#This Row],[Przychód netto]]-tblSprzedaz[[#This Row],[Koszt całkowity netto]]</f>
        <v>51.299999999999983</v>
      </c>
      <c r="P984" s="15">
        <f>IFERROR(tblSprzedaz[[#This Row],[Marża kwotowa]]/tblSprzedaz[[#This Row],[Przychód netto]],0)</f>
        <v>0.18627450980392152</v>
      </c>
      <c r="Q984" s="16">
        <f>YEAR(tblSprzedaz[[#This Row],[Data]])</f>
        <v>2025</v>
      </c>
      <c r="R984" s="16">
        <f>MONTH(tblSprzedaz[[#This Row],[Data]])</f>
        <v>9</v>
      </c>
      <c r="S984" s="9" t="str">
        <f>YEAR(tblSprzedaz[[#This Row],[Data]])&amp;"-"&amp;RIGHT("0"&amp;MONTH(tblSprzedaz[[#This Row],[Data]]),2)</f>
        <v>2025-09</v>
      </c>
    </row>
    <row r="985" spans="1:19" x14ac:dyDescent="0.25">
      <c r="A985" s="7" t="s">
        <v>2137</v>
      </c>
      <c r="B985" s="10">
        <v>45924</v>
      </c>
      <c r="C985" s="7" t="s">
        <v>2138</v>
      </c>
      <c r="D985" s="8" t="s">
        <v>111</v>
      </c>
      <c r="E985" s="8" t="s">
        <v>60</v>
      </c>
      <c r="F985" s="8" t="s">
        <v>33</v>
      </c>
      <c r="G985" s="8" t="s">
        <v>28</v>
      </c>
      <c r="H985" s="8" t="s">
        <v>38</v>
      </c>
      <c r="I985" s="11">
        <v>10</v>
      </c>
      <c r="J985" s="12">
        <v>455.4</v>
      </c>
      <c r="K985" s="13">
        <v>0</v>
      </c>
      <c r="L985" s="12">
        <v>308.56</v>
      </c>
      <c r="M985" s="14">
        <f>ROUND(tblSprzedaz[[#This Row],[Ilość]]*tblSprzedaz[[#This Row],[Cena netto jednostkowa]]*(1-tblSprzedaz[[#This Row],[Rabat %]]),2)</f>
        <v>4554</v>
      </c>
      <c r="N985" s="14">
        <f>ROUND(tblSprzedaz[[#This Row],[Ilość]]*tblSprzedaz[[#This Row],[Koszt jednostkowy netto]],2)</f>
        <v>3085.6</v>
      </c>
      <c r="O985" s="14">
        <f>tblSprzedaz[[#This Row],[Przychód netto]]-tblSprzedaz[[#This Row],[Koszt całkowity netto]]</f>
        <v>1468.4</v>
      </c>
      <c r="P985" s="15">
        <f>IFERROR(tblSprzedaz[[#This Row],[Marża kwotowa]]/tblSprzedaz[[#This Row],[Przychód netto]],0)</f>
        <v>0.32244180939833117</v>
      </c>
      <c r="Q985" s="16">
        <f>YEAR(tblSprzedaz[[#This Row],[Data]])</f>
        <v>2025</v>
      </c>
      <c r="R985" s="16">
        <f>MONTH(tblSprzedaz[[#This Row],[Data]])</f>
        <v>9</v>
      </c>
      <c r="S985" s="9" t="str">
        <f>YEAR(tblSprzedaz[[#This Row],[Data]])&amp;"-"&amp;RIGHT("0"&amp;MONTH(tblSprzedaz[[#This Row],[Data]]),2)</f>
        <v>2025-09</v>
      </c>
    </row>
    <row r="986" spans="1:19" x14ac:dyDescent="0.25">
      <c r="A986" s="7" t="s">
        <v>2139</v>
      </c>
      <c r="B986" s="10">
        <v>45924</v>
      </c>
      <c r="C986" s="7" t="s">
        <v>2140</v>
      </c>
      <c r="D986" s="8" t="s">
        <v>91</v>
      </c>
      <c r="E986" s="8" t="s">
        <v>71</v>
      </c>
      <c r="F986" s="8" t="s">
        <v>35</v>
      </c>
      <c r="G986" s="8" t="s">
        <v>30</v>
      </c>
      <c r="H986" s="8" t="s">
        <v>41</v>
      </c>
      <c r="I986" s="11">
        <v>24</v>
      </c>
      <c r="J986" s="12">
        <v>55.76</v>
      </c>
      <c r="K986" s="13">
        <v>0.05</v>
      </c>
      <c r="L986" s="12">
        <v>42.38</v>
      </c>
      <c r="M986" s="14">
        <f>ROUND(tblSprzedaz[[#This Row],[Ilość]]*tblSprzedaz[[#This Row],[Cena netto jednostkowa]]*(1-tblSprzedaz[[#This Row],[Rabat %]]),2)</f>
        <v>1271.33</v>
      </c>
      <c r="N986" s="14">
        <f>ROUND(tblSprzedaz[[#This Row],[Ilość]]*tblSprzedaz[[#This Row],[Koszt jednostkowy netto]],2)</f>
        <v>1017.12</v>
      </c>
      <c r="O986" s="14">
        <f>tblSprzedaz[[#This Row],[Przychód netto]]-tblSprzedaz[[#This Row],[Koszt całkowity netto]]</f>
        <v>254.20999999999992</v>
      </c>
      <c r="P986" s="15">
        <f>IFERROR(tblSprzedaz[[#This Row],[Marża kwotowa]]/tblSprzedaz[[#This Row],[Przychód netto]],0)</f>
        <v>0.19995595164119462</v>
      </c>
      <c r="Q986" s="16">
        <f>YEAR(tblSprzedaz[[#This Row],[Data]])</f>
        <v>2025</v>
      </c>
      <c r="R986" s="16">
        <f>MONTH(tblSprzedaz[[#This Row],[Data]])</f>
        <v>9</v>
      </c>
      <c r="S986" s="9" t="str">
        <f>YEAR(tblSprzedaz[[#This Row],[Data]])&amp;"-"&amp;RIGHT("0"&amp;MONTH(tblSprzedaz[[#This Row],[Data]]),2)</f>
        <v>2025-09</v>
      </c>
    </row>
    <row r="987" spans="1:19" x14ac:dyDescent="0.25">
      <c r="A987" s="7" t="s">
        <v>2141</v>
      </c>
      <c r="B987" s="10">
        <v>45924</v>
      </c>
      <c r="C987" s="7" t="s">
        <v>2142</v>
      </c>
      <c r="D987" s="8" t="s">
        <v>139</v>
      </c>
      <c r="E987" s="8" t="s">
        <v>54</v>
      </c>
      <c r="F987" s="8" t="s">
        <v>31</v>
      </c>
      <c r="G987" s="8" t="s">
        <v>36</v>
      </c>
      <c r="H987" s="8" t="s">
        <v>46</v>
      </c>
      <c r="I987" s="11">
        <v>17</v>
      </c>
      <c r="J987" s="12">
        <v>207.9</v>
      </c>
      <c r="K987" s="13">
        <v>0</v>
      </c>
      <c r="L987" s="12">
        <v>126.4</v>
      </c>
      <c r="M987" s="14">
        <f>ROUND(tblSprzedaz[[#This Row],[Ilość]]*tblSprzedaz[[#This Row],[Cena netto jednostkowa]]*(1-tblSprzedaz[[#This Row],[Rabat %]]),2)</f>
        <v>3534.3</v>
      </c>
      <c r="N987" s="14">
        <f>ROUND(tblSprzedaz[[#This Row],[Ilość]]*tblSprzedaz[[#This Row],[Koszt jednostkowy netto]],2)</f>
        <v>2148.8000000000002</v>
      </c>
      <c r="O987" s="14">
        <f>tblSprzedaz[[#This Row],[Przychód netto]]-tblSprzedaz[[#This Row],[Koszt całkowity netto]]</f>
        <v>1385.5</v>
      </c>
      <c r="P987" s="15">
        <f>IFERROR(tblSprzedaz[[#This Row],[Marża kwotowa]]/tblSprzedaz[[#This Row],[Przychód netto]],0)</f>
        <v>0.39201539201539198</v>
      </c>
      <c r="Q987" s="16">
        <f>YEAR(tblSprzedaz[[#This Row],[Data]])</f>
        <v>2025</v>
      </c>
      <c r="R987" s="16">
        <f>MONTH(tblSprzedaz[[#This Row],[Data]])</f>
        <v>9</v>
      </c>
      <c r="S987" s="9" t="str">
        <f>YEAR(tblSprzedaz[[#This Row],[Data]])&amp;"-"&amp;RIGHT("0"&amp;MONTH(tblSprzedaz[[#This Row],[Data]]),2)</f>
        <v>2025-09</v>
      </c>
    </row>
    <row r="988" spans="1:19" x14ac:dyDescent="0.25">
      <c r="A988" s="7" t="s">
        <v>2143</v>
      </c>
      <c r="B988" s="10">
        <v>45925</v>
      </c>
      <c r="C988" s="7" t="s">
        <v>2144</v>
      </c>
      <c r="D988" s="8" t="s">
        <v>100</v>
      </c>
      <c r="E988" s="8" t="s">
        <v>56</v>
      </c>
      <c r="F988" s="8" t="s">
        <v>31</v>
      </c>
      <c r="G988" s="8" t="s">
        <v>36</v>
      </c>
      <c r="H988" s="8" t="s">
        <v>47</v>
      </c>
      <c r="I988" s="11">
        <v>18</v>
      </c>
      <c r="J988" s="12">
        <v>279.3</v>
      </c>
      <c r="K988" s="13">
        <v>0.15</v>
      </c>
      <c r="L988" s="12">
        <v>179.96</v>
      </c>
      <c r="M988" s="14">
        <f>ROUND(tblSprzedaz[[#This Row],[Ilość]]*tblSprzedaz[[#This Row],[Cena netto jednostkowa]]*(1-tblSprzedaz[[#This Row],[Rabat %]]),2)</f>
        <v>4273.29</v>
      </c>
      <c r="N988" s="14">
        <f>ROUND(tblSprzedaz[[#This Row],[Ilość]]*tblSprzedaz[[#This Row],[Koszt jednostkowy netto]],2)</f>
        <v>3239.28</v>
      </c>
      <c r="O988" s="14">
        <f>tblSprzedaz[[#This Row],[Przychód netto]]-tblSprzedaz[[#This Row],[Koszt całkowity netto]]</f>
        <v>1034.0099999999998</v>
      </c>
      <c r="P988" s="15">
        <f>IFERROR(tblSprzedaz[[#This Row],[Marża kwotowa]]/tblSprzedaz[[#This Row],[Przychód netto]],0)</f>
        <v>0.24197047239948605</v>
      </c>
      <c r="Q988" s="16">
        <f>YEAR(tblSprzedaz[[#This Row],[Data]])</f>
        <v>2025</v>
      </c>
      <c r="R988" s="16">
        <f>MONTH(tblSprzedaz[[#This Row],[Data]])</f>
        <v>9</v>
      </c>
      <c r="S988" s="9" t="str">
        <f>YEAR(tblSprzedaz[[#This Row],[Data]])&amp;"-"&amp;RIGHT("0"&amp;MONTH(tblSprzedaz[[#This Row],[Data]]),2)</f>
        <v>2025-09</v>
      </c>
    </row>
    <row r="989" spans="1:19" x14ac:dyDescent="0.25">
      <c r="A989" s="7" t="s">
        <v>2145</v>
      </c>
      <c r="B989" s="10">
        <v>45925</v>
      </c>
      <c r="C989" s="7" t="s">
        <v>2146</v>
      </c>
      <c r="D989" s="8" t="s">
        <v>119</v>
      </c>
      <c r="E989" s="8" t="s">
        <v>56</v>
      </c>
      <c r="F989" s="8" t="s">
        <v>31</v>
      </c>
      <c r="G989" s="8" t="s">
        <v>34</v>
      </c>
      <c r="H989" s="8" t="s">
        <v>45</v>
      </c>
      <c r="I989" s="11">
        <v>18</v>
      </c>
      <c r="J989" s="12">
        <v>279.3</v>
      </c>
      <c r="K989" s="13">
        <v>0.15</v>
      </c>
      <c r="L989" s="12">
        <v>169.98</v>
      </c>
      <c r="M989" s="14">
        <f>ROUND(tblSprzedaz[[#This Row],[Ilość]]*tblSprzedaz[[#This Row],[Cena netto jednostkowa]]*(1-tblSprzedaz[[#This Row],[Rabat %]]),2)</f>
        <v>4273.29</v>
      </c>
      <c r="N989" s="14">
        <f>ROUND(tblSprzedaz[[#This Row],[Ilość]]*tblSprzedaz[[#This Row],[Koszt jednostkowy netto]],2)</f>
        <v>3059.64</v>
      </c>
      <c r="O989" s="14">
        <f>tblSprzedaz[[#This Row],[Przychód netto]]-tblSprzedaz[[#This Row],[Koszt całkowity netto]]</f>
        <v>1213.6500000000001</v>
      </c>
      <c r="P989" s="15">
        <f>IFERROR(tblSprzedaz[[#This Row],[Marża kwotowa]]/tblSprzedaz[[#This Row],[Przychód netto]],0)</f>
        <v>0.28400834017817655</v>
      </c>
      <c r="Q989" s="16">
        <f>YEAR(tblSprzedaz[[#This Row],[Data]])</f>
        <v>2025</v>
      </c>
      <c r="R989" s="16">
        <f>MONTH(tblSprzedaz[[#This Row],[Data]])</f>
        <v>9</v>
      </c>
      <c r="S989" s="9" t="str">
        <f>YEAR(tblSprzedaz[[#This Row],[Data]])&amp;"-"&amp;RIGHT("0"&amp;MONTH(tblSprzedaz[[#This Row],[Data]]),2)</f>
        <v>2025-09</v>
      </c>
    </row>
    <row r="990" spans="1:19" x14ac:dyDescent="0.25">
      <c r="A990" s="7" t="s">
        <v>2147</v>
      </c>
      <c r="B990" s="10">
        <v>45925</v>
      </c>
      <c r="C990" s="7" t="s">
        <v>2148</v>
      </c>
      <c r="D990" s="8" t="s">
        <v>78</v>
      </c>
      <c r="E990" s="8" t="s">
        <v>72</v>
      </c>
      <c r="F990" s="8" t="s">
        <v>37</v>
      </c>
      <c r="G990" s="8" t="s">
        <v>32</v>
      </c>
      <c r="H990" s="8" t="s">
        <v>43</v>
      </c>
      <c r="I990" s="11">
        <v>6</v>
      </c>
      <c r="J990" s="12">
        <v>94.05</v>
      </c>
      <c r="K990" s="13">
        <v>0</v>
      </c>
      <c r="L990" s="12">
        <v>73.38</v>
      </c>
      <c r="M990" s="14">
        <f>ROUND(tblSprzedaz[[#This Row],[Ilość]]*tblSprzedaz[[#This Row],[Cena netto jednostkowa]]*(1-tblSprzedaz[[#This Row],[Rabat %]]),2)</f>
        <v>564.29999999999995</v>
      </c>
      <c r="N990" s="14">
        <f>ROUND(tblSprzedaz[[#This Row],[Ilość]]*tblSprzedaz[[#This Row],[Koszt jednostkowy netto]],2)</f>
        <v>440.28</v>
      </c>
      <c r="O990" s="14">
        <f>tblSprzedaz[[#This Row],[Przychód netto]]-tblSprzedaz[[#This Row],[Koszt całkowity netto]]</f>
        <v>124.01999999999998</v>
      </c>
      <c r="P990" s="15">
        <f>IFERROR(tblSprzedaz[[#This Row],[Marża kwotowa]]/tblSprzedaz[[#This Row],[Przychód netto]],0)</f>
        <v>0.2197767145135566</v>
      </c>
      <c r="Q990" s="16">
        <f>YEAR(tblSprzedaz[[#This Row],[Data]])</f>
        <v>2025</v>
      </c>
      <c r="R990" s="16">
        <f>MONTH(tblSprzedaz[[#This Row],[Data]])</f>
        <v>9</v>
      </c>
      <c r="S990" s="9" t="str">
        <f>YEAR(tblSprzedaz[[#This Row],[Data]])&amp;"-"&amp;RIGHT("0"&amp;MONTH(tblSprzedaz[[#This Row],[Data]]),2)</f>
        <v>2025-09</v>
      </c>
    </row>
    <row r="991" spans="1:19" x14ac:dyDescent="0.25">
      <c r="A991" s="7" t="s">
        <v>2149</v>
      </c>
      <c r="B991" s="10">
        <v>45925</v>
      </c>
      <c r="C991" s="7" t="s">
        <v>2150</v>
      </c>
      <c r="D991" s="8" t="s">
        <v>134</v>
      </c>
      <c r="E991" s="8" t="s">
        <v>67</v>
      </c>
      <c r="F991" s="8" t="s">
        <v>35</v>
      </c>
      <c r="G991" s="8" t="s">
        <v>32</v>
      </c>
      <c r="H991" s="8" t="s">
        <v>42</v>
      </c>
      <c r="I991" s="11">
        <v>27</v>
      </c>
      <c r="J991" s="12">
        <v>78.88</v>
      </c>
      <c r="K991" s="13">
        <v>0</v>
      </c>
      <c r="L991" s="12">
        <v>55.13</v>
      </c>
      <c r="M991" s="14">
        <f>ROUND(tblSprzedaz[[#This Row],[Ilość]]*tblSprzedaz[[#This Row],[Cena netto jednostkowa]]*(1-tblSprzedaz[[#This Row],[Rabat %]]),2)</f>
        <v>2129.7600000000002</v>
      </c>
      <c r="N991" s="14">
        <f>ROUND(tblSprzedaz[[#This Row],[Ilość]]*tblSprzedaz[[#This Row],[Koszt jednostkowy netto]],2)</f>
        <v>1488.51</v>
      </c>
      <c r="O991" s="14">
        <f>tblSprzedaz[[#This Row],[Przychód netto]]-tblSprzedaz[[#This Row],[Koszt całkowity netto]]</f>
        <v>641.25000000000023</v>
      </c>
      <c r="P991" s="15">
        <f>IFERROR(tblSprzedaz[[#This Row],[Marża kwotowa]]/tblSprzedaz[[#This Row],[Przychód netto]],0)</f>
        <v>0.30109026369168362</v>
      </c>
      <c r="Q991" s="16">
        <f>YEAR(tblSprzedaz[[#This Row],[Data]])</f>
        <v>2025</v>
      </c>
      <c r="R991" s="16">
        <f>MONTH(tblSprzedaz[[#This Row],[Data]])</f>
        <v>9</v>
      </c>
      <c r="S991" s="9" t="str">
        <f>YEAR(tblSprzedaz[[#This Row],[Data]])&amp;"-"&amp;RIGHT("0"&amp;MONTH(tblSprzedaz[[#This Row],[Data]]),2)</f>
        <v>2025-09</v>
      </c>
    </row>
    <row r="992" spans="1:19" x14ac:dyDescent="0.25">
      <c r="A992" s="7" t="s">
        <v>2151</v>
      </c>
      <c r="B992" s="10">
        <v>45925</v>
      </c>
      <c r="C992" s="7" t="s">
        <v>2152</v>
      </c>
      <c r="D992" s="8" t="s">
        <v>141</v>
      </c>
      <c r="E992" s="8" t="s">
        <v>53</v>
      </c>
      <c r="F992" s="8" t="s">
        <v>29</v>
      </c>
      <c r="G992" s="8" t="s">
        <v>30</v>
      </c>
      <c r="H992" s="8" t="s">
        <v>40</v>
      </c>
      <c r="I992" s="11">
        <v>10</v>
      </c>
      <c r="J992" s="12">
        <v>27.88</v>
      </c>
      <c r="K992" s="13">
        <v>0.1</v>
      </c>
      <c r="L992" s="12">
        <v>16.559999999999999</v>
      </c>
      <c r="M992" s="14">
        <f>ROUND(tblSprzedaz[[#This Row],[Ilość]]*tblSprzedaz[[#This Row],[Cena netto jednostkowa]]*(1-tblSprzedaz[[#This Row],[Rabat %]]),2)</f>
        <v>250.92</v>
      </c>
      <c r="N992" s="14">
        <f>ROUND(tblSprzedaz[[#This Row],[Ilość]]*tblSprzedaz[[#This Row],[Koszt jednostkowy netto]],2)</f>
        <v>165.6</v>
      </c>
      <c r="O992" s="14">
        <f>tblSprzedaz[[#This Row],[Przychód netto]]-tblSprzedaz[[#This Row],[Koszt całkowity netto]]</f>
        <v>85.32</v>
      </c>
      <c r="P992" s="15">
        <f>IFERROR(tblSprzedaz[[#This Row],[Marża kwotowa]]/tblSprzedaz[[#This Row],[Przychód netto]],0)</f>
        <v>0.3400286944045911</v>
      </c>
      <c r="Q992" s="16">
        <f>YEAR(tblSprzedaz[[#This Row],[Data]])</f>
        <v>2025</v>
      </c>
      <c r="R992" s="16">
        <f>MONTH(tblSprzedaz[[#This Row],[Data]])</f>
        <v>9</v>
      </c>
      <c r="S992" s="9" t="str">
        <f>YEAR(tblSprzedaz[[#This Row],[Data]])&amp;"-"&amp;RIGHT("0"&amp;MONTH(tblSprzedaz[[#This Row],[Data]]),2)</f>
        <v>2025-09</v>
      </c>
    </row>
    <row r="993" spans="1:19" x14ac:dyDescent="0.25">
      <c r="A993" s="7" t="s">
        <v>2153</v>
      </c>
      <c r="B993" s="10">
        <v>45926</v>
      </c>
      <c r="C993" s="7" t="s">
        <v>2154</v>
      </c>
      <c r="D993" s="8" t="s">
        <v>112</v>
      </c>
      <c r="E993" s="8" t="s">
        <v>67</v>
      </c>
      <c r="F993" s="8" t="s">
        <v>35</v>
      </c>
      <c r="G993" s="8" t="s">
        <v>36</v>
      </c>
      <c r="H993" s="8" t="s">
        <v>46</v>
      </c>
      <c r="I993" s="11">
        <v>20</v>
      </c>
      <c r="J993" s="12">
        <v>78.88</v>
      </c>
      <c r="K993" s="13">
        <v>0.1</v>
      </c>
      <c r="L993" s="12">
        <v>54.3</v>
      </c>
      <c r="M993" s="14">
        <f>ROUND(tblSprzedaz[[#This Row],[Ilość]]*tblSprzedaz[[#This Row],[Cena netto jednostkowa]]*(1-tblSprzedaz[[#This Row],[Rabat %]]),2)</f>
        <v>1419.84</v>
      </c>
      <c r="N993" s="14">
        <f>ROUND(tblSprzedaz[[#This Row],[Ilość]]*tblSprzedaz[[#This Row],[Koszt jednostkowy netto]],2)</f>
        <v>1086</v>
      </c>
      <c r="O993" s="14">
        <f>tblSprzedaz[[#This Row],[Przychód netto]]-tblSprzedaz[[#This Row],[Koszt całkowity netto]]</f>
        <v>333.83999999999992</v>
      </c>
      <c r="P993" s="15">
        <f>IFERROR(tblSprzedaz[[#This Row],[Marża kwotowa]]/tblSprzedaz[[#This Row],[Przychód netto]],0)</f>
        <v>0.23512508451656519</v>
      </c>
      <c r="Q993" s="16">
        <f>YEAR(tblSprzedaz[[#This Row],[Data]])</f>
        <v>2025</v>
      </c>
      <c r="R993" s="16">
        <f>MONTH(tblSprzedaz[[#This Row],[Data]])</f>
        <v>9</v>
      </c>
      <c r="S993" s="9" t="str">
        <f>YEAR(tblSprzedaz[[#This Row],[Data]])&amp;"-"&amp;RIGHT("0"&amp;MONTH(tblSprzedaz[[#This Row],[Data]]),2)</f>
        <v>2025-09</v>
      </c>
    </row>
    <row r="994" spans="1:19" x14ac:dyDescent="0.25">
      <c r="A994" s="7" t="s">
        <v>2155</v>
      </c>
      <c r="B994" s="10">
        <v>45926</v>
      </c>
      <c r="C994" s="7" t="s">
        <v>2156</v>
      </c>
      <c r="D994" s="8" t="s">
        <v>152</v>
      </c>
      <c r="E994" s="8" t="s">
        <v>74</v>
      </c>
      <c r="F994" s="8" t="s">
        <v>37</v>
      </c>
      <c r="G994" s="8" t="s">
        <v>34</v>
      </c>
      <c r="H994" s="8" t="s">
        <v>44</v>
      </c>
      <c r="I994" s="11">
        <v>1</v>
      </c>
      <c r="J994" s="12">
        <v>126.35</v>
      </c>
      <c r="K994" s="13">
        <v>0</v>
      </c>
      <c r="L994" s="12">
        <v>93.84</v>
      </c>
      <c r="M994" s="14">
        <f>ROUND(tblSprzedaz[[#This Row],[Ilość]]*tblSprzedaz[[#This Row],[Cena netto jednostkowa]]*(1-tblSprzedaz[[#This Row],[Rabat %]]),2)</f>
        <v>126.35</v>
      </c>
      <c r="N994" s="14">
        <f>ROUND(tblSprzedaz[[#This Row],[Ilość]]*tblSprzedaz[[#This Row],[Koszt jednostkowy netto]],2)</f>
        <v>93.84</v>
      </c>
      <c r="O994" s="14">
        <f>tblSprzedaz[[#This Row],[Przychód netto]]-tblSprzedaz[[#This Row],[Koszt całkowity netto]]</f>
        <v>32.509999999999991</v>
      </c>
      <c r="P994" s="15">
        <f>IFERROR(tblSprzedaz[[#This Row],[Marża kwotowa]]/tblSprzedaz[[#This Row],[Przychód netto]],0)</f>
        <v>0.25730114760585671</v>
      </c>
      <c r="Q994" s="16">
        <f>YEAR(tblSprzedaz[[#This Row],[Data]])</f>
        <v>2025</v>
      </c>
      <c r="R994" s="16">
        <f>MONTH(tblSprzedaz[[#This Row],[Data]])</f>
        <v>9</v>
      </c>
      <c r="S994" s="9" t="str">
        <f>YEAR(tblSprzedaz[[#This Row],[Data]])&amp;"-"&amp;RIGHT("0"&amp;MONTH(tblSprzedaz[[#This Row],[Data]]),2)</f>
        <v>2025-09</v>
      </c>
    </row>
    <row r="995" spans="1:19" x14ac:dyDescent="0.25">
      <c r="A995" s="7" t="s">
        <v>2157</v>
      </c>
      <c r="B995" s="10">
        <v>45926</v>
      </c>
      <c r="C995" s="7" t="s">
        <v>2158</v>
      </c>
      <c r="D995" s="8" t="s">
        <v>134</v>
      </c>
      <c r="E995" s="8" t="s">
        <v>50</v>
      </c>
      <c r="F995" s="8" t="s">
        <v>29</v>
      </c>
      <c r="G995" s="8" t="s">
        <v>36</v>
      </c>
      <c r="H995" s="8" t="s">
        <v>46</v>
      </c>
      <c r="I995" s="11">
        <v>23</v>
      </c>
      <c r="J995" s="12">
        <v>45.22</v>
      </c>
      <c r="K995" s="13">
        <v>0.05</v>
      </c>
      <c r="L995" s="12">
        <v>26.97</v>
      </c>
      <c r="M995" s="14">
        <f>ROUND(tblSprzedaz[[#This Row],[Ilość]]*tblSprzedaz[[#This Row],[Cena netto jednostkowa]]*(1-tblSprzedaz[[#This Row],[Rabat %]]),2)</f>
        <v>988.06</v>
      </c>
      <c r="N995" s="14">
        <f>ROUND(tblSprzedaz[[#This Row],[Ilość]]*tblSprzedaz[[#This Row],[Koszt jednostkowy netto]],2)</f>
        <v>620.30999999999995</v>
      </c>
      <c r="O995" s="14">
        <f>tblSprzedaz[[#This Row],[Przychód netto]]-tblSprzedaz[[#This Row],[Koszt całkowity netto]]</f>
        <v>367.75</v>
      </c>
      <c r="P995" s="15">
        <f>IFERROR(tblSprzedaz[[#This Row],[Marża kwotowa]]/tblSprzedaz[[#This Row],[Przychód netto]],0)</f>
        <v>0.37219399631601324</v>
      </c>
      <c r="Q995" s="16">
        <f>YEAR(tblSprzedaz[[#This Row],[Data]])</f>
        <v>2025</v>
      </c>
      <c r="R995" s="16">
        <f>MONTH(tblSprzedaz[[#This Row],[Data]])</f>
        <v>9</v>
      </c>
      <c r="S995" s="9" t="str">
        <f>YEAR(tblSprzedaz[[#This Row],[Data]])&amp;"-"&amp;RIGHT("0"&amp;MONTH(tblSprzedaz[[#This Row],[Data]]),2)</f>
        <v>2025-09</v>
      </c>
    </row>
    <row r="996" spans="1:19" x14ac:dyDescent="0.25">
      <c r="A996" s="7" t="s">
        <v>2159</v>
      </c>
      <c r="B996" s="10">
        <v>45926</v>
      </c>
      <c r="C996" s="7" t="s">
        <v>2160</v>
      </c>
      <c r="D996" s="8" t="s">
        <v>143</v>
      </c>
      <c r="E996" s="8" t="s">
        <v>77</v>
      </c>
      <c r="F996" s="8" t="s">
        <v>37</v>
      </c>
      <c r="G996" s="8" t="s">
        <v>36</v>
      </c>
      <c r="H996" s="8" t="s">
        <v>46</v>
      </c>
      <c r="I996" s="11">
        <v>15</v>
      </c>
      <c r="J996" s="12">
        <v>77.900000000000006</v>
      </c>
      <c r="K996" s="13">
        <v>0</v>
      </c>
      <c r="L996" s="12">
        <v>59.64</v>
      </c>
      <c r="M996" s="14">
        <f>ROUND(tblSprzedaz[[#This Row],[Ilość]]*tblSprzedaz[[#This Row],[Cena netto jednostkowa]]*(1-tblSprzedaz[[#This Row],[Rabat %]]),2)</f>
        <v>1168.5</v>
      </c>
      <c r="N996" s="14">
        <f>ROUND(tblSprzedaz[[#This Row],[Ilość]]*tblSprzedaz[[#This Row],[Koszt jednostkowy netto]],2)</f>
        <v>894.6</v>
      </c>
      <c r="O996" s="14">
        <f>tblSprzedaz[[#This Row],[Przychód netto]]-tblSprzedaz[[#This Row],[Koszt całkowity netto]]</f>
        <v>273.89999999999998</v>
      </c>
      <c r="P996" s="15">
        <f>IFERROR(tblSprzedaz[[#This Row],[Marża kwotowa]]/tblSprzedaz[[#This Row],[Przychód netto]],0)</f>
        <v>0.23440308087291398</v>
      </c>
      <c r="Q996" s="16">
        <f>YEAR(tblSprzedaz[[#This Row],[Data]])</f>
        <v>2025</v>
      </c>
      <c r="R996" s="16">
        <f>MONTH(tblSprzedaz[[#This Row],[Data]])</f>
        <v>9</v>
      </c>
      <c r="S996" s="9" t="str">
        <f>YEAR(tblSprzedaz[[#This Row],[Data]])&amp;"-"&amp;RIGHT("0"&amp;MONTH(tblSprzedaz[[#This Row],[Data]]),2)</f>
        <v>2025-09</v>
      </c>
    </row>
    <row r="997" spans="1:19" x14ac:dyDescent="0.25">
      <c r="A997" s="7" t="s">
        <v>2161</v>
      </c>
      <c r="B997" s="10">
        <v>45926</v>
      </c>
      <c r="C997" s="7" t="s">
        <v>2162</v>
      </c>
      <c r="D997" s="8" t="s">
        <v>99</v>
      </c>
      <c r="E997" s="8" t="s">
        <v>64</v>
      </c>
      <c r="F997" s="8" t="s">
        <v>33</v>
      </c>
      <c r="G997" s="8" t="s">
        <v>36</v>
      </c>
      <c r="H997" s="8" t="s">
        <v>47</v>
      </c>
      <c r="I997" s="11">
        <v>13</v>
      </c>
      <c r="J997" s="12">
        <v>768.2</v>
      </c>
      <c r="K997" s="13">
        <v>0.15</v>
      </c>
      <c r="L997" s="12">
        <v>514.29</v>
      </c>
      <c r="M997" s="14">
        <f>ROUND(tblSprzedaz[[#This Row],[Ilość]]*tblSprzedaz[[#This Row],[Cena netto jednostkowa]]*(1-tblSprzedaz[[#This Row],[Rabat %]]),2)</f>
        <v>8488.61</v>
      </c>
      <c r="N997" s="14">
        <f>ROUND(tblSprzedaz[[#This Row],[Ilość]]*tblSprzedaz[[#This Row],[Koszt jednostkowy netto]],2)</f>
        <v>6685.77</v>
      </c>
      <c r="O997" s="14">
        <f>tblSprzedaz[[#This Row],[Przychód netto]]-tblSprzedaz[[#This Row],[Koszt całkowity netto]]</f>
        <v>1802.8400000000001</v>
      </c>
      <c r="P997" s="15">
        <f>IFERROR(tblSprzedaz[[#This Row],[Marża kwotowa]]/tblSprzedaz[[#This Row],[Przychód netto]],0)</f>
        <v>0.2123834173086053</v>
      </c>
      <c r="Q997" s="16">
        <f>YEAR(tblSprzedaz[[#This Row],[Data]])</f>
        <v>2025</v>
      </c>
      <c r="R997" s="16">
        <f>MONTH(tblSprzedaz[[#This Row],[Data]])</f>
        <v>9</v>
      </c>
      <c r="S997" s="9" t="str">
        <f>YEAR(tblSprzedaz[[#This Row],[Data]])&amp;"-"&amp;RIGHT("0"&amp;MONTH(tblSprzedaz[[#This Row],[Data]]),2)</f>
        <v>2025-09</v>
      </c>
    </row>
    <row r="998" spans="1:19" x14ac:dyDescent="0.25">
      <c r="A998" s="7" t="s">
        <v>2163</v>
      </c>
      <c r="B998" s="10">
        <v>45926</v>
      </c>
      <c r="C998" s="7" t="s">
        <v>2164</v>
      </c>
      <c r="D998" s="8" t="s">
        <v>78</v>
      </c>
      <c r="E998" s="8" t="s">
        <v>53</v>
      </c>
      <c r="F998" s="8" t="s">
        <v>29</v>
      </c>
      <c r="G998" s="8" t="s">
        <v>30</v>
      </c>
      <c r="H998" s="8" t="s">
        <v>41</v>
      </c>
      <c r="I998" s="11">
        <v>7</v>
      </c>
      <c r="J998" s="12">
        <v>27.88</v>
      </c>
      <c r="K998" s="13">
        <v>0.05</v>
      </c>
      <c r="L998" s="12">
        <v>15.92</v>
      </c>
      <c r="M998" s="14">
        <f>ROUND(tblSprzedaz[[#This Row],[Ilość]]*tblSprzedaz[[#This Row],[Cena netto jednostkowa]]*(1-tblSprzedaz[[#This Row],[Rabat %]]),2)</f>
        <v>185.4</v>
      </c>
      <c r="N998" s="14">
        <f>ROUND(tblSprzedaz[[#This Row],[Ilość]]*tblSprzedaz[[#This Row],[Koszt jednostkowy netto]],2)</f>
        <v>111.44</v>
      </c>
      <c r="O998" s="14">
        <f>tblSprzedaz[[#This Row],[Przychód netto]]-tblSprzedaz[[#This Row],[Koszt całkowity netto]]</f>
        <v>73.960000000000008</v>
      </c>
      <c r="P998" s="15">
        <f>IFERROR(tblSprzedaz[[#This Row],[Marża kwotowa]]/tblSprzedaz[[#This Row],[Przychód netto]],0)</f>
        <v>0.39892125134843587</v>
      </c>
      <c r="Q998" s="16">
        <f>YEAR(tblSprzedaz[[#This Row],[Data]])</f>
        <v>2025</v>
      </c>
      <c r="R998" s="16">
        <f>MONTH(tblSprzedaz[[#This Row],[Data]])</f>
        <v>9</v>
      </c>
      <c r="S998" s="9" t="str">
        <f>YEAR(tblSprzedaz[[#This Row],[Data]])&amp;"-"&amp;RIGHT("0"&amp;MONTH(tblSprzedaz[[#This Row],[Data]]),2)</f>
        <v>2025-09</v>
      </c>
    </row>
    <row r="999" spans="1:19" x14ac:dyDescent="0.25">
      <c r="A999" s="7" t="s">
        <v>2165</v>
      </c>
      <c r="B999" s="10">
        <v>45926</v>
      </c>
      <c r="C999" s="7" t="s">
        <v>2166</v>
      </c>
      <c r="D999" s="8" t="s">
        <v>90</v>
      </c>
      <c r="E999" s="8" t="s">
        <v>70</v>
      </c>
      <c r="F999" s="8" t="s">
        <v>35</v>
      </c>
      <c r="G999" s="8" t="s">
        <v>34</v>
      </c>
      <c r="H999" s="8" t="s">
        <v>44</v>
      </c>
      <c r="I999" s="11">
        <v>15</v>
      </c>
      <c r="J999" s="12">
        <v>113.56</v>
      </c>
      <c r="K999" s="13">
        <v>0</v>
      </c>
      <c r="L999" s="12">
        <v>79.48</v>
      </c>
      <c r="M999" s="14">
        <f>ROUND(tblSprzedaz[[#This Row],[Ilość]]*tblSprzedaz[[#This Row],[Cena netto jednostkowa]]*(1-tblSprzedaz[[#This Row],[Rabat %]]),2)</f>
        <v>1703.4</v>
      </c>
      <c r="N999" s="14">
        <f>ROUND(tblSprzedaz[[#This Row],[Ilość]]*tblSprzedaz[[#This Row],[Koszt jednostkowy netto]],2)</f>
        <v>1192.2</v>
      </c>
      <c r="O999" s="14">
        <f>tblSprzedaz[[#This Row],[Przychód netto]]-tblSprzedaz[[#This Row],[Koszt całkowity netto]]</f>
        <v>511.20000000000005</v>
      </c>
      <c r="P999" s="15">
        <f>IFERROR(tblSprzedaz[[#This Row],[Marża kwotowa]]/tblSprzedaz[[#This Row],[Przychód netto]],0)</f>
        <v>0.30010567101091934</v>
      </c>
      <c r="Q999" s="16">
        <f>YEAR(tblSprzedaz[[#This Row],[Data]])</f>
        <v>2025</v>
      </c>
      <c r="R999" s="16">
        <f>MONTH(tblSprzedaz[[#This Row],[Data]])</f>
        <v>9</v>
      </c>
      <c r="S999" s="9" t="str">
        <f>YEAR(tblSprzedaz[[#This Row],[Data]])&amp;"-"&amp;RIGHT("0"&amp;MONTH(tblSprzedaz[[#This Row],[Data]]),2)</f>
        <v>2025-09</v>
      </c>
    </row>
    <row r="1000" spans="1:19" x14ac:dyDescent="0.25">
      <c r="A1000" s="7" t="s">
        <v>2167</v>
      </c>
      <c r="B1000" s="10">
        <v>45927</v>
      </c>
      <c r="C1000" s="7" t="s">
        <v>2168</v>
      </c>
      <c r="D1000" s="8" t="s">
        <v>106</v>
      </c>
      <c r="E1000" s="8" t="s">
        <v>70</v>
      </c>
      <c r="F1000" s="8" t="s">
        <v>35</v>
      </c>
      <c r="G1000" s="8" t="s">
        <v>34</v>
      </c>
      <c r="H1000" s="8" t="s">
        <v>44</v>
      </c>
      <c r="I1000" s="11">
        <v>12</v>
      </c>
      <c r="J1000" s="12">
        <v>113.56</v>
      </c>
      <c r="K1000" s="13">
        <v>0.1</v>
      </c>
      <c r="L1000" s="12">
        <v>84.17</v>
      </c>
      <c r="M1000" s="14">
        <f>ROUND(tblSprzedaz[[#This Row],[Ilość]]*tblSprzedaz[[#This Row],[Cena netto jednostkowa]]*(1-tblSprzedaz[[#This Row],[Rabat %]]),2)</f>
        <v>1226.45</v>
      </c>
      <c r="N1000" s="14">
        <f>ROUND(tblSprzedaz[[#This Row],[Ilość]]*tblSprzedaz[[#This Row],[Koszt jednostkowy netto]],2)</f>
        <v>1010.04</v>
      </c>
      <c r="O1000" s="14">
        <f>tblSprzedaz[[#This Row],[Przychód netto]]-tblSprzedaz[[#This Row],[Koszt całkowity netto]]</f>
        <v>216.41000000000008</v>
      </c>
      <c r="P1000" s="15">
        <f>IFERROR(tblSprzedaz[[#This Row],[Marża kwotowa]]/tblSprzedaz[[#This Row],[Przychód netto]],0)</f>
        <v>0.17645236250968246</v>
      </c>
      <c r="Q1000" s="16">
        <f>YEAR(tblSprzedaz[[#This Row],[Data]])</f>
        <v>2025</v>
      </c>
      <c r="R1000" s="16">
        <f>MONTH(tblSprzedaz[[#This Row],[Data]])</f>
        <v>9</v>
      </c>
      <c r="S1000" s="9" t="str">
        <f>YEAR(tblSprzedaz[[#This Row],[Data]])&amp;"-"&amp;RIGHT("0"&amp;MONTH(tblSprzedaz[[#This Row],[Data]]),2)</f>
        <v>2025-09</v>
      </c>
    </row>
    <row r="1001" spans="1:19" x14ac:dyDescent="0.25">
      <c r="A1001" s="7" t="s">
        <v>2169</v>
      </c>
      <c r="B1001" s="10">
        <v>45928</v>
      </c>
      <c r="C1001" s="7" t="s">
        <v>2170</v>
      </c>
      <c r="D1001" s="8" t="s">
        <v>82</v>
      </c>
      <c r="E1001" s="8" t="s">
        <v>50</v>
      </c>
      <c r="F1001" s="8" t="s">
        <v>29</v>
      </c>
      <c r="G1001" s="8" t="s">
        <v>28</v>
      </c>
      <c r="H1001" s="8" t="s">
        <v>38</v>
      </c>
      <c r="I1001" s="11">
        <v>25</v>
      </c>
      <c r="J1001" s="12">
        <v>45.22</v>
      </c>
      <c r="K1001" s="13">
        <v>0.05</v>
      </c>
      <c r="L1001" s="12">
        <v>26.97</v>
      </c>
      <c r="M1001" s="14">
        <f>ROUND(tblSprzedaz[[#This Row],[Ilość]]*tblSprzedaz[[#This Row],[Cena netto jednostkowa]]*(1-tblSprzedaz[[#This Row],[Rabat %]]),2)</f>
        <v>1073.98</v>
      </c>
      <c r="N1001" s="14">
        <f>ROUND(tblSprzedaz[[#This Row],[Ilość]]*tblSprzedaz[[#This Row],[Koszt jednostkowy netto]],2)</f>
        <v>674.25</v>
      </c>
      <c r="O1001" s="14">
        <f>tblSprzedaz[[#This Row],[Przychód netto]]-tblSprzedaz[[#This Row],[Koszt całkowity netto]]</f>
        <v>399.73</v>
      </c>
      <c r="P1001" s="15">
        <f>IFERROR(tblSprzedaz[[#This Row],[Marża kwotowa]]/tblSprzedaz[[#This Row],[Przychód netto]],0)</f>
        <v>0.37219501294251289</v>
      </c>
      <c r="Q1001" s="16">
        <f>YEAR(tblSprzedaz[[#This Row],[Data]])</f>
        <v>2025</v>
      </c>
      <c r="R1001" s="16">
        <f>MONTH(tblSprzedaz[[#This Row],[Data]])</f>
        <v>9</v>
      </c>
      <c r="S1001" s="9" t="str">
        <f>YEAR(tblSprzedaz[[#This Row],[Data]])&amp;"-"&amp;RIGHT("0"&amp;MONTH(tblSprzedaz[[#This Row],[Data]]),2)</f>
        <v>2025-09</v>
      </c>
    </row>
    <row r="1002" spans="1:19" x14ac:dyDescent="0.25">
      <c r="A1002" s="7" t="s">
        <v>2171</v>
      </c>
      <c r="B1002" s="10">
        <v>45928</v>
      </c>
      <c r="C1002" s="7" t="s">
        <v>2172</v>
      </c>
      <c r="D1002" s="8" t="s">
        <v>139</v>
      </c>
      <c r="E1002" s="8" t="s">
        <v>71</v>
      </c>
      <c r="F1002" s="8" t="s">
        <v>35</v>
      </c>
      <c r="G1002" s="8" t="s">
        <v>36</v>
      </c>
      <c r="H1002" s="8" t="s">
        <v>47</v>
      </c>
      <c r="I1002" s="11">
        <v>1</v>
      </c>
      <c r="J1002" s="12">
        <v>55.76</v>
      </c>
      <c r="K1002" s="13">
        <v>0</v>
      </c>
      <c r="L1002" s="12">
        <v>40.89</v>
      </c>
      <c r="M1002" s="14">
        <f>ROUND(tblSprzedaz[[#This Row],[Ilość]]*tblSprzedaz[[#This Row],[Cena netto jednostkowa]]*(1-tblSprzedaz[[#This Row],[Rabat %]]),2)</f>
        <v>55.76</v>
      </c>
      <c r="N1002" s="14">
        <f>ROUND(tblSprzedaz[[#This Row],[Ilość]]*tblSprzedaz[[#This Row],[Koszt jednostkowy netto]],2)</f>
        <v>40.89</v>
      </c>
      <c r="O1002" s="14">
        <f>tblSprzedaz[[#This Row],[Przychód netto]]-tblSprzedaz[[#This Row],[Koszt całkowity netto]]</f>
        <v>14.869999999999997</v>
      </c>
      <c r="P1002" s="15">
        <f>IFERROR(tblSprzedaz[[#This Row],[Marża kwotowa]]/tblSprzedaz[[#This Row],[Przychód netto]],0)</f>
        <v>0.26667862266857961</v>
      </c>
      <c r="Q1002" s="16">
        <f>YEAR(tblSprzedaz[[#This Row],[Data]])</f>
        <v>2025</v>
      </c>
      <c r="R1002" s="16">
        <f>MONTH(tblSprzedaz[[#This Row],[Data]])</f>
        <v>9</v>
      </c>
      <c r="S1002" s="9" t="str">
        <f>YEAR(tblSprzedaz[[#This Row],[Data]])&amp;"-"&amp;RIGHT("0"&amp;MONTH(tblSprzedaz[[#This Row],[Data]]),2)</f>
        <v>2025-09</v>
      </c>
    </row>
    <row r="1003" spans="1:19" x14ac:dyDescent="0.25">
      <c r="A1003" s="7" t="s">
        <v>2173</v>
      </c>
      <c r="B1003" s="10">
        <v>45929</v>
      </c>
      <c r="C1003" s="7" t="s">
        <v>2174</v>
      </c>
      <c r="D1003" s="8" t="s">
        <v>140</v>
      </c>
      <c r="E1003" s="8" t="s">
        <v>48</v>
      </c>
      <c r="F1003" s="8" t="s">
        <v>29</v>
      </c>
      <c r="G1003" s="8" t="s">
        <v>28</v>
      </c>
      <c r="H1003" s="8" t="s">
        <v>38</v>
      </c>
      <c r="I1003" s="11">
        <v>19</v>
      </c>
      <c r="J1003" s="12">
        <v>33.659999999999997</v>
      </c>
      <c r="K1003" s="13">
        <v>0</v>
      </c>
      <c r="L1003" s="12">
        <v>20.7</v>
      </c>
      <c r="M1003" s="14">
        <f>ROUND(tblSprzedaz[[#This Row],[Ilość]]*tblSprzedaz[[#This Row],[Cena netto jednostkowa]]*(1-tblSprzedaz[[#This Row],[Rabat %]]),2)</f>
        <v>639.54</v>
      </c>
      <c r="N1003" s="14">
        <f>ROUND(tblSprzedaz[[#This Row],[Ilość]]*tblSprzedaz[[#This Row],[Koszt jednostkowy netto]],2)</f>
        <v>393.3</v>
      </c>
      <c r="O1003" s="14">
        <f>tblSprzedaz[[#This Row],[Przychód netto]]-tblSprzedaz[[#This Row],[Koszt całkowity netto]]</f>
        <v>246.23999999999995</v>
      </c>
      <c r="P1003" s="15">
        <f>IFERROR(tblSprzedaz[[#This Row],[Marża kwotowa]]/tblSprzedaz[[#This Row],[Przychód netto]],0)</f>
        <v>0.38502673796791437</v>
      </c>
      <c r="Q1003" s="16">
        <f>YEAR(tblSprzedaz[[#This Row],[Data]])</f>
        <v>2025</v>
      </c>
      <c r="R1003" s="16">
        <f>MONTH(tblSprzedaz[[#This Row],[Data]])</f>
        <v>9</v>
      </c>
      <c r="S1003" s="9" t="str">
        <f>YEAR(tblSprzedaz[[#This Row],[Data]])&amp;"-"&amp;RIGHT("0"&amp;MONTH(tblSprzedaz[[#This Row],[Data]]),2)</f>
        <v>2025-09</v>
      </c>
    </row>
    <row r="1004" spans="1:19" x14ac:dyDescent="0.25">
      <c r="A1004" s="7" t="s">
        <v>2175</v>
      </c>
      <c r="B1004" s="10">
        <v>45929</v>
      </c>
      <c r="C1004" s="7" t="s">
        <v>2176</v>
      </c>
      <c r="D1004" s="8" t="s">
        <v>115</v>
      </c>
      <c r="E1004" s="8" t="s">
        <v>66</v>
      </c>
      <c r="F1004" s="8" t="s">
        <v>35</v>
      </c>
      <c r="G1004" s="8" t="s">
        <v>34</v>
      </c>
      <c r="H1004" s="8" t="s">
        <v>45</v>
      </c>
      <c r="I1004" s="11">
        <v>5</v>
      </c>
      <c r="J1004" s="12">
        <v>67.319999999999993</v>
      </c>
      <c r="K1004" s="13">
        <v>0.1</v>
      </c>
      <c r="L1004" s="12">
        <v>51.01</v>
      </c>
      <c r="M1004" s="14">
        <f>ROUND(tblSprzedaz[[#This Row],[Ilość]]*tblSprzedaz[[#This Row],[Cena netto jednostkowa]]*(1-tblSprzedaz[[#This Row],[Rabat %]]),2)</f>
        <v>302.94</v>
      </c>
      <c r="N1004" s="14">
        <f>ROUND(tblSprzedaz[[#This Row],[Ilość]]*tblSprzedaz[[#This Row],[Koszt jednostkowy netto]],2)</f>
        <v>255.05</v>
      </c>
      <c r="O1004" s="14">
        <f>tblSprzedaz[[#This Row],[Przychód netto]]-tblSprzedaz[[#This Row],[Koszt całkowity netto]]</f>
        <v>47.889999999999986</v>
      </c>
      <c r="P1004" s="15">
        <f>IFERROR(tblSprzedaz[[#This Row],[Marża kwotowa]]/tblSprzedaz[[#This Row],[Przychód netto]],0)</f>
        <v>0.15808410906450118</v>
      </c>
      <c r="Q1004" s="16">
        <f>YEAR(tblSprzedaz[[#This Row],[Data]])</f>
        <v>2025</v>
      </c>
      <c r="R1004" s="16">
        <f>MONTH(tblSprzedaz[[#This Row],[Data]])</f>
        <v>9</v>
      </c>
      <c r="S1004" s="9" t="str">
        <f>YEAR(tblSprzedaz[[#This Row],[Data]])&amp;"-"&amp;RIGHT("0"&amp;MONTH(tblSprzedaz[[#This Row],[Data]]),2)</f>
        <v>2025-09</v>
      </c>
    </row>
    <row r="1005" spans="1:19" x14ac:dyDescent="0.25">
      <c r="A1005" s="7" t="s">
        <v>2177</v>
      </c>
      <c r="B1005" s="10">
        <v>45929</v>
      </c>
      <c r="C1005" s="7" t="s">
        <v>2178</v>
      </c>
      <c r="D1005" s="8" t="s">
        <v>130</v>
      </c>
      <c r="E1005" s="8" t="s">
        <v>68</v>
      </c>
      <c r="F1005" s="8" t="s">
        <v>35</v>
      </c>
      <c r="G1005" s="8" t="s">
        <v>32</v>
      </c>
      <c r="H1005" s="8" t="s">
        <v>42</v>
      </c>
      <c r="I1005" s="11">
        <v>13</v>
      </c>
      <c r="J1005" s="12">
        <v>90.44</v>
      </c>
      <c r="K1005" s="13">
        <v>0</v>
      </c>
      <c r="L1005" s="12">
        <v>67.23</v>
      </c>
      <c r="M1005" s="14">
        <f>ROUND(tblSprzedaz[[#This Row],[Ilość]]*tblSprzedaz[[#This Row],[Cena netto jednostkowa]]*(1-tblSprzedaz[[#This Row],[Rabat %]]),2)</f>
        <v>1175.72</v>
      </c>
      <c r="N1005" s="14">
        <f>ROUND(tblSprzedaz[[#This Row],[Ilość]]*tblSprzedaz[[#This Row],[Koszt jednostkowy netto]],2)</f>
        <v>873.99</v>
      </c>
      <c r="O1005" s="14">
        <f>tblSprzedaz[[#This Row],[Przychód netto]]-tblSprzedaz[[#This Row],[Koszt całkowity netto]]</f>
        <v>301.73</v>
      </c>
      <c r="P1005" s="15">
        <f>IFERROR(tblSprzedaz[[#This Row],[Marża kwotowa]]/tblSprzedaz[[#This Row],[Przychód netto]],0)</f>
        <v>0.25663423264042462</v>
      </c>
      <c r="Q1005" s="16">
        <f>YEAR(tblSprzedaz[[#This Row],[Data]])</f>
        <v>2025</v>
      </c>
      <c r="R1005" s="16">
        <f>MONTH(tblSprzedaz[[#This Row],[Data]])</f>
        <v>9</v>
      </c>
      <c r="S1005" s="9" t="str">
        <f>YEAR(tblSprzedaz[[#This Row],[Data]])&amp;"-"&amp;RIGHT("0"&amp;MONTH(tblSprzedaz[[#This Row],[Data]]),2)</f>
        <v>2025-09</v>
      </c>
    </row>
    <row r="1006" spans="1:19" x14ac:dyDescent="0.25">
      <c r="A1006" s="7" t="s">
        <v>2179</v>
      </c>
      <c r="B1006" s="10">
        <v>45930</v>
      </c>
      <c r="C1006" s="7" t="s">
        <v>2180</v>
      </c>
      <c r="D1006" s="8" t="s">
        <v>128</v>
      </c>
      <c r="E1006" s="8" t="s">
        <v>55</v>
      </c>
      <c r="F1006" s="8" t="s">
        <v>31</v>
      </c>
      <c r="G1006" s="8" t="s">
        <v>36</v>
      </c>
      <c r="H1006" s="8" t="s">
        <v>46</v>
      </c>
      <c r="I1006" s="11">
        <v>6</v>
      </c>
      <c r="J1006" s="12">
        <v>243.6</v>
      </c>
      <c r="K1006" s="13">
        <v>0</v>
      </c>
      <c r="L1006" s="12">
        <v>147.54</v>
      </c>
      <c r="M1006" s="14">
        <f>ROUND(tblSprzedaz[[#This Row],[Ilość]]*tblSprzedaz[[#This Row],[Cena netto jednostkowa]]*(1-tblSprzedaz[[#This Row],[Rabat %]]),2)</f>
        <v>1461.6</v>
      </c>
      <c r="N1006" s="14">
        <f>ROUND(tblSprzedaz[[#This Row],[Ilość]]*tblSprzedaz[[#This Row],[Koszt jednostkowy netto]],2)</f>
        <v>885.24</v>
      </c>
      <c r="O1006" s="14">
        <f>tblSprzedaz[[#This Row],[Przychód netto]]-tblSprzedaz[[#This Row],[Koszt całkowity netto]]</f>
        <v>576.3599999999999</v>
      </c>
      <c r="P1006" s="15">
        <f>IFERROR(tblSprzedaz[[#This Row],[Marża kwotowa]]/tblSprzedaz[[#This Row],[Przychód netto]],0)</f>
        <v>0.39433497536945811</v>
      </c>
      <c r="Q1006" s="16">
        <f>YEAR(tblSprzedaz[[#This Row],[Data]])</f>
        <v>2025</v>
      </c>
      <c r="R1006" s="16">
        <f>MONTH(tblSprzedaz[[#This Row],[Data]])</f>
        <v>9</v>
      </c>
      <c r="S1006" s="9" t="str">
        <f>YEAR(tblSprzedaz[[#This Row],[Data]])&amp;"-"&amp;RIGHT("0"&amp;MONTH(tblSprzedaz[[#This Row],[Data]]),2)</f>
        <v>2025-09</v>
      </c>
    </row>
    <row r="1007" spans="1:19" x14ac:dyDescent="0.25">
      <c r="A1007" s="7" t="s">
        <v>2181</v>
      </c>
      <c r="B1007" s="10">
        <v>45930</v>
      </c>
      <c r="C1007" s="7" t="s">
        <v>2182</v>
      </c>
      <c r="D1007" s="8" t="s">
        <v>130</v>
      </c>
      <c r="E1007" s="8" t="s">
        <v>69</v>
      </c>
      <c r="F1007" s="8" t="s">
        <v>35</v>
      </c>
      <c r="G1007" s="8" t="s">
        <v>32</v>
      </c>
      <c r="H1007" s="8" t="s">
        <v>42</v>
      </c>
      <c r="I1007" s="11">
        <v>11</v>
      </c>
      <c r="J1007" s="12">
        <v>102</v>
      </c>
      <c r="K1007" s="13">
        <v>0.15</v>
      </c>
      <c r="L1007" s="12">
        <v>76</v>
      </c>
      <c r="M1007" s="14">
        <f>ROUND(tblSprzedaz[[#This Row],[Ilość]]*tblSprzedaz[[#This Row],[Cena netto jednostkowa]]*(1-tblSprzedaz[[#This Row],[Rabat %]]),2)</f>
        <v>953.7</v>
      </c>
      <c r="N1007" s="14">
        <f>ROUND(tblSprzedaz[[#This Row],[Ilość]]*tblSprzedaz[[#This Row],[Koszt jednostkowy netto]],2)</f>
        <v>836</v>
      </c>
      <c r="O1007" s="14">
        <f>tblSprzedaz[[#This Row],[Przychód netto]]-tblSprzedaz[[#This Row],[Koszt całkowity netto]]</f>
        <v>117.70000000000005</v>
      </c>
      <c r="P1007" s="15">
        <f>IFERROR(tblSprzedaz[[#This Row],[Marża kwotowa]]/tblSprzedaz[[#This Row],[Przychód netto]],0)</f>
        <v>0.12341407151095736</v>
      </c>
      <c r="Q1007" s="16">
        <f>YEAR(tblSprzedaz[[#This Row],[Data]])</f>
        <v>2025</v>
      </c>
      <c r="R1007" s="16">
        <f>MONTH(tblSprzedaz[[#This Row],[Data]])</f>
        <v>9</v>
      </c>
      <c r="S1007" s="9" t="str">
        <f>YEAR(tblSprzedaz[[#This Row],[Data]])&amp;"-"&amp;RIGHT("0"&amp;MONTH(tblSprzedaz[[#This Row],[Data]]),2)</f>
        <v>2025-09</v>
      </c>
    </row>
    <row r="1008" spans="1:19" x14ac:dyDescent="0.25">
      <c r="A1008" s="7" t="s">
        <v>2183</v>
      </c>
      <c r="B1008" s="10">
        <v>45930</v>
      </c>
      <c r="C1008" s="7" t="s">
        <v>2184</v>
      </c>
      <c r="D1008" s="8" t="s">
        <v>109</v>
      </c>
      <c r="E1008" s="8" t="s">
        <v>55</v>
      </c>
      <c r="F1008" s="8" t="s">
        <v>31</v>
      </c>
      <c r="G1008" s="8" t="s">
        <v>28</v>
      </c>
      <c r="H1008" s="8" t="s">
        <v>38</v>
      </c>
      <c r="I1008" s="11">
        <v>2</v>
      </c>
      <c r="J1008" s="12">
        <v>243.6</v>
      </c>
      <c r="K1008" s="13">
        <v>0.05</v>
      </c>
      <c r="L1008" s="12">
        <v>148.79</v>
      </c>
      <c r="M1008" s="14">
        <f>ROUND(tblSprzedaz[[#This Row],[Ilość]]*tblSprzedaz[[#This Row],[Cena netto jednostkowa]]*(1-tblSprzedaz[[#This Row],[Rabat %]]),2)</f>
        <v>462.84</v>
      </c>
      <c r="N1008" s="14">
        <f>ROUND(tblSprzedaz[[#This Row],[Ilość]]*tblSprzedaz[[#This Row],[Koszt jednostkowy netto]],2)</f>
        <v>297.58</v>
      </c>
      <c r="O1008" s="14">
        <f>tblSprzedaz[[#This Row],[Przychód netto]]-tblSprzedaz[[#This Row],[Koszt całkowity netto]]</f>
        <v>165.26</v>
      </c>
      <c r="P1008" s="15">
        <f>IFERROR(tblSprzedaz[[#This Row],[Marża kwotowa]]/tblSprzedaz[[#This Row],[Przychód netto]],0)</f>
        <v>0.35705643418892058</v>
      </c>
      <c r="Q1008" s="16">
        <f>YEAR(tblSprzedaz[[#This Row],[Data]])</f>
        <v>2025</v>
      </c>
      <c r="R1008" s="16">
        <f>MONTH(tblSprzedaz[[#This Row],[Data]])</f>
        <v>9</v>
      </c>
      <c r="S1008" s="9" t="str">
        <f>YEAR(tblSprzedaz[[#This Row],[Data]])&amp;"-"&amp;RIGHT("0"&amp;MONTH(tblSprzedaz[[#This Row],[Data]]),2)</f>
        <v>2025-09</v>
      </c>
    </row>
    <row r="1009" spans="1:19" x14ac:dyDescent="0.25">
      <c r="A1009" s="7" t="s">
        <v>2185</v>
      </c>
      <c r="B1009" s="10">
        <v>45930</v>
      </c>
      <c r="C1009" s="7" t="s">
        <v>2186</v>
      </c>
      <c r="D1009" s="8" t="s">
        <v>140</v>
      </c>
      <c r="E1009" s="8" t="s">
        <v>61</v>
      </c>
      <c r="F1009" s="8" t="s">
        <v>33</v>
      </c>
      <c r="G1009" s="8" t="s">
        <v>32</v>
      </c>
      <c r="H1009" s="8" t="s">
        <v>42</v>
      </c>
      <c r="I1009" s="11">
        <v>28</v>
      </c>
      <c r="J1009" s="12">
        <v>533.6</v>
      </c>
      <c r="K1009" s="13">
        <v>0.05</v>
      </c>
      <c r="L1009" s="12">
        <v>372.91</v>
      </c>
      <c r="M1009" s="14">
        <f>ROUND(tblSprzedaz[[#This Row],[Ilość]]*tblSprzedaz[[#This Row],[Cena netto jednostkowa]]*(1-tblSprzedaz[[#This Row],[Rabat %]]),2)</f>
        <v>14193.76</v>
      </c>
      <c r="N1009" s="14">
        <f>ROUND(tblSprzedaz[[#This Row],[Ilość]]*tblSprzedaz[[#This Row],[Koszt jednostkowy netto]],2)</f>
        <v>10441.48</v>
      </c>
      <c r="O1009" s="14">
        <f>tblSprzedaz[[#This Row],[Przychód netto]]-tblSprzedaz[[#This Row],[Koszt całkowity netto]]</f>
        <v>3752.2800000000007</v>
      </c>
      <c r="P1009" s="15">
        <f>IFERROR(tblSprzedaz[[#This Row],[Marża kwotowa]]/tblSprzedaz[[#This Row],[Przychód netto]],0)</f>
        <v>0.26436124043241543</v>
      </c>
      <c r="Q1009" s="16">
        <f>YEAR(tblSprzedaz[[#This Row],[Data]])</f>
        <v>2025</v>
      </c>
      <c r="R1009" s="16">
        <f>MONTH(tblSprzedaz[[#This Row],[Data]])</f>
        <v>9</v>
      </c>
      <c r="S1009" s="9" t="str">
        <f>YEAR(tblSprzedaz[[#This Row],[Data]])&amp;"-"&amp;RIGHT("0"&amp;MONTH(tblSprzedaz[[#This Row],[Data]]),2)</f>
        <v>2025-09</v>
      </c>
    </row>
    <row r="1010" spans="1:19" x14ac:dyDescent="0.25">
      <c r="A1010" s="7" t="s">
        <v>2187</v>
      </c>
      <c r="B1010" s="10">
        <v>45930</v>
      </c>
      <c r="C1010" s="7" t="s">
        <v>2188</v>
      </c>
      <c r="D1010" s="8" t="s">
        <v>100</v>
      </c>
      <c r="E1010" s="8" t="s">
        <v>63</v>
      </c>
      <c r="F1010" s="8" t="s">
        <v>33</v>
      </c>
      <c r="G1010" s="8" t="s">
        <v>30</v>
      </c>
      <c r="H1010" s="8" t="s">
        <v>40</v>
      </c>
      <c r="I1010" s="11">
        <v>12</v>
      </c>
      <c r="J1010" s="12">
        <v>690</v>
      </c>
      <c r="K1010" s="13">
        <v>0.1</v>
      </c>
      <c r="L1010" s="12">
        <v>495.93</v>
      </c>
      <c r="M1010" s="14">
        <f>ROUND(tblSprzedaz[[#This Row],[Ilość]]*tblSprzedaz[[#This Row],[Cena netto jednostkowa]]*(1-tblSprzedaz[[#This Row],[Rabat %]]),2)</f>
        <v>7452</v>
      </c>
      <c r="N1010" s="14">
        <f>ROUND(tblSprzedaz[[#This Row],[Ilość]]*tblSprzedaz[[#This Row],[Koszt jednostkowy netto]],2)</f>
        <v>5951.16</v>
      </c>
      <c r="O1010" s="14">
        <f>tblSprzedaz[[#This Row],[Przychód netto]]-tblSprzedaz[[#This Row],[Koszt całkowity netto]]</f>
        <v>1500.8400000000001</v>
      </c>
      <c r="P1010" s="15">
        <f>IFERROR(tblSprzedaz[[#This Row],[Marża kwotowa]]/tblSprzedaz[[#This Row],[Przychód netto]],0)</f>
        <v>0.20140096618357489</v>
      </c>
      <c r="Q1010" s="16">
        <f>YEAR(tblSprzedaz[[#This Row],[Data]])</f>
        <v>2025</v>
      </c>
      <c r="R1010" s="16">
        <f>MONTH(tblSprzedaz[[#This Row],[Data]])</f>
        <v>9</v>
      </c>
      <c r="S1010" s="9" t="str">
        <f>YEAR(tblSprzedaz[[#This Row],[Data]])&amp;"-"&amp;RIGHT("0"&amp;MONTH(tblSprzedaz[[#This Row],[Data]]),2)</f>
        <v>2025-09</v>
      </c>
    </row>
    <row r="1011" spans="1:19" x14ac:dyDescent="0.25">
      <c r="A1011" s="7" t="s">
        <v>2189</v>
      </c>
      <c r="B1011" s="10">
        <v>45931</v>
      </c>
      <c r="C1011" s="7" t="s">
        <v>2190</v>
      </c>
      <c r="D1011" s="8" t="s">
        <v>81</v>
      </c>
      <c r="E1011" s="8" t="s">
        <v>57</v>
      </c>
      <c r="F1011" s="8" t="s">
        <v>31</v>
      </c>
      <c r="G1011" s="8" t="s">
        <v>36</v>
      </c>
      <c r="H1011" s="8" t="s">
        <v>47</v>
      </c>
      <c r="I1011" s="11">
        <v>29</v>
      </c>
      <c r="J1011" s="12">
        <v>315</v>
      </c>
      <c r="K1011" s="13">
        <v>0.1</v>
      </c>
      <c r="L1011" s="12">
        <v>201.52</v>
      </c>
      <c r="M1011" s="14">
        <f>ROUND(tblSprzedaz[[#This Row],[Ilość]]*tblSprzedaz[[#This Row],[Cena netto jednostkowa]]*(1-tblSprzedaz[[#This Row],[Rabat %]]),2)</f>
        <v>8221.5</v>
      </c>
      <c r="N1011" s="14">
        <f>ROUND(tblSprzedaz[[#This Row],[Ilość]]*tblSprzedaz[[#This Row],[Koszt jednostkowy netto]],2)</f>
        <v>5844.08</v>
      </c>
      <c r="O1011" s="14">
        <f>tblSprzedaz[[#This Row],[Przychód netto]]-tblSprzedaz[[#This Row],[Koszt całkowity netto]]</f>
        <v>2377.42</v>
      </c>
      <c r="P1011" s="15">
        <f>IFERROR(tblSprzedaz[[#This Row],[Marża kwotowa]]/tblSprzedaz[[#This Row],[Przychód netto]],0)</f>
        <v>0.28917107583774249</v>
      </c>
      <c r="Q1011" s="16">
        <f>YEAR(tblSprzedaz[[#This Row],[Data]])</f>
        <v>2025</v>
      </c>
      <c r="R1011" s="16">
        <f>MONTH(tblSprzedaz[[#This Row],[Data]])</f>
        <v>10</v>
      </c>
      <c r="S1011" s="9" t="str">
        <f>YEAR(tblSprzedaz[[#This Row],[Data]])&amp;"-"&amp;RIGHT("0"&amp;MONTH(tblSprzedaz[[#This Row],[Data]]),2)</f>
        <v>2025-10</v>
      </c>
    </row>
    <row r="1012" spans="1:19" x14ac:dyDescent="0.25">
      <c r="A1012" s="7" t="s">
        <v>2191</v>
      </c>
      <c r="B1012" s="10">
        <v>45931</v>
      </c>
      <c r="C1012" s="7" t="s">
        <v>2192</v>
      </c>
      <c r="D1012" s="8" t="s">
        <v>90</v>
      </c>
      <c r="E1012" s="8" t="s">
        <v>55</v>
      </c>
      <c r="F1012" s="8" t="s">
        <v>31</v>
      </c>
      <c r="G1012" s="8" t="s">
        <v>30</v>
      </c>
      <c r="H1012" s="8" t="s">
        <v>40</v>
      </c>
      <c r="I1012" s="11">
        <v>10</v>
      </c>
      <c r="J1012" s="12">
        <v>243.6</v>
      </c>
      <c r="K1012" s="13">
        <v>0.05</v>
      </c>
      <c r="L1012" s="12">
        <v>150.13999999999999</v>
      </c>
      <c r="M1012" s="14">
        <f>ROUND(tblSprzedaz[[#This Row],[Ilość]]*tblSprzedaz[[#This Row],[Cena netto jednostkowa]]*(1-tblSprzedaz[[#This Row],[Rabat %]]),2)</f>
        <v>2314.1999999999998</v>
      </c>
      <c r="N1012" s="14">
        <f>ROUND(tblSprzedaz[[#This Row],[Ilość]]*tblSprzedaz[[#This Row],[Koszt jednostkowy netto]],2)</f>
        <v>1501.4</v>
      </c>
      <c r="O1012" s="14">
        <f>tblSprzedaz[[#This Row],[Przychód netto]]-tblSprzedaz[[#This Row],[Koszt całkowity netto]]</f>
        <v>812.79999999999973</v>
      </c>
      <c r="P1012" s="15">
        <f>IFERROR(tblSprzedaz[[#This Row],[Marża kwotowa]]/tblSprzedaz[[#This Row],[Przychód netto]],0)</f>
        <v>0.3512228847982023</v>
      </c>
      <c r="Q1012" s="16">
        <f>YEAR(tblSprzedaz[[#This Row],[Data]])</f>
        <v>2025</v>
      </c>
      <c r="R1012" s="16">
        <f>MONTH(tblSprzedaz[[#This Row],[Data]])</f>
        <v>10</v>
      </c>
      <c r="S1012" s="9" t="str">
        <f>YEAR(tblSprzedaz[[#This Row],[Data]])&amp;"-"&amp;RIGHT("0"&amp;MONTH(tblSprzedaz[[#This Row],[Data]]),2)</f>
        <v>2025-10</v>
      </c>
    </row>
    <row r="1013" spans="1:19" x14ac:dyDescent="0.25">
      <c r="A1013" s="7" t="s">
        <v>2193</v>
      </c>
      <c r="B1013" s="10">
        <v>45931</v>
      </c>
      <c r="C1013" s="7" t="s">
        <v>2194</v>
      </c>
      <c r="D1013" s="8" t="s">
        <v>107</v>
      </c>
      <c r="E1013" s="8" t="s">
        <v>56</v>
      </c>
      <c r="F1013" s="8" t="s">
        <v>31</v>
      </c>
      <c r="G1013" s="8" t="s">
        <v>34</v>
      </c>
      <c r="H1013" s="8" t="s">
        <v>44</v>
      </c>
      <c r="I1013" s="11">
        <v>19</v>
      </c>
      <c r="J1013" s="12">
        <v>279.3</v>
      </c>
      <c r="K1013" s="13">
        <v>0</v>
      </c>
      <c r="L1013" s="12">
        <v>178.5</v>
      </c>
      <c r="M1013" s="14">
        <f>ROUND(tblSprzedaz[[#This Row],[Ilość]]*tblSprzedaz[[#This Row],[Cena netto jednostkowa]]*(1-tblSprzedaz[[#This Row],[Rabat %]]),2)</f>
        <v>5306.7</v>
      </c>
      <c r="N1013" s="14">
        <f>ROUND(tblSprzedaz[[#This Row],[Ilość]]*tblSprzedaz[[#This Row],[Koszt jednostkowy netto]],2)</f>
        <v>3391.5</v>
      </c>
      <c r="O1013" s="14">
        <f>tblSprzedaz[[#This Row],[Przychód netto]]-tblSprzedaz[[#This Row],[Koszt całkowity netto]]</f>
        <v>1915.1999999999998</v>
      </c>
      <c r="P1013" s="15">
        <f>IFERROR(tblSprzedaz[[#This Row],[Marża kwotowa]]/tblSprzedaz[[#This Row],[Przychód netto]],0)</f>
        <v>0.36090225563909772</v>
      </c>
      <c r="Q1013" s="16">
        <f>YEAR(tblSprzedaz[[#This Row],[Data]])</f>
        <v>2025</v>
      </c>
      <c r="R1013" s="16">
        <f>MONTH(tblSprzedaz[[#This Row],[Data]])</f>
        <v>10</v>
      </c>
      <c r="S1013" s="9" t="str">
        <f>YEAR(tblSprzedaz[[#This Row],[Data]])&amp;"-"&amp;RIGHT("0"&amp;MONTH(tblSprzedaz[[#This Row],[Data]]),2)</f>
        <v>2025-10</v>
      </c>
    </row>
    <row r="1014" spans="1:19" x14ac:dyDescent="0.25">
      <c r="A1014" s="7" t="s">
        <v>2195</v>
      </c>
      <c r="B1014" s="10">
        <v>45931</v>
      </c>
      <c r="C1014" s="7" t="s">
        <v>2196</v>
      </c>
      <c r="D1014" s="8" t="s">
        <v>141</v>
      </c>
      <c r="E1014" s="8" t="s">
        <v>50</v>
      </c>
      <c r="F1014" s="8" t="s">
        <v>29</v>
      </c>
      <c r="G1014" s="8" t="s">
        <v>28</v>
      </c>
      <c r="H1014" s="8" t="s">
        <v>38</v>
      </c>
      <c r="I1014" s="11">
        <v>22</v>
      </c>
      <c r="J1014" s="12">
        <v>45.22</v>
      </c>
      <c r="K1014" s="13">
        <v>0</v>
      </c>
      <c r="L1014" s="12">
        <v>27.78</v>
      </c>
      <c r="M1014" s="14">
        <f>ROUND(tblSprzedaz[[#This Row],[Ilość]]*tblSprzedaz[[#This Row],[Cena netto jednostkowa]]*(1-tblSprzedaz[[#This Row],[Rabat %]]),2)</f>
        <v>994.84</v>
      </c>
      <c r="N1014" s="14">
        <f>ROUND(tblSprzedaz[[#This Row],[Ilość]]*tblSprzedaz[[#This Row],[Koszt jednostkowy netto]],2)</f>
        <v>611.16</v>
      </c>
      <c r="O1014" s="14">
        <f>tblSprzedaz[[#This Row],[Przychód netto]]-tblSprzedaz[[#This Row],[Koszt całkowity netto]]</f>
        <v>383.68000000000006</v>
      </c>
      <c r="P1014" s="15">
        <f>IFERROR(tblSprzedaz[[#This Row],[Marża kwotowa]]/tblSprzedaz[[#This Row],[Przychód netto]],0)</f>
        <v>0.38567005749668293</v>
      </c>
      <c r="Q1014" s="16">
        <f>YEAR(tblSprzedaz[[#This Row],[Data]])</f>
        <v>2025</v>
      </c>
      <c r="R1014" s="16">
        <f>MONTH(tblSprzedaz[[#This Row],[Data]])</f>
        <v>10</v>
      </c>
      <c r="S1014" s="9" t="str">
        <f>YEAR(tblSprzedaz[[#This Row],[Data]])&amp;"-"&amp;RIGHT("0"&amp;MONTH(tblSprzedaz[[#This Row],[Data]]),2)</f>
        <v>2025-10</v>
      </c>
    </row>
    <row r="1015" spans="1:19" x14ac:dyDescent="0.25">
      <c r="A1015" s="7" t="s">
        <v>2197</v>
      </c>
      <c r="B1015" s="10">
        <v>45931</v>
      </c>
      <c r="C1015" s="7" t="s">
        <v>2198</v>
      </c>
      <c r="D1015" s="8" t="s">
        <v>88</v>
      </c>
      <c r="E1015" s="8" t="s">
        <v>77</v>
      </c>
      <c r="F1015" s="8" t="s">
        <v>37</v>
      </c>
      <c r="G1015" s="8" t="s">
        <v>32</v>
      </c>
      <c r="H1015" s="8" t="s">
        <v>43</v>
      </c>
      <c r="I1015" s="11">
        <v>11</v>
      </c>
      <c r="J1015" s="12">
        <v>77.900000000000006</v>
      </c>
      <c r="K1015" s="13">
        <v>0.15</v>
      </c>
      <c r="L1015" s="12">
        <v>59.33</v>
      </c>
      <c r="M1015" s="14">
        <f>ROUND(tblSprzedaz[[#This Row],[Ilość]]*tblSprzedaz[[#This Row],[Cena netto jednostkowa]]*(1-tblSprzedaz[[#This Row],[Rabat %]]),2)</f>
        <v>728.37</v>
      </c>
      <c r="N1015" s="14">
        <f>ROUND(tblSprzedaz[[#This Row],[Ilość]]*tblSprzedaz[[#This Row],[Koszt jednostkowy netto]],2)</f>
        <v>652.63</v>
      </c>
      <c r="O1015" s="14">
        <f>tblSprzedaz[[#This Row],[Przychód netto]]-tblSprzedaz[[#This Row],[Koszt całkowity netto]]</f>
        <v>75.740000000000009</v>
      </c>
      <c r="P1015" s="15">
        <f>IFERROR(tblSprzedaz[[#This Row],[Marża kwotowa]]/tblSprzedaz[[#This Row],[Przychód netto]],0)</f>
        <v>0.10398561170833506</v>
      </c>
      <c r="Q1015" s="16">
        <f>YEAR(tblSprzedaz[[#This Row],[Data]])</f>
        <v>2025</v>
      </c>
      <c r="R1015" s="16">
        <f>MONTH(tblSprzedaz[[#This Row],[Data]])</f>
        <v>10</v>
      </c>
      <c r="S1015" s="9" t="str">
        <f>YEAR(tblSprzedaz[[#This Row],[Data]])&amp;"-"&amp;RIGHT("0"&amp;MONTH(tblSprzedaz[[#This Row],[Data]]),2)</f>
        <v>2025-10</v>
      </c>
    </row>
    <row r="1016" spans="1:19" x14ac:dyDescent="0.25">
      <c r="A1016" s="7" t="s">
        <v>2199</v>
      </c>
      <c r="B1016" s="10">
        <v>45932</v>
      </c>
      <c r="C1016" s="7" t="s">
        <v>2200</v>
      </c>
      <c r="D1016" s="8" t="s">
        <v>148</v>
      </c>
      <c r="E1016" s="8" t="s">
        <v>77</v>
      </c>
      <c r="F1016" s="8" t="s">
        <v>37</v>
      </c>
      <c r="G1016" s="8" t="s">
        <v>34</v>
      </c>
      <c r="H1016" s="8" t="s">
        <v>44</v>
      </c>
      <c r="I1016" s="11">
        <v>17</v>
      </c>
      <c r="J1016" s="12">
        <v>77.900000000000006</v>
      </c>
      <c r="K1016" s="13">
        <v>0.15</v>
      </c>
      <c r="L1016" s="12">
        <v>62.62</v>
      </c>
      <c r="M1016" s="14">
        <f>ROUND(tblSprzedaz[[#This Row],[Ilość]]*tblSprzedaz[[#This Row],[Cena netto jednostkowa]]*(1-tblSprzedaz[[#This Row],[Rabat %]]),2)</f>
        <v>1125.6600000000001</v>
      </c>
      <c r="N1016" s="14">
        <f>ROUND(tblSprzedaz[[#This Row],[Ilość]]*tblSprzedaz[[#This Row],[Koszt jednostkowy netto]],2)</f>
        <v>1064.54</v>
      </c>
      <c r="O1016" s="14">
        <f>tblSprzedaz[[#This Row],[Przychód netto]]-tblSprzedaz[[#This Row],[Koszt całkowity netto]]</f>
        <v>61.120000000000118</v>
      </c>
      <c r="P1016" s="15">
        <f>IFERROR(tblSprzedaz[[#This Row],[Marża kwotowa]]/tblSprzedaz[[#This Row],[Przychód netto]],0)</f>
        <v>5.4297034628573562E-2</v>
      </c>
      <c r="Q1016" s="16">
        <f>YEAR(tblSprzedaz[[#This Row],[Data]])</f>
        <v>2025</v>
      </c>
      <c r="R1016" s="16">
        <f>MONTH(tblSprzedaz[[#This Row],[Data]])</f>
        <v>10</v>
      </c>
      <c r="S1016" s="9" t="str">
        <f>YEAR(tblSprzedaz[[#This Row],[Data]])&amp;"-"&amp;RIGHT("0"&amp;MONTH(tblSprzedaz[[#This Row],[Data]]),2)</f>
        <v>2025-10</v>
      </c>
    </row>
    <row r="1017" spans="1:19" x14ac:dyDescent="0.25">
      <c r="A1017" s="7" t="s">
        <v>2201</v>
      </c>
      <c r="B1017" s="10">
        <v>45932</v>
      </c>
      <c r="C1017" s="7" t="s">
        <v>2202</v>
      </c>
      <c r="D1017" s="8" t="s">
        <v>88</v>
      </c>
      <c r="E1017" s="8" t="s">
        <v>51</v>
      </c>
      <c r="F1017" s="8" t="s">
        <v>29</v>
      </c>
      <c r="G1017" s="8" t="s">
        <v>36</v>
      </c>
      <c r="H1017" s="8" t="s">
        <v>46</v>
      </c>
      <c r="I1017" s="11">
        <v>12</v>
      </c>
      <c r="J1017" s="12">
        <v>51</v>
      </c>
      <c r="K1017" s="13">
        <v>0.05</v>
      </c>
      <c r="L1017" s="12">
        <v>28.58</v>
      </c>
      <c r="M1017" s="14">
        <f>ROUND(tblSprzedaz[[#This Row],[Ilość]]*tblSprzedaz[[#This Row],[Cena netto jednostkowa]]*(1-tblSprzedaz[[#This Row],[Rabat %]]),2)</f>
        <v>581.4</v>
      </c>
      <c r="N1017" s="14">
        <f>ROUND(tblSprzedaz[[#This Row],[Ilość]]*tblSprzedaz[[#This Row],[Koszt jednostkowy netto]],2)</f>
        <v>342.96</v>
      </c>
      <c r="O1017" s="14">
        <f>tblSprzedaz[[#This Row],[Przychód netto]]-tblSprzedaz[[#This Row],[Koszt całkowity netto]]</f>
        <v>238.44</v>
      </c>
      <c r="P1017" s="15">
        <f>IFERROR(tblSprzedaz[[#This Row],[Marża kwotowa]]/tblSprzedaz[[#This Row],[Przychód netto]],0)</f>
        <v>0.41011351909184729</v>
      </c>
      <c r="Q1017" s="16">
        <f>YEAR(tblSprzedaz[[#This Row],[Data]])</f>
        <v>2025</v>
      </c>
      <c r="R1017" s="16">
        <f>MONTH(tblSprzedaz[[#This Row],[Data]])</f>
        <v>10</v>
      </c>
      <c r="S1017" s="9" t="str">
        <f>YEAR(tblSprzedaz[[#This Row],[Data]])&amp;"-"&amp;RIGHT("0"&amp;MONTH(tblSprzedaz[[#This Row],[Data]]),2)</f>
        <v>2025-10</v>
      </c>
    </row>
    <row r="1018" spans="1:19" x14ac:dyDescent="0.25">
      <c r="A1018" s="7" t="s">
        <v>2203</v>
      </c>
      <c r="B1018" s="10">
        <v>45932</v>
      </c>
      <c r="C1018" s="7" t="s">
        <v>2204</v>
      </c>
      <c r="D1018" s="8" t="s">
        <v>98</v>
      </c>
      <c r="E1018" s="8" t="s">
        <v>68</v>
      </c>
      <c r="F1018" s="8" t="s">
        <v>35</v>
      </c>
      <c r="G1018" s="8" t="s">
        <v>32</v>
      </c>
      <c r="H1018" s="8" t="s">
        <v>42</v>
      </c>
      <c r="I1018" s="11">
        <v>30</v>
      </c>
      <c r="J1018" s="12">
        <v>90.44</v>
      </c>
      <c r="K1018" s="13">
        <v>0</v>
      </c>
      <c r="L1018" s="12">
        <v>66.16</v>
      </c>
      <c r="M1018" s="14">
        <f>ROUND(tblSprzedaz[[#This Row],[Ilość]]*tblSprzedaz[[#This Row],[Cena netto jednostkowa]]*(1-tblSprzedaz[[#This Row],[Rabat %]]),2)</f>
        <v>2713.2</v>
      </c>
      <c r="N1018" s="14">
        <f>ROUND(tblSprzedaz[[#This Row],[Ilość]]*tblSprzedaz[[#This Row],[Koszt jednostkowy netto]],2)</f>
        <v>1984.8</v>
      </c>
      <c r="O1018" s="14">
        <f>tblSprzedaz[[#This Row],[Przychód netto]]-tblSprzedaz[[#This Row],[Koszt całkowity netto]]</f>
        <v>728.39999999999986</v>
      </c>
      <c r="P1018" s="15">
        <f>IFERROR(tblSprzedaz[[#This Row],[Marża kwotowa]]/tblSprzedaz[[#This Row],[Przychód netto]],0)</f>
        <v>0.26846528084918175</v>
      </c>
      <c r="Q1018" s="16">
        <f>YEAR(tblSprzedaz[[#This Row],[Data]])</f>
        <v>2025</v>
      </c>
      <c r="R1018" s="16">
        <f>MONTH(tblSprzedaz[[#This Row],[Data]])</f>
        <v>10</v>
      </c>
      <c r="S1018" s="9" t="str">
        <f>YEAR(tblSprzedaz[[#This Row],[Data]])&amp;"-"&amp;RIGHT("0"&amp;MONTH(tblSprzedaz[[#This Row],[Data]]),2)</f>
        <v>2025-10</v>
      </c>
    </row>
    <row r="1019" spans="1:19" x14ac:dyDescent="0.25">
      <c r="A1019" s="7" t="s">
        <v>2205</v>
      </c>
      <c r="B1019" s="10">
        <v>45932</v>
      </c>
      <c r="C1019" s="7" t="s">
        <v>2206</v>
      </c>
      <c r="D1019" s="8" t="s">
        <v>116</v>
      </c>
      <c r="E1019" s="8" t="s">
        <v>59</v>
      </c>
      <c r="F1019" s="8" t="s">
        <v>31</v>
      </c>
      <c r="G1019" s="8" t="s">
        <v>36</v>
      </c>
      <c r="H1019" s="8" t="s">
        <v>46</v>
      </c>
      <c r="I1019" s="11">
        <v>30</v>
      </c>
      <c r="J1019" s="12">
        <v>172.2</v>
      </c>
      <c r="K1019" s="13">
        <v>0.1</v>
      </c>
      <c r="L1019" s="12">
        <v>114.62</v>
      </c>
      <c r="M1019" s="14">
        <f>ROUND(tblSprzedaz[[#This Row],[Ilość]]*tblSprzedaz[[#This Row],[Cena netto jednostkowa]]*(1-tblSprzedaz[[#This Row],[Rabat %]]),2)</f>
        <v>4649.3999999999996</v>
      </c>
      <c r="N1019" s="14">
        <f>ROUND(tblSprzedaz[[#This Row],[Ilość]]*tblSprzedaz[[#This Row],[Koszt jednostkowy netto]],2)</f>
        <v>3438.6</v>
      </c>
      <c r="O1019" s="14">
        <f>tblSprzedaz[[#This Row],[Przychód netto]]-tblSprzedaz[[#This Row],[Koszt całkowity netto]]</f>
        <v>1210.7999999999997</v>
      </c>
      <c r="P1019" s="15">
        <f>IFERROR(tblSprzedaz[[#This Row],[Marża kwotowa]]/tblSprzedaz[[#This Row],[Przychód netto]],0)</f>
        <v>0.26042069944508967</v>
      </c>
      <c r="Q1019" s="16">
        <f>YEAR(tblSprzedaz[[#This Row],[Data]])</f>
        <v>2025</v>
      </c>
      <c r="R1019" s="16">
        <f>MONTH(tblSprzedaz[[#This Row],[Data]])</f>
        <v>10</v>
      </c>
      <c r="S1019" s="9" t="str">
        <f>YEAR(tblSprzedaz[[#This Row],[Data]])&amp;"-"&amp;RIGHT("0"&amp;MONTH(tblSprzedaz[[#This Row],[Data]]),2)</f>
        <v>2025-10</v>
      </c>
    </row>
    <row r="1020" spans="1:19" x14ac:dyDescent="0.25">
      <c r="A1020" s="7" t="s">
        <v>2207</v>
      </c>
      <c r="B1020" s="10">
        <v>45932</v>
      </c>
      <c r="C1020" s="7" t="s">
        <v>2208</v>
      </c>
      <c r="D1020" s="8" t="s">
        <v>114</v>
      </c>
      <c r="E1020" s="8" t="s">
        <v>56</v>
      </c>
      <c r="F1020" s="8" t="s">
        <v>31</v>
      </c>
      <c r="G1020" s="8" t="s">
        <v>34</v>
      </c>
      <c r="H1020" s="8" t="s">
        <v>45</v>
      </c>
      <c r="I1020" s="11">
        <v>16</v>
      </c>
      <c r="J1020" s="12">
        <v>279.3</v>
      </c>
      <c r="K1020" s="13">
        <v>0.05</v>
      </c>
      <c r="L1020" s="12">
        <v>177.3</v>
      </c>
      <c r="M1020" s="14">
        <f>ROUND(tblSprzedaz[[#This Row],[Ilość]]*tblSprzedaz[[#This Row],[Cena netto jednostkowa]]*(1-tblSprzedaz[[#This Row],[Rabat %]]),2)</f>
        <v>4245.3599999999997</v>
      </c>
      <c r="N1020" s="14">
        <f>ROUND(tblSprzedaz[[#This Row],[Ilość]]*tblSprzedaz[[#This Row],[Koszt jednostkowy netto]],2)</f>
        <v>2836.8</v>
      </c>
      <c r="O1020" s="14">
        <f>tblSprzedaz[[#This Row],[Przychód netto]]-tblSprzedaz[[#This Row],[Koszt całkowity netto]]</f>
        <v>1408.5599999999995</v>
      </c>
      <c r="P1020" s="15">
        <f>IFERROR(tblSprzedaz[[#This Row],[Marża kwotowa]]/tblSprzedaz[[#This Row],[Przychód netto]],0)</f>
        <v>0.33178811690881327</v>
      </c>
      <c r="Q1020" s="16">
        <f>YEAR(tblSprzedaz[[#This Row],[Data]])</f>
        <v>2025</v>
      </c>
      <c r="R1020" s="16">
        <f>MONTH(tblSprzedaz[[#This Row],[Data]])</f>
        <v>10</v>
      </c>
      <c r="S1020" s="9" t="str">
        <f>YEAR(tblSprzedaz[[#This Row],[Data]])&amp;"-"&amp;RIGHT("0"&amp;MONTH(tblSprzedaz[[#This Row],[Data]]),2)</f>
        <v>2025-10</v>
      </c>
    </row>
    <row r="1021" spans="1:19" x14ac:dyDescent="0.25">
      <c r="A1021" s="7" t="s">
        <v>2209</v>
      </c>
      <c r="B1021" s="10">
        <v>45933</v>
      </c>
      <c r="C1021" s="7" t="s">
        <v>2210</v>
      </c>
      <c r="D1021" s="8" t="s">
        <v>104</v>
      </c>
      <c r="E1021" s="8" t="s">
        <v>59</v>
      </c>
      <c r="F1021" s="8" t="s">
        <v>31</v>
      </c>
      <c r="G1021" s="8" t="s">
        <v>32</v>
      </c>
      <c r="H1021" s="8" t="s">
        <v>42</v>
      </c>
      <c r="I1021" s="11">
        <v>20</v>
      </c>
      <c r="J1021" s="12">
        <v>172.2</v>
      </c>
      <c r="K1021" s="13">
        <v>0.15</v>
      </c>
      <c r="L1021" s="12">
        <v>113.16</v>
      </c>
      <c r="M1021" s="14">
        <f>ROUND(tblSprzedaz[[#This Row],[Ilość]]*tblSprzedaz[[#This Row],[Cena netto jednostkowa]]*(1-tblSprzedaz[[#This Row],[Rabat %]]),2)</f>
        <v>2927.4</v>
      </c>
      <c r="N1021" s="14">
        <f>ROUND(tblSprzedaz[[#This Row],[Ilość]]*tblSprzedaz[[#This Row],[Koszt jednostkowy netto]],2)</f>
        <v>2263.1999999999998</v>
      </c>
      <c r="O1021" s="14">
        <f>tblSprzedaz[[#This Row],[Przychód netto]]-tblSprzedaz[[#This Row],[Koszt całkowity netto]]</f>
        <v>664.20000000000027</v>
      </c>
      <c r="P1021" s="15">
        <f>IFERROR(tblSprzedaz[[#This Row],[Marża kwotowa]]/tblSprzedaz[[#This Row],[Przychód netto]],0)</f>
        <v>0.22689075630252109</v>
      </c>
      <c r="Q1021" s="16">
        <f>YEAR(tblSprzedaz[[#This Row],[Data]])</f>
        <v>2025</v>
      </c>
      <c r="R1021" s="16">
        <f>MONTH(tblSprzedaz[[#This Row],[Data]])</f>
        <v>10</v>
      </c>
      <c r="S1021" s="9" t="str">
        <f>YEAR(tblSprzedaz[[#This Row],[Data]])&amp;"-"&amp;RIGHT("0"&amp;MONTH(tblSprzedaz[[#This Row],[Data]]),2)</f>
        <v>2025-10</v>
      </c>
    </row>
    <row r="1022" spans="1:19" x14ac:dyDescent="0.25">
      <c r="A1022" s="7" t="s">
        <v>2211</v>
      </c>
      <c r="B1022" s="10">
        <v>45933</v>
      </c>
      <c r="C1022" s="7" t="s">
        <v>2212</v>
      </c>
      <c r="D1022" s="8" t="s">
        <v>107</v>
      </c>
      <c r="E1022" s="8" t="s">
        <v>77</v>
      </c>
      <c r="F1022" s="8" t="s">
        <v>37</v>
      </c>
      <c r="G1022" s="8" t="s">
        <v>34</v>
      </c>
      <c r="H1022" s="8" t="s">
        <v>44</v>
      </c>
      <c r="I1022" s="11">
        <v>16</v>
      </c>
      <c r="J1022" s="12">
        <v>77.900000000000006</v>
      </c>
      <c r="K1022" s="13">
        <v>0.05</v>
      </c>
      <c r="L1022" s="12">
        <v>59.12</v>
      </c>
      <c r="M1022" s="14">
        <f>ROUND(tblSprzedaz[[#This Row],[Ilość]]*tblSprzedaz[[#This Row],[Cena netto jednostkowa]]*(1-tblSprzedaz[[#This Row],[Rabat %]]),2)</f>
        <v>1184.08</v>
      </c>
      <c r="N1022" s="14">
        <f>ROUND(tblSprzedaz[[#This Row],[Ilość]]*tblSprzedaz[[#This Row],[Koszt jednostkowy netto]],2)</f>
        <v>945.92</v>
      </c>
      <c r="O1022" s="14">
        <f>tblSprzedaz[[#This Row],[Przychód netto]]-tblSprzedaz[[#This Row],[Koszt całkowity netto]]</f>
        <v>238.15999999999997</v>
      </c>
      <c r="P1022" s="15">
        <f>IFERROR(tblSprzedaz[[#This Row],[Marża kwotowa]]/tblSprzedaz[[#This Row],[Przychód netto]],0)</f>
        <v>0.20113505844199714</v>
      </c>
      <c r="Q1022" s="16">
        <f>YEAR(tblSprzedaz[[#This Row],[Data]])</f>
        <v>2025</v>
      </c>
      <c r="R1022" s="16">
        <f>MONTH(tblSprzedaz[[#This Row],[Data]])</f>
        <v>10</v>
      </c>
      <c r="S1022" s="9" t="str">
        <f>YEAR(tblSprzedaz[[#This Row],[Data]])&amp;"-"&amp;RIGHT("0"&amp;MONTH(tblSprzedaz[[#This Row],[Data]]),2)</f>
        <v>2025-10</v>
      </c>
    </row>
    <row r="1023" spans="1:19" x14ac:dyDescent="0.25">
      <c r="A1023" s="7" t="s">
        <v>2213</v>
      </c>
      <c r="B1023" s="10">
        <v>45933</v>
      </c>
      <c r="C1023" s="7" t="s">
        <v>2214</v>
      </c>
      <c r="D1023" s="8" t="s">
        <v>115</v>
      </c>
      <c r="E1023" s="8" t="s">
        <v>74</v>
      </c>
      <c r="F1023" s="8" t="s">
        <v>37</v>
      </c>
      <c r="G1023" s="8" t="s">
        <v>34</v>
      </c>
      <c r="H1023" s="8" t="s">
        <v>45</v>
      </c>
      <c r="I1023" s="11">
        <v>6</v>
      </c>
      <c r="J1023" s="12">
        <v>126.35</v>
      </c>
      <c r="K1023" s="13">
        <v>0.15</v>
      </c>
      <c r="L1023" s="12">
        <v>92.24</v>
      </c>
      <c r="M1023" s="14">
        <f>ROUND(tblSprzedaz[[#This Row],[Ilość]]*tblSprzedaz[[#This Row],[Cena netto jednostkowa]]*(1-tblSprzedaz[[#This Row],[Rabat %]]),2)</f>
        <v>644.39</v>
      </c>
      <c r="N1023" s="14">
        <f>ROUND(tblSprzedaz[[#This Row],[Ilość]]*tblSprzedaz[[#This Row],[Koszt jednostkowy netto]],2)</f>
        <v>553.44000000000005</v>
      </c>
      <c r="O1023" s="14">
        <f>tblSprzedaz[[#This Row],[Przychód netto]]-tblSprzedaz[[#This Row],[Koszt całkowity netto]]</f>
        <v>90.949999999999932</v>
      </c>
      <c r="P1023" s="15">
        <f>IFERROR(tblSprzedaz[[#This Row],[Marża kwotowa]]/tblSprzedaz[[#This Row],[Przychód netto]],0)</f>
        <v>0.14114123434566014</v>
      </c>
      <c r="Q1023" s="16">
        <f>YEAR(tblSprzedaz[[#This Row],[Data]])</f>
        <v>2025</v>
      </c>
      <c r="R1023" s="16">
        <f>MONTH(tblSprzedaz[[#This Row],[Data]])</f>
        <v>10</v>
      </c>
      <c r="S1023" s="9" t="str">
        <f>YEAR(tblSprzedaz[[#This Row],[Data]])&amp;"-"&amp;RIGHT("0"&amp;MONTH(tblSprzedaz[[#This Row],[Data]]),2)</f>
        <v>2025-10</v>
      </c>
    </row>
    <row r="1024" spans="1:19" x14ac:dyDescent="0.25">
      <c r="A1024" s="7" t="s">
        <v>2215</v>
      </c>
      <c r="B1024" s="10">
        <v>45933</v>
      </c>
      <c r="C1024" s="7" t="s">
        <v>2216</v>
      </c>
      <c r="D1024" s="8" t="s">
        <v>118</v>
      </c>
      <c r="E1024" s="8" t="s">
        <v>70</v>
      </c>
      <c r="F1024" s="8" t="s">
        <v>35</v>
      </c>
      <c r="G1024" s="8" t="s">
        <v>28</v>
      </c>
      <c r="H1024" s="8" t="s">
        <v>38</v>
      </c>
      <c r="I1024" s="11">
        <v>3</v>
      </c>
      <c r="J1024" s="12">
        <v>113.56</v>
      </c>
      <c r="K1024" s="13">
        <v>0.1</v>
      </c>
      <c r="L1024" s="12">
        <v>79.680000000000007</v>
      </c>
      <c r="M1024" s="14">
        <f>ROUND(tblSprzedaz[[#This Row],[Ilość]]*tblSprzedaz[[#This Row],[Cena netto jednostkowa]]*(1-tblSprzedaz[[#This Row],[Rabat %]]),2)</f>
        <v>306.61</v>
      </c>
      <c r="N1024" s="14">
        <f>ROUND(tblSprzedaz[[#This Row],[Ilość]]*tblSprzedaz[[#This Row],[Koszt jednostkowy netto]],2)</f>
        <v>239.04</v>
      </c>
      <c r="O1024" s="14">
        <f>tblSprzedaz[[#This Row],[Przychód netto]]-tblSprzedaz[[#This Row],[Koszt całkowity netto]]</f>
        <v>67.570000000000022</v>
      </c>
      <c r="P1024" s="15">
        <f>IFERROR(tblSprzedaz[[#This Row],[Marża kwotowa]]/tblSprzedaz[[#This Row],[Przychód netto]],0)</f>
        <v>0.22037767848406778</v>
      </c>
      <c r="Q1024" s="16">
        <f>YEAR(tblSprzedaz[[#This Row],[Data]])</f>
        <v>2025</v>
      </c>
      <c r="R1024" s="16">
        <f>MONTH(tblSprzedaz[[#This Row],[Data]])</f>
        <v>10</v>
      </c>
      <c r="S1024" s="9" t="str">
        <f>YEAR(tblSprzedaz[[#This Row],[Data]])&amp;"-"&amp;RIGHT("0"&amp;MONTH(tblSprzedaz[[#This Row],[Data]]),2)</f>
        <v>2025-10</v>
      </c>
    </row>
    <row r="1025" spans="1:19" x14ac:dyDescent="0.25">
      <c r="A1025" s="7" t="s">
        <v>2217</v>
      </c>
      <c r="B1025" s="10">
        <v>45933</v>
      </c>
      <c r="C1025" s="7" t="s">
        <v>2218</v>
      </c>
      <c r="D1025" s="8" t="s">
        <v>85</v>
      </c>
      <c r="E1025" s="8" t="s">
        <v>61</v>
      </c>
      <c r="F1025" s="8" t="s">
        <v>33</v>
      </c>
      <c r="G1025" s="8" t="s">
        <v>28</v>
      </c>
      <c r="H1025" s="8" t="s">
        <v>39</v>
      </c>
      <c r="I1025" s="11">
        <v>5</v>
      </c>
      <c r="J1025" s="12">
        <v>533.6</v>
      </c>
      <c r="K1025" s="13">
        <v>0.15</v>
      </c>
      <c r="L1025" s="12">
        <v>364.75</v>
      </c>
      <c r="M1025" s="14">
        <f>ROUND(tblSprzedaz[[#This Row],[Ilość]]*tblSprzedaz[[#This Row],[Cena netto jednostkowa]]*(1-tblSprzedaz[[#This Row],[Rabat %]]),2)</f>
        <v>2267.8000000000002</v>
      </c>
      <c r="N1025" s="14">
        <f>ROUND(tblSprzedaz[[#This Row],[Ilość]]*tblSprzedaz[[#This Row],[Koszt jednostkowy netto]],2)</f>
        <v>1823.75</v>
      </c>
      <c r="O1025" s="14">
        <f>tblSprzedaz[[#This Row],[Przychód netto]]-tblSprzedaz[[#This Row],[Koszt całkowity netto]]</f>
        <v>444.05000000000018</v>
      </c>
      <c r="P1025" s="15">
        <f>IFERROR(tblSprzedaz[[#This Row],[Marża kwotowa]]/tblSprzedaz[[#This Row],[Przychód netto]],0)</f>
        <v>0.19580650851045073</v>
      </c>
      <c r="Q1025" s="16">
        <f>YEAR(tblSprzedaz[[#This Row],[Data]])</f>
        <v>2025</v>
      </c>
      <c r="R1025" s="16">
        <f>MONTH(tblSprzedaz[[#This Row],[Data]])</f>
        <v>10</v>
      </c>
      <c r="S1025" s="9" t="str">
        <f>YEAR(tblSprzedaz[[#This Row],[Data]])&amp;"-"&amp;RIGHT("0"&amp;MONTH(tblSprzedaz[[#This Row],[Data]]),2)</f>
        <v>2025-10</v>
      </c>
    </row>
    <row r="1026" spans="1:19" x14ac:dyDescent="0.25">
      <c r="A1026" s="7" t="s">
        <v>2219</v>
      </c>
      <c r="B1026" s="10">
        <v>45933</v>
      </c>
      <c r="C1026" s="7" t="s">
        <v>2220</v>
      </c>
      <c r="D1026" s="8" t="s">
        <v>120</v>
      </c>
      <c r="E1026" s="8" t="s">
        <v>69</v>
      </c>
      <c r="F1026" s="8" t="s">
        <v>35</v>
      </c>
      <c r="G1026" s="8" t="s">
        <v>30</v>
      </c>
      <c r="H1026" s="8" t="s">
        <v>41</v>
      </c>
      <c r="I1026" s="11">
        <v>13</v>
      </c>
      <c r="J1026" s="12">
        <v>102</v>
      </c>
      <c r="K1026" s="13">
        <v>0.05</v>
      </c>
      <c r="L1026" s="12">
        <v>69.92</v>
      </c>
      <c r="M1026" s="14">
        <f>ROUND(tblSprzedaz[[#This Row],[Ilość]]*tblSprzedaz[[#This Row],[Cena netto jednostkowa]]*(1-tblSprzedaz[[#This Row],[Rabat %]]),2)</f>
        <v>1259.7</v>
      </c>
      <c r="N1026" s="14">
        <f>ROUND(tblSprzedaz[[#This Row],[Ilość]]*tblSprzedaz[[#This Row],[Koszt jednostkowy netto]],2)</f>
        <v>908.96</v>
      </c>
      <c r="O1026" s="14">
        <f>tblSprzedaz[[#This Row],[Przychód netto]]-tblSprzedaz[[#This Row],[Koszt całkowity netto]]</f>
        <v>350.74</v>
      </c>
      <c r="P1026" s="15">
        <f>IFERROR(tblSprzedaz[[#This Row],[Marża kwotowa]]/tblSprzedaz[[#This Row],[Przychód netto]],0)</f>
        <v>0.27843137254901962</v>
      </c>
      <c r="Q1026" s="16">
        <f>YEAR(tblSprzedaz[[#This Row],[Data]])</f>
        <v>2025</v>
      </c>
      <c r="R1026" s="16">
        <f>MONTH(tblSprzedaz[[#This Row],[Data]])</f>
        <v>10</v>
      </c>
      <c r="S1026" s="9" t="str">
        <f>YEAR(tblSprzedaz[[#This Row],[Data]])&amp;"-"&amp;RIGHT("0"&amp;MONTH(tblSprzedaz[[#This Row],[Data]]),2)</f>
        <v>2025-10</v>
      </c>
    </row>
    <row r="1027" spans="1:19" x14ac:dyDescent="0.25">
      <c r="A1027" s="7" t="s">
        <v>2221</v>
      </c>
      <c r="B1027" s="10">
        <v>45933</v>
      </c>
      <c r="C1027" s="7" t="s">
        <v>2222</v>
      </c>
      <c r="D1027" s="8" t="s">
        <v>91</v>
      </c>
      <c r="E1027" s="8" t="s">
        <v>54</v>
      </c>
      <c r="F1027" s="8" t="s">
        <v>31</v>
      </c>
      <c r="G1027" s="8" t="s">
        <v>30</v>
      </c>
      <c r="H1027" s="8" t="s">
        <v>40</v>
      </c>
      <c r="I1027" s="11">
        <v>8</v>
      </c>
      <c r="J1027" s="12">
        <v>207.9</v>
      </c>
      <c r="K1027" s="13">
        <v>0.15</v>
      </c>
      <c r="L1027" s="12">
        <v>126.95</v>
      </c>
      <c r="M1027" s="14">
        <f>ROUND(tblSprzedaz[[#This Row],[Ilość]]*tblSprzedaz[[#This Row],[Cena netto jednostkowa]]*(1-tblSprzedaz[[#This Row],[Rabat %]]),2)</f>
        <v>1413.72</v>
      </c>
      <c r="N1027" s="14">
        <f>ROUND(tblSprzedaz[[#This Row],[Ilość]]*tblSprzedaz[[#This Row],[Koszt jednostkowy netto]],2)</f>
        <v>1015.6</v>
      </c>
      <c r="O1027" s="14">
        <f>tblSprzedaz[[#This Row],[Przychód netto]]-tblSprzedaz[[#This Row],[Koszt całkowity netto]]</f>
        <v>398.12</v>
      </c>
      <c r="P1027" s="15">
        <f>IFERROR(tblSprzedaz[[#This Row],[Marża kwotowa]]/tblSprzedaz[[#This Row],[Przychód netto]],0)</f>
        <v>0.28161163455281102</v>
      </c>
      <c r="Q1027" s="16">
        <f>YEAR(tblSprzedaz[[#This Row],[Data]])</f>
        <v>2025</v>
      </c>
      <c r="R1027" s="16">
        <f>MONTH(tblSprzedaz[[#This Row],[Data]])</f>
        <v>10</v>
      </c>
      <c r="S1027" s="9" t="str">
        <f>YEAR(tblSprzedaz[[#This Row],[Data]])&amp;"-"&amp;RIGHT("0"&amp;MONTH(tblSprzedaz[[#This Row],[Data]]),2)</f>
        <v>2025-10</v>
      </c>
    </row>
    <row r="1028" spans="1:19" x14ac:dyDescent="0.25">
      <c r="A1028" s="7" t="s">
        <v>2223</v>
      </c>
      <c r="B1028" s="10">
        <v>45934</v>
      </c>
      <c r="C1028" s="7" t="s">
        <v>2224</v>
      </c>
      <c r="D1028" s="8" t="s">
        <v>116</v>
      </c>
      <c r="E1028" s="8" t="s">
        <v>50</v>
      </c>
      <c r="F1028" s="8" t="s">
        <v>29</v>
      </c>
      <c r="G1028" s="8" t="s">
        <v>32</v>
      </c>
      <c r="H1028" s="8" t="s">
        <v>42</v>
      </c>
      <c r="I1028" s="11">
        <v>10</v>
      </c>
      <c r="J1028" s="12">
        <v>45.22</v>
      </c>
      <c r="K1028" s="13">
        <v>0</v>
      </c>
      <c r="L1028" s="12">
        <v>27.7</v>
      </c>
      <c r="M1028" s="14">
        <f>ROUND(tblSprzedaz[[#This Row],[Ilość]]*tblSprzedaz[[#This Row],[Cena netto jednostkowa]]*(1-tblSprzedaz[[#This Row],[Rabat %]]),2)</f>
        <v>452.2</v>
      </c>
      <c r="N1028" s="14">
        <f>ROUND(tblSprzedaz[[#This Row],[Ilość]]*tblSprzedaz[[#This Row],[Koszt jednostkowy netto]],2)</f>
        <v>277</v>
      </c>
      <c r="O1028" s="14">
        <f>tblSprzedaz[[#This Row],[Przychód netto]]-tblSprzedaz[[#This Row],[Koszt całkowity netto]]</f>
        <v>175.2</v>
      </c>
      <c r="P1028" s="15">
        <f>IFERROR(tblSprzedaz[[#This Row],[Marża kwotowa]]/tblSprzedaz[[#This Row],[Przychód netto]],0)</f>
        <v>0.38743918620079609</v>
      </c>
      <c r="Q1028" s="16">
        <f>YEAR(tblSprzedaz[[#This Row],[Data]])</f>
        <v>2025</v>
      </c>
      <c r="R1028" s="16">
        <f>MONTH(tblSprzedaz[[#This Row],[Data]])</f>
        <v>10</v>
      </c>
      <c r="S1028" s="9" t="str">
        <f>YEAR(tblSprzedaz[[#This Row],[Data]])&amp;"-"&amp;RIGHT("0"&amp;MONTH(tblSprzedaz[[#This Row],[Data]]),2)</f>
        <v>2025-10</v>
      </c>
    </row>
    <row r="1029" spans="1:19" x14ac:dyDescent="0.25">
      <c r="A1029" s="7" t="s">
        <v>2225</v>
      </c>
      <c r="B1029" s="10">
        <v>45935</v>
      </c>
      <c r="C1029" s="7" t="s">
        <v>2226</v>
      </c>
      <c r="D1029" s="8" t="s">
        <v>85</v>
      </c>
      <c r="E1029" s="8" t="s">
        <v>63</v>
      </c>
      <c r="F1029" s="8" t="s">
        <v>33</v>
      </c>
      <c r="G1029" s="8" t="s">
        <v>34</v>
      </c>
      <c r="H1029" s="8" t="s">
        <v>44</v>
      </c>
      <c r="I1029" s="11">
        <v>11</v>
      </c>
      <c r="J1029" s="12">
        <v>690</v>
      </c>
      <c r="K1029" s="13">
        <v>0</v>
      </c>
      <c r="L1029" s="12">
        <v>488.07</v>
      </c>
      <c r="M1029" s="14">
        <f>ROUND(tblSprzedaz[[#This Row],[Ilość]]*tblSprzedaz[[#This Row],[Cena netto jednostkowa]]*(1-tblSprzedaz[[#This Row],[Rabat %]]),2)</f>
        <v>7590</v>
      </c>
      <c r="N1029" s="14">
        <f>ROUND(tblSprzedaz[[#This Row],[Ilość]]*tblSprzedaz[[#This Row],[Koszt jednostkowy netto]],2)</f>
        <v>5368.77</v>
      </c>
      <c r="O1029" s="14">
        <f>tblSprzedaz[[#This Row],[Przychód netto]]-tblSprzedaz[[#This Row],[Koszt całkowity netto]]</f>
        <v>2221.2299999999996</v>
      </c>
      <c r="P1029" s="15">
        <f>IFERROR(tblSprzedaz[[#This Row],[Marża kwotowa]]/tblSprzedaz[[#This Row],[Przychód netto]],0)</f>
        <v>0.29265217391304343</v>
      </c>
      <c r="Q1029" s="16">
        <f>YEAR(tblSprzedaz[[#This Row],[Data]])</f>
        <v>2025</v>
      </c>
      <c r="R1029" s="16">
        <f>MONTH(tblSprzedaz[[#This Row],[Data]])</f>
        <v>10</v>
      </c>
      <c r="S1029" s="9" t="str">
        <f>YEAR(tblSprzedaz[[#This Row],[Data]])&amp;"-"&amp;RIGHT("0"&amp;MONTH(tblSprzedaz[[#This Row],[Data]]),2)</f>
        <v>2025-10</v>
      </c>
    </row>
    <row r="1030" spans="1:19" x14ac:dyDescent="0.25">
      <c r="A1030" s="7" t="s">
        <v>2227</v>
      </c>
      <c r="B1030" s="10">
        <v>45935</v>
      </c>
      <c r="C1030" s="7" t="s">
        <v>2228</v>
      </c>
      <c r="D1030" s="8" t="s">
        <v>120</v>
      </c>
      <c r="E1030" s="8" t="s">
        <v>57</v>
      </c>
      <c r="F1030" s="8" t="s">
        <v>31</v>
      </c>
      <c r="G1030" s="8" t="s">
        <v>34</v>
      </c>
      <c r="H1030" s="8" t="s">
        <v>44</v>
      </c>
      <c r="I1030" s="11">
        <v>18</v>
      </c>
      <c r="J1030" s="12">
        <v>315</v>
      </c>
      <c r="K1030" s="13">
        <v>0.15</v>
      </c>
      <c r="L1030" s="12">
        <v>192.27</v>
      </c>
      <c r="M1030" s="14">
        <f>ROUND(tblSprzedaz[[#This Row],[Ilość]]*tblSprzedaz[[#This Row],[Cena netto jednostkowa]]*(1-tblSprzedaz[[#This Row],[Rabat %]]),2)</f>
        <v>4819.5</v>
      </c>
      <c r="N1030" s="14">
        <f>ROUND(tblSprzedaz[[#This Row],[Ilość]]*tblSprzedaz[[#This Row],[Koszt jednostkowy netto]],2)</f>
        <v>3460.86</v>
      </c>
      <c r="O1030" s="14">
        <f>tblSprzedaz[[#This Row],[Przychód netto]]-tblSprzedaz[[#This Row],[Koszt całkowity netto]]</f>
        <v>1358.6399999999999</v>
      </c>
      <c r="P1030" s="15">
        <f>IFERROR(tblSprzedaz[[#This Row],[Marża kwotowa]]/tblSprzedaz[[#This Row],[Przychód netto]],0)</f>
        <v>0.28190476190476188</v>
      </c>
      <c r="Q1030" s="16">
        <f>YEAR(tblSprzedaz[[#This Row],[Data]])</f>
        <v>2025</v>
      </c>
      <c r="R1030" s="16">
        <f>MONTH(tblSprzedaz[[#This Row],[Data]])</f>
        <v>10</v>
      </c>
      <c r="S1030" s="9" t="str">
        <f>YEAR(tblSprzedaz[[#This Row],[Data]])&amp;"-"&amp;RIGHT("0"&amp;MONTH(tblSprzedaz[[#This Row],[Data]]),2)</f>
        <v>2025-10</v>
      </c>
    </row>
    <row r="1031" spans="1:19" x14ac:dyDescent="0.25">
      <c r="A1031" s="7" t="s">
        <v>2229</v>
      </c>
      <c r="B1031" s="10">
        <v>45936</v>
      </c>
      <c r="C1031" s="7" t="s">
        <v>2230</v>
      </c>
      <c r="D1031" s="8" t="s">
        <v>104</v>
      </c>
      <c r="E1031" s="8" t="s">
        <v>68</v>
      </c>
      <c r="F1031" s="8" t="s">
        <v>35</v>
      </c>
      <c r="G1031" s="8" t="s">
        <v>32</v>
      </c>
      <c r="H1031" s="8" t="s">
        <v>42</v>
      </c>
      <c r="I1031" s="11">
        <v>8</v>
      </c>
      <c r="J1031" s="12">
        <v>90.44</v>
      </c>
      <c r="K1031" s="13">
        <v>0.15</v>
      </c>
      <c r="L1031" s="12">
        <v>68.69</v>
      </c>
      <c r="M1031" s="14">
        <f>ROUND(tblSprzedaz[[#This Row],[Ilość]]*tblSprzedaz[[#This Row],[Cena netto jednostkowa]]*(1-tblSprzedaz[[#This Row],[Rabat %]]),2)</f>
        <v>614.99</v>
      </c>
      <c r="N1031" s="14">
        <f>ROUND(tblSprzedaz[[#This Row],[Ilość]]*tblSprzedaz[[#This Row],[Koszt jednostkowy netto]],2)</f>
        <v>549.52</v>
      </c>
      <c r="O1031" s="14">
        <f>tblSprzedaz[[#This Row],[Przychód netto]]-tblSprzedaz[[#This Row],[Koszt całkowity netto]]</f>
        <v>65.470000000000027</v>
      </c>
      <c r="P1031" s="15">
        <f>IFERROR(tblSprzedaz[[#This Row],[Marża kwotowa]]/tblSprzedaz[[#This Row],[Przychód netto]],0)</f>
        <v>0.10645701556122868</v>
      </c>
      <c r="Q1031" s="16">
        <f>YEAR(tblSprzedaz[[#This Row],[Data]])</f>
        <v>2025</v>
      </c>
      <c r="R1031" s="16">
        <f>MONTH(tblSprzedaz[[#This Row],[Data]])</f>
        <v>10</v>
      </c>
      <c r="S1031" s="9" t="str">
        <f>YEAR(tblSprzedaz[[#This Row],[Data]])&amp;"-"&amp;RIGHT("0"&amp;MONTH(tblSprzedaz[[#This Row],[Data]]),2)</f>
        <v>2025-10</v>
      </c>
    </row>
    <row r="1032" spans="1:19" x14ac:dyDescent="0.25">
      <c r="A1032" s="7" t="s">
        <v>2231</v>
      </c>
      <c r="B1032" s="10">
        <v>45936</v>
      </c>
      <c r="C1032" s="7" t="s">
        <v>2232</v>
      </c>
      <c r="D1032" s="8" t="s">
        <v>80</v>
      </c>
      <c r="E1032" s="8" t="s">
        <v>64</v>
      </c>
      <c r="F1032" s="8" t="s">
        <v>33</v>
      </c>
      <c r="G1032" s="8" t="s">
        <v>36</v>
      </c>
      <c r="H1032" s="8" t="s">
        <v>47</v>
      </c>
      <c r="I1032" s="11">
        <v>13</v>
      </c>
      <c r="J1032" s="12">
        <v>768.2</v>
      </c>
      <c r="K1032" s="13">
        <v>0.05</v>
      </c>
      <c r="L1032" s="12">
        <v>523.44000000000005</v>
      </c>
      <c r="M1032" s="14">
        <f>ROUND(tblSprzedaz[[#This Row],[Ilość]]*tblSprzedaz[[#This Row],[Cena netto jednostkowa]]*(1-tblSprzedaz[[#This Row],[Rabat %]]),2)</f>
        <v>9487.27</v>
      </c>
      <c r="N1032" s="14">
        <f>ROUND(tblSprzedaz[[#This Row],[Ilość]]*tblSprzedaz[[#This Row],[Koszt jednostkowy netto]],2)</f>
        <v>6804.72</v>
      </c>
      <c r="O1032" s="14">
        <f>tblSprzedaz[[#This Row],[Przychód netto]]-tblSprzedaz[[#This Row],[Koszt całkowity netto]]</f>
        <v>2682.55</v>
      </c>
      <c r="P1032" s="15">
        <f>IFERROR(tblSprzedaz[[#This Row],[Marża kwotowa]]/tblSprzedaz[[#This Row],[Przychód netto]],0)</f>
        <v>0.28275257265788789</v>
      </c>
      <c r="Q1032" s="16">
        <f>YEAR(tblSprzedaz[[#This Row],[Data]])</f>
        <v>2025</v>
      </c>
      <c r="R1032" s="16">
        <f>MONTH(tblSprzedaz[[#This Row],[Data]])</f>
        <v>10</v>
      </c>
      <c r="S1032" s="9" t="str">
        <f>YEAR(tblSprzedaz[[#This Row],[Data]])&amp;"-"&amp;RIGHT("0"&amp;MONTH(tblSprzedaz[[#This Row],[Data]]),2)</f>
        <v>2025-10</v>
      </c>
    </row>
    <row r="1033" spans="1:19" x14ac:dyDescent="0.25">
      <c r="A1033" s="7" t="s">
        <v>2233</v>
      </c>
      <c r="B1033" s="10">
        <v>45936</v>
      </c>
      <c r="C1033" s="7" t="s">
        <v>2234</v>
      </c>
      <c r="D1033" s="8" t="s">
        <v>131</v>
      </c>
      <c r="E1033" s="8" t="s">
        <v>58</v>
      </c>
      <c r="F1033" s="8" t="s">
        <v>31</v>
      </c>
      <c r="G1033" s="8" t="s">
        <v>30</v>
      </c>
      <c r="H1033" s="8" t="s">
        <v>40</v>
      </c>
      <c r="I1033" s="11">
        <v>16</v>
      </c>
      <c r="J1033" s="12">
        <v>350.7</v>
      </c>
      <c r="K1033" s="13">
        <v>0</v>
      </c>
      <c r="L1033" s="12">
        <v>209.37</v>
      </c>
      <c r="M1033" s="14">
        <f>ROUND(tblSprzedaz[[#This Row],[Ilość]]*tblSprzedaz[[#This Row],[Cena netto jednostkowa]]*(1-tblSprzedaz[[#This Row],[Rabat %]]),2)</f>
        <v>5611.2</v>
      </c>
      <c r="N1033" s="14">
        <f>ROUND(tblSprzedaz[[#This Row],[Ilość]]*tblSprzedaz[[#This Row],[Koszt jednostkowy netto]],2)</f>
        <v>3349.92</v>
      </c>
      <c r="O1033" s="14">
        <f>tblSprzedaz[[#This Row],[Przychód netto]]-tblSprzedaz[[#This Row],[Koszt całkowity netto]]</f>
        <v>2261.2799999999997</v>
      </c>
      <c r="P1033" s="15">
        <f>IFERROR(tblSprzedaz[[#This Row],[Marża kwotowa]]/tblSprzedaz[[#This Row],[Przychód netto]],0)</f>
        <v>0.40299401197604789</v>
      </c>
      <c r="Q1033" s="16">
        <f>YEAR(tblSprzedaz[[#This Row],[Data]])</f>
        <v>2025</v>
      </c>
      <c r="R1033" s="16">
        <f>MONTH(tblSprzedaz[[#This Row],[Data]])</f>
        <v>10</v>
      </c>
      <c r="S1033" s="9" t="str">
        <f>YEAR(tblSprzedaz[[#This Row],[Data]])&amp;"-"&amp;RIGHT("0"&amp;MONTH(tblSprzedaz[[#This Row],[Data]]),2)</f>
        <v>2025-10</v>
      </c>
    </row>
    <row r="1034" spans="1:19" x14ac:dyDescent="0.25">
      <c r="A1034" s="7" t="s">
        <v>2235</v>
      </c>
      <c r="B1034" s="10">
        <v>45937</v>
      </c>
      <c r="C1034" s="7" t="s">
        <v>2236</v>
      </c>
      <c r="D1034" s="8" t="s">
        <v>97</v>
      </c>
      <c r="E1034" s="8" t="s">
        <v>57</v>
      </c>
      <c r="F1034" s="8" t="s">
        <v>31</v>
      </c>
      <c r="G1034" s="8" t="s">
        <v>30</v>
      </c>
      <c r="H1034" s="8" t="s">
        <v>41</v>
      </c>
      <c r="I1034" s="11">
        <v>1</v>
      </c>
      <c r="J1034" s="12">
        <v>315</v>
      </c>
      <c r="K1034" s="13">
        <v>0.1</v>
      </c>
      <c r="L1034" s="12">
        <v>211.79</v>
      </c>
      <c r="M1034" s="14">
        <f>ROUND(tblSprzedaz[[#This Row],[Ilość]]*tblSprzedaz[[#This Row],[Cena netto jednostkowa]]*(1-tblSprzedaz[[#This Row],[Rabat %]]),2)</f>
        <v>283.5</v>
      </c>
      <c r="N1034" s="14">
        <f>ROUND(tblSprzedaz[[#This Row],[Ilość]]*tblSprzedaz[[#This Row],[Koszt jednostkowy netto]],2)</f>
        <v>211.79</v>
      </c>
      <c r="O1034" s="14">
        <f>tblSprzedaz[[#This Row],[Przychód netto]]-tblSprzedaz[[#This Row],[Koszt całkowity netto]]</f>
        <v>71.710000000000008</v>
      </c>
      <c r="P1034" s="15">
        <f>IFERROR(tblSprzedaz[[#This Row],[Marża kwotowa]]/tblSprzedaz[[#This Row],[Przychód netto]],0)</f>
        <v>0.25294532627865962</v>
      </c>
      <c r="Q1034" s="16">
        <f>YEAR(tblSprzedaz[[#This Row],[Data]])</f>
        <v>2025</v>
      </c>
      <c r="R1034" s="16">
        <f>MONTH(tblSprzedaz[[#This Row],[Data]])</f>
        <v>10</v>
      </c>
      <c r="S1034" s="9" t="str">
        <f>YEAR(tblSprzedaz[[#This Row],[Data]])&amp;"-"&amp;RIGHT("0"&amp;MONTH(tblSprzedaz[[#This Row],[Data]]),2)</f>
        <v>2025-10</v>
      </c>
    </row>
    <row r="1035" spans="1:19" x14ac:dyDescent="0.25">
      <c r="A1035" s="7" t="s">
        <v>2237</v>
      </c>
      <c r="B1035" s="10">
        <v>45937</v>
      </c>
      <c r="C1035" s="7" t="s">
        <v>2238</v>
      </c>
      <c r="D1035" s="8" t="s">
        <v>130</v>
      </c>
      <c r="E1035" s="8" t="s">
        <v>53</v>
      </c>
      <c r="F1035" s="8" t="s">
        <v>29</v>
      </c>
      <c r="G1035" s="8" t="s">
        <v>28</v>
      </c>
      <c r="H1035" s="8" t="s">
        <v>38</v>
      </c>
      <c r="I1035" s="11">
        <v>27</v>
      </c>
      <c r="J1035" s="12">
        <v>27.88</v>
      </c>
      <c r="K1035" s="13">
        <v>0</v>
      </c>
      <c r="L1035" s="12">
        <v>16.260000000000002</v>
      </c>
      <c r="M1035" s="14">
        <f>ROUND(tblSprzedaz[[#This Row],[Ilość]]*tblSprzedaz[[#This Row],[Cena netto jednostkowa]]*(1-tblSprzedaz[[#This Row],[Rabat %]]),2)</f>
        <v>752.76</v>
      </c>
      <c r="N1035" s="14">
        <f>ROUND(tblSprzedaz[[#This Row],[Ilość]]*tblSprzedaz[[#This Row],[Koszt jednostkowy netto]],2)</f>
        <v>439.02</v>
      </c>
      <c r="O1035" s="14">
        <f>tblSprzedaz[[#This Row],[Przychód netto]]-tblSprzedaz[[#This Row],[Koszt całkowity netto]]</f>
        <v>313.74</v>
      </c>
      <c r="P1035" s="15">
        <f>IFERROR(tblSprzedaz[[#This Row],[Marża kwotowa]]/tblSprzedaz[[#This Row],[Przychód netto]],0)</f>
        <v>0.41678622668579629</v>
      </c>
      <c r="Q1035" s="16">
        <f>YEAR(tblSprzedaz[[#This Row],[Data]])</f>
        <v>2025</v>
      </c>
      <c r="R1035" s="16">
        <f>MONTH(tblSprzedaz[[#This Row],[Data]])</f>
        <v>10</v>
      </c>
      <c r="S1035" s="9" t="str">
        <f>YEAR(tblSprzedaz[[#This Row],[Data]])&amp;"-"&amp;RIGHT("0"&amp;MONTH(tblSprzedaz[[#This Row],[Data]]),2)</f>
        <v>2025-10</v>
      </c>
    </row>
    <row r="1036" spans="1:19" x14ac:dyDescent="0.25">
      <c r="A1036" s="7" t="s">
        <v>2239</v>
      </c>
      <c r="B1036" s="10">
        <v>45937</v>
      </c>
      <c r="C1036" s="7" t="s">
        <v>2240</v>
      </c>
      <c r="D1036" s="8" t="s">
        <v>107</v>
      </c>
      <c r="E1036" s="8" t="s">
        <v>64</v>
      </c>
      <c r="F1036" s="8" t="s">
        <v>33</v>
      </c>
      <c r="G1036" s="8" t="s">
        <v>36</v>
      </c>
      <c r="H1036" s="8" t="s">
        <v>46</v>
      </c>
      <c r="I1036" s="11">
        <v>6</v>
      </c>
      <c r="J1036" s="12">
        <v>768.2</v>
      </c>
      <c r="K1036" s="13">
        <v>0</v>
      </c>
      <c r="L1036" s="12">
        <v>546.33000000000004</v>
      </c>
      <c r="M1036" s="14">
        <f>ROUND(tblSprzedaz[[#This Row],[Ilość]]*tblSprzedaz[[#This Row],[Cena netto jednostkowa]]*(1-tblSprzedaz[[#This Row],[Rabat %]]),2)</f>
        <v>4609.2</v>
      </c>
      <c r="N1036" s="14">
        <f>ROUND(tblSprzedaz[[#This Row],[Ilość]]*tblSprzedaz[[#This Row],[Koszt jednostkowy netto]],2)</f>
        <v>3277.98</v>
      </c>
      <c r="O1036" s="14">
        <f>tblSprzedaz[[#This Row],[Przychód netto]]-tblSprzedaz[[#This Row],[Koszt całkowity netto]]</f>
        <v>1331.2199999999998</v>
      </c>
      <c r="P1036" s="15">
        <f>IFERROR(tblSprzedaz[[#This Row],[Marża kwotowa]]/tblSprzedaz[[#This Row],[Przychód netto]],0)</f>
        <v>0.28881801614162977</v>
      </c>
      <c r="Q1036" s="16">
        <f>YEAR(tblSprzedaz[[#This Row],[Data]])</f>
        <v>2025</v>
      </c>
      <c r="R1036" s="16">
        <f>MONTH(tblSprzedaz[[#This Row],[Data]])</f>
        <v>10</v>
      </c>
      <c r="S1036" s="9" t="str">
        <f>YEAR(tblSprzedaz[[#This Row],[Data]])&amp;"-"&amp;RIGHT("0"&amp;MONTH(tblSprzedaz[[#This Row],[Data]]),2)</f>
        <v>2025-10</v>
      </c>
    </row>
    <row r="1037" spans="1:19" x14ac:dyDescent="0.25">
      <c r="A1037" s="7" t="s">
        <v>2241</v>
      </c>
      <c r="B1037" s="10">
        <v>45937</v>
      </c>
      <c r="C1037" s="7" t="s">
        <v>2242</v>
      </c>
      <c r="D1037" s="8" t="s">
        <v>130</v>
      </c>
      <c r="E1037" s="8" t="s">
        <v>50</v>
      </c>
      <c r="F1037" s="8" t="s">
        <v>29</v>
      </c>
      <c r="G1037" s="8" t="s">
        <v>30</v>
      </c>
      <c r="H1037" s="8" t="s">
        <v>41</v>
      </c>
      <c r="I1037" s="11">
        <v>2</v>
      </c>
      <c r="J1037" s="12">
        <v>45.22</v>
      </c>
      <c r="K1037" s="13">
        <v>0</v>
      </c>
      <c r="L1037" s="12">
        <v>24.89</v>
      </c>
      <c r="M1037" s="14">
        <f>ROUND(tblSprzedaz[[#This Row],[Ilość]]*tblSprzedaz[[#This Row],[Cena netto jednostkowa]]*(1-tblSprzedaz[[#This Row],[Rabat %]]),2)</f>
        <v>90.44</v>
      </c>
      <c r="N1037" s="14">
        <f>ROUND(tblSprzedaz[[#This Row],[Ilość]]*tblSprzedaz[[#This Row],[Koszt jednostkowy netto]],2)</f>
        <v>49.78</v>
      </c>
      <c r="O1037" s="14">
        <f>tblSprzedaz[[#This Row],[Przychód netto]]-tblSprzedaz[[#This Row],[Koszt całkowity netto]]</f>
        <v>40.659999999999997</v>
      </c>
      <c r="P1037" s="15">
        <f>IFERROR(tblSprzedaz[[#This Row],[Marża kwotowa]]/tblSprzedaz[[#This Row],[Przychód netto]],0)</f>
        <v>0.44957983193277307</v>
      </c>
      <c r="Q1037" s="16">
        <f>YEAR(tblSprzedaz[[#This Row],[Data]])</f>
        <v>2025</v>
      </c>
      <c r="R1037" s="16">
        <f>MONTH(tblSprzedaz[[#This Row],[Data]])</f>
        <v>10</v>
      </c>
      <c r="S1037" s="9" t="str">
        <f>YEAR(tblSprzedaz[[#This Row],[Data]])&amp;"-"&amp;RIGHT("0"&amp;MONTH(tblSprzedaz[[#This Row],[Data]]),2)</f>
        <v>2025-10</v>
      </c>
    </row>
    <row r="1038" spans="1:19" x14ac:dyDescent="0.25">
      <c r="A1038" s="7" t="s">
        <v>2243</v>
      </c>
      <c r="B1038" s="10">
        <v>45937</v>
      </c>
      <c r="C1038" s="7" t="s">
        <v>2244</v>
      </c>
      <c r="D1038" s="8" t="s">
        <v>94</v>
      </c>
      <c r="E1038" s="8" t="s">
        <v>72</v>
      </c>
      <c r="F1038" s="8" t="s">
        <v>37</v>
      </c>
      <c r="G1038" s="8" t="s">
        <v>36</v>
      </c>
      <c r="H1038" s="8" t="s">
        <v>46</v>
      </c>
      <c r="I1038" s="11">
        <v>5</v>
      </c>
      <c r="J1038" s="12">
        <v>94.05</v>
      </c>
      <c r="K1038" s="13">
        <v>0.1</v>
      </c>
      <c r="L1038" s="12">
        <v>69.44</v>
      </c>
      <c r="M1038" s="14">
        <f>ROUND(tblSprzedaz[[#This Row],[Ilość]]*tblSprzedaz[[#This Row],[Cena netto jednostkowa]]*(1-tblSprzedaz[[#This Row],[Rabat %]]),2)</f>
        <v>423.23</v>
      </c>
      <c r="N1038" s="14">
        <f>ROUND(tblSprzedaz[[#This Row],[Ilość]]*tblSprzedaz[[#This Row],[Koszt jednostkowy netto]],2)</f>
        <v>347.2</v>
      </c>
      <c r="O1038" s="14">
        <f>tblSprzedaz[[#This Row],[Przychód netto]]-tblSprzedaz[[#This Row],[Koszt całkowity netto]]</f>
        <v>76.03000000000003</v>
      </c>
      <c r="P1038" s="15">
        <f>IFERROR(tblSprzedaz[[#This Row],[Marża kwotowa]]/tblSprzedaz[[#This Row],[Przychód netto]],0)</f>
        <v>0.17964227488599585</v>
      </c>
      <c r="Q1038" s="16">
        <f>YEAR(tblSprzedaz[[#This Row],[Data]])</f>
        <v>2025</v>
      </c>
      <c r="R1038" s="16">
        <f>MONTH(tblSprzedaz[[#This Row],[Data]])</f>
        <v>10</v>
      </c>
      <c r="S1038" s="9" t="str">
        <f>YEAR(tblSprzedaz[[#This Row],[Data]])&amp;"-"&amp;RIGHT("0"&amp;MONTH(tblSprzedaz[[#This Row],[Data]]),2)</f>
        <v>2025-10</v>
      </c>
    </row>
    <row r="1039" spans="1:19" x14ac:dyDescent="0.25">
      <c r="A1039" s="7" t="s">
        <v>2245</v>
      </c>
      <c r="B1039" s="10">
        <v>45937</v>
      </c>
      <c r="C1039" s="7" t="s">
        <v>2246</v>
      </c>
      <c r="D1039" s="8" t="s">
        <v>84</v>
      </c>
      <c r="E1039" s="8" t="s">
        <v>76</v>
      </c>
      <c r="F1039" s="8" t="s">
        <v>37</v>
      </c>
      <c r="G1039" s="8" t="s">
        <v>28</v>
      </c>
      <c r="H1039" s="8" t="s">
        <v>39</v>
      </c>
      <c r="I1039" s="11">
        <v>24</v>
      </c>
      <c r="J1039" s="12">
        <v>158.65</v>
      </c>
      <c r="K1039" s="13">
        <v>0</v>
      </c>
      <c r="L1039" s="12">
        <v>126.19</v>
      </c>
      <c r="M1039" s="14">
        <f>ROUND(tblSprzedaz[[#This Row],[Ilość]]*tblSprzedaz[[#This Row],[Cena netto jednostkowa]]*(1-tblSprzedaz[[#This Row],[Rabat %]]),2)</f>
        <v>3807.6</v>
      </c>
      <c r="N1039" s="14">
        <f>ROUND(tblSprzedaz[[#This Row],[Ilość]]*tblSprzedaz[[#This Row],[Koszt jednostkowy netto]],2)</f>
        <v>3028.56</v>
      </c>
      <c r="O1039" s="14">
        <f>tblSprzedaz[[#This Row],[Przychód netto]]-tblSprzedaz[[#This Row],[Koszt całkowity netto]]</f>
        <v>779.04</v>
      </c>
      <c r="P1039" s="15">
        <f>IFERROR(tblSprzedaz[[#This Row],[Marża kwotowa]]/tblSprzedaz[[#This Row],[Przychód netto]],0)</f>
        <v>0.20460132366845257</v>
      </c>
      <c r="Q1039" s="16">
        <f>YEAR(tblSprzedaz[[#This Row],[Data]])</f>
        <v>2025</v>
      </c>
      <c r="R1039" s="16">
        <f>MONTH(tblSprzedaz[[#This Row],[Data]])</f>
        <v>10</v>
      </c>
      <c r="S1039" s="9" t="str">
        <f>YEAR(tblSprzedaz[[#This Row],[Data]])&amp;"-"&amp;RIGHT("0"&amp;MONTH(tblSprzedaz[[#This Row],[Data]]),2)</f>
        <v>2025-10</v>
      </c>
    </row>
    <row r="1040" spans="1:19" x14ac:dyDescent="0.25">
      <c r="A1040" s="7" t="s">
        <v>2247</v>
      </c>
      <c r="B1040" s="10">
        <v>45938</v>
      </c>
      <c r="C1040" s="7" t="s">
        <v>2248</v>
      </c>
      <c r="D1040" s="8" t="s">
        <v>83</v>
      </c>
      <c r="E1040" s="8" t="s">
        <v>69</v>
      </c>
      <c r="F1040" s="8" t="s">
        <v>35</v>
      </c>
      <c r="G1040" s="8" t="s">
        <v>30</v>
      </c>
      <c r="H1040" s="8" t="s">
        <v>40</v>
      </c>
      <c r="I1040" s="11">
        <v>16</v>
      </c>
      <c r="J1040" s="12">
        <v>102</v>
      </c>
      <c r="K1040" s="13">
        <v>0.15</v>
      </c>
      <c r="L1040" s="12">
        <v>70.7</v>
      </c>
      <c r="M1040" s="14">
        <f>ROUND(tblSprzedaz[[#This Row],[Ilość]]*tblSprzedaz[[#This Row],[Cena netto jednostkowa]]*(1-tblSprzedaz[[#This Row],[Rabat %]]),2)</f>
        <v>1387.2</v>
      </c>
      <c r="N1040" s="14">
        <f>ROUND(tblSprzedaz[[#This Row],[Ilość]]*tblSprzedaz[[#This Row],[Koszt jednostkowy netto]],2)</f>
        <v>1131.2</v>
      </c>
      <c r="O1040" s="14">
        <f>tblSprzedaz[[#This Row],[Przychód netto]]-tblSprzedaz[[#This Row],[Koszt całkowity netto]]</f>
        <v>256</v>
      </c>
      <c r="P1040" s="15">
        <f>IFERROR(tblSprzedaz[[#This Row],[Marża kwotowa]]/tblSprzedaz[[#This Row],[Przychód netto]],0)</f>
        <v>0.1845444059976932</v>
      </c>
      <c r="Q1040" s="16">
        <f>YEAR(tblSprzedaz[[#This Row],[Data]])</f>
        <v>2025</v>
      </c>
      <c r="R1040" s="16">
        <f>MONTH(tblSprzedaz[[#This Row],[Data]])</f>
        <v>10</v>
      </c>
      <c r="S1040" s="9" t="str">
        <f>YEAR(tblSprzedaz[[#This Row],[Data]])&amp;"-"&amp;RIGHT("0"&amp;MONTH(tblSprzedaz[[#This Row],[Data]]),2)</f>
        <v>2025-10</v>
      </c>
    </row>
    <row r="1041" spans="1:19" x14ac:dyDescent="0.25">
      <c r="A1041" s="7" t="s">
        <v>2249</v>
      </c>
      <c r="B1041" s="10">
        <v>45938</v>
      </c>
      <c r="C1041" s="7" t="s">
        <v>2250</v>
      </c>
      <c r="D1041" s="8" t="s">
        <v>145</v>
      </c>
      <c r="E1041" s="8" t="s">
        <v>58</v>
      </c>
      <c r="F1041" s="8" t="s">
        <v>31</v>
      </c>
      <c r="G1041" s="8" t="s">
        <v>32</v>
      </c>
      <c r="H1041" s="8" t="s">
        <v>42</v>
      </c>
      <c r="I1041" s="11">
        <v>16</v>
      </c>
      <c r="J1041" s="12">
        <v>350.7</v>
      </c>
      <c r="K1041" s="13">
        <v>0</v>
      </c>
      <c r="L1041" s="12">
        <v>217.78</v>
      </c>
      <c r="M1041" s="14">
        <f>ROUND(tblSprzedaz[[#This Row],[Ilość]]*tblSprzedaz[[#This Row],[Cena netto jednostkowa]]*(1-tblSprzedaz[[#This Row],[Rabat %]]),2)</f>
        <v>5611.2</v>
      </c>
      <c r="N1041" s="14">
        <f>ROUND(tblSprzedaz[[#This Row],[Ilość]]*tblSprzedaz[[#This Row],[Koszt jednostkowy netto]],2)</f>
        <v>3484.48</v>
      </c>
      <c r="O1041" s="14">
        <f>tblSprzedaz[[#This Row],[Przychód netto]]-tblSprzedaz[[#This Row],[Koszt całkowity netto]]</f>
        <v>2126.7199999999998</v>
      </c>
      <c r="P1041" s="15">
        <f>IFERROR(tblSprzedaz[[#This Row],[Marża kwotowa]]/tblSprzedaz[[#This Row],[Przychód netto]],0)</f>
        <v>0.37901340176789278</v>
      </c>
      <c r="Q1041" s="16">
        <f>YEAR(tblSprzedaz[[#This Row],[Data]])</f>
        <v>2025</v>
      </c>
      <c r="R1041" s="16">
        <f>MONTH(tblSprzedaz[[#This Row],[Data]])</f>
        <v>10</v>
      </c>
      <c r="S1041" s="9" t="str">
        <f>YEAR(tblSprzedaz[[#This Row],[Data]])&amp;"-"&amp;RIGHT("0"&amp;MONTH(tblSprzedaz[[#This Row],[Data]]),2)</f>
        <v>2025-10</v>
      </c>
    </row>
    <row r="1042" spans="1:19" x14ac:dyDescent="0.25">
      <c r="A1042" s="7" t="s">
        <v>2251</v>
      </c>
      <c r="B1042" s="10">
        <v>45938</v>
      </c>
      <c r="C1042" s="7" t="s">
        <v>2252</v>
      </c>
      <c r="D1042" s="8" t="s">
        <v>117</v>
      </c>
      <c r="E1042" s="8" t="s">
        <v>65</v>
      </c>
      <c r="F1042" s="8" t="s">
        <v>33</v>
      </c>
      <c r="G1042" s="8" t="s">
        <v>36</v>
      </c>
      <c r="H1042" s="8" t="s">
        <v>47</v>
      </c>
      <c r="I1042" s="11">
        <v>27</v>
      </c>
      <c r="J1042" s="12">
        <v>377.2</v>
      </c>
      <c r="K1042" s="13">
        <v>0.15</v>
      </c>
      <c r="L1042" s="12">
        <v>264.60000000000002</v>
      </c>
      <c r="M1042" s="14">
        <f>ROUND(tblSprzedaz[[#This Row],[Ilość]]*tblSprzedaz[[#This Row],[Cena netto jednostkowa]]*(1-tblSprzedaz[[#This Row],[Rabat %]]),2)</f>
        <v>8656.74</v>
      </c>
      <c r="N1042" s="14">
        <f>ROUND(tblSprzedaz[[#This Row],[Ilość]]*tblSprzedaz[[#This Row],[Koszt jednostkowy netto]],2)</f>
        <v>7144.2</v>
      </c>
      <c r="O1042" s="14">
        <f>tblSprzedaz[[#This Row],[Przychód netto]]-tblSprzedaz[[#This Row],[Koszt całkowity netto]]</f>
        <v>1512.54</v>
      </c>
      <c r="P1042" s="15">
        <f>IFERROR(tblSprzedaz[[#This Row],[Marża kwotowa]]/tblSprzedaz[[#This Row],[Przychód netto]],0)</f>
        <v>0.17472397230366166</v>
      </c>
      <c r="Q1042" s="16">
        <f>YEAR(tblSprzedaz[[#This Row],[Data]])</f>
        <v>2025</v>
      </c>
      <c r="R1042" s="16">
        <f>MONTH(tblSprzedaz[[#This Row],[Data]])</f>
        <v>10</v>
      </c>
      <c r="S1042" s="9" t="str">
        <f>YEAR(tblSprzedaz[[#This Row],[Data]])&amp;"-"&amp;RIGHT("0"&amp;MONTH(tblSprzedaz[[#This Row],[Data]]),2)</f>
        <v>2025-10</v>
      </c>
    </row>
    <row r="1043" spans="1:19" x14ac:dyDescent="0.25">
      <c r="A1043" s="7" t="s">
        <v>2253</v>
      </c>
      <c r="B1043" s="10">
        <v>45938</v>
      </c>
      <c r="C1043" s="7" t="s">
        <v>2254</v>
      </c>
      <c r="D1043" s="8" t="s">
        <v>125</v>
      </c>
      <c r="E1043" s="8" t="s">
        <v>58</v>
      </c>
      <c r="F1043" s="8" t="s">
        <v>31</v>
      </c>
      <c r="G1043" s="8" t="s">
        <v>36</v>
      </c>
      <c r="H1043" s="8" t="s">
        <v>46</v>
      </c>
      <c r="I1043" s="11">
        <v>12</v>
      </c>
      <c r="J1043" s="12">
        <v>350.7</v>
      </c>
      <c r="K1043" s="13">
        <v>0.1</v>
      </c>
      <c r="L1043" s="12">
        <v>210.35</v>
      </c>
      <c r="M1043" s="14">
        <f>ROUND(tblSprzedaz[[#This Row],[Ilość]]*tblSprzedaz[[#This Row],[Cena netto jednostkowa]]*(1-tblSprzedaz[[#This Row],[Rabat %]]),2)</f>
        <v>3787.56</v>
      </c>
      <c r="N1043" s="14">
        <f>ROUND(tblSprzedaz[[#This Row],[Ilość]]*tblSprzedaz[[#This Row],[Koszt jednostkowy netto]],2)</f>
        <v>2524.1999999999998</v>
      </c>
      <c r="O1043" s="14">
        <f>tblSprzedaz[[#This Row],[Przychód netto]]-tblSprzedaz[[#This Row],[Koszt całkowity netto]]</f>
        <v>1263.3600000000001</v>
      </c>
      <c r="P1043" s="15">
        <f>IFERROR(tblSprzedaz[[#This Row],[Marża kwotowa]]/tblSprzedaz[[#This Row],[Przychód netto]],0)</f>
        <v>0.3335551119982258</v>
      </c>
      <c r="Q1043" s="16">
        <f>YEAR(tblSprzedaz[[#This Row],[Data]])</f>
        <v>2025</v>
      </c>
      <c r="R1043" s="16">
        <f>MONTH(tblSprzedaz[[#This Row],[Data]])</f>
        <v>10</v>
      </c>
      <c r="S1043" s="9" t="str">
        <f>YEAR(tblSprzedaz[[#This Row],[Data]])&amp;"-"&amp;RIGHT("0"&amp;MONTH(tblSprzedaz[[#This Row],[Data]]),2)</f>
        <v>2025-10</v>
      </c>
    </row>
    <row r="1044" spans="1:19" x14ac:dyDescent="0.25">
      <c r="A1044" s="7" t="s">
        <v>2255</v>
      </c>
      <c r="B1044" s="10">
        <v>45938</v>
      </c>
      <c r="C1044" s="7" t="s">
        <v>2256</v>
      </c>
      <c r="D1044" s="8" t="s">
        <v>90</v>
      </c>
      <c r="E1044" s="8" t="s">
        <v>49</v>
      </c>
      <c r="F1044" s="8" t="s">
        <v>29</v>
      </c>
      <c r="G1044" s="8" t="s">
        <v>28</v>
      </c>
      <c r="H1044" s="8" t="s">
        <v>38</v>
      </c>
      <c r="I1044" s="11">
        <v>9</v>
      </c>
      <c r="J1044" s="12">
        <v>39.44</v>
      </c>
      <c r="K1044" s="13">
        <v>0</v>
      </c>
      <c r="L1044" s="12">
        <v>22.16</v>
      </c>
      <c r="M1044" s="14">
        <f>ROUND(tblSprzedaz[[#This Row],[Ilość]]*tblSprzedaz[[#This Row],[Cena netto jednostkowa]]*(1-tblSprzedaz[[#This Row],[Rabat %]]),2)</f>
        <v>354.96</v>
      </c>
      <c r="N1044" s="14">
        <f>ROUND(tblSprzedaz[[#This Row],[Ilość]]*tblSprzedaz[[#This Row],[Koszt jednostkowy netto]],2)</f>
        <v>199.44</v>
      </c>
      <c r="O1044" s="14">
        <f>tblSprzedaz[[#This Row],[Przychód netto]]-tblSprzedaz[[#This Row],[Koszt całkowity netto]]</f>
        <v>155.51999999999998</v>
      </c>
      <c r="P1044" s="15">
        <f>IFERROR(tblSprzedaz[[#This Row],[Marża kwotowa]]/tblSprzedaz[[#This Row],[Przychód netto]],0)</f>
        <v>0.43813387423935091</v>
      </c>
      <c r="Q1044" s="16">
        <f>YEAR(tblSprzedaz[[#This Row],[Data]])</f>
        <v>2025</v>
      </c>
      <c r="R1044" s="16">
        <f>MONTH(tblSprzedaz[[#This Row],[Data]])</f>
        <v>10</v>
      </c>
      <c r="S1044" s="9" t="str">
        <f>YEAR(tblSprzedaz[[#This Row],[Data]])&amp;"-"&amp;RIGHT("0"&amp;MONTH(tblSprzedaz[[#This Row],[Data]]),2)</f>
        <v>2025-10</v>
      </c>
    </row>
    <row r="1045" spans="1:19" x14ac:dyDescent="0.25">
      <c r="A1045" s="7" t="s">
        <v>2257</v>
      </c>
      <c r="B1045" s="10">
        <v>45938</v>
      </c>
      <c r="C1045" s="7" t="s">
        <v>2258</v>
      </c>
      <c r="D1045" s="8" t="s">
        <v>104</v>
      </c>
      <c r="E1045" s="8" t="s">
        <v>68</v>
      </c>
      <c r="F1045" s="8" t="s">
        <v>35</v>
      </c>
      <c r="G1045" s="8" t="s">
        <v>32</v>
      </c>
      <c r="H1045" s="8" t="s">
        <v>43</v>
      </c>
      <c r="I1045" s="11">
        <v>8</v>
      </c>
      <c r="J1045" s="12">
        <v>90.44</v>
      </c>
      <c r="K1045" s="13">
        <v>0.1</v>
      </c>
      <c r="L1045" s="12">
        <v>67.64</v>
      </c>
      <c r="M1045" s="14">
        <f>ROUND(tblSprzedaz[[#This Row],[Ilość]]*tblSprzedaz[[#This Row],[Cena netto jednostkowa]]*(1-tblSprzedaz[[#This Row],[Rabat %]]),2)</f>
        <v>651.16999999999996</v>
      </c>
      <c r="N1045" s="14">
        <f>ROUND(tblSprzedaz[[#This Row],[Ilość]]*tblSprzedaz[[#This Row],[Koszt jednostkowy netto]],2)</f>
        <v>541.12</v>
      </c>
      <c r="O1045" s="14">
        <f>tblSprzedaz[[#This Row],[Przychód netto]]-tblSprzedaz[[#This Row],[Koszt całkowity netto]]</f>
        <v>110.04999999999995</v>
      </c>
      <c r="P1045" s="15">
        <f>IFERROR(tblSprzedaz[[#This Row],[Marża kwotowa]]/tblSprzedaz[[#This Row],[Przychód netto]],0)</f>
        <v>0.16900348603283316</v>
      </c>
      <c r="Q1045" s="16">
        <f>YEAR(tblSprzedaz[[#This Row],[Data]])</f>
        <v>2025</v>
      </c>
      <c r="R1045" s="16">
        <f>MONTH(tblSprzedaz[[#This Row],[Data]])</f>
        <v>10</v>
      </c>
      <c r="S1045" s="9" t="str">
        <f>YEAR(tblSprzedaz[[#This Row],[Data]])&amp;"-"&amp;RIGHT("0"&amp;MONTH(tblSprzedaz[[#This Row],[Data]]),2)</f>
        <v>2025-10</v>
      </c>
    </row>
    <row r="1046" spans="1:19" x14ac:dyDescent="0.25">
      <c r="A1046" s="7" t="s">
        <v>2259</v>
      </c>
      <c r="B1046" s="10">
        <v>45938</v>
      </c>
      <c r="C1046" s="7" t="s">
        <v>2260</v>
      </c>
      <c r="D1046" s="8" t="s">
        <v>101</v>
      </c>
      <c r="E1046" s="8" t="s">
        <v>55</v>
      </c>
      <c r="F1046" s="8" t="s">
        <v>31</v>
      </c>
      <c r="G1046" s="8" t="s">
        <v>28</v>
      </c>
      <c r="H1046" s="8" t="s">
        <v>38</v>
      </c>
      <c r="I1046" s="11">
        <v>6</v>
      </c>
      <c r="J1046" s="12">
        <v>243.6</v>
      </c>
      <c r="K1046" s="13">
        <v>0</v>
      </c>
      <c r="L1046" s="12">
        <v>159.85</v>
      </c>
      <c r="M1046" s="14">
        <f>ROUND(tblSprzedaz[[#This Row],[Ilość]]*tblSprzedaz[[#This Row],[Cena netto jednostkowa]]*(1-tblSprzedaz[[#This Row],[Rabat %]]),2)</f>
        <v>1461.6</v>
      </c>
      <c r="N1046" s="14">
        <f>ROUND(tblSprzedaz[[#This Row],[Ilość]]*tblSprzedaz[[#This Row],[Koszt jednostkowy netto]],2)</f>
        <v>959.1</v>
      </c>
      <c r="O1046" s="14">
        <f>tblSprzedaz[[#This Row],[Przychód netto]]-tblSprzedaz[[#This Row],[Koszt całkowity netto]]</f>
        <v>502.49999999999989</v>
      </c>
      <c r="P1046" s="15">
        <f>IFERROR(tblSprzedaz[[#This Row],[Marża kwotowa]]/tblSprzedaz[[#This Row],[Przychód netto]],0)</f>
        <v>0.34380131362889976</v>
      </c>
      <c r="Q1046" s="16">
        <f>YEAR(tblSprzedaz[[#This Row],[Data]])</f>
        <v>2025</v>
      </c>
      <c r="R1046" s="16">
        <f>MONTH(tblSprzedaz[[#This Row],[Data]])</f>
        <v>10</v>
      </c>
      <c r="S1046" s="9" t="str">
        <f>YEAR(tblSprzedaz[[#This Row],[Data]])&amp;"-"&amp;RIGHT("0"&amp;MONTH(tblSprzedaz[[#This Row],[Data]]),2)</f>
        <v>2025-10</v>
      </c>
    </row>
    <row r="1047" spans="1:19" x14ac:dyDescent="0.25">
      <c r="A1047" s="7" t="s">
        <v>2261</v>
      </c>
      <c r="B1047" s="10">
        <v>45938</v>
      </c>
      <c r="C1047" s="7" t="s">
        <v>2262</v>
      </c>
      <c r="D1047" s="8" t="s">
        <v>104</v>
      </c>
      <c r="E1047" s="8" t="s">
        <v>68</v>
      </c>
      <c r="F1047" s="8" t="s">
        <v>35</v>
      </c>
      <c r="G1047" s="8" t="s">
        <v>36</v>
      </c>
      <c r="H1047" s="8" t="s">
        <v>46</v>
      </c>
      <c r="I1047" s="11">
        <v>8</v>
      </c>
      <c r="J1047" s="12">
        <v>90.44</v>
      </c>
      <c r="K1047" s="13">
        <v>0</v>
      </c>
      <c r="L1047" s="12">
        <v>68.930000000000007</v>
      </c>
      <c r="M1047" s="14">
        <f>ROUND(tblSprzedaz[[#This Row],[Ilość]]*tblSprzedaz[[#This Row],[Cena netto jednostkowa]]*(1-tblSprzedaz[[#This Row],[Rabat %]]),2)</f>
        <v>723.52</v>
      </c>
      <c r="N1047" s="14">
        <f>ROUND(tblSprzedaz[[#This Row],[Ilość]]*tblSprzedaz[[#This Row],[Koszt jednostkowy netto]],2)</f>
        <v>551.44000000000005</v>
      </c>
      <c r="O1047" s="14">
        <f>tblSprzedaz[[#This Row],[Przychód netto]]-tblSprzedaz[[#This Row],[Koszt całkowity netto]]</f>
        <v>172.07999999999993</v>
      </c>
      <c r="P1047" s="15">
        <f>IFERROR(tblSprzedaz[[#This Row],[Marża kwotowa]]/tblSprzedaz[[#This Row],[Przychód netto]],0)</f>
        <v>0.2378372401592215</v>
      </c>
      <c r="Q1047" s="16">
        <f>YEAR(tblSprzedaz[[#This Row],[Data]])</f>
        <v>2025</v>
      </c>
      <c r="R1047" s="16">
        <f>MONTH(tblSprzedaz[[#This Row],[Data]])</f>
        <v>10</v>
      </c>
      <c r="S1047" s="9" t="str">
        <f>YEAR(tblSprzedaz[[#This Row],[Data]])&amp;"-"&amp;RIGHT("0"&amp;MONTH(tblSprzedaz[[#This Row],[Data]]),2)</f>
        <v>2025-10</v>
      </c>
    </row>
    <row r="1048" spans="1:19" x14ac:dyDescent="0.25">
      <c r="A1048" s="7" t="s">
        <v>2263</v>
      </c>
      <c r="B1048" s="10">
        <v>45939</v>
      </c>
      <c r="C1048" s="7" t="s">
        <v>2264</v>
      </c>
      <c r="D1048" s="8" t="s">
        <v>86</v>
      </c>
      <c r="E1048" s="8" t="s">
        <v>69</v>
      </c>
      <c r="F1048" s="8" t="s">
        <v>35</v>
      </c>
      <c r="G1048" s="8" t="s">
        <v>28</v>
      </c>
      <c r="H1048" s="8" t="s">
        <v>39</v>
      </c>
      <c r="I1048" s="11">
        <v>27</v>
      </c>
      <c r="J1048" s="12">
        <v>102</v>
      </c>
      <c r="K1048" s="13">
        <v>0.1</v>
      </c>
      <c r="L1048" s="12">
        <v>73.38</v>
      </c>
      <c r="M1048" s="14">
        <f>ROUND(tblSprzedaz[[#This Row],[Ilość]]*tblSprzedaz[[#This Row],[Cena netto jednostkowa]]*(1-tblSprzedaz[[#This Row],[Rabat %]]),2)</f>
        <v>2478.6</v>
      </c>
      <c r="N1048" s="14">
        <f>ROUND(tblSprzedaz[[#This Row],[Ilość]]*tblSprzedaz[[#This Row],[Koszt jednostkowy netto]],2)</f>
        <v>1981.26</v>
      </c>
      <c r="O1048" s="14">
        <f>tblSprzedaz[[#This Row],[Przychód netto]]-tblSprzedaz[[#This Row],[Koszt całkowity netto]]</f>
        <v>497.33999999999992</v>
      </c>
      <c r="P1048" s="15">
        <f>IFERROR(tblSprzedaz[[#This Row],[Marża kwotowa]]/tblSprzedaz[[#This Row],[Przychód netto]],0)</f>
        <v>0.20065359477124181</v>
      </c>
      <c r="Q1048" s="16">
        <f>YEAR(tblSprzedaz[[#This Row],[Data]])</f>
        <v>2025</v>
      </c>
      <c r="R1048" s="16">
        <f>MONTH(tblSprzedaz[[#This Row],[Data]])</f>
        <v>10</v>
      </c>
      <c r="S1048" s="9" t="str">
        <f>YEAR(tblSprzedaz[[#This Row],[Data]])&amp;"-"&amp;RIGHT("0"&amp;MONTH(tblSprzedaz[[#This Row],[Data]]),2)</f>
        <v>2025-10</v>
      </c>
    </row>
    <row r="1049" spans="1:19" x14ac:dyDescent="0.25">
      <c r="A1049" s="7" t="s">
        <v>2265</v>
      </c>
      <c r="B1049" s="10">
        <v>45939</v>
      </c>
      <c r="C1049" s="7" t="s">
        <v>2266</v>
      </c>
      <c r="D1049" s="8" t="s">
        <v>130</v>
      </c>
      <c r="E1049" s="8" t="s">
        <v>67</v>
      </c>
      <c r="F1049" s="8" t="s">
        <v>35</v>
      </c>
      <c r="G1049" s="8" t="s">
        <v>36</v>
      </c>
      <c r="H1049" s="8" t="s">
        <v>46</v>
      </c>
      <c r="I1049" s="11">
        <v>26</v>
      </c>
      <c r="J1049" s="12">
        <v>78.88</v>
      </c>
      <c r="K1049" s="13">
        <v>0.05</v>
      </c>
      <c r="L1049" s="12">
        <v>59.42</v>
      </c>
      <c r="M1049" s="14">
        <f>ROUND(tblSprzedaz[[#This Row],[Ilość]]*tblSprzedaz[[#This Row],[Cena netto jednostkowa]]*(1-tblSprzedaz[[#This Row],[Rabat %]]),2)</f>
        <v>1948.34</v>
      </c>
      <c r="N1049" s="14">
        <f>ROUND(tblSprzedaz[[#This Row],[Ilość]]*tblSprzedaz[[#This Row],[Koszt jednostkowy netto]],2)</f>
        <v>1544.92</v>
      </c>
      <c r="O1049" s="14">
        <f>tblSprzedaz[[#This Row],[Przychód netto]]-tblSprzedaz[[#This Row],[Koszt całkowity netto]]</f>
        <v>403.41999999999985</v>
      </c>
      <c r="P1049" s="15">
        <f>IFERROR(tblSprzedaz[[#This Row],[Marża kwotowa]]/tblSprzedaz[[#This Row],[Przychód netto]],0)</f>
        <v>0.20705831631029484</v>
      </c>
      <c r="Q1049" s="16">
        <f>YEAR(tblSprzedaz[[#This Row],[Data]])</f>
        <v>2025</v>
      </c>
      <c r="R1049" s="16">
        <f>MONTH(tblSprzedaz[[#This Row],[Data]])</f>
        <v>10</v>
      </c>
      <c r="S1049" s="9" t="str">
        <f>YEAR(tblSprzedaz[[#This Row],[Data]])&amp;"-"&amp;RIGHT("0"&amp;MONTH(tblSprzedaz[[#This Row],[Data]]),2)</f>
        <v>2025-10</v>
      </c>
    </row>
    <row r="1050" spans="1:19" x14ac:dyDescent="0.25">
      <c r="A1050" s="7" t="s">
        <v>2267</v>
      </c>
      <c r="B1050" s="10">
        <v>45939</v>
      </c>
      <c r="C1050" s="7" t="s">
        <v>2268</v>
      </c>
      <c r="D1050" s="8" t="s">
        <v>84</v>
      </c>
      <c r="E1050" s="8" t="s">
        <v>70</v>
      </c>
      <c r="F1050" s="8" t="s">
        <v>35</v>
      </c>
      <c r="G1050" s="8" t="s">
        <v>32</v>
      </c>
      <c r="H1050" s="8" t="s">
        <v>42</v>
      </c>
      <c r="I1050" s="11">
        <v>10</v>
      </c>
      <c r="J1050" s="12">
        <v>113.56</v>
      </c>
      <c r="K1050" s="13">
        <v>0.15</v>
      </c>
      <c r="L1050" s="12">
        <v>84.57</v>
      </c>
      <c r="M1050" s="14">
        <f>ROUND(tblSprzedaz[[#This Row],[Ilość]]*tblSprzedaz[[#This Row],[Cena netto jednostkowa]]*(1-tblSprzedaz[[#This Row],[Rabat %]]),2)</f>
        <v>965.26</v>
      </c>
      <c r="N1050" s="14">
        <f>ROUND(tblSprzedaz[[#This Row],[Ilość]]*tblSprzedaz[[#This Row],[Koszt jednostkowy netto]],2)</f>
        <v>845.7</v>
      </c>
      <c r="O1050" s="14">
        <f>tblSprzedaz[[#This Row],[Przychód netto]]-tblSprzedaz[[#This Row],[Koszt całkowity netto]]</f>
        <v>119.55999999999995</v>
      </c>
      <c r="P1050" s="15">
        <f>IFERROR(tblSprzedaz[[#This Row],[Marża kwotowa]]/tblSprzedaz[[#This Row],[Przychód netto]],0)</f>
        <v>0.12386300064231394</v>
      </c>
      <c r="Q1050" s="16">
        <f>YEAR(tblSprzedaz[[#This Row],[Data]])</f>
        <v>2025</v>
      </c>
      <c r="R1050" s="16">
        <f>MONTH(tblSprzedaz[[#This Row],[Data]])</f>
        <v>10</v>
      </c>
      <c r="S1050" s="9" t="str">
        <f>YEAR(tblSprzedaz[[#This Row],[Data]])&amp;"-"&amp;RIGHT("0"&amp;MONTH(tblSprzedaz[[#This Row],[Data]]),2)</f>
        <v>2025-10</v>
      </c>
    </row>
    <row r="1051" spans="1:19" x14ac:dyDescent="0.25">
      <c r="A1051" s="7" t="s">
        <v>2269</v>
      </c>
      <c r="B1051" s="10">
        <v>45939</v>
      </c>
      <c r="C1051" s="7" t="s">
        <v>2270</v>
      </c>
      <c r="D1051" s="8" t="s">
        <v>115</v>
      </c>
      <c r="E1051" s="8" t="s">
        <v>63</v>
      </c>
      <c r="F1051" s="8" t="s">
        <v>33</v>
      </c>
      <c r="G1051" s="8" t="s">
        <v>36</v>
      </c>
      <c r="H1051" s="8" t="s">
        <v>46</v>
      </c>
      <c r="I1051" s="11">
        <v>28</v>
      </c>
      <c r="J1051" s="12">
        <v>690</v>
      </c>
      <c r="K1051" s="13">
        <v>0.15</v>
      </c>
      <c r="L1051" s="12">
        <v>489.9</v>
      </c>
      <c r="M1051" s="14">
        <f>ROUND(tblSprzedaz[[#This Row],[Ilość]]*tblSprzedaz[[#This Row],[Cena netto jednostkowa]]*(1-tblSprzedaz[[#This Row],[Rabat %]]),2)</f>
        <v>16422</v>
      </c>
      <c r="N1051" s="14">
        <f>ROUND(tblSprzedaz[[#This Row],[Ilość]]*tblSprzedaz[[#This Row],[Koszt jednostkowy netto]],2)</f>
        <v>13717.2</v>
      </c>
      <c r="O1051" s="14">
        <f>tblSprzedaz[[#This Row],[Przychód netto]]-tblSprzedaz[[#This Row],[Koszt całkowity netto]]</f>
        <v>2704.7999999999993</v>
      </c>
      <c r="P1051" s="15">
        <f>IFERROR(tblSprzedaz[[#This Row],[Marża kwotowa]]/tblSprzedaz[[#This Row],[Przychód netto]],0)</f>
        <v>0.16470588235294112</v>
      </c>
      <c r="Q1051" s="16">
        <f>YEAR(tblSprzedaz[[#This Row],[Data]])</f>
        <v>2025</v>
      </c>
      <c r="R1051" s="16">
        <f>MONTH(tblSprzedaz[[#This Row],[Data]])</f>
        <v>10</v>
      </c>
      <c r="S1051" s="9" t="str">
        <f>YEAR(tblSprzedaz[[#This Row],[Data]])&amp;"-"&amp;RIGHT("0"&amp;MONTH(tblSprzedaz[[#This Row],[Data]]),2)</f>
        <v>2025-10</v>
      </c>
    </row>
    <row r="1052" spans="1:19" x14ac:dyDescent="0.25">
      <c r="A1052" s="7" t="s">
        <v>2271</v>
      </c>
      <c r="B1052" s="10">
        <v>45939</v>
      </c>
      <c r="C1052" s="7" t="s">
        <v>2272</v>
      </c>
      <c r="D1052" s="8" t="s">
        <v>85</v>
      </c>
      <c r="E1052" s="8" t="s">
        <v>67</v>
      </c>
      <c r="F1052" s="8" t="s">
        <v>35</v>
      </c>
      <c r="G1052" s="8" t="s">
        <v>30</v>
      </c>
      <c r="H1052" s="8" t="s">
        <v>41</v>
      </c>
      <c r="I1052" s="11">
        <v>12</v>
      </c>
      <c r="J1052" s="12">
        <v>78.88</v>
      </c>
      <c r="K1052" s="13">
        <v>0.15</v>
      </c>
      <c r="L1052" s="12">
        <v>56.22</v>
      </c>
      <c r="M1052" s="14">
        <f>ROUND(tblSprzedaz[[#This Row],[Ilość]]*tblSprzedaz[[#This Row],[Cena netto jednostkowa]]*(1-tblSprzedaz[[#This Row],[Rabat %]]),2)</f>
        <v>804.58</v>
      </c>
      <c r="N1052" s="14">
        <f>ROUND(tblSprzedaz[[#This Row],[Ilość]]*tblSprzedaz[[#This Row],[Koszt jednostkowy netto]],2)</f>
        <v>674.64</v>
      </c>
      <c r="O1052" s="14">
        <f>tblSprzedaz[[#This Row],[Przychód netto]]-tblSprzedaz[[#This Row],[Koszt całkowity netto]]</f>
        <v>129.94000000000005</v>
      </c>
      <c r="P1052" s="15">
        <f>IFERROR(tblSprzedaz[[#This Row],[Marża kwotowa]]/tblSprzedaz[[#This Row],[Przychód netto]],0)</f>
        <v>0.16150041015188055</v>
      </c>
      <c r="Q1052" s="16">
        <f>YEAR(tblSprzedaz[[#This Row],[Data]])</f>
        <v>2025</v>
      </c>
      <c r="R1052" s="16">
        <f>MONTH(tblSprzedaz[[#This Row],[Data]])</f>
        <v>10</v>
      </c>
      <c r="S1052" s="9" t="str">
        <f>YEAR(tblSprzedaz[[#This Row],[Data]])&amp;"-"&amp;RIGHT("0"&amp;MONTH(tblSprzedaz[[#This Row],[Data]]),2)</f>
        <v>2025-10</v>
      </c>
    </row>
    <row r="1053" spans="1:19" x14ac:dyDescent="0.25">
      <c r="A1053" s="7" t="s">
        <v>2273</v>
      </c>
      <c r="B1053" s="10">
        <v>45939</v>
      </c>
      <c r="C1053" s="7" t="s">
        <v>2274</v>
      </c>
      <c r="D1053" s="8" t="s">
        <v>129</v>
      </c>
      <c r="E1053" s="8" t="s">
        <v>55</v>
      </c>
      <c r="F1053" s="8" t="s">
        <v>31</v>
      </c>
      <c r="G1053" s="8" t="s">
        <v>30</v>
      </c>
      <c r="H1053" s="8" t="s">
        <v>41</v>
      </c>
      <c r="I1053" s="11">
        <v>12</v>
      </c>
      <c r="J1053" s="12">
        <v>243.6</v>
      </c>
      <c r="K1053" s="13">
        <v>0</v>
      </c>
      <c r="L1053" s="12">
        <v>148.13</v>
      </c>
      <c r="M1053" s="14">
        <f>ROUND(tblSprzedaz[[#This Row],[Ilość]]*tblSprzedaz[[#This Row],[Cena netto jednostkowa]]*(1-tblSprzedaz[[#This Row],[Rabat %]]),2)</f>
        <v>2923.2</v>
      </c>
      <c r="N1053" s="14">
        <f>ROUND(tblSprzedaz[[#This Row],[Ilość]]*tblSprzedaz[[#This Row],[Koszt jednostkowy netto]],2)</f>
        <v>1777.56</v>
      </c>
      <c r="O1053" s="14">
        <f>tblSprzedaz[[#This Row],[Przychód netto]]-tblSprzedaz[[#This Row],[Koszt całkowity netto]]</f>
        <v>1145.6399999999999</v>
      </c>
      <c r="P1053" s="15">
        <f>IFERROR(tblSprzedaz[[#This Row],[Marża kwotowa]]/tblSprzedaz[[#This Row],[Przychód netto]],0)</f>
        <v>0.39191297208538584</v>
      </c>
      <c r="Q1053" s="16">
        <f>YEAR(tblSprzedaz[[#This Row],[Data]])</f>
        <v>2025</v>
      </c>
      <c r="R1053" s="16">
        <f>MONTH(tblSprzedaz[[#This Row],[Data]])</f>
        <v>10</v>
      </c>
      <c r="S1053" s="9" t="str">
        <f>YEAR(tblSprzedaz[[#This Row],[Data]])&amp;"-"&amp;RIGHT("0"&amp;MONTH(tblSprzedaz[[#This Row],[Data]]),2)</f>
        <v>2025-10</v>
      </c>
    </row>
    <row r="1054" spans="1:19" x14ac:dyDescent="0.25">
      <c r="A1054" s="7" t="s">
        <v>2275</v>
      </c>
      <c r="B1054" s="10">
        <v>45939</v>
      </c>
      <c r="C1054" s="7" t="s">
        <v>2276</v>
      </c>
      <c r="D1054" s="8" t="s">
        <v>96</v>
      </c>
      <c r="E1054" s="8" t="s">
        <v>62</v>
      </c>
      <c r="F1054" s="8" t="s">
        <v>33</v>
      </c>
      <c r="G1054" s="8" t="s">
        <v>36</v>
      </c>
      <c r="H1054" s="8" t="s">
        <v>46</v>
      </c>
      <c r="I1054" s="11">
        <v>19</v>
      </c>
      <c r="J1054" s="12">
        <v>611.79999999999995</v>
      </c>
      <c r="K1054" s="13">
        <v>0.1</v>
      </c>
      <c r="L1054" s="12">
        <v>436.7</v>
      </c>
      <c r="M1054" s="14">
        <f>ROUND(tblSprzedaz[[#This Row],[Ilość]]*tblSprzedaz[[#This Row],[Cena netto jednostkowa]]*(1-tblSprzedaz[[#This Row],[Rabat %]]),2)</f>
        <v>10461.780000000001</v>
      </c>
      <c r="N1054" s="14">
        <f>ROUND(tblSprzedaz[[#This Row],[Ilość]]*tblSprzedaz[[#This Row],[Koszt jednostkowy netto]],2)</f>
        <v>8297.2999999999993</v>
      </c>
      <c r="O1054" s="14">
        <f>tblSprzedaz[[#This Row],[Przychód netto]]-tblSprzedaz[[#This Row],[Koszt całkowity netto]]</f>
        <v>2164.4800000000014</v>
      </c>
      <c r="P1054" s="15">
        <f>IFERROR(tblSprzedaz[[#This Row],[Marża kwotowa]]/tblSprzedaz[[#This Row],[Przychód netto]],0)</f>
        <v>0.20689404671098047</v>
      </c>
      <c r="Q1054" s="16">
        <f>YEAR(tblSprzedaz[[#This Row],[Data]])</f>
        <v>2025</v>
      </c>
      <c r="R1054" s="16">
        <f>MONTH(tblSprzedaz[[#This Row],[Data]])</f>
        <v>10</v>
      </c>
      <c r="S1054" s="9" t="str">
        <f>YEAR(tblSprzedaz[[#This Row],[Data]])&amp;"-"&amp;RIGHT("0"&amp;MONTH(tblSprzedaz[[#This Row],[Data]]),2)</f>
        <v>2025-10</v>
      </c>
    </row>
    <row r="1055" spans="1:19" x14ac:dyDescent="0.25">
      <c r="A1055" s="7" t="s">
        <v>2277</v>
      </c>
      <c r="B1055" s="10">
        <v>45939</v>
      </c>
      <c r="C1055" s="7" t="s">
        <v>2278</v>
      </c>
      <c r="D1055" s="8" t="s">
        <v>127</v>
      </c>
      <c r="E1055" s="8" t="s">
        <v>56</v>
      </c>
      <c r="F1055" s="8" t="s">
        <v>31</v>
      </c>
      <c r="G1055" s="8" t="s">
        <v>34</v>
      </c>
      <c r="H1055" s="8" t="s">
        <v>44</v>
      </c>
      <c r="I1055" s="11">
        <v>19</v>
      </c>
      <c r="J1055" s="12">
        <v>279.3</v>
      </c>
      <c r="K1055" s="13">
        <v>0</v>
      </c>
      <c r="L1055" s="12">
        <v>171.52</v>
      </c>
      <c r="M1055" s="14">
        <f>ROUND(tblSprzedaz[[#This Row],[Ilość]]*tblSprzedaz[[#This Row],[Cena netto jednostkowa]]*(1-tblSprzedaz[[#This Row],[Rabat %]]),2)</f>
        <v>5306.7</v>
      </c>
      <c r="N1055" s="14">
        <f>ROUND(tblSprzedaz[[#This Row],[Ilość]]*tblSprzedaz[[#This Row],[Koszt jednostkowy netto]],2)</f>
        <v>3258.88</v>
      </c>
      <c r="O1055" s="14">
        <f>tblSprzedaz[[#This Row],[Przychód netto]]-tblSprzedaz[[#This Row],[Koszt całkowity netto]]</f>
        <v>2047.8199999999997</v>
      </c>
      <c r="P1055" s="15">
        <f>IFERROR(tblSprzedaz[[#This Row],[Marża kwotowa]]/tblSprzedaz[[#This Row],[Przychód netto]],0)</f>
        <v>0.38589330469029715</v>
      </c>
      <c r="Q1055" s="16">
        <f>YEAR(tblSprzedaz[[#This Row],[Data]])</f>
        <v>2025</v>
      </c>
      <c r="R1055" s="16">
        <f>MONTH(tblSprzedaz[[#This Row],[Data]])</f>
        <v>10</v>
      </c>
      <c r="S1055" s="9" t="str">
        <f>YEAR(tblSprzedaz[[#This Row],[Data]])&amp;"-"&amp;RIGHT("0"&amp;MONTH(tblSprzedaz[[#This Row],[Data]]),2)</f>
        <v>2025-10</v>
      </c>
    </row>
    <row r="1056" spans="1:19" x14ac:dyDescent="0.25">
      <c r="A1056" s="7" t="s">
        <v>2279</v>
      </c>
      <c r="B1056" s="10">
        <v>45940</v>
      </c>
      <c r="C1056" s="7" t="s">
        <v>2280</v>
      </c>
      <c r="D1056" s="8" t="s">
        <v>103</v>
      </c>
      <c r="E1056" s="8" t="s">
        <v>61</v>
      </c>
      <c r="F1056" s="8" t="s">
        <v>33</v>
      </c>
      <c r="G1056" s="8" t="s">
        <v>34</v>
      </c>
      <c r="H1056" s="8" t="s">
        <v>44</v>
      </c>
      <c r="I1056" s="11">
        <v>8</v>
      </c>
      <c r="J1056" s="12">
        <v>533.6</v>
      </c>
      <c r="K1056" s="13">
        <v>0</v>
      </c>
      <c r="L1056" s="12">
        <v>358.18</v>
      </c>
      <c r="M1056" s="14">
        <f>ROUND(tblSprzedaz[[#This Row],[Ilość]]*tblSprzedaz[[#This Row],[Cena netto jednostkowa]]*(1-tblSprzedaz[[#This Row],[Rabat %]]),2)</f>
        <v>4268.8</v>
      </c>
      <c r="N1056" s="14">
        <f>ROUND(tblSprzedaz[[#This Row],[Ilość]]*tblSprzedaz[[#This Row],[Koszt jednostkowy netto]],2)</f>
        <v>2865.44</v>
      </c>
      <c r="O1056" s="14">
        <f>tblSprzedaz[[#This Row],[Przychód netto]]-tblSprzedaz[[#This Row],[Koszt całkowity netto]]</f>
        <v>1403.3600000000001</v>
      </c>
      <c r="P1056" s="15">
        <f>IFERROR(tblSprzedaz[[#This Row],[Marża kwotowa]]/tblSprzedaz[[#This Row],[Przychód netto]],0)</f>
        <v>0.32874812593703151</v>
      </c>
      <c r="Q1056" s="16">
        <f>YEAR(tblSprzedaz[[#This Row],[Data]])</f>
        <v>2025</v>
      </c>
      <c r="R1056" s="16">
        <f>MONTH(tblSprzedaz[[#This Row],[Data]])</f>
        <v>10</v>
      </c>
      <c r="S1056" s="9" t="str">
        <f>YEAR(tblSprzedaz[[#This Row],[Data]])&amp;"-"&amp;RIGHT("0"&amp;MONTH(tblSprzedaz[[#This Row],[Data]]),2)</f>
        <v>2025-10</v>
      </c>
    </row>
    <row r="1057" spans="1:19" x14ac:dyDescent="0.25">
      <c r="A1057" s="7" t="s">
        <v>2281</v>
      </c>
      <c r="B1057" s="10">
        <v>45940</v>
      </c>
      <c r="C1057" s="7" t="s">
        <v>2282</v>
      </c>
      <c r="D1057" s="8" t="s">
        <v>112</v>
      </c>
      <c r="E1057" s="8" t="s">
        <v>74</v>
      </c>
      <c r="F1057" s="8" t="s">
        <v>37</v>
      </c>
      <c r="G1057" s="8" t="s">
        <v>30</v>
      </c>
      <c r="H1057" s="8" t="s">
        <v>41</v>
      </c>
      <c r="I1057" s="11">
        <v>1</v>
      </c>
      <c r="J1057" s="12">
        <v>126.35</v>
      </c>
      <c r="K1057" s="13">
        <v>0.05</v>
      </c>
      <c r="L1057" s="12">
        <v>98.7</v>
      </c>
      <c r="M1057" s="14">
        <f>ROUND(tblSprzedaz[[#This Row],[Ilość]]*tblSprzedaz[[#This Row],[Cena netto jednostkowa]]*(1-tblSprzedaz[[#This Row],[Rabat %]]),2)</f>
        <v>120.03</v>
      </c>
      <c r="N1057" s="14">
        <f>ROUND(tblSprzedaz[[#This Row],[Ilość]]*tblSprzedaz[[#This Row],[Koszt jednostkowy netto]],2)</f>
        <v>98.7</v>
      </c>
      <c r="O1057" s="14">
        <f>tblSprzedaz[[#This Row],[Przychód netto]]-tblSprzedaz[[#This Row],[Koszt całkowity netto]]</f>
        <v>21.33</v>
      </c>
      <c r="P1057" s="15">
        <f>IFERROR(tblSprzedaz[[#This Row],[Marża kwotowa]]/tblSprzedaz[[#This Row],[Przychód netto]],0)</f>
        <v>0.17770557360659833</v>
      </c>
      <c r="Q1057" s="16">
        <f>YEAR(tblSprzedaz[[#This Row],[Data]])</f>
        <v>2025</v>
      </c>
      <c r="R1057" s="16">
        <f>MONTH(tblSprzedaz[[#This Row],[Data]])</f>
        <v>10</v>
      </c>
      <c r="S1057" s="9" t="str">
        <f>YEAR(tblSprzedaz[[#This Row],[Data]])&amp;"-"&amp;RIGHT("0"&amp;MONTH(tblSprzedaz[[#This Row],[Data]]),2)</f>
        <v>2025-10</v>
      </c>
    </row>
    <row r="1058" spans="1:19" x14ac:dyDescent="0.25">
      <c r="A1058" s="7" t="s">
        <v>2283</v>
      </c>
      <c r="B1058" s="10">
        <v>45940</v>
      </c>
      <c r="C1058" s="7" t="s">
        <v>2284</v>
      </c>
      <c r="D1058" s="8" t="s">
        <v>132</v>
      </c>
      <c r="E1058" s="8" t="s">
        <v>76</v>
      </c>
      <c r="F1058" s="8" t="s">
        <v>37</v>
      </c>
      <c r="G1058" s="8" t="s">
        <v>30</v>
      </c>
      <c r="H1058" s="8" t="s">
        <v>40</v>
      </c>
      <c r="I1058" s="11">
        <v>7</v>
      </c>
      <c r="J1058" s="12">
        <v>158.65</v>
      </c>
      <c r="K1058" s="13">
        <v>0.15</v>
      </c>
      <c r="L1058" s="12">
        <v>122.91</v>
      </c>
      <c r="M1058" s="14">
        <f>ROUND(tblSprzedaz[[#This Row],[Ilość]]*tblSprzedaz[[#This Row],[Cena netto jednostkowa]]*(1-tblSprzedaz[[#This Row],[Rabat %]]),2)</f>
        <v>943.97</v>
      </c>
      <c r="N1058" s="14">
        <f>ROUND(tblSprzedaz[[#This Row],[Ilość]]*tblSprzedaz[[#This Row],[Koszt jednostkowy netto]],2)</f>
        <v>860.37</v>
      </c>
      <c r="O1058" s="14">
        <f>tblSprzedaz[[#This Row],[Przychód netto]]-tblSprzedaz[[#This Row],[Koszt całkowity netto]]</f>
        <v>83.600000000000023</v>
      </c>
      <c r="P1058" s="15">
        <f>IFERROR(tblSprzedaz[[#This Row],[Marża kwotowa]]/tblSprzedaz[[#This Row],[Przychód netto]],0)</f>
        <v>8.8562136508575501E-2</v>
      </c>
      <c r="Q1058" s="16">
        <f>YEAR(tblSprzedaz[[#This Row],[Data]])</f>
        <v>2025</v>
      </c>
      <c r="R1058" s="16">
        <f>MONTH(tblSprzedaz[[#This Row],[Data]])</f>
        <v>10</v>
      </c>
      <c r="S1058" s="9" t="str">
        <f>YEAR(tblSprzedaz[[#This Row],[Data]])&amp;"-"&amp;RIGHT("0"&amp;MONTH(tblSprzedaz[[#This Row],[Data]]),2)</f>
        <v>2025-10</v>
      </c>
    </row>
    <row r="1059" spans="1:19" x14ac:dyDescent="0.25">
      <c r="A1059" s="7" t="s">
        <v>2285</v>
      </c>
      <c r="B1059" s="10">
        <v>45940</v>
      </c>
      <c r="C1059" s="7" t="s">
        <v>2286</v>
      </c>
      <c r="D1059" s="8" t="s">
        <v>127</v>
      </c>
      <c r="E1059" s="8" t="s">
        <v>75</v>
      </c>
      <c r="F1059" s="8" t="s">
        <v>37</v>
      </c>
      <c r="G1059" s="8" t="s">
        <v>28</v>
      </c>
      <c r="H1059" s="8" t="s">
        <v>39</v>
      </c>
      <c r="I1059" s="11">
        <v>19</v>
      </c>
      <c r="J1059" s="12">
        <v>142.5</v>
      </c>
      <c r="K1059" s="13">
        <v>0</v>
      </c>
      <c r="L1059" s="12">
        <v>107.04</v>
      </c>
      <c r="M1059" s="14">
        <f>ROUND(tblSprzedaz[[#This Row],[Ilość]]*tblSprzedaz[[#This Row],[Cena netto jednostkowa]]*(1-tblSprzedaz[[#This Row],[Rabat %]]),2)</f>
        <v>2707.5</v>
      </c>
      <c r="N1059" s="14">
        <f>ROUND(tblSprzedaz[[#This Row],[Ilość]]*tblSprzedaz[[#This Row],[Koszt jednostkowy netto]],2)</f>
        <v>2033.76</v>
      </c>
      <c r="O1059" s="14">
        <f>tblSprzedaz[[#This Row],[Przychód netto]]-tblSprzedaz[[#This Row],[Koszt całkowity netto]]</f>
        <v>673.74</v>
      </c>
      <c r="P1059" s="15">
        <f>IFERROR(tblSprzedaz[[#This Row],[Marża kwotowa]]/tblSprzedaz[[#This Row],[Przychód netto]],0)</f>
        <v>0.24884210526315789</v>
      </c>
      <c r="Q1059" s="16">
        <f>YEAR(tblSprzedaz[[#This Row],[Data]])</f>
        <v>2025</v>
      </c>
      <c r="R1059" s="16">
        <f>MONTH(tblSprzedaz[[#This Row],[Data]])</f>
        <v>10</v>
      </c>
      <c r="S1059" s="9" t="str">
        <f>YEAR(tblSprzedaz[[#This Row],[Data]])&amp;"-"&amp;RIGHT("0"&amp;MONTH(tblSprzedaz[[#This Row],[Data]]),2)</f>
        <v>2025-10</v>
      </c>
    </row>
    <row r="1060" spans="1:19" x14ac:dyDescent="0.25">
      <c r="A1060" s="7" t="s">
        <v>2287</v>
      </c>
      <c r="B1060" s="10">
        <v>45940</v>
      </c>
      <c r="C1060" s="7" t="s">
        <v>2288</v>
      </c>
      <c r="D1060" s="8" t="s">
        <v>144</v>
      </c>
      <c r="E1060" s="8" t="s">
        <v>51</v>
      </c>
      <c r="F1060" s="8" t="s">
        <v>29</v>
      </c>
      <c r="G1060" s="8" t="s">
        <v>36</v>
      </c>
      <c r="H1060" s="8" t="s">
        <v>46</v>
      </c>
      <c r="I1060" s="11">
        <v>7</v>
      </c>
      <c r="J1060" s="12">
        <v>51</v>
      </c>
      <c r="K1060" s="13">
        <v>0.1</v>
      </c>
      <c r="L1060" s="12">
        <v>30.02</v>
      </c>
      <c r="M1060" s="14">
        <f>ROUND(tblSprzedaz[[#This Row],[Ilość]]*tblSprzedaz[[#This Row],[Cena netto jednostkowa]]*(1-tblSprzedaz[[#This Row],[Rabat %]]),2)</f>
        <v>321.3</v>
      </c>
      <c r="N1060" s="14">
        <f>ROUND(tblSprzedaz[[#This Row],[Ilość]]*tblSprzedaz[[#This Row],[Koszt jednostkowy netto]],2)</f>
        <v>210.14</v>
      </c>
      <c r="O1060" s="14">
        <f>tblSprzedaz[[#This Row],[Przychód netto]]-tblSprzedaz[[#This Row],[Koszt całkowity netto]]</f>
        <v>111.16000000000003</v>
      </c>
      <c r="P1060" s="15">
        <f>IFERROR(tblSprzedaz[[#This Row],[Marża kwotowa]]/tblSprzedaz[[#This Row],[Przychód netto]],0)</f>
        <v>0.34596949891067547</v>
      </c>
      <c r="Q1060" s="16">
        <f>YEAR(tblSprzedaz[[#This Row],[Data]])</f>
        <v>2025</v>
      </c>
      <c r="R1060" s="16">
        <f>MONTH(tblSprzedaz[[#This Row],[Data]])</f>
        <v>10</v>
      </c>
      <c r="S1060" s="9" t="str">
        <f>YEAR(tblSprzedaz[[#This Row],[Data]])&amp;"-"&amp;RIGHT("0"&amp;MONTH(tblSprzedaz[[#This Row],[Data]]),2)</f>
        <v>2025-10</v>
      </c>
    </row>
    <row r="1061" spans="1:19" x14ac:dyDescent="0.25">
      <c r="A1061" s="7" t="s">
        <v>2289</v>
      </c>
      <c r="B1061" s="10">
        <v>45940</v>
      </c>
      <c r="C1061" s="7" t="s">
        <v>2290</v>
      </c>
      <c r="D1061" s="8" t="s">
        <v>118</v>
      </c>
      <c r="E1061" s="8" t="s">
        <v>55</v>
      </c>
      <c r="F1061" s="8" t="s">
        <v>31</v>
      </c>
      <c r="G1061" s="8" t="s">
        <v>34</v>
      </c>
      <c r="H1061" s="8" t="s">
        <v>44</v>
      </c>
      <c r="I1061" s="11">
        <v>6</v>
      </c>
      <c r="J1061" s="12">
        <v>243.6</v>
      </c>
      <c r="K1061" s="13">
        <v>0</v>
      </c>
      <c r="L1061" s="12">
        <v>149.01</v>
      </c>
      <c r="M1061" s="14">
        <f>ROUND(tblSprzedaz[[#This Row],[Ilość]]*tblSprzedaz[[#This Row],[Cena netto jednostkowa]]*(1-tblSprzedaz[[#This Row],[Rabat %]]),2)</f>
        <v>1461.6</v>
      </c>
      <c r="N1061" s="14">
        <f>ROUND(tblSprzedaz[[#This Row],[Ilość]]*tblSprzedaz[[#This Row],[Koszt jednostkowy netto]],2)</f>
        <v>894.06</v>
      </c>
      <c r="O1061" s="14">
        <f>tblSprzedaz[[#This Row],[Przychód netto]]-tblSprzedaz[[#This Row],[Koszt całkowity netto]]</f>
        <v>567.54</v>
      </c>
      <c r="P1061" s="15">
        <f>IFERROR(tblSprzedaz[[#This Row],[Marża kwotowa]]/tblSprzedaz[[#This Row],[Przychód netto]],0)</f>
        <v>0.38830049261083743</v>
      </c>
      <c r="Q1061" s="16">
        <f>YEAR(tblSprzedaz[[#This Row],[Data]])</f>
        <v>2025</v>
      </c>
      <c r="R1061" s="16">
        <f>MONTH(tblSprzedaz[[#This Row],[Data]])</f>
        <v>10</v>
      </c>
      <c r="S1061" s="9" t="str">
        <f>YEAR(tblSprzedaz[[#This Row],[Data]])&amp;"-"&amp;RIGHT("0"&amp;MONTH(tblSprzedaz[[#This Row],[Data]]),2)</f>
        <v>2025-10</v>
      </c>
    </row>
    <row r="1062" spans="1:19" x14ac:dyDescent="0.25">
      <c r="A1062" s="7" t="s">
        <v>2291</v>
      </c>
      <c r="B1062" s="10">
        <v>45941</v>
      </c>
      <c r="C1062" s="7" t="s">
        <v>2292</v>
      </c>
      <c r="D1062" s="8" t="s">
        <v>136</v>
      </c>
      <c r="E1062" s="8" t="s">
        <v>69</v>
      </c>
      <c r="F1062" s="8" t="s">
        <v>35</v>
      </c>
      <c r="G1062" s="8" t="s">
        <v>34</v>
      </c>
      <c r="H1062" s="8" t="s">
        <v>45</v>
      </c>
      <c r="I1062" s="11">
        <v>1</v>
      </c>
      <c r="J1062" s="12">
        <v>102</v>
      </c>
      <c r="K1062" s="13">
        <v>0</v>
      </c>
      <c r="L1062" s="12">
        <v>72.2</v>
      </c>
      <c r="M1062" s="14">
        <f>ROUND(tblSprzedaz[[#This Row],[Ilość]]*tblSprzedaz[[#This Row],[Cena netto jednostkowa]]*(1-tblSprzedaz[[#This Row],[Rabat %]]),2)</f>
        <v>102</v>
      </c>
      <c r="N1062" s="14">
        <f>ROUND(tblSprzedaz[[#This Row],[Ilość]]*tblSprzedaz[[#This Row],[Koszt jednostkowy netto]],2)</f>
        <v>72.2</v>
      </c>
      <c r="O1062" s="14">
        <f>tblSprzedaz[[#This Row],[Przychód netto]]-tblSprzedaz[[#This Row],[Koszt całkowity netto]]</f>
        <v>29.799999999999997</v>
      </c>
      <c r="P1062" s="15">
        <f>IFERROR(tblSprzedaz[[#This Row],[Marża kwotowa]]/tblSprzedaz[[#This Row],[Przychód netto]],0)</f>
        <v>0.292156862745098</v>
      </c>
      <c r="Q1062" s="16">
        <f>YEAR(tblSprzedaz[[#This Row],[Data]])</f>
        <v>2025</v>
      </c>
      <c r="R1062" s="16">
        <f>MONTH(tblSprzedaz[[#This Row],[Data]])</f>
        <v>10</v>
      </c>
      <c r="S1062" s="9" t="str">
        <f>YEAR(tblSprzedaz[[#This Row],[Data]])&amp;"-"&amp;RIGHT("0"&amp;MONTH(tblSprzedaz[[#This Row],[Data]]),2)</f>
        <v>2025-10</v>
      </c>
    </row>
    <row r="1063" spans="1:19" x14ac:dyDescent="0.25">
      <c r="A1063" s="7" t="s">
        <v>2293</v>
      </c>
      <c r="B1063" s="10">
        <v>45941</v>
      </c>
      <c r="C1063" s="7" t="s">
        <v>2294</v>
      </c>
      <c r="D1063" s="8" t="s">
        <v>85</v>
      </c>
      <c r="E1063" s="8" t="s">
        <v>71</v>
      </c>
      <c r="F1063" s="8" t="s">
        <v>35</v>
      </c>
      <c r="G1063" s="8" t="s">
        <v>34</v>
      </c>
      <c r="H1063" s="8" t="s">
        <v>44</v>
      </c>
      <c r="I1063" s="11">
        <v>17</v>
      </c>
      <c r="J1063" s="12">
        <v>55.76</v>
      </c>
      <c r="K1063" s="13">
        <v>0</v>
      </c>
      <c r="L1063" s="12">
        <v>38.67</v>
      </c>
      <c r="M1063" s="14">
        <f>ROUND(tblSprzedaz[[#This Row],[Ilość]]*tblSprzedaz[[#This Row],[Cena netto jednostkowa]]*(1-tblSprzedaz[[#This Row],[Rabat %]]),2)</f>
        <v>947.92</v>
      </c>
      <c r="N1063" s="14">
        <f>ROUND(tblSprzedaz[[#This Row],[Ilość]]*tblSprzedaz[[#This Row],[Koszt jednostkowy netto]],2)</f>
        <v>657.39</v>
      </c>
      <c r="O1063" s="14">
        <f>tblSprzedaz[[#This Row],[Przychód netto]]-tblSprzedaz[[#This Row],[Koszt całkowity netto]]</f>
        <v>290.52999999999997</v>
      </c>
      <c r="P1063" s="15">
        <f>IFERROR(tblSprzedaz[[#This Row],[Marża kwotowa]]/tblSprzedaz[[#This Row],[Przychód netto]],0)</f>
        <v>0.30649210903873741</v>
      </c>
      <c r="Q1063" s="16">
        <f>YEAR(tblSprzedaz[[#This Row],[Data]])</f>
        <v>2025</v>
      </c>
      <c r="R1063" s="16">
        <f>MONTH(tblSprzedaz[[#This Row],[Data]])</f>
        <v>10</v>
      </c>
      <c r="S1063" s="9" t="str">
        <f>YEAR(tblSprzedaz[[#This Row],[Data]])&amp;"-"&amp;RIGHT("0"&amp;MONTH(tblSprzedaz[[#This Row],[Data]]),2)</f>
        <v>2025-10</v>
      </c>
    </row>
    <row r="1064" spans="1:19" x14ac:dyDescent="0.25">
      <c r="A1064" s="7" t="s">
        <v>2295</v>
      </c>
      <c r="B1064" s="10">
        <v>45942</v>
      </c>
      <c r="C1064" s="7" t="s">
        <v>2296</v>
      </c>
      <c r="D1064" s="8" t="s">
        <v>116</v>
      </c>
      <c r="E1064" s="8" t="s">
        <v>49</v>
      </c>
      <c r="F1064" s="8" t="s">
        <v>29</v>
      </c>
      <c r="G1064" s="8" t="s">
        <v>30</v>
      </c>
      <c r="H1064" s="8" t="s">
        <v>41</v>
      </c>
      <c r="I1064" s="11">
        <v>28</v>
      </c>
      <c r="J1064" s="12">
        <v>39.44</v>
      </c>
      <c r="K1064" s="13">
        <v>0</v>
      </c>
      <c r="L1064" s="12">
        <v>22.63</v>
      </c>
      <c r="M1064" s="14">
        <f>ROUND(tblSprzedaz[[#This Row],[Ilość]]*tblSprzedaz[[#This Row],[Cena netto jednostkowa]]*(1-tblSprzedaz[[#This Row],[Rabat %]]),2)</f>
        <v>1104.32</v>
      </c>
      <c r="N1064" s="14">
        <f>ROUND(tblSprzedaz[[#This Row],[Ilość]]*tblSprzedaz[[#This Row],[Koszt jednostkowy netto]],2)</f>
        <v>633.64</v>
      </c>
      <c r="O1064" s="14">
        <f>tblSprzedaz[[#This Row],[Przychód netto]]-tblSprzedaz[[#This Row],[Koszt całkowity netto]]</f>
        <v>470.67999999999995</v>
      </c>
      <c r="P1064" s="15">
        <f>IFERROR(tblSprzedaz[[#This Row],[Marża kwotowa]]/tblSprzedaz[[#This Row],[Przychód netto]],0)</f>
        <v>0.42621703853955373</v>
      </c>
      <c r="Q1064" s="16">
        <f>YEAR(tblSprzedaz[[#This Row],[Data]])</f>
        <v>2025</v>
      </c>
      <c r="R1064" s="16">
        <f>MONTH(tblSprzedaz[[#This Row],[Data]])</f>
        <v>10</v>
      </c>
      <c r="S1064" s="9" t="str">
        <f>YEAR(tblSprzedaz[[#This Row],[Data]])&amp;"-"&amp;RIGHT("0"&amp;MONTH(tblSprzedaz[[#This Row],[Data]]),2)</f>
        <v>2025-10</v>
      </c>
    </row>
    <row r="1065" spans="1:19" x14ac:dyDescent="0.25">
      <c r="A1065" s="7" t="s">
        <v>2297</v>
      </c>
      <c r="B1065" s="10">
        <v>45943</v>
      </c>
      <c r="C1065" s="7" t="s">
        <v>2298</v>
      </c>
      <c r="D1065" s="8" t="s">
        <v>107</v>
      </c>
      <c r="E1065" s="8" t="s">
        <v>64</v>
      </c>
      <c r="F1065" s="8" t="s">
        <v>33</v>
      </c>
      <c r="G1065" s="8" t="s">
        <v>34</v>
      </c>
      <c r="H1065" s="8" t="s">
        <v>44</v>
      </c>
      <c r="I1065" s="11">
        <v>12</v>
      </c>
      <c r="J1065" s="12">
        <v>768.2</v>
      </c>
      <c r="K1065" s="13">
        <v>0</v>
      </c>
      <c r="L1065" s="12">
        <v>553.01</v>
      </c>
      <c r="M1065" s="14">
        <f>ROUND(tblSprzedaz[[#This Row],[Ilość]]*tblSprzedaz[[#This Row],[Cena netto jednostkowa]]*(1-tblSprzedaz[[#This Row],[Rabat %]]),2)</f>
        <v>9218.4</v>
      </c>
      <c r="N1065" s="14">
        <f>ROUND(tblSprzedaz[[#This Row],[Ilość]]*tblSprzedaz[[#This Row],[Koszt jednostkowy netto]],2)</f>
        <v>6636.12</v>
      </c>
      <c r="O1065" s="14">
        <f>tblSprzedaz[[#This Row],[Przychód netto]]-tblSprzedaz[[#This Row],[Koszt całkowity netto]]</f>
        <v>2582.2799999999997</v>
      </c>
      <c r="P1065" s="15">
        <f>IFERROR(tblSprzedaz[[#This Row],[Marża kwotowa]]/tblSprzedaz[[#This Row],[Przychód netto]],0)</f>
        <v>0.28012236396771673</v>
      </c>
      <c r="Q1065" s="16">
        <f>YEAR(tblSprzedaz[[#This Row],[Data]])</f>
        <v>2025</v>
      </c>
      <c r="R1065" s="16">
        <f>MONTH(tblSprzedaz[[#This Row],[Data]])</f>
        <v>10</v>
      </c>
      <c r="S1065" s="9" t="str">
        <f>YEAR(tblSprzedaz[[#This Row],[Data]])&amp;"-"&amp;RIGHT("0"&amp;MONTH(tblSprzedaz[[#This Row],[Data]]),2)</f>
        <v>2025-10</v>
      </c>
    </row>
    <row r="1066" spans="1:19" x14ac:dyDescent="0.25">
      <c r="A1066" s="7" t="s">
        <v>2299</v>
      </c>
      <c r="B1066" s="10">
        <v>45943</v>
      </c>
      <c r="C1066" s="7" t="s">
        <v>2300</v>
      </c>
      <c r="D1066" s="8" t="s">
        <v>146</v>
      </c>
      <c r="E1066" s="8" t="s">
        <v>73</v>
      </c>
      <c r="F1066" s="8" t="s">
        <v>37</v>
      </c>
      <c r="G1066" s="8" t="s">
        <v>28</v>
      </c>
      <c r="H1066" s="8" t="s">
        <v>39</v>
      </c>
      <c r="I1066" s="11">
        <v>15</v>
      </c>
      <c r="J1066" s="12">
        <v>110.2</v>
      </c>
      <c r="K1066" s="13">
        <v>0.05</v>
      </c>
      <c r="L1066" s="12">
        <v>85.02</v>
      </c>
      <c r="M1066" s="14">
        <f>ROUND(tblSprzedaz[[#This Row],[Ilość]]*tblSprzedaz[[#This Row],[Cena netto jednostkowa]]*(1-tblSprzedaz[[#This Row],[Rabat %]]),2)</f>
        <v>1570.35</v>
      </c>
      <c r="N1066" s="14">
        <f>ROUND(tblSprzedaz[[#This Row],[Ilość]]*tblSprzedaz[[#This Row],[Koszt jednostkowy netto]],2)</f>
        <v>1275.3</v>
      </c>
      <c r="O1066" s="14">
        <f>tblSprzedaz[[#This Row],[Przychód netto]]-tblSprzedaz[[#This Row],[Koszt całkowity netto]]</f>
        <v>295.04999999999995</v>
      </c>
      <c r="P1066" s="15">
        <f>IFERROR(tblSprzedaz[[#This Row],[Marża kwotowa]]/tblSprzedaz[[#This Row],[Przychód netto]],0)</f>
        <v>0.18788805043461645</v>
      </c>
      <c r="Q1066" s="16">
        <f>YEAR(tblSprzedaz[[#This Row],[Data]])</f>
        <v>2025</v>
      </c>
      <c r="R1066" s="16">
        <f>MONTH(tblSprzedaz[[#This Row],[Data]])</f>
        <v>10</v>
      </c>
      <c r="S1066" s="9" t="str">
        <f>YEAR(tblSprzedaz[[#This Row],[Data]])&amp;"-"&amp;RIGHT("0"&amp;MONTH(tblSprzedaz[[#This Row],[Data]]),2)</f>
        <v>2025-10</v>
      </c>
    </row>
    <row r="1067" spans="1:19" x14ac:dyDescent="0.25">
      <c r="A1067" s="7" t="s">
        <v>2301</v>
      </c>
      <c r="B1067" s="10">
        <v>45943</v>
      </c>
      <c r="C1067" s="7" t="s">
        <v>2302</v>
      </c>
      <c r="D1067" s="8" t="s">
        <v>88</v>
      </c>
      <c r="E1067" s="8" t="s">
        <v>75</v>
      </c>
      <c r="F1067" s="8" t="s">
        <v>37</v>
      </c>
      <c r="G1067" s="8" t="s">
        <v>34</v>
      </c>
      <c r="H1067" s="8" t="s">
        <v>44</v>
      </c>
      <c r="I1067" s="11">
        <v>9</v>
      </c>
      <c r="J1067" s="12">
        <v>142.5</v>
      </c>
      <c r="K1067" s="13">
        <v>0.15</v>
      </c>
      <c r="L1067" s="12">
        <v>107.44</v>
      </c>
      <c r="M1067" s="14">
        <f>ROUND(tblSprzedaz[[#This Row],[Ilość]]*tblSprzedaz[[#This Row],[Cena netto jednostkowa]]*(1-tblSprzedaz[[#This Row],[Rabat %]]),2)</f>
        <v>1090.1300000000001</v>
      </c>
      <c r="N1067" s="14">
        <f>ROUND(tblSprzedaz[[#This Row],[Ilość]]*tblSprzedaz[[#This Row],[Koszt jednostkowy netto]],2)</f>
        <v>966.96</v>
      </c>
      <c r="O1067" s="14">
        <f>tblSprzedaz[[#This Row],[Przychód netto]]-tblSprzedaz[[#This Row],[Koszt całkowity netto]]</f>
        <v>123.17000000000007</v>
      </c>
      <c r="P1067" s="15">
        <f>IFERROR(tblSprzedaz[[#This Row],[Marża kwotowa]]/tblSprzedaz[[#This Row],[Przychód netto]],0)</f>
        <v>0.11298652454294447</v>
      </c>
      <c r="Q1067" s="16">
        <f>YEAR(tblSprzedaz[[#This Row],[Data]])</f>
        <v>2025</v>
      </c>
      <c r="R1067" s="16">
        <f>MONTH(tblSprzedaz[[#This Row],[Data]])</f>
        <v>10</v>
      </c>
      <c r="S1067" s="9" t="str">
        <f>YEAR(tblSprzedaz[[#This Row],[Data]])&amp;"-"&amp;RIGHT("0"&amp;MONTH(tblSprzedaz[[#This Row],[Data]]),2)</f>
        <v>2025-10</v>
      </c>
    </row>
    <row r="1068" spans="1:19" x14ac:dyDescent="0.25">
      <c r="A1068" s="7" t="s">
        <v>2303</v>
      </c>
      <c r="B1068" s="10">
        <v>45943</v>
      </c>
      <c r="C1068" s="7" t="s">
        <v>2304</v>
      </c>
      <c r="D1068" s="8" t="s">
        <v>86</v>
      </c>
      <c r="E1068" s="8" t="s">
        <v>51</v>
      </c>
      <c r="F1068" s="8" t="s">
        <v>29</v>
      </c>
      <c r="G1068" s="8" t="s">
        <v>36</v>
      </c>
      <c r="H1068" s="8" t="s">
        <v>47</v>
      </c>
      <c r="I1068" s="11">
        <v>10</v>
      </c>
      <c r="J1068" s="12">
        <v>51</v>
      </c>
      <c r="K1068" s="13">
        <v>0</v>
      </c>
      <c r="L1068" s="12">
        <v>31.05</v>
      </c>
      <c r="M1068" s="14">
        <f>ROUND(tblSprzedaz[[#This Row],[Ilość]]*tblSprzedaz[[#This Row],[Cena netto jednostkowa]]*(1-tblSprzedaz[[#This Row],[Rabat %]]),2)</f>
        <v>510</v>
      </c>
      <c r="N1068" s="14">
        <f>ROUND(tblSprzedaz[[#This Row],[Ilość]]*tblSprzedaz[[#This Row],[Koszt jednostkowy netto]],2)</f>
        <v>310.5</v>
      </c>
      <c r="O1068" s="14">
        <f>tblSprzedaz[[#This Row],[Przychód netto]]-tblSprzedaz[[#This Row],[Koszt całkowity netto]]</f>
        <v>199.5</v>
      </c>
      <c r="P1068" s="15">
        <f>IFERROR(tblSprzedaz[[#This Row],[Marża kwotowa]]/tblSprzedaz[[#This Row],[Przychód netto]],0)</f>
        <v>0.39117647058823529</v>
      </c>
      <c r="Q1068" s="16">
        <f>YEAR(tblSprzedaz[[#This Row],[Data]])</f>
        <v>2025</v>
      </c>
      <c r="R1068" s="16">
        <f>MONTH(tblSprzedaz[[#This Row],[Data]])</f>
        <v>10</v>
      </c>
      <c r="S1068" s="9" t="str">
        <f>YEAR(tblSprzedaz[[#This Row],[Data]])&amp;"-"&amp;RIGHT("0"&amp;MONTH(tblSprzedaz[[#This Row],[Data]]),2)</f>
        <v>2025-10</v>
      </c>
    </row>
    <row r="1069" spans="1:19" x14ac:dyDescent="0.25">
      <c r="A1069" s="7" t="s">
        <v>2305</v>
      </c>
      <c r="B1069" s="10">
        <v>45943</v>
      </c>
      <c r="C1069" s="7" t="s">
        <v>2306</v>
      </c>
      <c r="D1069" s="8" t="s">
        <v>83</v>
      </c>
      <c r="E1069" s="8" t="s">
        <v>61</v>
      </c>
      <c r="F1069" s="8" t="s">
        <v>33</v>
      </c>
      <c r="G1069" s="8" t="s">
        <v>32</v>
      </c>
      <c r="H1069" s="8" t="s">
        <v>43</v>
      </c>
      <c r="I1069" s="11">
        <v>16</v>
      </c>
      <c r="J1069" s="12">
        <v>533.6</v>
      </c>
      <c r="K1069" s="13">
        <v>0.15</v>
      </c>
      <c r="L1069" s="12">
        <v>378.97</v>
      </c>
      <c r="M1069" s="14">
        <f>ROUND(tblSprzedaz[[#This Row],[Ilość]]*tblSprzedaz[[#This Row],[Cena netto jednostkowa]]*(1-tblSprzedaz[[#This Row],[Rabat %]]),2)</f>
        <v>7256.96</v>
      </c>
      <c r="N1069" s="14">
        <f>ROUND(tblSprzedaz[[#This Row],[Ilość]]*tblSprzedaz[[#This Row],[Koszt jednostkowy netto]],2)</f>
        <v>6063.52</v>
      </c>
      <c r="O1069" s="14">
        <f>tblSprzedaz[[#This Row],[Przychód netto]]-tblSprzedaz[[#This Row],[Koszt całkowity netto]]</f>
        <v>1193.4399999999996</v>
      </c>
      <c r="P1069" s="15">
        <f>IFERROR(tblSprzedaz[[#This Row],[Marża kwotowa]]/tblSprzedaz[[#This Row],[Przychód netto]],0)</f>
        <v>0.16445453743716371</v>
      </c>
      <c r="Q1069" s="16">
        <f>YEAR(tblSprzedaz[[#This Row],[Data]])</f>
        <v>2025</v>
      </c>
      <c r="R1069" s="16">
        <f>MONTH(tblSprzedaz[[#This Row],[Data]])</f>
        <v>10</v>
      </c>
      <c r="S1069" s="9" t="str">
        <f>YEAR(tblSprzedaz[[#This Row],[Data]])&amp;"-"&amp;RIGHT("0"&amp;MONTH(tblSprzedaz[[#This Row],[Data]]),2)</f>
        <v>2025-10</v>
      </c>
    </row>
    <row r="1070" spans="1:19" x14ac:dyDescent="0.25">
      <c r="A1070" s="7" t="s">
        <v>2307</v>
      </c>
      <c r="B1070" s="10">
        <v>45943</v>
      </c>
      <c r="C1070" s="7" t="s">
        <v>2308</v>
      </c>
      <c r="D1070" s="8" t="s">
        <v>83</v>
      </c>
      <c r="E1070" s="8" t="s">
        <v>72</v>
      </c>
      <c r="F1070" s="8" t="s">
        <v>37</v>
      </c>
      <c r="G1070" s="8" t="s">
        <v>30</v>
      </c>
      <c r="H1070" s="8" t="s">
        <v>41</v>
      </c>
      <c r="I1070" s="11">
        <v>4</v>
      </c>
      <c r="J1070" s="12">
        <v>94.05</v>
      </c>
      <c r="K1070" s="13">
        <v>0</v>
      </c>
      <c r="L1070" s="12">
        <v>73.64</v>
      </c>
      <c r="M1070" s="14">
        <f>ROUND(tblSprzedaz[[#This Row],[Ilość]]*tblSprzedaz[[#This Row],[Cena netto jednostkowa]]*(1-tblSprzedaz[[#This Row],[Rabat %]]),2)</f>
        <v>376.2</v>
      </c>
      <c r="N1070" s="14">
        <f>ROUND(tblSprzedaz[[#This Row],[Ilość]]*tblSprzedaz[[#This Row],[Koszt jednostkowy netto]],2)</f>
        <v>294.56</v>
      </c>
      <c r="O1070" s="14">
        <f>tblSprzedaz[[#This Row],[Przychód netto]]-tblSprzedaz[[#This Row],[Koszt całkowity netto]]</f>
        <v>81.639999999999986</v>
      </c>
      <c r="P1070" s="15">
        <f>IFERROR(tblSprzedaz[[#This Row],[Marża kwotowa]]/tblSprzedaz[[#This Row],[Przychód netto]],0)</f>
        <v>0.2170122275385433</v>
      </c>
      <c r="Q1070" s="16">
        <f>YEAR(tblSprzedaz[[#This Row],[Data]])</f>
        <v>2025</v>
      </c>
      <c r="R1070" s="16">
        <f>MONTH(tblSprzedaz[[#This Row],[Data]])</f>
        <v>10</v>
      </c>
      <c r="S1070" s="9" t="str">
        <f>YEAR(tblSprzedaz[[#This Row],[Data]])&amp;"-"&amp;RIGHT("0"&amp;MONTH(tblSprzedaz[[#This Row],[Data]]),2)</f>
        <v>2025-10</v>
      </c>
    </row>
    <row r="1071" spans="1:19" x14ac:dyDescent="0.25">
      <c r="A1071" s="7" t="s">
        <v>2309</v>
      </c>
      <c r="B1071" s="10">
        <v>45943</v>
      </c>
      <c r="C1071" s="7" t="s">
        <v>2310</v>
      </c>
      <c r="D1071" s="8" t="s">
        <v>132</v>
      </c>
      <c r="E1071" s="8" t="s">
        <v>70</v>
      </c>
      <c r="F1071" s="8" t="s">
        <v>35</v>
      </c>
      <c r="G1071" s="8" t="s">
        <v>28</v>
      </c>
      <c r="H1071" s="8" t="s">
        <v>38</v>
      </c>
      <c r="I1071" s="11">
        <v>7</v>
      </c>
      <c r="J1071" s="12">
        <v>113.56</v>
      </c>
      <c r="K1071" s="13">
        <v>0.15</v>
      </c>
      <c r="L1071" s="12">
        <v>81.58</v>
      </c>
      <c r="M1071" s="14">
        <f>ROUND(tblSprzedaz[[#This Row],[Ilość]]*tblSprzedaz[[#This Row],[Cena netto jednostkowa]]*(1-tblSprzedaz[[#This Row],[Rabat %]]),2)</f>
        <v>675.68</v>
      </c>
      <c r="N1071" s="14">
        <f>ROUND(tblSprzedaz[[#This Row],[Ilość]]*tblSprzedaz[[#This Row],[Koszt jednostkowy netto]],2)</f>
        <v>571.05999999999995</v>
      </c>
      <c r="O1071" s="14">
        <f>tblSprzedaz[[#This Row],[Przychód netto]]-tblSprzedaz[[#This Row],[Koszt całkowity netto]]</f>
        <v>104.62</v>
      </c>
      <c r="P1071" s="15">
        <f>IFERROR(tblSprzedaz[[#This Row],[Marża kwotowa]]/tblSprzedaz[[#This Row],[Przychód netto]],0)</f>
        <v>0.15483660904570212</v>
      </c>
      <c r="Q1071" s="16">
        <f>YEAR(tblSprzedaz[[#This Row],[Data]])</f>
        <v>2025</v>
      </c>
      <c r="R1071" s="16">
        <f>MONTH(tblSprzedaz[[#This Row],[Data]])</f>
        <v>10</v>
      </c>
      <c r="S1071" s="9" t="str">
        <f>YEAR(tblSprzedaz[[#This Row],[Data]])&amp;"-"&amp;RIGHT("0"&amp;MONTH(tblSprzedaz[[#This Row],[Data]]),2)</f>
        <v>2025-10</v>
      </c>
    </row>
    <row r="1072" spans="1:19" x14ac:dyDescent="0.25">
      <c r="A1072" s="7" t="s">
        <v>2311</v>
      </c>
      <c r="B1072" s="10">
        <v>45944</v>
      </c>
      <c r="C1072" s="7" t="s">
        <v>2312</v>
      </c>
      <c r="D1072" s="8" t="s">
        <v>114</v>
      </c>
      <c r="E1072" s="8" t="s">
        <v>68</v>
      </c>
      <c r="F1072" s="8" t="s">
        <v>35</v>
      </c>
      <c r="G1072" s="8" t="s">
        <v>32</v>
      </c>
      <c r="H1072" s="8" t="s">
        <v>42</v>
      </c>
      <c r="I1072" s="11">
        <v>28</v>
      </c>
      <c r="J1072" s="12">
        <v>90.44</v>
      </c>
      <c r="K1072" s="13">
        <v>0.1</v>
      </c>
      <c r="L1072" s="12">
        <v>63.76</v>
      </c>
      <c r="M1072" s="14">
        <f>ROUND(tblSprzedaz[[#This Row],[Ilość]]*tblSprzedaz[[#This Row],[Cena netto jednostkowa]]*(1-tblSprzedaz[[#This Row],[Rabat %]]),2)</f>
        <v>2279.09</v>
      </c>
      <c r="N1072" s="14">
        <f>ROUND(tblSprzedaz[[#This Row],[Ilość]]*tblSprzedaz[[#This Row],[Koszt jednostkowy netto]],2)</f>
        <v>1785.28</v>
      </c>
      <c r="O1072" s="14">
        <f>tblSprzedaz[[#This Row],[Przychód netto]]-tblSprzedaz[[#This Row],[Koszt całkowity netto]]</f>
        <v>493.81000000000017</v>
      </c>
      <c r="P1072" s="15">
        <f>IFERROR(tblSprzedaz[[#This Row],[Marża kwotowa]]/tblSprzedaz[[#This Row],[Przychód netto]],0)</f>
        <v>0.21666981119657414</v>
      </c>
      <c r="Q1072" s="16">
        <f>YEAR(tblSprzedaz[[#This Row],[Data]])</f>
        <v>2025</v>
      </c>
      <c r="R1072" s="16">
        <f>MONTH(tblSprzedaz[[#This Row],[Data]])</f>
        <v>10</v>
      </c>
      <c r="S1072" s="9" t="str">
        <f>YEAR(tblSprzedaz[[#This Row],[Data]])&amp;"-"&amp;RIGHT("0"&amp;MONTH(tblSprzedaz[[#This Row],[Data]]),2)</f>
        <v>2025-10</v>
      </c>
    </row>
    <row r="1073" spans="1:19" x14ac:dyDescent="0.25">
      <c r="A1073" s="7" t="s">
        <v>2313</v>
      </c>
      <c r="B1073" s="10">
        <v>45944</v>
      </c>
      <c r="C1073" s="7" t="s">
        <v>2314</v>
      </c>
      <c r="D1073" s="8" t="s">
        <v>110</v>
      </c>
      <c r="E1073" s="8" t="s">
        <v>69</v>
      </c>
      <c r="F1073" s="8" t="s">
        <v>35</v>
      </c>
      <c r="G1073" s="8" t="s">
        <v>32</v>
      </c>
      <c r="H1073" s="8" t="s">
        <v>42</v>
      </c>
      <c r="I1073" s="11">
        <v>20</v>
      </c>
      <c r="J1073" s="12">
        <v>102</v>
      </c>
      <c r="K1073" s="13">
        <v>0.1</v>
      </c>
      <c r="L1073" s="12">
        <v>74.91</v>
      </c>
      <c r="M1073" s="14">
        <f>ROUND(tblSprzedaz[[#This Row],[Ilość]]*tblSprzedaz[[#This Row],[Cena netto jednostkowa]]*(1-tblSprzedaz[[#This Row],[Rabat %]]),2)</f>
        <v>1836</v>
      </c>
      <c r="N1073" s="14">
        <f>ROUND(tblSprzedaz[[#This Row],[Ilość]]*tblSprzedaz[[#This Row],[Koszt jednostkowy netto]],2)</f>
        <v>1498.2</v>
      </c>
      <c r="O1073" s="14">
        <f>tblSprzedaz[[#This Row],[Przychód netto]]-tblSprzedaz[[#This Row],[Koszt całkowity netto]]</f>
        <v>337.79999999999995</v>
      </c>
      <c r="P1073" s="15">
        <f>IFERROR(tblSprzedaz[[#This Row],[Marża kwotowa]]/tblSprzedaz[[#This Row],[Przychód netto]],0)</f>
        <v>0.18398692810457515</v>
      </c>
      <c r="Q1073" s="16">
        <f>YEAR(tblSprzedaz[[#This Row],[Data]])</f>
        <v>2025</v>
      </c>
      <c r="R1073" s="16">
        <f>MONTH(tblSprzedaz[[#This Row],[Data]])</f>
        <v>10</v>
      </c>
      <c r="S1073" s="9" t="str">
        <f>YEAR(tblSprzedaz[[#This Row],[Data]])&amp;"-"&amp;RIGHT("0"&amp;MONTH(tblSprzedaz[[#This Row],[Data]]),2)</f>
        <v>2025-10</v>
      </c>
    </row>
    <row r="1074" spans="1:19" x14ac:dyDescent="0.25">
      <c r="A1074" s="7" t="s">
        <v>2315</v>
      </c>
      <c r="B1074" s="10">
        <v>45944</v>
      </c>
      <c r="C1074" s="7" t="s">
        <v>2316</v>
      </c>
      <c r="D1074" s="8" t="s">
        <v>118</v>
      </c>
      <c r="E1074" s="8" t="s">
        <v>51</v>
      </c>
      <c r="F1074" s="8" t="s">
        <v>29</v>
      </c>
      <c r="G1074" s="8" t="s">
        <v>28</v>
      </c>
      <c r="H1074" s="8" t="s">
        <v>39</v>
      </c>
      <c r="I1074" s="11">
        <v>22</v>
      </c>
      <c r="J1074" s="12">
        <v>51</v>
      </c>
      <c r="K1074" s="13">
        <v>0</v>
      </c>
      <c r="L1074" s="12">
        <v>29.93</v>
      </c>
      <c r="M1074" s="14">
        <f>ROUND(tblSprzedaz[[#This Row],[Ilość]]*tblSprzedaz[[#This Row],[Cena netto jednostkowa]]*(1-tblSprzedaz[[#This Row],[Rabat %]]),2)</f>
        <v>1122</v>
      </c>
      <c r="N1074" s="14">
        <f>ROUND(tblSprzedaz[[#This Row],[Ilość]]*tblSprzedaz[[#This Row],[Koszt jednostkowy netto]],2)</f>
        <v>658.46</v>
      </c>
      <c r="O1074" s="14">
        <f>tblSprzedaz[[#This Row],[Przychód netto]]-tblSprzedaz[[#This Row],[Koszt całkowity netto]]</f>
        <v>463.53999999999996</v>
      </c>
      <c r="P1074" s="15">
        <f>IFERROR(tblSprzedaz[[#This Row],[Marża kwotowa]]/tblSprzedaz[[#This Row],[Przychód netto]],0)</f>
        <v>0.41313725490196074</v>
      </c>
      <c r="Q1074" s="16">
        <f>YEAR(tblSprzedaz[[#This Row],[Data]])</f>
        <v>2025</v>
      </c>
      <c r="R1074" s="16">
        <f>MONTH(tblSprzedaz[[#This Row],[Data]])</f>
        <v>10</v>
      </c>
      <c r="S1074" s="9" t="str">
        <f>YEAR(tblSprzedaz[[#This Row],[Data]])&amp;"-"&amp;RIGHT("0"&amp;MONTH(tblSprzedaz[[#This Row],[Data]]),2)</f>
        <v>2025-10</v>
      </c>
    </row>
    <row r="1075" spans="1:19" x14ac:dyDescent="0.25">
      <c r="A1075" s="7" t="s">
        <v>2317</v>
      </c>
      <c r="B1075" s="10">
        <v>45944</v>
      </c>
      <c r="C1075" s="7" t="s">
        <v>2318</v>
      </c>
      <c r="D1075" s="8" t="s">
        <v>132</v>
      </c>
      <c r="E1075" s="8" t="s">
        <v>50</v>
      </c>
      <c r="F1075" s="8" t="s">
        <v>29</v>
      </c>
      <c r="G1075" s="8" t="s">
        <v>28</v>
      </c>
      <c r="H1075" s="8" t="s">
        <v>38</v>
      </c>
      <c r="I1075" s="11">
        <v>13</v>
      </c>
      <c r="J1075" s="12">
        <v>45.22</v>
      </c>
      <c r="K1075" s="13">
        <v>0</v>
      </c>
      <c r="L1075" s="12">
        <v>25.81</v>
      </c>
      <c r="M1075" s="14">
        <f>ROUND(tblSprzedaz[[#This Row],[Ilość]]*tblSprzedaz[[#This Row],[Cena netto jednostkowa]]*(1-tblSprzedaz[[#This Row],[Rabat %]]),2)</f>
        <v>587.86</v>
      </c>
      <c r="N1075" s="14">
        <f>ROUND(tblSprzedaz[[#This Row],[Ilość]]*tblSprzedaz[[#This Row],[Koszt jednostkowy netto]],2)</f>
        <v>335.53</v>
      </c>
      <c r="O1075" s="14">
        <f>tblSprzedaz[[#This Row],[Przychód netto]]-tblSprzedaz[[#This Row],[Koszt całkowity netto]]</f>
        <v>252.33000000000004</v>
      </c>
      <c r="P1075" s="15">
        <f>IFERROR(tblSprzedaz[[#This Row],[Marża kwotowa]]/tblSprzedaz[[#This Row],[Przychód netto]],0)</f>
        <v>0.42923485183547111</v>
      </c>
      <c r="Q1075" s="16">
        <f>YEAR(tblSprzedaz[[#This Row],[Data]])</f>
        <v>2025</v>
      </c>
      <c r="R1075" s="16">
        <f>MONTH(tblSprzedaz[[#This Row],[Data]])</f>
        <v>10</v>
      </c>
      <c r="S1075" s="9" t="str">
        <f>YEAR(tblSprzedaz[[#This Row],[Data]])&amp;"-"&amp;RIGHT("0"&amp;MONTH(tblSprzedaz[[#This Row],[Data]]),2)</f>
        <v>2025-10</v>
      </c>
    </row>
    <row r="1076" spans="1:19" x14ac:dyDescent="0.25">
      <c r="A1076" s="7" t="s">
        <v>2319</v>
      </c>
      <c r="B1076" s="10">
        <v>45944</v>
      </c>
      <c r="C1076" s="7" t="s">
        <v>2320</v>
      </c>
      <c r="D1076" s="8" t="s">
        <v>150</v>
      </c>
      <c r="E1076" s="8" t="s">
        <v>77</v>
      </c>
      <c r="F1076" s="8" t="s">
        <v>37</v>
      </c>
      <c r="G1076" s="8" t="s">
        <v>36</v>
      </c>
      <c r="H1076" s="8" t="s">
        <v>47</v>
      </c>
      <c r="I1076" s="11">
        <v>7</v>
      </c>
      <c r="J1076" s="12">
        <v>77.900000000000006</v>
      </c>
      <c r="K1076" s="13">
        <v>0.05</v>
      </c>
      <c r="L1076" s="12">
        <v>63.08</v>
      </c>
      <c r="M1076" s="14">
        <f>ROUND(tblSprzedaz[[#This Row],[Ilość]]*tblSprzedaz[[#This Row],[Cena netto jednostkowa]]*(1-tblSprzedaz[[#This Row],[Rabat %]]),2)</f>
        <v>518.04</v>
      </c>
      <c r="N1076" s="14">
        <f>ROUND(tblSprzedaz[[#This Row],[Ilość]]*tblSprzedaz[[#This Row],[Koszt jednostkowy netto]],2)</f>
        <v>441.56</v>
      </c>
      <c r="O1076" s="14">
        <f>tblSprzedaz[[#This Row],[Przychód netto]]-tblSprzedaz[[#This Row],[Koszt całkowity netto]]</f>
        <v>76.479999999999961</v>
      </c>
      <c r="P1076" s="15">
        <f>IFERROR(tblSprzedaz[[#This Row],[Marża kwotowa]]/tblSprzedaz[[#This Row],[Przychód netto]],0)</f>
        <v>0.14763338738321358</v>
      </c>
      <c r="Q1076" s="16">
        <f>YEAR(tblSprzedaz[[#This Row],[Data]])</f>
        <v>2025</v>
      </c>
      <c r="R1076" s="16">
        <f>MONTH(tblSprzedaz[[#This Row],[Data]])</f>
        <v>10</v>
      </c>
      <c r="S1076" s="9" t="str">
        <f>YEAR(tblSprzedaz[[#This Row],[Data]])&amp;"-"&amp;RIGHT("0"&amp;MONTH(tblSprzedaz[[#This Row],[Data]]),2)</f>
        <v>2025-10</v>
      </c>
    </row>
    <row r="1077" spans="1:19" x14ac:dyDescent="0.25">
      <c r="A1077" s="7" t="s">
        <v>2321</v>
      </c>
      <c r="B1077" s="10">
        <v>45944</v>
      </c>
      <c r="C1077" s="7" t="s">
        <v>2322</v>
      </c>
      <c r="D1077" s="8" t="s">
        <v>81</v>
      </c>
      <c r="E1077" s="8" t="s">
        <v>77</v>
      </c>
      <c r="F1077" s="8" t="s">
        <v>37</v>
      </c>
      <c r="G1077" s="8" t="s">
        <v>30</v>
      </c>
      <c r="H1077" s="8" t="s">
        <v>41</v>
      </c>
      <c r="I1077" s="11">
        <v>28</v>
      </c>
      <c r="J1077" s="12">
        <v>77.900000000000006</v>
      </c>
      <c r="K1077" s="13">
        <v>0</v>
      </c>
      <c r="L1077" s="12">
        <v>61.11</v>
      </c>
      <c r="M1077" s="14">
        <f>ROUND(tblSprzedaz[[#This Row],[Ilość]]*tblSprzedaz[[#This Row],[Cena netto jednostkowa]]*(1-tblSprzedaz[[#This Row],[Rabat %]]),2)</f>
        <v>2181.1999999999998</v>
      </c>
      <c r="N1077" s="14">
        <f>ROUND(tblSprzedaz[[#This Row],[Ilość]]*tblSprzedaz[[#This Row],[Koszt jednostkowy netto]],2)</f>
        <v>1711.08</v>
      </c>
      <c r="O1077" s="14">
        <f>tblSprzedaz[[#This Row],[Przychód netto]]-tblSprzedaz[[#This Row],[Koszt całkowity netto]]</f>
        <v>470.11999999999989</v>
      </c>
      <c r="P1077" s="15">
        <f>IFERROR(tblSprzedaz[[#This Row],[Marża kwotowa]]/tblSprzedaz[[#This Row],[Przychód netto]],0)</f>
        <v>0.21553273427471115</v>
      </c>
      <c r="Q1077" s="16">
        <f>YEAR(tblSprzedaz[[#This Row],[Data]])</f>
        <v>2025</v>
      </c>
      <c r="R1077" s="16">
        <f>MONTH(tblSprzedaz[[#This Row],[Data]])</f>
        <v>10</v>
      </c>
      <c r="S1077" s="9" t="str">
        <f>YEAR(tblSprzedaz[[#This Row],[Data]])&amp;"-"&amp;RIGHT("0"&amp;MONTH(tblSprzedaz[[#This Row],[Data]]),2)</f>
        <v>2025-10</v>
      </c>
    </row>
    <row r="1078" spans="1:19" x14ac:dyDescent="0.25">
      <c r="A1078" s="7" t="s">
        <v>2323</v>
      </c>
      <c r="B1078" s="10">
        <v>45944</v>
      </c>
      <c r="C1078" s="7" t="s">
        <v>2324</v>
      </c>
      <c r="D1078" s="8" t="s">
        <v>145</v>
      </c>
      <c r="E1078" s="8" t="s">
        <v>68</v>
      </c>
      <c r="F1078" s="8" t="s">
        <v>35</v>
      </c>
      <c r="G1078" s="8" t="s">
        <v>34</v>
      </c>
      <c r="H1078" s="8" t="s">
        <v>44</v>
      </c>
      <c r="I1078" s="11">
        <v>19</v>
      </c>
      <c r="J1078" s="12">
        <v>90.44</v>
      </c>
      <c r="K1078" s="13">
        <v>0.05</v>
      </c>
      <c r="L1078" s="12">
        <v>65.47</v>
      </c>
      <c r="M1078" s="14">
        <f>ROUND(tblSprzedaz[[#This Row],[Ilość]]*tblSprzedaz[[#This Row],[Cena netto jednostkowa]]*(1-tblSprzedaz[[#This Row],[Rabat %]]),2)</f>
        <v>1632.44</v>
      </c>
      <c r="N1078" s="14">
        <f>ROUND(tblSprzedaz[[#This Row],[Ilość]]*tblSprzedaz[[#This Row],[Koszt jednostkowy netto]],2)</f>
        <v>1243.93</v>
      </c>
      <c r="O1078" s="14">
        <f>tblSprzedaz[[#This Row],[Przychód netto]]-tblSprzedaz[[#This Row],[Koszt całkowity netto]]</f>
        <v>388.51</v>
      </c>
      <c r="P1078" s="15">
        <f>IFERROR(tblSprzedaz[[#This Row],[Marża kwotowa]]/tblSprzedaz[[#This Row],[Przychód netto]],0)</f>
        <v>0.23799343314302515</v>
      </c>
      <c r="Q1078" s="16">
        <f>YEAR(tblSprzedaz[[#This Row],[Data]])</f>
        <v>2025</v>
      </c>
      <c r="R1078" s="16">
        <f>MONTH(tblSprzedaz[[#This Row],[Data]])</f>
        <v>10</v>
      </c>
      <c r="S1078" s="9" t="str">
        <f>YEAR(tblSprzedaz[[#This Row],[Data]])&amp;"-"&amp;RIGHT("0"&amp;MONTH(tblSprzedaz[[#This Row],[Data]]),2)</f>
        <v>2025-10</v>
      </c>
    </row>
    <row r="1079" spans="1:19" x14ac:dyDescent="0.25">
      <c r="A1079" s="7" t="s">
        <v>2325</v>
      </c>
      <c r="B1079" s="10">
        <v>45944</v>
      </c>
      <c r="C1079" s="7" t="s">
        <v>2326</v>
      </c>
      <c r="D1079" s="8" t="s">
        <v>103</v>
      </c>
      <c r="E1079" s="8" t="s">
        <v>65</v>
      </c>
      <c r="F1079" s="8" t="s">
        <v>33</v>
      </c>
      <c r="G1079" s="8" t="s">
        <v>30</v>
      </c>
      <c r="H1079" s="8" t="s">
        <v>41</v>
      </c>
      <c r="I1079" s="11">
        <v>18</v>
      </c>
      <c r="J1079" s="12">
        <v>377.2</v>
      </c>
      <c r="K1079" s="13">
        <v>0.15</v>
      </c>
      <c r="L1079" s="12">
        <v>261.58999999999997</v>
      </c>
      <c r="M1079" s="14">
        <f>ROUND(tblSprzedaz[[#This Row],[Ilość]]*tblSprzedaz[[#This Row],[Cena netto jednostkowa]]*(1-tblSprzedaz[[#This Row],[Rabat %]]),2)</f>
        <v>5771.16</v>
      </c>
      <c r="N1079" s="14">
        <f>ROUND(tblSprzedaz[[#This Row],[Ilość]]*tblSprzedaz[[#This Row],[Koszt jednostkowy netto]],2)</f>
        <v>4708.62</v>
      </c>
      <c r="O1079" s="14">
        <f>tblSprzedaz[[#This Row],[Przychód netto]]-tblSprzedaz[[#This Row],[Koszt całkowity netto]]</f>
        <v>1062.54</v>
      </c>
      <c r="P1079" s="15">
        <f>IFERROR(tblSprzedaz[[#This Row],[Marża kwotowa]]/tblSprzedaz[[#This Row],[Przychód netto]],0)</f>
        <v>0.18411203293618614</v>
      </c>
      <c r="Q1079" s="16">
        <f>YEAR(tblSprzedaz[[#This Row],[Data]])</f>
        <v>2025</v>
      </c>
      <c r="R1079" s="16">
        <f>MONTH(tblSprzedaz[[#This Row],[Data]])</f>
        <v>10</v>
      </c>
      <c r="S1079" s="9" t="str">
        <f>YEAR(tblSprzedaz[[#This Row],[Data]])&amp;"-"&amp;RIGHT("0"&amp;MONTH(tblSprzedaz[[#This Row],[Data]]),2)</f>
        <v>2025-10</v>
      </c>
    </row>
    <row r="1080" spans="1:19" x14ac:dyDescent="0.25">
      <c r="A1080" s="7" t="s">
        <v>2327</v>
      </c>
      <c r="B1080" s="10">
        <v>45945</v>
      </c>
      <c r="C1080" s="7" t="s">
        <v>2328</v>
      </c>
      <c r="D1080" s="8" t="s">
        <v>91</v>
      </c>
      <c r="E1080" s="8" t="s">
        <v>56</v>
      </c>
      <c r="F1080" s="8" t="s">
        <v>31</v>
      </c>
      <c r="G1080" s="8" t="s">
        <v>28</v>
      </c>
      <c r="H1080" s="8" t="s">
        <v>39</v>
      </c>
      <c r="I1080" s="11">
        <v>13</v>
      </c>
      <c r="J1080" s="12">
        <v>279.3</v>
      </c>
      <c r="K1080" s="13">
        <v>0.15</v>
      </c>
      <c r="L1080" s="12">
        <v>178.03</v>
      </c>
      <c r="M1080" s="14">
        <f>ROUND(tblSprzedaz[[#This Row],[Ilość]]*tblSprzedaz[[#This Row],[Cena netto jednostkowa]]*(1-tblSprzedaz[[#This Row],[Rabat %]]),2)</f>
        <v>3086.27</v>
      </c>
      <c r="N1080" s="14">
        <f>ROUND(tblSprzedaz[[#This Row],[Ilość]]*tblSprzedaz[[#This Row],[Koszt jednostkowy netto]],2)</f>
        <v>2314.39</v>
      </c>
      <c r="O1080" s="14">
        <f>tblSprzedaz[[#This Row],[Przychód netto]]-tblSprzedaz[[#This Row],[Koszt całkowity netto]]</f>
        <v>771.88000000000011</v>
      </c>
      <c r="P1080" s="15">
        <f>IFERROR(tblSprzedaz[[#This Row],[Marża kwotowa]]/tblSprzedaz[[#This Row],[Przychód netto]],0)</f>
        <v>0.25010125491288843</v>
      </c>
      <c r="Q1080" s="16">
        <f>YEAR(tblSprzedaz[[#This Row],[Data]])</f>
        <v>2025</v>
      </c>
      <c r="R1080" s="16">
        <f>MONTH(tblSprzedaz[[#This Row],[Data]])</f>
        <v>10</v>
      </c>
      <c r="S1080" s="9" t="str">
        <f>YEAR(tblSprzedaz[[#This Row],[Data]])&amp;"-"&amp;RIGHT("0"&amp;MONTH(tblSprzedaz[[#This Row],[Data]]),2)</f>
        <v>2025-10</v>
      </c>
    </row>
    <row r="1081" spans="1:19" x14ac:dyDescent="0.25">
      <c r="A1081" s="7" t="s">
        <v>2329</v>
      </c>
      <c r="B1081" s="10">
        <v>45945</v>
      </c>
      <c r="C1081" s="7" t="s">
        <v>2330</v>
      </c>
      <c r="D1081" s="8" t="s">
        <v>99</v>
      </c>
      <c r="E1081" s="8" t="s">
        <v>56</v>
      </c>
      <c r="F1081" s="8" t="s">
        <v>31</v>
      </c>
      <c r="G1081" s="8" t="s">
        <v>36</v>
      </c>
      <c r="H1081" s="8" t="s">
        <v>47</v>
      </c>
      <c r="I1081" s="11">
        <v>28</v>
      </c>
      <c r="J1081" s="12">
        <v>279.3</v>
      </c>
      <c r="K1081" s="13">
        <v>0.05</v>
      </c>
      <c r="L1081" s="12">
        <v>187.13</v>
      </c>
      <c r="M1081" s="14">
        <f>ROUND(tblSprzedaz[[#This Row],[Ilość]]*tblSprzedaz[[#This Row],[Cena netto jednostkowa]]*(1-tblSprzedaz[[#This Row],[Rabat %]]),2)</f>
        <v>7429.38</v>
      </c>
      <c r="N1081" s="14">
        <f>ROUND(tblSprzedaz[[#This Row],[Ilość]]*tblSprzedaz[[#This Row],[Koszt jednostkowy netto]],2)</f>
        <v>5239.6400000000003</v>
      </c>
      <c r="O1081" s="14">
        <f>tblSprzedaz[[#This Row],[Przychód netto]]-tblSprzedaz[[#This Row],[Koszt całkowity netto]]</f>
        <v>2189.7399999999998</v>
      </c>
      <c r="P1081" s="15">
        <f>IFERROR(tblSprzedaz[[#This Row],[Marża kwotowa]]/tblSprzedaz[[#This Row],[Przychód netto]],0)</f>
        <v>0.29474061092581072</v>
      </c>
      <c r="Q1081" s="16">
        <f>YEAR(tblSprzedaz[[#This Row],[Data]])</f>
        <v>2025</v>
      </c>
      <c r="R1081" s="16">
        <f>MONTH(tblSprzedaz[[#This Row],[Data]])</f>
        <v>10</v>
      </c>
      <c r="S1081" s="9" t="str">
        <f>YEAR(tblSprzedaz[[#This Row],[Data]])&amp;"-"&amp;RIGHT("0"&amp;MONTH(tblSprzedaz[[#This Row],[Data]]),2)</f>
        <v>2025-10</v>
      </c>
    </row>
    <row r="1082" spans="1:19" x14ac:dyDescent="0.25">
      <c r="A1082" s="7" t="s">
        <v>2331</v>
      </c>
      <c r="B1082" s="10">
        <v>45945</v>
      </c>
      <c r="C1082" s="7" t="s">
        <v>2332</v>
      </c>
      <c r="D1082" s="8" t="s">
        <v>102</v>
      </c>
      <c r="E1082" s="8" t="s">
        <v>54</v>
      </c>
      <c r="F1082" s="8" t="s">
        <v>31</v>
      </c>
      <c r="G1082" s="8" t="s">
        <v>34</v>
      </c>
      <c r="H1082" s="8" t="s">
        <v>44</v>
      </c>
      <c r="I1082" s="11">
        <v>1</v>
      </c>
      <c r="J1082" s="12">
        <v>207.9</v>
      </c>
      <c r="K1082" s="13">
        <v>0.1</v>
      </c>
      <c r="L1082" s="12">
        <v>135.78</v>
      </c>
      <c r="M1082" s="14">
        <f>ROUND(tblSprzedaz[[#This Row],[Ilość]]*tblSprzedaz[[#This Row],[Cena netto jednostkowa]]*(1-tblSprzedaz[[#This Row],[Rabat %]]),2)</f>
        <v>187.11</v>
      </c>
      <c r="N1082" s="14">
        <f>ROUND(tblSprzedaz[[#This Row],[Ilość]]*tblSprzedaz[[#This Row],[Koszt jednostkowy netto]],2)</f>
        <v>135.78</v>
      </c>
      <c r="O1082" s="14">
        <f>tblSprzedaz[[#This Row],[Przychód netto]]-tblSprzedaz[[#This Row],[Koszt całkowity netto]]</f>
        <v>51.330000000000013</v>
      </c>
      <c r="P1082" s="15">
        <f>IFERROR(tblSprzedaz[[#This Row],[Marża kwotowa]]/tblSprzedaz[[#This Row],[Przychód netto]],0)</f>
        <v>0.27433060766394102</v>
      </c>
      <c r="Q1082" s="16">
        <f>YEAR(tblSprzedaz[[#This Row],[Data]])</f>
        <v>2025</v>
      </c>
      <c r="R1082" s="16">
        <f>MONTH(tblSprzedaz[[#This Row],[Data]])</f>
        <v>10</v>
      </c>
      <c r="S1082" s="9" t="str">
        <f>YEAR(tblSprzedaz[[#This Row],[Data]])&amp;"-"&amp;RIGHT("0"&amp;MONTH(tblSprzedaz[[#This Row],[Data]]),2)</f>
        <v>2025-10</v>
      </c>
    </row>
    <row r="1083" spans="1:19" x14ac:dyDescent="0.25">
      <c r="A1083" s="7" t="s">
        <v>2333</v>
      </c>
      <c r="B1083" s="10">
        <v>45945</v>
      </c>
      <c r="C1083" s="7" t="s">
        <v>2334</v>
      </c>
      <c r="D1083" s="8" t="s">
        <v>115</v>
      </c>
      <c r="E1083" s="8" t="s">
        <v>76</v>
      </c>
      <c r="F1083" s="8" t="s">
        <v>37</v>
      </c>
      <c r="G1083" s="8" t="s">
        <v>28</v>
      </c>
      <c r="H1083" s="8" t="s">
        <v>39</v>
      </c>
      <c r="I1083" s="11">
        <v>11</v>
      </c>
      <c r="J1083" s="12">
        <v>158.65</v>
      </c>
      <c r="K1083" s="13">
        <v>0.05</v>
      </c>
      <c r="L1083" s="12">
        <v>123.41</v>
      </c>
      <c r="M1083" s="14">
        <f>ROUND(tblSprzedaz[[#This Row],[Ilość]]*tblSprzedaz[[#This Row],[Cena netto jednostkowa]]*(1-tblSprzedaz[[#This Row],[Rabat %]]),2)</f>
        <v>1657.89</v>
      </c>
      <c r="N1083" s="14">
        <f>ROUND(tblSprzedaz[[#This Row],[Ilość]]*tblSprzedaz[[#This Row],[Koszt jednostkowy netto]],2)</f>
        <v>1357.51</v>
      </c>
      <c r="O1083" s="14">
        <f>tblSprzedaz[[#This Row],[Przychód netto]]-tblSprzedaz[[#This Row],[Koszt całkowity netto]]</f>
        <v>300.38000000000011</v>
      </c>
      <c r="P1083" s="15">
        <f>IFERROR(tblSprzedaz[[#This Row],[Marża kwotowa]]/tblSprzedaz[[#This Row],[Przychód netto]],0)</f>
        <v>0.18118210496474441</v>
      </c>
      <c r="Q1083" s="16">
        <f>YEAR(tblSprzedaz[[#This Row],[Data]])</f>
        <v>2025</v>
      </c>
      <c r="R1083" s="16">
        <f>MONTH(tblSprzedaz[[#This Row],[Data]])</f>
        <v>10</v>
      </c>
      <c r="S1083" s="9" t="str">
        <f>YEAR(tblSprzedaz[[#This Row],[Data]])&amp;"-"&amp;RIGHT("0"&amp;MONTH(tblSprzedaz[[#This Row],[Data]]),2)</f>
        <v>2025-10</v>
      </c>
    </row>
    <row r="1084" spans="1:19" x14ac:dyDescent="0.25">
      <c r="A1084" s="7" t="s">
        <v>2335</v>
      </c>
      <c r="B1084" s="10">
        <v>45945</v>
      </c>
      <c r="C1084" s="7" t="s">
        <v>2336</v>
      </c>
      <c r="D1084" s="8" t="s">
        <v>148</v>
      </c>
      <c r="E1084" s="8" t="s">
        <v>48</v>
      </c>
      <c r="F1084" s="8" t="s">
        <v>29</v>
      </c>
      <c r="G1084" s="8" t="s">
        <v>30</v>
      </c>
      <c r="H1084" s="8" t="s">
        <v>40</v>
      </c>
      <c r="I1084" s="11">
        <v>28</v>
      </c>
      <c r="J1084" s="12">
        <v>33.659999999999997</v>
      </c>
      <c r="K1084" s="13">
        <v>0</v>
      </c>
      <c r="L1084" s="12">
        <v>20.61</v>
      </c>
      <c r="M1084" s="14">
        <f>ROUND(tblSprzedaz[[#This Row],[Ilość]]*tblSprzedaz[[#This Row],[Cena netto jednostkowa]]*(1-tblSprzedaz[[#This Row],[Rabat %]]),2)</f>
        <v>942.48</v>
      </c>
      <c r="N1084" s="14">
        <f>ROUND(tblSprzedaz[[#This Row],[Ilość]]*tblSprzedaz[[#This Row],[Koszt jednostkowy netto]],2)</f>
        <v>577.08000000000004</v>
      </c>
      <c r="O1084" s="14">
        <f>tblSprzedaz[[#This Row],[Przychód netto]]-tblSprzedaz[[#This Row],[Koszt całkowity netto]]</f>
        <v>365.4</v>
      </c>
      <c r="P1084" s="15">
        <f>IFERROR(tblSprzedaz[[#This Row],[Marża kwotowa]]/tblSprzedaz[[#This Row],[Przychód netto]],0)</f>
        <v>0.38770053475935828</v>
      </c>
      <c r="Q1084" s="16">
        <f>YEAR(tblSprzedaz[[#This Row],[Data]])</f>
        <v>2025</v>
      </c>
      <c r="R1084" s="16">
        <f>MONTH(tblSprzedaz[[#This Row],[Data]])</f>
        <v>10</v>
      </c>
      <c r="S1084" s="9" t="str">
        <f>YEAR(tblSprzedaz[[#This Row],[Data]])&amp;"-"&amp;RIGHT("0"&amp;MONTH(tblSprzedaz[[#This Row],[Data]]),2)</f>
        <v>2025-10</v>
      </c>
    </row>
    <row r="1085" spans="1:19" x14ac:dyDescent="0.25">
      <c r="A1085" s="7" t="s">
        <v>2337</v>
      </c>
      <c r="B1085" s="10">
        <v>45945</v>
      </c>
      <c r="C1085" s="7" t="s">
        <v>2338</v>
      </c>
      <c r="D1085" s="8" t="s">
        <v>98</v>
      </c>
      <c r="E1085" s="8" t="s">
        <v>49</v>
      </c>
      <c r="F1085" s="8" t="s">
        <v>29</v>
      </c>
      <c r="G1085" s="8" t="s">
        <v>34</v>
      </c>
      <c r="H1085" s="8" t="s">
        <v>44</v>
      </c>
      <c r="I1085" s="11">
        <v>17</v>
      </c>
      <c r="J1085" s="12">
        <v>39.44</v>
      </c>
      <c r="K1085" s="13">
        <v>0</v>
      </c>
      <c r="L1085" s="12">
        <v>23.52</v>
      </c>
      <c r="M1085" s="14">
        <f>ROUND(tblSprzedaz[[#This Row],[Ilość]]*tblSprzedaz[[#This Row],[Cena netto jednostkowa]]*(1-tblSprzedaz[[#This Row],[Rabat %]]),2)</f>
        <v>670.48</v>
      </c>
      <c r="N1085" s="14">
        <f>ROUND(tblSprzedaz[[#This Row],[Ilość]]*tblSprzedaz[[#This Row],[Koszt jednostkowy netto]],2)</f>
        <v>399.84</v>
      </c>
      <c r="O1085" s="14">
        <f>tblSprzedaz[[#This Row],[Przychód netto]]-tblSprzedaz[[#This Row],[Koszt całkowity netto]]</f>
        <v>270.64000000000004</v>
      </c>
      <c r="P1085" s="15">
        <f>IFERROR(tblSprzedaz[[#This Row],[Marża kwotowa]]/tblSprzedaz[[#This Row],[Przychód netto]],0)</f>
        <v>0.40365111561866129</v>
      </c>
      <c r="Q1085" s="16">
        <f>YEAR(tblSprzedaz[[#This Row],[Data]])</f>
        <v>2025</v>
      </c>
      <c r="R1085" s="16">
        <f>MONTH(tblSprzedaz[[#This Row],[Data]])</f>
        <v>10</v>
      </c>
      <c r="S1085" s="9" t="str">
        <f>YEAR(tblSprzedaz[[#This Row],[Data]])&amp;"-"&amp;RIGHT("0"&amp;MONTH(tblSprzedaz[[#This Row],[Data]]),2)</f>
        <v>2025-10</v>
      </c>
    </row>
    <row r="1086" spans="1:19" x14ac:dyDescent="0.25">
      <c r="A1086" s="7" t="s">
        <v>2339</v>
      </c>
      <c r="B1086" s="10">
        <v>45945</v>
      </c>
      <c r="C1086" s="7" t="s">
        <v>2340</v>
      </c>
      <c r="D1086" s="8" t="s">
        <v>121</v>
      </c>
      <c r="E1086" s="8" t="s">
        <v>53</v>
      </c>
      <c r="F1086" s="8" t="s">
        <v>29</v>
      </c>
      <c r="G1086" s="8" t="s">
        <v>28</v>
      </c>
      <c r="H1086" s="8" t="s">
        <v>38</v>
      </c>
      <c r="I1086" s="11">
        <v>15</v>
      </c>
      <c r="J1086" s="12">
        <v>27.88</v>
      </c>
      <c r="K1086" s="13">
        <v>0.15</v>
      </c>
      <c r="L1086" s="12">
        <v>17.190000000000001</v>
      </c>
      <c r="M1086" s="14">
        <f>ROUND(tblSprzedaz[[#This Row],[Ilość]]*tblSprzedaz[[#This Row],[Cena netto jednostkowa]]*(1-tblSprzedaz[[#This Row],[Rabat %]]),2)</f>
        <v>355.47</v>
      </c>
      <c r="N1086" s="14">
        <f>ROUND(tblSprzedaz[[#This Row],[Ilość]]*tblSprzedaz[[#This Row],[Koszt jednostkowy netto]],2)</f>
        <v>257.85000000000002</v>
      </c>
      <c r="O1086" s="14">
        <f>tblSprzedaz[[#This Row],[Przychód netto]]-tblSprzedaz[[#This Row],[Koszt całkowity netto]]</f>
        <v>97.62</v>
      </c>
      <c r="P1086" s="15">
        <f>IFERROR(tblSprzedaz[[#This Row],[Marża kwotowa]]/tblSprzedaz[[#This Row],[Przychód netto]],0)</f>
        <v>0.2746223309983965</v>
      </c>
      <c r="Q1086" s="16">
        <f>YEAR(tblSprzedaz[[#This Row],[Data]])</f>
        <v>2025</v>
      </c>
      <c r="R1086" s="16">
        <f>MONTH(tblSprzedaz[[#This Row],[Data]])</f>
        <v>10</v>
      </c>
      <c r="S1086" s="9" t="str">
        <f>YEAR(tblSprzedaz[[#This Row],[Data]])&amp;"-"&amp;RIGHT("0"&amp;MONTH(tblSprzedaz[[#This Row],[Data]]),2)</f>
        <v>2025-10</v>
      </c>
    </row>
    <row r="1087" spans="1:19" x14ac:dyDescent="0.25">
      <c r="A1087" s="7" t="s">
        <v>2341</v>
      </c>
      <c r="B1087" s="10">
        <v>45946</v>
      </c>
      <c r="C1087" s="7" t="s">
        <v>2342</v>
      </c>
      <c r="D1087" s="8" t="s">
        <v>109</v>
      </c>
      <c r="E1087" s="8" t="s">
        <v>52</v>
      </c>
      <c r="F1087" s="8" t="s">
        <v>29</v>
      </c>
      <c r="G1087" s="8" t="s">
        <v>34</v>
      </c>
      <c r="H1087" s="8" t="s">
        <v>45</v>
      </c>
      <c r="I1087" s="11">
        <v>10</v>
      </c>
      <c r="J1087" s="12">
        <v>56.78</v>
      </c>
      <c r="K1087" s="13">
        <v>0.05</v>
      </c>
      <c r="L1087" s="12">
        <v>35.229999999999997</v>
      </c>
      <c r="M1087" s="14">
        <f>ROUND(tblSprzedaz[[#This Row],[Ilość]]*tblSprzedaz[[#This Row],[Cena netto jednostkowa]]*(1-tblSprzedaz[[#This Row],[Rabat %]]),2)</f>
        <v>539.41</v>
      </c>
      <c r="N1087" s="14">
        <f>ROUND(tblSprzedaz[[#This Row],[Ilość]]*tblSprzedaz[[#This Row],[Koszt jednostkowy netto]],2)</f>
        <v>352.3</v>
      </c>
      <c r="O1087" s="14">
        <f>tblSprzedaz[[#This Row],[Przychód netto]]-tblSprzedaz[[#This Row],[Koszt całkowity netto]]</f>
        <v>187.10999999999996</v>
      </c>
      <c r="P1087" s="15">
        <f>IFERROR(tblSprzedaz[[#This Row],[Marża kwotowa]]/tblSprzedaz[[#This Row],[Przychód netto]],0)</f>
        <v>0.3468789974231104</v>
      </c>
      <c r="Q1087" s="16">
        <f>YEAR(tblSprzedaz[[#This Row],[Data]])</f>
        <v>2025</v>
      </c>
      <c r="R1087" s="16">
        <f>MONTH(tblSprzedaz[[#This Row],[Data]])</f>
        <v>10</v>
      </c>
      <c r="S1087" s="9" t="str">
        <f>YEAR(tblSprzedaz[[#This Row],[Data]])&amp;"-"&amp;RIGHT("0"&amp;MONTH(tblSprzedaz[[#This Row],[Data]]),2)</f>
        <v>2025-10</v>
      </c>
    </row>
    <row r="1088" spans="1:19" x14ac:dyDescent="0.25">
      <c r="A1088" s="7" t="s">
        <v>2343</v>
      </c>
      <c r="B1088" s="10">
        <v>45946</v>
      </c>
      <c r="C1088" s="7" t="s">
        <v>2344</v>
      </c>
      <c r="D1088" s="8" t="s">
        <v>131</v>
      </c>
      <c r="E1088" s="8" t="s">
        <v>74</v>
      </c>
      <c r="F1088" s="8" t="s">
        <v>37</v>
      </c>
      <c r="G1088" s="8" t="s">
        <v>34</v>
      </c>
      <c r="H1088" s="8" t="s">
        <v>45</v>
      </c>
      <c r="I1088" s="11">
        <v>8</v>
      </c>
      <c r="J1088" s="12">
        <v>126.35</v>
      </c>
      <c r="K1088" s="13">
        <v>0</v>
      </c>
      <c r="L1088" s="12">
        <v>100.18</v>
      </c>
      <c r="M1088" s="14">
        <f>ROUND(tblSprzedaz[[#This Row],[Ilość]]*tblSprzedaz[[#This Row],[Cena netto jednostkowa]]*(1-tblSprzedaz[[#This Row],[Rabat %]]),2)</f>
        <v>1010.8</v>
      </c>
      <c r="N1088" s="14">
        <f>ROUND(tblSprzedaz[[#This Row],[Ilość]]*tblSprzedaz[[#This Row],[Koszt jednostkowy netto]],2)</f>
        <v>801.44</v>
      </c>
      <c r="O1088" s="14">
        <f>tblSprzedaz[[#This Row],[Przychód netto]]-tblSprzedaz[[#This Row],[Koszt całkowity netto]]</f>
        <v>209.3599999999999</v>
      </c>
      <c r="P1088" s="15">
        <f>IFERROR(tblSprzedaz[[#This Row],[Marża kwotowa]]/tblSprzedaz[[#This Row],[Przychód netto]],0)</f>
        <v>0.2071230708349821</v>
      </c>
      <c r="Q1088" s="16">
        <f>YEAR(tblSprzedaz[[#This Row],[Data]])</f>
        <v>2025</v>
      </c>
      <c r="R1088" s="16">
        <f>MONTH(tblSprzedaz[[#This Row],[Data]])</f>
        <v>10</v>
      </c>
      <c r="S1088" s="9" t="str">
        <f>YEAR(tblSprzedaz[[#This Row],[Data]])&amp;"-"&amp;RIGHT("0"&amp;MONTH(tblSprzedaz[[#This Row],[Data]]),2)</f>
        <v>2025-10</v>
      </c>
    </row>
    <row r="1089" spans="1:19" x14ac:dyDescent="0.25">
      <c r="A1089" s="7" t="s">
        <v>2345</v>
      </c>
      <c r="B1089" s="10">
        <v>45946</v>
      </c>
      <c r="C1089" s="7" t="s">
        <v>2346</v>
      </c>
      <c r="D1089" s="8" t="s">
        <v>128</v>
      </c>
      <c r="E1089" s="8" t="s">
        <v>75</v>
      </c>
      <c r="F1089" s="8" t="s">
        <v>37</v>
      </c>
      <c r="G1089" s="8" t="s">
        <v>30</v>
      </c>
      <c r="H1089" s="8" t="s">
        <v>41</v>
      </c>
      <c r="I1089" s="11">
        <v>15</v>
      </c>
      <c r="J1089" s="12">
        <v>142.5</v>
      </c>
      <c r="K1089" s="13">
        <v>0</v>
      </c>
      <c r="L1089" s="12">
        <v>110.98</v>
      </c>
      <c r="M1089" s="14">
        <f>ROUND(tblSprzedaz[[#This Row],[Ilość]]*tblSprzedaz[[#This Row],[Cena netto jednostkowa]]*(1-tblSprzedaz[[#This Row],[Rabat %]]),2)</f>
        <v>2137.5</v>
      </c>
      <c r="N1089" s="14">
        <f>ROUND(tblSprzedaz[[#This Row],[Ilość]]*tblSprzedaz[[#This Row],[Koszt jednostkowy netto]],2)</f>
        <v>1664.7</v>
      </c>
      <c r="O1089" s="14">
        <f>tblSprzedaz[[#This Row],[Przychód netto]]-tblSprzedaz[[#This Row],[Koszt całkowity netto]]</f>
        <v>472.79999999999995</v>
      </c>
      <c r="P1089" s="15">
        <f>IFERROR(tblSprzedaz[[#This Row],[Marża kwotowa]]/tblSprzedaz[[#This Row],[Przychód netto]],0)</f>
        <v>0.22119298245614033</v>
      </c>
      <c r="Q1089" s="16">
        <f>YEAR(tblSprzedaz[[#This Row],[Data]])</f>
        <v>2025</v>
      </c>
      <c r="R1089" s="16">
        <f>MONTH(tblSprzedaz[[#This Row],[Data]])</f>
        <v>10</v>
      </c>
      <c r="S1089" s="9" t="str">
        <f>YEAR(tblSprzedaz[[#This Row],[Data]])&amp;"-"&amp;RIGHT("0"&amp;MONTH(tblSprzedaz[[#This Row],[Data]]),2)</f>
        <v>2025-10</v>
      </c>
    </row>
    <row r="1090" spans="1:19" x14ac:dyDescent="0.25">
      <c r="A1090" s="7" t="s">
        <v>2347</v>
      </c>
      <c r="B1090" s="10">
        <v>45946</v>
      </c>
      <c r="C1090" s="7" t="s">
        <v>2348</v>
      </c>
      <c r="D1090" s="8" t="s">
        <v>91</v>
      </c>
      <c r="E1090" s="8" t="s">
        <v>75</v>
      </c>
      <c r="F1090" s="8" t="s">
        <v>37</v>
      </c>
      <c r="G1090" s="8" t="s">
        <v>34</v>
      </c>
      <c r="H1090" s="8" t="s">
        <v>44</v>
      </c>
      <c r="I1090" s="11">
        <v>17</v>
      </c>
      <c r="J1090" s="12">
        <v>142.5</v>
      </c>
      <c r="K1090" s="13">
        <v>0.1</v>
      </c>
      <c r="L1090" s="12">
        <v>108.22</v>
      </c>
      <c r="M1090" s="14">
        <f>ROUND(tblSprzedaz[[#This Row],[Ilość]]*tblSprzedaz[[#This Row],[Cena netto jednostkowa]]*(1-tblSprzedaz[[#This Row],[Rabat %]]),2)</f>
        <v>2180.25</v>
      </c>
      <c r="N1090" s="14">
        <f>ROUND(tblSprzedaz[[#This Row],[Ilość]]*tblSprzedaz[[#This Row],[Koszt jednostkowy netto]],2)</f>
        <v>1839.74</v>
      </c>
      <c r="O1090" s="14">
        <f>tblSprzedaz[[#This Row],[Przychód netto]]-tblSprzedaz[[#This Row],[Koszt całkowity netto]]</f>
        <v>340.51</v>
      </c>
      <c r="P1090" s="15">
        <f>IFERROR(tblSprzedaz[[#This Row],[Marża kwotowa]]/tblSprzedaz[[#This Row],[Przychód netto]],0)</f>
        <v>0.15617933723196881</v>
      </c>
      <c r="Q1090" s="16">
        <f>YEAR(tblSprzedaz[[#This Row],[Data]])</f>
        <v>2025</v>
      </c>
      <c r="R1090" s="16">
        <f>MONTH(tblSprzedaz[[#This Row],[Data]])</f>
        <v>10</v>
      </c>
      <c r="S1090" s="9" t="str">
        <f>YEAR(tblSprzedaz[[#This Row],[Data]])&amp;"-"&amp;RIGHT("0"&amp;MONTH(tblSprzedaz[[#This Row],[Data]]),2)</f>
        <v>2025-10</v>
      </c>
    </row>
    <row r="1091" spans="1:19" x14ac:dyDescent="0.25">
      <c r="A1091" s="7" t="s">
        <v>2349</v>
      </c>
      <c r="B1091" s="10">
        <v>45946</v>
      </c>
      <c r="C1091" s="7" t="s">
        <v>2350</v>
      </c>
      <c r="D1091" s="8" t="s">
        <v>116</v>
      </c>
      <c r="E1091" s="8" t="s">
        <v>64</v>
      </c>
      <c r="F1091" s="8" t="s">
        <v>33</v>
      </c>
      <c r="G1091" s="8" t="s">
        <v>34</v>
      </c>
      <c r="H1091" s="8" t="s">
        <v>44</v>
      </c>
      <c r="I1091" s="11">
        <v>12</v>
      </c>
      <c r="J1091" s="12">
        <v>768.2</v>
      </c>
      <c r="K1091" s="13">
        <v>0.15</v>
      </c>
      <c r="L1091" s="12">
        <v>492.54</v>
      </c>
      <c r="M1091" s="14">
        <f>ROUND(tblSprzedaz[[#This Row],[Ilość]]*tblSprzedaz[[#This Row],[Cena netto jednostkowa]]*(1-tblSprzedaz[[#This Row],[Rabat %]]),2)</f>
        <v>7835.64</v>
      </c>
      <c r="N1091" s="14">
        <f>ROUND(tblSprzedaz[[#This Row],[Ilość]]*tblSprzedaz[[#This Row],[Koszt jednostkowy netto]],2)</f>
        <v>5910.48</v>
      </c>
      <c r="O1091" s="14">
        <f>tblSprzedaz[[#This Row],[Przychód netto]]-tblSprzedaz[[#This Row],[Koszt całkowity netto]]</f>
        <v>1925.1600000000008</v>
      </c>
      <c r="P1091" s="15">
        <f>IFERROR(tblSprzedaz[[#This Row],[Marża kwotowa]]/tblSprzedaz[[#This Row],[Przychód netto]],0)</f>
        <v>0.24569275770709229</v>
      </c>
      <c r="Q1091" s="16">
        <f>YEAR(tblSprzedaz[[#This Row],[Data]])</f>
        <v>2025</v>
      </c>
      <c r="R1091" s="16">
        <f>MONTH(tblSprzedaz[[#This Row],[Data]])</f>
        <v>10</v>
      </c>
      <c r="S1091" s="9" t="str">
        <f>YEAR(tblSprzedaz[[#This Row],[Data]])&amp;"-"&amp;RIGHT("0"&amp;MONTH(tblSprzedaz[[#This Row],[Data]]),2)</f>
        <v>2025-10</v>
      </c>
    </row>
    <row r="1092" spans="1:19" x14ac:dyDescent="0.25">
      <c r="A1092" s="7" t="s">
        <v>2351</v>
      </c>
      <c r="B1092" s="10">
        <v>45946</v>
      </c>
      <c r="C1092" s="7" t="s">
        <v>2352</v>
      </c>
      <c r="D1092" s="8" t="s">
        <v>91</v>
      </c>
      <c r="E1092" s="8" t="s">
        <v>67</v>
      </c>
      <c r="F1092" s="8" t="s">
        <v>35</v>
      </c>
      <c r="G1092" s="8" t="s">
        <v>28</v>
      </c>
      <c r="H1092" s="8" t="s">
        <v>38</v>
      </c>
      <c r="I1092" s="11">
        <v>5</v>
      </c>
      <c r="J1092" s="12">
        <v>78.88</v>
      </c>
      <c r="K1092" s="13">
        <v>0.15</v>
      </c>
      <c r="L1092" s="12">
        <v>57.22</v>
      </c>
      <c r="M1092" s="14">
        <f>ROUND(tblSprzedaz[[#This Row],[Ilość]]*tblSprzedaz[[#This Row],[Cena netto jednostkowa]]*(1-tblSprzedaz[[#This Row],[Rabat %]]),2)</f>
        <v>335.24</v>
      </c>
      <c r="N1092" s="14">
        <f>ROUND(tblSprzedaz[[#This Row],[Ilość]]*tblSprzedaz[[#This Row],[Koszt jednostkowy netto]],2)</f>
        <v>286.10000000000002</v>
      </c>
      <c r="O1092" s="14">
        <f>tblSprzedaz[[#This Row],[Przychód netto]]-tblSprzedaz[[#This Row],[Koszt całkowity netto]]</f>
        <v>49.139999999999986</v>
      </c>
      <c r="P1092" s="15">
        <f>IFERROR(tblSprzedaz[[#This Row],[Marża kwotowa]]/tblSprzedaz[[#This Row],[Przychód netto]],0)</f>
        <v>0.14658155351390045</v>
      </c>
      <c r="Q1092" s="16">
        <f>YEAR(tblSprzedaz[[#This Row],[Data]])</f>
        <v>2025</v>
      </c>
      <c r="R1092" s="16">
        <f>MONTH(tblSprzedaz[[#This Row],[Data]])</f>
        <v>10</v>
      </c>
      <c r="S1092" s="9" t="str">
        <f>YEAR(tblSprzedaz[[#This Row],[Data]])&amp;"-"&amp;RIGHT("0"&amp;MONTH(tblSprzedaz[[#This Row],[Data]]),2)</f>
        <v>2025-10</v>
      </c>
    </row>
    <row r="1093" spans="1:19" x14ac:dyDescent="0.25">
      <c r="A1093" s="7" t="s">
        <v>2353</v>
      </c>
      <c r="B1093" s="10">
        <v>45946</v>
      </c>
      <c r="C1093" s="7" t="s">
        <v>2354</v>
      </c>
      <c r="D1093" s="8" t="s">
        <v>111</v>
      </c>
      <c r="E1093" s="8" t="s">
        <v>76</v>
      </c>
      <c r="F1093" s="8" t="s">
        <v>37</v>
      </c>
      <c r="G1093" s="8" t="s">
        <v>36</v>
      </c>
      <c r="H1093" s="8" t="s">
        <v>47</v>
      </c>
      <c r="I1093" s="11">
        <v>6</v>
      </c>
      <c r="J1093" s="12">
        <v>158.65</v>
      </c>
      <c r="K1093" s="13">
        <v>0.15</v>
      </c>
      <c r="L1093" s="12">
        <v>122.74</v>
      </c>
      <c r="M1093" s="14">
        <f>ROUND(tblSprzedaz[[#This Row],[Ilość]]*tblSprzedaz[[#This Row],[Cena netto jednostkowa]]*(1-tblSprzedaz[[#This Row],[Rabat %]]),2)</f>
        <v>809.12</v>
      </c>
      <c r="N1093" s="14">
        <f>ROUND(tblSprzedaz[[#This Row],[Ilość]]*tblSprzedaz[[#This Row],[Koszt jednostkowy netto]],2)</f>
        <v>736.44</v>
      </c>
      <c r="O1093" s="14">
        <f>tblSprzedaz[[#This Row],[Przychód netto]]-tblSprzedaz[[#This Row],[Koszt całkowity netto]]</f>
        <v>72.67999999999995</v>
      </c>
      <c r="P1093" s="15">
        <f>IFERROR(tblSprzedaz[[#This Row],[Marża kwotowa]]/tblSprzedaz[[#This Row],[Przychód netto]],0)</f>
        <v>8.9825983784852612E-2</v>
      </c>
      <c r="Q1093" s="16">
        <f>YEAR(tblSprzedaz[[#This Row],[Data]])</f>
        <v>2025</v>
      </c>
      <c r="R1093" s="16">
        <f>MONTH(tblSprzedaz[[#This Row],[Data]])</f>
        <v>10</v>
      </c>
      <c r="S1093" s="9" t="str">
        <f>YEAR(tblSprzedaz[[#This Row],[Data]])&amp;"-"&amp;RIGHT("0"&amp;MONTH(tblSprzedaz[[#This Row],[Data]]),2)</f>
        <v>2025-10</v>
      </c>
    </row>
    <row r="1094" spans="1:19" x14ac:dyDescent="0.25">
      <c r="A1094" s="7" t="s">
        <v>2355</v>
      </c>
      <c r="B1094" s="10">
        <v>45946</v>
      </c>
      <c r="C1094" s="7" t="s">
        <v>2356</v>
      </c>
      <c r="D1094" s="8" t="s">
        <v>117</v>
      </c>
      <c r="E1094" s="8" t="s">
        <v>73</v>
      </c>
      <c r="F1094" s="8" t="s">
        <v>37</v>
      </c>
      <c r="G1094" s="8" t="s">
        <v>28</v>
      </c>
      <c r="H1094" s="8" t="s">
        <v>38</v>
      </c>
      <c r="I1094" s="11">
        <v>14</v>
      </c>
      <c r="J1094" s="12">
        <v>110.2</v>
      </c>
      <c r="K1094" s="13">
        <v>0.05</v>
      </c>
      <c r="L1094" s="12">
        <v>87.34</v>
      </c>
      <c r="M1094" s="14">
        <f>ROUND(tblSprzedaz[[#This Row],[Ilość]]*tblSprzedaz[[#This Row],[Cena netto jednostkowa]]*(1-tblSprzedaz[[#This Row],[Rabat %]]),2)</f>
        <v>1465.66</v>
      </c>
      <c r="N1094" s="14">
        <f>ROUND(tblSprzedaz[[#This Row],[Ilość]]*tblSprzedaz[[#This Row],[Koszt jednostkowy netto]],2)</f>
        <v>1222.76</v>
      </c>
      <c r="O1094" s="14">
        <f>tblSprzedaz[[#This Row],[Przychód netto]]-tblSprzedaz[[#This Row],[Koszt całkowity netto]]</f>
        <v>242.90000000000009</v>
      </c>
      <c r="P1094" s="15">
        <f>IFERROR(tblSprzedaz[[#This Row],[Marża kwotowa]]/tblSprzedaz[[#This Row],[Przychód netto]],0)</f>
        <v>0.16572738561467193</v>
      </c>
      <c r="Q1094" s="16">
        <f>YEAR(tblSprzedaz[[#This Row],[Data]])</f>
        <v>2025</v>
      </c>
      <c r="R1094" s="16">
        <f>MONTH(tblSprzedaz[[#This Row],[Data]])</f>
        <v>10</v>
      </c>
      <c r="S1094" s="9" t="str">
        <f>YEAR(tblSprzedaz[[#This Row],[Data]])&amp;"-"&amp;RIGHT("0"&amp;MONTH(tblSprzedaz[[#This Row],[Data]]),2)</f>
        <v>2025-10</v>
      </c>
    </row>
    <row r="1095" spans="1:19" x14ac:dyDescent="0.25">
      <c r="A1095" s="7" t="s">
        <v>2357</v>
      </c>
      <c r="B1095" s="10">
        <v>45947</v>
      </c>
      <c r="C1095" s="7" t="s">
        <v>2358</v>
      </c>
      <c r="D1095" s="8" t="s">
        <v>138</v>
      </c>
      <c r="E1095" s="8" t="s">
        <v>48</v>
      </c>
      <c r="F1095" s="8" t="s">
        <v>29</v>
      </c>
      <c r="G1095" s="8" t="s">
        <v>36</v>
      </c>
      <c r="H1095" s="8" t="s">
        <v>46</v>
      </c>
      <c r="I1095" s="11">
        <v>24</v>
      </c>
      <c r="J1095" s="12">
        <v>33.659999999999997</v>
      </c>
      <c r="K1095" s="13">
        <v>0.1</v>
      </c>
      <c r="L1095" s="12">
        <v>18.809999999999999</v>
      </c>
      <c r="M1095" s="14">
        <f>ROUND(tblSprzedaz[[#This Row],[Ilość]]*tblSprzedaz[[#This Row],[Cena netto jednostkowa]]*(1-tblSprzedaz[[#This Row],[Rabat %]]),2)</f>
        <v>727.06</v>
      </c>
      <c r="N1095" s="14">
        <f>ROUND(tblSprzedaz[[#This Row],[Ilość]]*tblSprzedaz[[#This Row],[Koszt jednostkowy netto]],2)</f>
        <v>451.44</v>
      </c>
      <c r="O1095" s="14">
        <f>tblSprzedaz[[#This Row],[Przychód netto]]-tblSprzedaz[[#This Row],[Koszt całkowity netto]]</f>
        <v>275.61999999999995</v>
      </c>
      <c r="P1095" s="15">
        <f>IFERROR(tblSprzedaz[[#This Row],[Marża kwotowa]]/tblSprzedaz[[#This Row],[Przychód netto]],0)</f>
        <v>0.37908838335213046</v>
      </c>
      <c r="Q1095" s="16">
        <f>YEAR(tblSprzedaz[[#This Row],[Data]])</f>
        <v>2025</v>
      </c>
      <c r="R1095" s="16">
        <f>MONTH(tblSprzedaz[[#This Row],[Data]])</f>
        <v>10</v>
      </c>
      <c r="S1095" s="9" t="str">
        <f>YEAR(tblSprzedaz[[#This Row],[Data]])&amp;"-"&amp;RIGHT("0"&amp;MONTH(tblSprzedaz[[#This Row],[Data]]),2)</f>
        <v>2025-10</v>
      </c>
    </row>
    <row r="1096" spans="1:19" x14ac:dyDescent="0.25">
      <c r="A1096" s="7" t="s">
        <v>2359</v>
      </c>
      <c r="B1096" s="10">
        <v>45947</v>
      </c>
      <c r="C1096" s="7" t="s">
        <v>2360</v>
      </c>
      <c r="D1096" s="8" t="s">
        <v>100</v>
      </c>
      <c r="E1096" s="8" t="s">
        <v>77</v>
      </c>
      <c r="F1096" s="8" t="s">
        <v>37</v>
      </c>
      <c r="G1096" s="8" t="s">
        <v>32</v>
      </c>
      <c r="H1096" s="8" t="s">
        <v>43</v>
      </c>
      <c r="I1096" s="11">
        <v>1</v>
      </c>
      <c r="J1096" s="12">
        <v>77.900000000000006</v>
      </c>
      <c r="K1096" s="13">
        <v>0.1</v>
      </c>
      <c r="L1096" s="12">
        <v>61.82</v>
      </c>
      <c r="M1096" s="14">
        <f>ROUND(tblSprzedaz[[#This Row],[Ilość]]*tblSprzedaz[[#This Row],[Cena netto jednostkowa]]*(1-tblSprzedaz[[#This Row],[Rabat %]]),2)</f>
        <v>70.11</v>
      </c>
      <c r="N1096" s="14">
        <f>ROUND(tblSprzedaz[[#This Row],[Ilość]]*tblSprzedaz[[#This Row],[Koszt jednostkowy netto]],2)</f>
        <v>61.82</v>
      </c>
      <c r="O1096" s="14">
        <f>tblSprzedaz[[#This Row],[Przychód netto]]-tblSprzedaz[[#This Row],[Koszt całkowity netto]]</f>
        <v>8.2899999999999991</v>
      </c>
      <c r="P1096" s="15">
        <f>IFERROR(tblSprzedaz[[#This Row],[Marża kwotowa]]/tblSprzedaz[[#This Row],[Przychód netto]],0)</f>
        <v>0.11824276137498216</v>
      </c>
      <c r="Q1096" s="16">
        <f>YEAR(tblSprzedaz[[#This Row],[Data]])</f>
        <v>2025</v>
      </c>
      <c r="R1096" s="16">
        <f>MONTH(tblSprzedaz[[#This Row],[Data]])</f>
        <v>10</v>
      </c>
      <c r="S1096" s="9" t="str">
        <f>YEAR(tblSprzedaz[[#This Row],[Data]])&amp;"-"&amp;RIGHT("0"&amp;MONTH(tblSprzedaz[[#This Row],[Data]]),2)</f>
        <v>2025-10</v>
      </c>
    </row>
    <row r="1097" spans="1:19" x14ac:dyDescent="0.25">
      <c r="A1097" s="7" t="s">
        <v>2361</v>
      </c>
      <c r="B1097" s="10">
        <v>45947</v>
      </c>
      <c r="C1097" s="7" t="s">
        <v>2362</v>
      </c>
      <c r="D1097" s="8" t="s">
        <v>89</v>
      </c>
      <c r="E1097" s="8" t="s">
        <v>56</v>
      </c>
      <c r="F1097" s="8" t="s">
        <v>31</v>
      </c>
      <c r="G1097" s="8" t="s">
        <v>28</v>
      </c>
      <c r="H1097" s="8" t="s">
        <v>38</v>
      </c>
      <c r="I1097" s="11">
        <v>22</v>
      </c>
      <c r="J1097" s="12">
        <v>279.3</v>
      </c>
      <c r="K1097" s="13">
        <v>0.05</v>
      </c>
      <c r="L1097" s="12">
        <v>180.63</v>
      </c>
      <c r="M1097" s="14">
        <f>ROUND(tblSprzedaz[[#This Row],[Ilość]]*tblSprzedaz[[#This Row],[Cena netto jednostkowa]]*(1-tblSprzedaz[[#This Row],[Rabat %]]),2)</f>
        <v>5837.37</v>
      </c>
      <c r="N1097" s="14">
        <f>ROUND(tblSprzedaz[[#This Row],[Ilość]]*tblSprzedaz[[#This Row],[Koszt jednostkowy netto]],2)</f>
        <v>3973.86</v>
      </c>
      <c r="O1097" s="14">
        <f>tblSprzedaz[[#This Row],[Przychód netto]]-tblSprzedaz[[#This Row],[Koszt całkowity netto]]</f>
        <v>1863.5099999999998</v>
      </c>
      <c r="P1097" s="15">
        <f>IFERROR(tblSprzedaz[[#This Row],[Marża kwotowa]]/tblSprzedaz[[#This Row],[Przychód netto]],0)</f>
        <v>0.31923794448527332</v>
      </c>
      <c r="Q1097" s="16">
        <f>YEAR(tblSprzedaz[[#This Row],[Data]])</f>
        <v>2025</v>
      </c>
      <c r="R1097" s="16">
        <f>MONTH(tblSprzedaz[[#This Row],[Data]])</f>
        <v>10</v>
      </c>
      <c r="S1097" s="9" t="str">
        <f>YEAR(tblSprzedaz[[#This Row],[Data]])&amp;"-"&amp;RIGHT("0"&amp;MONTH(tblSprzedaz[[#This Row],[Data]]),2)</f>
        <v>2025-10</v>
      </c>
    </row>
    <row r="1098" spans="1:19" x14ac:dyDescent="0.25">
      <c r="A1098" s="7" t="s">
        <v>2363</v>
      </c>
      <c r="B1098" s="10">
        <v>45947</v>
      </c>
      <c r="C1098" s="7" t="s">
        <v>2364</v>
      </c>
      <c r="D1098" s="8" t="s">
        <v>146</v>
      </c>
      <c r="E1098" s="8" t="s">
        <v>68</v>
      </c>
      <c r="F1098" s="8" t="s">
        <v>35</v>
      </c>
      <c r="G1098" s="8" t="s">
        <v>28</v>
      </c>
      <c r="H1098" s="8" t="s">
        <v>39</v>
      </c>
      <c r="I1098" s="11">
        <v>8</v>
      </c>
      <c r="J1098" s="12">
        <v>90.44</v>
      </c>
      <c r="K1098" s="13">
        <v>0.15</v>
      </c>
      <c r="L1098" s="12">
        <v>65.97</v>
      </c>
      <c r="M1098" s="14">
        <f>ROUND(tblSprzedaz[[#This Row],[Ilość]]*tblSprzedaz[[#This Row],[Cena netto jednostkowa]]*(1-tblSprzedaz[[#This Row],[Rabat %]]),2)</f>
        <v>614.99</v>
      </c>
      <c r="N1098" s="14">
        <f>ROUND(tblSprzedaz[[#This Row],[Ilość]]*tblSprzedaz[[#This Row],[Koszt jednostkowy netto]],2)</f>
        <v>527.76</v>
      </c>
      <c r="O1098" s="14">
        <f>tblSprzedaz[[#This Row],[Przychód netto]]-tblSprzedaz[[#This Row],[Koszt całkowity netto]]</f>
        <v>87.230000000000018</v>
      </c>
      <c r="P1098" s="15">
        <f>IFERROR(tblSprzedaz[[#This Row],[Marża kwotowa]]/tblSprzedaz[[#This Row],[Przychód netto]],0)</f>
        <v>0.14183970471064572</v>
      </c>
      <c r="Q1098" s="16">
        <f>YEAR(tblSprzedaz[[#This Row],[Data]])</f>
        <v>2025</v>
      </c>
      <c r="R1098" s="16">
        <f>MONTH(tblSprzedaz[[#This Row],[Data]])</f>
        <v>10</v>
      </c>
      <c r="S1098" s="9" t="str">
        <f>YEAR(tblSprzedaz[[#This Row],[Data]])&amp;"-"&amp;RIGHT("0"&amp;MONTH(tblSprzedaz[[#This Row],[Data]]),2)</f>
        <v>2025-10</v>
      </c>
    </row>
    <row r="1099" spans="1:19" x14ac:dyDescent="0.25">
      <c r="A1099" s="7" t="s">
        <v>2365</v>
      </c>
      <c r="B1099" s="10">
        <v>45948</v>
      </c>
      <c r="C1099" s="7" t="s">
        <v>2366</v>
      </c>
      <c r="D1099" s="8" t="s">
        <v>102</v>
      </c>
      <c r="E1099" s="8" t="s">
        <v>63</v>
      </c>
      <c r="F1099" s="8" t="s">
        <v>33</v>
      </c>
      <c r="G1099" s="8" t="s">
        <v>34</v>
      </c>
      <c r="H1099" s="8" t="s">
        <v>44</v>
      </c>
      <c r="I1099" s="11">
        <v>13</v>
      </c>
      <c r="J1099" s="12">
        <v>690</v>
      </c>
      <c r="K1099" s="13">
        <v>0</v>
      </c>
      <c r="L1099" s="12">
        <v>490.29</v>
      </c>
      <c r="M1099" s="14">
        <f>ROUND(tblSprzedaz[[#This Row],[Ilość]]*tblSprzedaz[[#This Row],[Cena netto jednostkowa]]*(1-tblSprzedaz[[#This Row],[Rabat %]]),2)</f>
        <v>8970</v>
      </c>
      <c r="N1099" s="14">
        <f>ROUND(tblSprzedaz[[#This Row],[Ilość]]*tblSprzedaz[[#This Row],[Koszt jednostkowy netto]],2)</f>
        <v>6373.77</v>
      </c>
      <c r="O1099" s="14">
        <f>tblSprzedaz[[#This Row],[Przychód netto]]-tblSprzedaz[[#This Row],[Koszt całkowity netto]]</f>
        <v>2596.2299999999996</v>
      </c>
      <c r="P1099" s="15">
        <f>IFERROR(tblSprzedaz[[#This Row],[Marża kwotowa]]/tblSprzedaz[[#This Row],[Przychód netto]],0)</f>
        <v>0.2894347826086956</v>
      </c>
      <c r="Q1099" s="16">
        <f>YEAR(tblSprzedaz[[#This Row],[Data]])</f>
        <v>2025</v>
      </c>
      <c r="R1099" s="16">
        <f>MONTH(tblSprzedaz[[#This Row],[Data]])</f>
        <v>10</v>
      </c>
      <c r="S1099" s="9" t="str">
        <f>YEAR(tblSprzedaz[[#This Row],[Data]])&amp;"-"&amp;RIGHT("0"&amp;MONTH(tblSprzedaz[[#This Row],[Data]]),2)</f>
        <v>2025-10</v>
      </c>
    </row>
    <row r="1100" spans="1:19" x14ac:dyDescent="0.25">
      <c r="A1100" s="7" t="s">
        <v>2367</v>
      </c>
      <c r="B1100" s="10">
        <v>45948</v>
      </c>
      <c r="C1100" s="7" t="s">
        <v>2368</v>
      </c>
      <c r="D1100" s="8" t="s">
        <v>107</v>
      </c>
      <c r="E1100" s="8" t="s">
        <v>72</v>
      </c>
      <c r="F1100" s="8" t="s">
        <v>37</v>
      </c>
      <c r="G1100" s="8" t="s">
        <v>30</v>
      </c>
      <c r="H1100" s="8" t="s">
        <v>41</v>
      </c>
      <c r="I1100" s="11">
        <v>25</v>
      </c>
      <c r="J1100" s="12">
        <v>94.05</v>
      </c>
      <c r="K1100" s="13">
        <v>0.05</v>
      </c>
      <c r="L1100" s="12">
        <v>69.41</v>
      </c>
      <c r="M1100" s="14">
        <f>ROUND(tblSprzedaz[[#This Row],[Ilość]]*tblSprzedaz[[#This Row],[Cena netto jednostkowa]]*(1-tblSprzedaz[[#This Row],[Rabat %]]),2)</f>
        <v>2233.69</v>
      </c>
      <c r="N1100" s="14">
        <f>ROUND(tblSprzedaz[[#This Row],[Ilość]]*tblSprzedaz[[#This Row],[Koszt jednostkowy netto]],2)</f>
        <v>1735.25</v>
      </c>
      <c r="O1100" s="14">
        <f>tblSprzedaz[[#This Row],[Przychód netto]]-tblSprzedaz[[#This Row],[Koszt całkowity netto]]</f>
        <v>498.44000000000005</v>
      </c>
      <c r="P1100" s="15">
        <f>IFERROR(tblSprzedaz[[#This Row],[Marża kwotowa]]/tblSprzedaz[[#This Row],[Przychód netto]],0)</f>
        <v>0.22314645273068331</v>
      </c>
      <c r="Q1100" s="16">
        <f>YEAR(tblSprzedaz[[#This Row],[Data]])</f>
        <v>2025</v>
      </c>
      <c r="R1100" s="16">
        <f>MONTH(tblSprzedaz[[#This Row],[Data]])</f>
        <v>10</v>
      </c>
      <c r="S1100" s="9" t="str">
        <f>YEAR(tblSprzedaz[[#This Row],[Data]])&amp;"-"&amp;RIGHT("0"&amp;MONTH(tblSprzedaz[[#This Row],[Data]]),2)</f>
        <v>2025-10</v>
      </c>
    </row>
    <row r="1101" spans="1:19" x14ac:dyDescent="0.25">
      <c r="A1101" s="7" t="s">
        <v>2369</v>
      </c>
      <c r="B1101" s="10">
        <v>45949</v>
      </c>
      <c r="C1101" s="7" t="s">
        <v>2370</v>
      </c>
      <c r="D1101" s="8" t="s">
        <v>151</v>
      </c>
      <c r="E1101" s="8" t="s">
        <v>52</v>
      </c>
      <c r="F1101" s="8" t="s">
        <v>29</v>
      </c>
      <c r="G1101" s="8" t="s">
        <v>36</v>
      </c>
      <c r="H1101" s="8" t="s">
        <v>46</v>
      </c>
      <c r="I1101" s="11">
        <v>7</v>
      </c>
      <c r="J1101" s="12">
        <v>56.78</v>
      </c>
      <c r="K1101" s="13">
        <v>0</v>
      </c>
      <c r="L1101" s="12">
        <v>34.119999999999997</v>
      </c>
      <c r="M1101" s="14">
        <f>ROUND(tblSprzedaz[[#This Row],[Ilość]]*tblSprzedaz[[#This Row],[Cena netto jednostkowa]]*(1-tblSprzedaz[[#This Row],[Rabat %]]),2)</f>
        <v>397.46</v>
      </c>
      <c r="N1101" s="14">
        <f>ROUND(tblSprzedaz[[#This Row],[Ilość]]*tblSprzedaz[[#This Row],[Koszt jednostkowy netto]],2)</f>
        <v>238.84</v>
      </c>
      <c r="O1101" s="14">
        <f>tblSprzedaz[[#This Row],[Przychód netto]]-tblSprzedaz[[#This Row],[Koszt całkowity netto]]</f>
        <v>158.61999999999998</v>
      </c>
      <c r="P1101" s="15">
        <f>IFERROR(tblSprzedaz[[#This Row],[Marża kwotowa]]/tblSprzedaz[[#This Row],[Przychód netto]],0)</f>
        <v>0.39908418457203237</v>
      </c>
      <c r="Q1101" s="16">
        <f>YEAR(tblSprzedaz[[#This Row],[Data]])</f>
        <v>2025</v>
      </c>
      <c r="R1101" s="16">
        <f>MONTH(tblSprzedaz[[#This Row],[Data]])</f>
        <v>10</v>
      </c>
      <c r="S1101" s="9" t="str">
        <f>YEAR(tblSprzedaz[[#This Row],[Data]])&amp;"-"&amp;RIGHT("0"&amp;MONTH(tblSprzedaz[[#This Row],[Data]]),2)</f>
        <v>2025-10</v>
      </c>
    </row>
    <row r="1102" spans="1:19" x14ac:dyDescent="0.25">
      <c r="A1102" s="7" t="s">
        <v>2371</v>
      </c>
      <c r="B1102" s="10">
        <v>45949</v>
      </c>
      <c r="C1102" s="7" t="s">
        <v>2372</v>
      </c>
      <c r="D1102" s="8" t="s">
        <v>108</v>
      </c>
      <c r="E1102" s="8" t="s">
        <v>61</v>
      </c>
      <c r="F1102" s="8" t="s">
        <v>33</v>
      </c>
      <c r="G1102" s="8" t="s">
        <v>32</v>
      </c>
      <c r="H1102" s="8" t="s">
        <v>42</v>
      </c>
      <c r="I1102" s="11">
        <v>23</v>
      </c>
      <c r="J1102" s="12">
        <v>533.6</v>
      </c>
      <c r="K1102" s="13">
        <v>0.1</v>
      </c>
      <c r="L1102" s="12">
        <v>358.08</v>
      </c>
      <c r="M1102" s="14">
        <f>ROUND(tblSprzedaz[[#This Row],[Ilość]]*tblSprzedaz[[#This Row],[Cena netto jednostkowa]]*(1-tblSprzedaz[[#This Row],[Rabat %]]),2)</f>
        <v>11045.52</v>
      </c>
      <c r="N1102" s="14">
        <f>ROUND(tblSprzedaz[[#This Row],[Ilość]]*tblSprzedaz[[#This Row],[Koszt jednostkowy netto]],2)</f>
        <v>8235.84</v>
      </c>
      <c r="O1102" s="14">
        <f>tblSprzedaz[[#This Row],[Przychód netto]]-tblSprzedaz[[#This Row],[Koszt całkowity netto]]</f>
        <v>2809.6800000000003</v>
      </c>
      <c r="P1102" s="15">
        <f>IFERROR(tblSprzedaz[[#This Row],[Marża kwotowa]]/tblSprzedaz[[#This Row],[Przychód netto]],0)</f>
        <v>0.25437281359320341</v>
      </c>
      <c r="Q1102" s="16">
        <f>YEAR(tblSprzedaz[[#This Row],[Data]])</f>
        <v>2025</v>
      </c>
      <c r="R1102" s="16">
        <f>MONTH(tblSprzedaz[[#This Row],[Data]])</f>
        <v>10</v>
      </c>
      <c r="S1102" s="9" t="str">
        <f>YEAR(tblSprzedaz[[#This Row],[Data]])&amp;"-"&amp;RIGHT("0"&amp;MONTH(tblSprzedaz[[#This Row],[Data]]),2)</f>
        <v>2025-10</v>
      </c>
    </row>
    <row r="1103" spans="1:19" x14ac:dyDescent="0.25">
      <c r="A1103" s="7" t="s">
        <v>2373</v>
      </c>
      <c r="B1103" s="10">
        <v>45950</v>
      </c>
      <c r="C1103" s="7" t="s">
        <v>2374</v>
      </c>
      <c r="D1103" s="8" t="s">
        <v>147</v>
      </c>
      <c r="E1103" s="8" t="s">
        <v>51</v>
      </c>
      <c r="F1103" s="8" t="s">
        <v>29</v>
      </c>
      <c r="G1103" s="8" t="s">
        <v>30</v>
      </c>
      <c r="H1103" s="8" t="s">
        <v>41</v>
      </c>
      <c r="I1103" s="11">
        <v>1</v>
      </c>
      <c r="J1103" s="12">
        <v>51</v>
      </c>
      <c r="K1103" s="13">
        <v>0.05</v>
      </c>
      <c r="L1103" s="12">
        <v>28.35</v>
      </c>
      <c r="M1103" s="14">
        <f>ROUND(tblSprzedaz[[#This Row],[Ilość]]*tblSprzedaz[[#This Row],[Cena netto jednostkowa]]*(1-tblSprzedaz[[#This Row],[Rabat %]]),2)</f>
        <v>48.45</v>
      </c>
      <c r="N1103" s="14">
        <f>ROUND(tblSprzedaz[[#This Row],[Ilość]]*tblSprzedaz[[#This Row],[Koszt jednostkowy netto]],2)</f>
        <v>28.35</v>
      </c>
      <c r="O1103" s="14">
        <f>tblSprzedaz[[#This Row],[Przychód netto]]-tblSprzedaz[[#This Row],[Koszt całkowity netto]]</f>
        <v>20.100000000000001</v>
      </c>
      <c r="P1103" s="15">
        <f>IFERROR(tblSprzedaz[[#This Row],[Marża kwotowa]]/tblSprzedaz[[#This Row],[Przychód netto]],0)</f>
        <v>0.4148606811145511</v>
      </c>
      <c r="Q1103" s="16">
        <f>YEAR(tblSprzedaz[[#This Row],[Data]])</f>
        <v>2025</v>
      </c>
      <c r="R1103" s="16">
        <f>MONTH(tblSprzedaz[[#This Row],[Data]])</f>
        <v>10</v>
      </c>
      <c r="S1103" s="9" t="str">
        <f>YEAR(tblSprzedaz[[#This Row],[Data]])&amp;"-"&amp;RIGHT("0"&amp;MONTH(tblSprzedaz[[#This Row],[Data]]),2)</f>
        <v>2025-10</v>
      </c>
    </row>
    <row r="1104" spans="1:19" x14ac:dyDescent="0.25">
      <c r="A1104" s="7" t="s">
        <v>2375</v>
      </c>
      <c r="B1104" s="10">
        <v>45950</v>
      </c>
      <c r="C1104" s="7" t="s">
        <v>2376</v>
      </c>
      <c r="D1104" s="8" t="s">
        <v>111</v>
      </c>
      <c r="E1104" s="8" t="s">
        <v>64</v>
      </c>
      <c r="F1104" s="8" t="s">
        <v>33</v>
      </c>
      <c r="G1104" s="8" t="s">
        <v>32</v>
      </c>
      <c r="H1104" s="8" t="s">
        <v>43</v>
      </c>
      <c r="I1104" s="11">
        <v>34</v>
      </c>
      <c r="J1104" s="12">
        <v>768.2</v>
      </c>
      <c r="K1104" s="13">
        <v>0</v>
      </c>
      <c r="L1104" s="12">
        <v>519.54999999999995</v>
      </c>
      <c r="M1104" s="14">
        <f>ROUND(tblSprzedaz[[#This Row],[Ilość]]*tblSprzedaz[[#This Row],[Cena netto jednostkowa]]*(1-tblSprzedaz[[#This Row],[Rabat %]]),2)</f>
        <v>26118.799999999999</v>
      </c>
      <c r="N1104" s="14">
        <f>ROUND(tblSprzedaz[[#This Row],[Ilość]]*tblSprzedaz[[#This Row],[Koszt jednostkowy netto]],2)</f>
        <v>17664.7</v>
      </c>
      <c r="O1104" s="14">
        <f>tblSprzedaz[[#This Row],[Przychód netto]]-tblSprzedaz[[#This Row],[Koszt całkowity netto]]</f>
        <v>8454.0999999999985</v>
      </c>
      <c r="P1104" s="15">
        <f>IFERROR(tblSprzedaz[[#This Row],[Marża kwotowa]]/tblSprzedaz[[#This Row],[Przychód netto]],0)</f>
        <v>0.32367872949752663</v>
      </c>
      <c r="Q1104" s="16">
        <f>YEAR(tblSprzedaz[[#This Row],[Data]])</f>
        <v>2025</v>
      </c>
      <c r="R1104" s="16">
        <f>MONTH(tblSprzedaz[[#This Row],[Data]])</f>
        <v>10</v>
      </c>
      <c r="S1104" s="9" t="str">
        <f>YEAR(tblSprzedaz[[#This Row],[Data]])&amp;"-"&amp;RIGHT("0"&amp;MONTH(tblSprzedaz[[#This Row],[Data]]),2)</f>
        <v>2025-10</v>
      </c>
    </row>
    <row r="1105" spans="1:19" x14ac:dyDescent="0.25">
      <c r="A1105" s="7" t="s">
        <v>2377</v>
      </c>
      <c r="B1105" s="10">
        <v>45950</v>
      </c>
      <c r="C1105" s="7" t="s">
        <v>2378</v>
      </c>
      <c r="D1105" s="8" t="s">
        <v>144</v>
      </c>
      <c r="E1105" s="8" t="s">
        <v>61</v>
      </c>
      <c r="F1105" s="8" t="s">
        <v>33</v>
      </c>
      <c r="G1105" s="8" t="s">
        <v>36</v>
      </c>
      <c r="H1105" s="8" t="s">
        <v>46</v>
      </c>
      <c r="I1105" s="11">
        <v>15</v>
      </c>
      <c r="J1105" s="12">
        <v>533.6</v>
      </c>
      <c r="K1105" s="13">
        <v>0</v>
      </c>
      <c r="L1105" s="12">
        <v>366.03</v>
      </c>
      <c r="M1105" s="14">
        <f>ROUND(tblSprzedaz[[#This Row],[Ilość]]*tblSprzedaz[[#This Row],[Cena netto jednostkowa]]*(1-tblSprzedaz[[#This Row],[Rabat %]]),2)</f>
        <v>8004</v>
      </c>
      <c r="N1105" s="14">
        <f>ROUND(tblSprzedaz[[#This Row],[Ilość]]*tblSprzedaz[[#This Row],[Koszt jednostkowy netto]],2)</f>
        <v>5490.45</v>
      </c>
      <c r="O1105" s="14">
        <f>tblSprzedaz[[#This Row],[Przychód netto]]-tblSprzedaz[[#This Row],[Koszt całkowity netto]]</f>
        <v>2513.5500000000002</v>
      </c>
      <c r="P1105" s="15">
        <f>IFERROR(tblSprzedaz[[#This Row],[Marża kwotowa]]/tblSprzedaz[[#This Row],[Przychód netto]],0)</f>
        <v>0.31403673163418294</v>
      </c>
      <c r="Q1105" s="16">
        <f>YEAR(tblSprzedaz[[#This Row],[Data]])</f>
        <v>2025</v>
      </c>
      <c r="R1105" s="16">
        <f>MONTH(tblSprzedaz[[#This Row],[Data]])</f>
        <v>10</v>
      </c>
      <c r="S1105" s="9" t="str">
        <f>YEAR(tblSprzedaz[[#This Row],[Data]])&amp;"-"&amp;RIGHT("0"&amp;MONTH(tblSprzedaz[[#This Row],[Data]]),2)</f>
        <v>2025-10</v>
      </c>
    </row>
    <row r="1106" spans="1:19" x14ac:dyDescent="0.25">
      <c r="A1106" s="7" t="s">
        <v>2379</v>
      </c>
      <c r="B1106" s="10">
        <v>45951</v>
      </c>
      <c r="C1106" s="7" t="s">
        <v>2380</v>
      </c>
      <c r="D1106" s="8" t="s">
        <v>91</v>
      </c>
      <c r="E1106" s="8" t="s">
        <v>72</v>
      </c>
      <c r="F1106" s="8" t="s">
        <v>37</v>
      </c>
      <c r="G1106" s="8" t="s">
        <v>32</v>
      </c>
      <c r="H1106" s="8" t="s">
        <v>43</v>
      </c>
      <c r="I1106" s="11">
        <v>12</v>
      </c>
      <c r="J1106" s="12">
        <v>94.05</v>
      </c>
      <c r="K1106" s="13">
        <v>0.05</v>
      </c>
      <c r="L1106" s="12">
        <v>69.510000000000005</v>
      </c>
      <c r="M1106" s="14">
        <f>ROUND(tblSprzedaz[[#This Row],[Ilość]]*tblSprzedaz[[#This Row],[Cena netto jednostkowa]]*(1-tblSprzedaz[[#This Row],[Rabat %]]),2)</f>
        <v>1072.17</v>
      </c>
      <c r="N1106" s="14">
        <f>ROUND(tblSprzedaz[[#This Row],[Ilość]]*tblSprzedaz[[#This Row],[Koszt jednostkowy netto]],2)</f>
        <v>834.12</v>
      </c>
      <c r="O1106" s="14">
        <f>tblSprzedaz[[#This Row],[Przychód netto]]-tblSprzedaz[[#This Row],[Koszt całkowity netto]]</f>
        <v>238.05000000000007</v>
      </c>
      <c r="P1106" s="15">
        <f>IFERROR(tblSprzedaz[[#This Row],[Marża kwotowa]]/tblSprzedaz[[#This Row],[Przychód netto]],0)</f>
        <v>0.22202635776042984</v>
      </c>
      <c r="Q1106" s="16">
        <f>YEAR(tblSprzedaz[[#This Row],[Data]])</f>
        <v>2025</v>
      </c>
      <c r="R1106" s="16">
        <f>MONTH(tblSprzedaz[[#This Row],[Data]])</f>
        <v>10</v>
      </c>
      <c r="S1106" s="9" t="str">
        <f>YEAR(tblSprzedaz[[#This Row],[Data]])&amp;"-"&amp;RIGHT("0"&amp;MONTH(tblSprzedaz[[#This Row],[Data]]),2)</f>
        <v>2025-10</v>
      </c>
    </row>
    <row r="1107" spans="1:19" x14ac:dyDescent="0.25">
      <c r="A1107" s="7" t="s">
        <v>2381</v>
      </c>
      <c r="B1107" s="10">
        <v>45951</v>
      </c>
      <c r="C1107" s="7" t="s">
        <v>2382</v>
      </c>
      <c r="D1107" s="8" t="s">
        <v>91</v>
      </c>
      <c r="E1107" s="8" t="s">
        <v>77</v>
      </c>
      <c r="F1107" s="8" t="s">
        <v>37</v>
      </c>
      <c r="G1107" s="8" t="s">
        <v>36</v>
      </c>
      <c r="H1107" s="8" t="s">
        <v>46</v>
      </c>
      <c r="I1107" s="11">
        <v>15</v>
      </c>
      <c r="J1107" s="12">
        <v>77.900000000000006</v>
      </c>
      <c r="K1107" s="13">
        <v>0.1</v>
      </c>
      <c r="L1107" s="12">
        <v>61.44</v>
      </c>
      <c r="M1107" s="14">
        <f>ROUND(tblSprzedaz[[#This Row],[Ilość]]*tblSprzedaz[[#This Row],[Cena netto jednostkowa]]*(1-tblSprzedaz[[#This Row],[Rabat %]]),2)</f>
        <v>1051.6500000000001</v>
      </c>
      <c r="N1107" s="14">
        <f>ROUND(tblSprzedaz[[#This Row],[Ilość]]*tblSprzedaz[[#This Row],[Koszt jednostkowy netto]],2)</f>
        <v>921.6</v>
      </c>
      <c r="O1107" s="14">
        <f>tblSprzedaz[[#This Row],[Przychód netto]]-tblSprzedaz[[#This Row],[Koszt całkowity netto]]</f>
        <v>130.05000000000007</v>
      </c>
      <c r="P1107" s="15">
        <f>IFERROR(tblSprzedaz[[#This Row],[Marża kwotowa]]/tblSprzedaz[[#This Row],[Przychód netto]],0)</f>
        <v>0.12366281557552423</v>
      </c>
      <c r="Q1107" s="16">
        <f>YEAR(tblSprzedaz[[#This Row],[Data]])</f>
        <v>2025</v>
      </c>
      <c r="R1107" s="16">
        <f>MONTH(tblSprzedaz[[#This Row],[Data]])</f>
        <v>10</v>
      </c>
      <c r="S1107" s="9" t="str">
        <f>YEAR(tblSprzedaz[[#This Row],[Data]])&amp;"-"&amp;RIGHT("0"&amp;MONTH(tblSprzedaz[[#This Row],[Data]]),2)</f>
        <v>2025-10</v>
      </c>
    </row>
    <row r="1108" spans="1:19" x14ac:dyDescent="0.25">
      <c r="A1108" s="7" t="s">
        <v>2383</v>
      </c>
      <c r="B1108" s="10">
        <v>45951</v>
      </c>
      <c r="C1108" s="7" t="s">
        <v>2384</v>
      </c>
      <c r="D1108" s="8" t="s">
        <v>79</v>
      </c>
      <c r="E1108" s="8" t="s">
        <v>59</v>
      </c>
      <c r="F1108" s="8" t="s">
        <v>31</v>
      </c>
      <c r="G1108" s="8" t="s">
        <v>32</v>
      </c>
      <c r="H1108" s="8" t="s">
        <v>42</v>
      </c>
      <c r="I1108" s="11">
        <v>21</v>
      </c>
      <c r="J1108" s="12">
        <v>172.2</v>
      </c>
      <c r="K1108" s="13">
        <v>0.05</v>
      </c>
      <c r="L1108" s="12">
        <v>106.74</v>
      </c>
      <c r="M1108" s="14">
        <f>ROUND(tblSprzedaz[[#This Row],[Ilość]]*tblSprzedaz[[#This Row],[Cena netto jednostkowa]]*(1-tblSprzedaz[[#This Row],[Rabat %]]),2)</f>
        <v>3435.39</v>
      </c>
      <c r="N1108" s="14">
        <f>ROUND(tblSprzedaz[[#This Row],[Ilość]]*tblSprzedaz[[#This Row],[Koszt jednostkowy netto]],2)</f>
        <v>2241.54</v>
      </c>
      <c r="O1108" s="14">
        <f>tblSprzedaz[[#This Row],[Przychód netto]]-tblSprzedaz[[#This Row],[Koszt całkowity netto]]</f>
        <v>1193.8499999999999</v>
      </c>
      <c r="P1108" s="15">
        <f>IFERROR(tblSprzedaz[[#This Row],[Marża kwotowa]]/tblSprzedaz[[#This Row],[Przychód netto]],0)</f>
        <v>0.3475151292866312</v>
      </c>
      <c r="Q1108" s="16">
        <f>YEAR(tblSprzedaz[[#This Row],[Data]])</f>
        <v>2025</v>
      </c>
      <c r="R1108" s="16">
        <f>MONTH(tblSprzedaz[[#This Row],[Data]])</f>
        <v>10</v>
      </c>
      <c r="S1108" s="9" t="str">
        <f>YEAR(tblSprzedaz[[#This Row],[Data]])&amp;"-"&amp;RIGHT("0"&amp;MONTH(tblSprzedaz[[#This Row],[Data]]),2)</f>
        <v>2025-10</v>
      </c>
    </row>
    <row r="1109" spans="1:19" x14ac:dyDescent="0.25">
      <c r="A1109" s="7" t="s">
        <v>2385</v>
      </c>
      <c r="B1109" s="10">
        <v>45951</v>
      </c>
      <c r="C1109" s="7" t="s">
        <v>2386</v>
      </c>
      <c r="D1109" s="8" t="s">
        <v>101</v>
      </c>
      <c r="E1109" s="8" t="s">
        <v>65</v>
      </c>
      <c r="F1109" s="8" t="s">
        <v>33</v>
      </c>
      <c r="G1109" s="8" t="s">
        <v>36</v>
      </c>
      <c r="H1109" s="8" t="s">
        <v>46</v>
      </c>
      <c r="I1109" s="11">
        <v>17</v>
      </c>
      <c r="J1109" s="12">
        <v>377.2</v>
      </c>
      <c r="K1109" s="13">
        <v>0.1</v>
      </c>
      <c r="L1109" s="12">
        <v>259.17</v>
      </c>
      <c r="M1109" s="14">
        <f>ROUND(tblSprzedaz[[#This Row],[Ilość]]*tblSprzedaz[[#This Row],[Cena netto jednostkowa]]*(1-tblSprzedaz[[#This Row],[Rabat %]]),2)</f>
        <v>5771.16</v>
      </c>
      <c r="N1109" s="14">
        <f>ROUND(tblSprzedaz[[#This Row],[Ilość]]*tblSprzedaz[[#This Row],[Koszt jednostkowy netto]],2)</f>
        <v>4405.8900000000003</v>
      </c>
      <c r="O1109" s="14">
        <f>tblSprzedaz[[#This Row],[Przychód netto]]-tblSprzedaz[[#This Row],[Koszt całkowity netto]]</f>
        <v>1365.2699999999995</v>
      </c>
      <c r="P1109" s="15">
        <f>IFERROR(tblSprzedaz[[#This Row],[Marża kwotowa]]/tblSprzedaz[[#This Row],[Przychód netto]],0)</f>
        <v>0.23656769176387407</v>
      </c>
      <c r="Q1109" s="16">
        <f>YEAR(tblSprzedaz[[#This Row],[Data]])</f>
        <v>2025</v>
      </c>
      <c r="R1109" s="16">
        <f>MONTH(tblSprzedaz[[#This Row],[Data]])</f>
        <v>10</v>
      </c>
      <c r="S1109" s="9" t="str">
        <f>YEAR(tblSprzedaz[[#This Row],[Data]])&amp;"-"&amp;RIGHT("0"&amp;MONTH(tblSprzedaz[[#This Row],[Data]]),2)</f>
        <v>2025-10</v>
      </c>
    </row>
    <row r="1110" spans="1:19" x14ac:dyDescent="0.25">
      <c r="A1110" s="7" t="s">
        <v>2387</v>
      </c>
      <c r="B1110" s="10">
        <v>45951</v>
      </c>
      <c r="C1110" s="7" t="s">
        <v>2388</v>
      </c>
      <c r="D1110" s="8" t="s">
        <v>136</v>
      </c>
      <c r="E1110" s="8" t="s">
        <v>54</v>
      </c>
      <c r="F1110" s="8" t="s">
        <v>31</v>
      </c>
      <c r="G1110" s="8" t="s">
        <v>32</v>
      </c>
      <c r="H1110" s="8" t="s">
        <v>42</v>
      </c>
      <c r="I1110" s="11">
        <v>19</v>
      </c>
      <c r="J1110" s="12">
        <v>207.9</v>
      </c>
      <c r="K1110" s="13">
        <v>0.05</v>
      </c>
      <c r="L1110" s="12">
        <v>135.74</v>
      </c>
      <c r="M1110" s="14">
        <f>ROUND(tblSprzedaz[[#This Row],[Ilość]]*tblSprzedaz[[#This Row],[Cena netto jednostkowa]]*(1-tblSprzedaz[[#This Row],[Rabat %]]),2)</f>
        <v>3752.6</v>
      </c>
      <c r="N1110" s="14">
        <f>ROUND(tblSprzedaz[[#This Row],[Ilość]]*tblSprzedaz[[#This Row],[Koszt jednostkowy netto]],2)</f>
        <v>2579.06</v>
      </c>
      <c r="O1110" s="14">
        <f>tblSprzedaz[[#This Row],[Przychód netto]]-tblSprzedaz[[#This Row],[Koszt całkowity netto]]</f>
        <v>1173.54</v>
      </c>
      <c r="P1110" s="15">
        <f>IFERROR(tblSprzedaz[[#This Row],[Marża kwotowa]]/tblSprzedaz[[#This Row],[Przychód netto]],0)</f>
        <v>0.31272717582476151</v>
      </c>
      <c r="Q1110" s="16">
        <f>YEAR(tblSprzedaz[[#This Row],[Data]])</f>
        <v>2025</v>
      </c>
      <c r="R1110" s="16">
        <f>MONTH(tblSprzedaz[[#This Row],[Data]])</f>
        <v>10</v>
      </c>
      <c r="S1110" s="9" t="str">
        <f>YEAR(tblSprzedaz[[#This Row],[Data]])&amp;"-"&amp;RIGHT("0"&amp;MONTH(tblSprzedaz[[#This Row],[Data]]),2)</f>
        <v>2025-10</v>
      </c>
    </row>
    <row r="1111" spans="1:19" x14ac:dyDescent="0.25">
      <c r="A1111" s="7" t="s">
        <v>2389</v>
      </c>
      <c r="B1111" s="10">
        <v>45952</v>
      </c>
      <c r="C1111" s="7" t="s">
        <v>2390</v>
      </c>
      <c r="D1111" s="8" t="s">
        <v>147</v>
      </c>
      <c r="E1111" s="8" t="s">
        <v>71</v>
      </c>
      <c r="F1111" s="8" t="s">
        <v>35</v>
      </c>
      <c r="G1111" s="8" t="s">
        <v>30</v>
      </c>
      <c r="H1111" s="8" t="s">
        <v>41</v>
      </c>
      <c r="I1111" s="11">
        <v>2</v>
      </c>
      <c r="J1111" s="12">
        <v>55.76</v>
      </c>
      <c r="K1111" s="13">
        <v>0</v>
      </c>
      <c r="L1111" s="12">
        <v>41.01</v>
      </c>
      <c r="M1111" s="14">
        <f>ROUND(tblSprzedaz[[#This Row],[Ilość]]*tblSprzedaz[[#This Row],[Cena netto jednostkowa]]*(1-tblSprzedaz[[#This Row],[Rabat %]]),2)</f>
        <v>111.52</v>
      </c>
      <c r="N1111" s="14">
        <f>ROUND(tblSprzedaz[[#This Row],[Ilość]]*tblSprzedaz[[#This Row],[Koszt jednostkowy netto]],2)</f>
        <v>82.02</v>
      </c>
      <c r="O1111" s="14">
        <f>tblSprzedaz[[#This Row],[Przychód netto]]-tblSprzedaz[[#This Row],[Koszt całkowity netto]]</f>
        <v>29.5</v>
      </c>
      <c r="P1111" s="15">
        <f>IFERROR(tblSprzedaz[[#This Row],[Marża kwotowa]]/tblSprzedaz[[#This Row],[Przychód netto]],0)</f>
        <v>0.26452654232424677</v>
      </c>
      <c r="Q1111" s="16">
        <f>YEAR(tblSprzedaz[[#This Row],[Data]])</f>
        <v>2025</v>
      </c>
      <c r="R1111" s="16">
        <f>MONTH(tblSprzedaz[[#This Row],[Data]])</f>
        <v>10</v>
      </c>
      <c r="S1111" s="9" t="str">
        <f>YEAR(tblSprzedaz[[#This Row],[Data]])&amp;"-"&amp;RIGHT("0"&amp;MONTH(tblSprzedaz[[#This Row],[Data]]),2)</f>
        <v>2025-10</v>
      </c>
    </row>
    <row r="1112" spans="1:19" x14ac:dyDescent="0.25">
      <c r="A1112" s="7" t="s">
        <v>2391</v>
      </c>
      <c r="B1112" s="10">
        <v>45952</v>
      </c>
      <c r="C1112" s="7" t="s">
        <v>2392</v>
      </c>
      <c r="D1112" s="8" t="s">
        <v>84</v>
      </c>
      <c r="E1112" s="8" t="s">
        <v>75</v>
      </c>
      <c r="F1112" s="8" t="s">
        <v>37</v>
      </c>
      <c r="G1112" s="8" t="s">
        <v>28</v>
      </c>
      <c r="H1112" s="8" t="s">
        <v>38</v>
      </c>
      <c r="I1112" s="11">
        <v>22</v>
      </c>
      <c r="J1112" s="12">
        <v>142.5</v>
      </c>
      <c r="K1112" s="13">
        <v>0</v>
      </c>
      <c r="L1112" s="12">
        <v>111.08</v>
      </c>
      <c r="M1112" s="14">
        <f>ROUND(tblSprzedaz[[#This Row],[Ilość]]*tblSprzedaz[[#This Row],[Cena netto jednostkowa]]*(1-tblSprzedaz[[#This Row],[Rabat %]]),2)</f>
        <v>3135</v>
      </c>
      <c r="N1112" s="14">
        <f>ROUND(tblSprzedaz[[#This Row],[Ilość]]*tblSprzedaz[[#This Row],[Koszt jednostkowy netto]],2)</f>
        <v>2443.7600000000002</v>
      </c>
      <c r="O1112" s="14">
        <f>tblSprzedaz[[#This Row],[Przychód netto]]-tblSprzedaz[[#This Row],[Koszt całkowity netto]]</f>
        <v>691.23999999999978</v>
      </c>
      <c r="P1112" s="15">
        <f>IFERROR(tblSprzedaz[[#This Row],[Marża kwotowa]]/tblSprzedaz[[#This Row],[Przychód netto]],0)</f>
        <v>0.22049122807017538</v>
      </c>
      <c r="Q1112" s="16">
        <f>YEAR(tblSprzedaz[[#This Row],[Data]])</f>
        <v>2025</v>
      </c>
      <c r="R1112" s="16">
        <f>MONTH(tblSprzedaz[[#This Row],[Data]])</f>
        <v>10</v>
      </c>
      <c r="S1112" s="9" t="str">
        <f>YEAR(tblSprzedaz[[#This Row],[Data]])&amp;"-"&amp;RIGHT("0"&amp;MONTH(tblSprzedaz[[#This Row],[Data]]),2)</f>
        <v>2025-10</v>
      </c>
    </row>
    <row r="1113" spans="1:19" x14ac:dyDescent="0.25">
      <c r="A1113" s="7" t="s">
        <v>2393</v>
      </c>
      <c r="B1113" s="10">
        <v>45952</v>
      </c>
      <c r="C1113" s="7" t="s">
        <v>2394</v>
      </c>
      <c r="D1113" s="8" t="s">
        <v>145</v>
      </c>
      <c r="E1113" s="8" t="s">
        <v>54</v>
      </c>
      <c r="F1113" s="8" t="s">
        <v>31</v>
      </c>
      <c r="G1113" s="8" t="s">
        <v>34</v>
      </c>
      <c r="H1113" s="8" t="s">
        <v>44</v>
      </c>
      <c r="I1113" s="11">
        <v>17</v>
      </c>
      <c r="J1113" s="12">
        <v>207.9</v>
      </c>
      <c r="K1113" s="13">
        <v>0.1</v>
      </c>
      <c r="L1113" s="12">
        <v>127.56</v>
      </c>
      <c r="M1113" s="14">
        <f>ROUND(tblSprzedaz[[#This Row],[Ilość]]*tblSprzedaz[[#This Row],[Cena netto jednostkowa]]*(1-tblSprzedaz[[#This Row],[Rabat %]]),2)</f>
        <v>3180.87</v>
      </c>
      <c r="N1113" s="14">
        <f>ROUND(tblSprzedaz[[#This Row],[Ilość]]*tblSprzedaz[[#This Row],[Koszt jednostkowy netto]],2)</f>
        <v>2168.52</v>
      </c>
      <c r="O1113" s="14">
        <f>tblSprzedaz[[#This Row],[Przychód netto]]-tblSprzedaz[[#This Row],[Koszt całkowity netto]]</f>
        <v>1012.3499999999999</v>
      </c>
      <c r="P1113" s="15">
        <f>IFERROR(tblSprzedaz[[#This Row],[Marża kwotowa]]/tblSprzedaz[[#This Row],[Przychód netto]],0)</f>
        <v>0.3182619849286516</v>
      </c>
      <c r="Q1113" s="16">
        <f>YEAR(tblSprzedaz[[#This Row],[Data]])</f>
        <v>2025</v>
      </c>
      <c r="R1113" s="16">
        <f>MONTH(tblSprzedaz[[#This Row],[Data]])</f>
        <v>10</v>
      </c>
      <c r="S1113" s="9" t="str">
        <f>YEAR(tblSprzedaz[[#This Row],[Data]])&amp;"-"&amp;RIGHT("0"&amp;MONTH(tblSprzedaz[[#This Row],[Data]]),2)</f>
        <v>2025-10</v>
      </c>
    </row>
    <row r="1114" spans="1:19" x14ac:dyDescent="0.25">
      <c r="A1114" s="7" t="s">
        <v>2395</v>
      </c>
      <c r="B1114" s="10">
        <v>45953</v>
      </c>
      <c r="C1114" s="7" t="s">
        <v>2396</v>
      </c>
      <c r="D1114" s="8" t="s">
        <v>96</v>
      </c>
      <c r="E1114" s="8" t="s">
        <v>73</v>
      </c>
      <c r="F1114" s="8" t="s">
        <v>37</v>
      </c>
      <c r="G1114" s="8" t="s">
        <v>30</v>
      </c>
      <c r="H1114" s="8" t="s">
        <v>40</v>
      </c>
      <c r="I1114" s="11">
        <v>14</v>
      </c>
      <c r="J1114" s="12">
        <v>110.2</v>
      </c>
      <c r="K1114" s="13">
        <v>0.05</v>
      </c>
      <c r="L1114" s="12">
        <v>88.05</v>
      </c>
      <c r="M1114" s="14">
        <f>ROUND(tblSprzedaz[[#This Row],[Ilość]]*tblSprzedaz[[#This Row],[Cena netto jednostkowa]]*(1-tblSprzedaz[[#This Row],[Rabat %]]),2)</f>
        <v>1465.66</v>
      </c>
      <c r="N1114" s="14">
        <f>ROUND(tblSprzedaz[[#This Row],[Ilość]]*tblSprzedaz[[#This Row],[Koszt jednostkowy netto]],2)</f>
        <v>1232.7</v>
      </c>
      <c r="O1114" s="14">
        <f>tblSprzedaz[[#This Row],[Przychód netto]]-tblSprzedaz[[#This Row],[Koszt całkowity netto]]</f>
        <v>232.96000000000004</v>
      </c>
      <c r="P1114" s="15">
        <f>IFERROR(tblSprzedaz[[#This Row],[Marża kwotowa]]/tblSprzedaz[[#This Row],[Przychód netto]],0)</f>
        <v>0.15894545801891299</v>
      </c>
      <c r="Q1114" s="16">
        <f>YEAR(tblSprzedaz[[#This Row],[Data]])</f>
        <v>2025</v>
      </c>
      <c r="R1114" s="16">
        <f>MONTH(tblSprzedaz[[#This Row],[Data]])</f>
        <v>10</v>
      </c>
      <c r="S1114" s="9" t="str">
        <f>YEAR(tblSprzedaz[[#This Row],[Data]])&amp;"-"&amp;RIGHT("0"&amp;MONTH(tblSprzedaz[[#This Row],[Data]]),2)</f>
        <v>2025-10</v>
      </c>
    </row>
    <row r="1115" spans="1:19" x14ac:dyDescent="0.25">
      <c r="A1115" s="7" t="s">
        <v>2397</v>
      </c>
      <c r="B1115" s="10">
        <v>45953</v>
      </c>
      <c r="C1115" s="7" t="s">
        <v>2398</v>
      </c>
      <c r="D1115" s="8" t="s">
        <v>78</v>
      </c>
      <c r="E1115" s="8" t="s">
        <v>53</v>
      </c>
      <c r="F1115" s="8" t="s">
        <v>29</v>
      </c>
      <c r="G1115" s="8" t="s">
        <v>34</v>
      </c>
      <c r="H1115" s="8" t="s">
        <v>45</v>
      </c>
      <c r="I1115" s="11">
        <v>8</v>
      </c>
      <c r="J1115" s="12">
        <v>27.88</v>
      </c>
      <c r="K1115" s="13">
        <v>0</v>
      </c>
      <c r="L1115" s="12">
        <v>15.9</v>
      </c>
      <c r="M1115" s="14">
        <f>ROUND(tblSprzedaz[[#This Row],[Ilość]]*tblSprzedaz[[#This Row],[Cena netto jednostkowa]]*(1-tblSprzedaz[[#This Row],[Rabat %]]),2)</f>
        <v>223.04</v>
      </c>
      <c r="N1115" s="14">
        <f>ROUND(tblSprzedaz[[#This Row],[Ilość]]*tblSprzedaz[[#This Row],[Koszt jednostkowy netto]],2)</f>
        <v>127.2</v>
      </c>
      <c r="O1115" s="14">
        <f>tblSprzedaz[[#This Row],[Przychód netto]]-tblSprzedaz[[#This Row],[Koszt całkowity netto]]</f>
        <v>95.839999999999989</v>
      </c>
      <c r="P1115" s="15">
        <f>IFERROR(tblSprzedaz[[#This Row],[Marża kwotowa]]/tblSprzedaz[[#This Row],[Przychód netto]],0)</f>
        <v>0.42969870875179339</v>
      </c>
      <c r="Q1115" s="16">
        <f>YEAR(tblSprzedaz[[#This Row],[Data]])</f>
        <v>2025</v>
      </c>
      <c r="R1115" s="16">
        <f>MONTH(tblSprzedaz[[#This Row],[Data]])</f>
        <v>10</v>
      </c>
      <c r="S1115" s="9" t="str">
        <f>YEAR(tblSprzedaz[[#This Row],[Data]])&amp;"-"&amp;RIGHT("0"&amp;MONTH(tblSprzedaz[[#This Row],[Data]]),2)</f>
        <v>2025-10</v>
      </c>
    </row>
    <row r="1116" spans="1:19" x14ac:dyDescent="0.25">
      <c r="A1116" s="7" t="s">
        <v>2399</v>
      </c>
      <c r="B1116" s="10">
        <v>45953</v>
      </c>
      <c r="C1116" s="7" t="s">
        <v>2400</v>
      </c>
      <c r="D1116" s="8" t="s">
        <v>125</v>
      </c>
      <c r="E1116" s="8" t="s">
        <v>53</v>
      </c>
      <c r="F1116" s="8" t="s">
        <v>29</v>
      </c>
      <c r="G1116" s="8" t="s">
        <v>32</v>
      </c>
      <c r="H1116" s="8" t="s">
        <v>42</v>
      </c>
      <c r="I1116" s="11">
        <v>2</v>
      </c>
      <c r="J1116" s="12">
        <v>27.88</v>
      </c>
      <c r="K1116" s="13">
        <v>0</v>
      </c>
      <c r="L1116" s="12">
        <v>16.600000000000001</v>
      </c>
      <c r="M1116" s="14">
        <f>ROUND(tblSprzedaz[[#This Row],[Ilość]]*tblSprzedaz[[#This Row],[Cena netto jednostkowa]]*(1-tblSprzedaz[[#This Row],[Rabat %]]),2)</f>
        <v>55.76</v>
      </c>
      <c r="N1116" s="14">
        <f>ROUND(tblSprzedaz[[#This Row],[Ilość]]*tblSprzedaz[[#This Row],[Koszt jednostkowy netto]],2)</f>
        <v>33.200000000000003</v>
      </c>
      <c r="O1116" s="14">
        <f>tblSprzedaz[[#This Row],[Przychód netto]]-tblSprzedaz[[#This Row],[Koszt całkowity netto]]</f>
        <v>22.559999999999995</v>
      </c>
      <c r="P1116" s="15">
        <f>IFERROR(tblSprzedaz[[#This Row],[Marża kwotowa]]/tblSprzedaz[[#This Row],[Przychód netto]],0)</f>
        <v>0.40459110473457671</v>
      </c>
      <c r="Q1116" s="16">
        <f>YEAR(tblSprzedaz[[#This Row],[Data]])</f>
        <v>2025</v>
      </c>
      <c r="R1116" s="16">
        <f>MONTH(tblSprzedaz[[#This Row],[Data]])</f>
        <v>10</v>
      </c>
      <c r="S1116" s="9" t="str">
        <f>YEAR(tblSprzedaz[[#This Row],[Data]])&amp;"-"&amp;RIGHT("0"&amp;MONTH(tblSprzedaz[[#This Row],[Data]]),2)</f>
        <v>2025-10</v>
      </c>
    </row>
    <row r="1117" spans="1:19" x14ac:dyDescent="0.25">
      <c r="A1117" s="7" t="s">
        <v>2401</v>
      </c>
      <c r="B1117" s="10">
        <v>45954</v>
      </c>
      <c r="C1117" s="7" t="s">
        <v>2402</v>
      </c>
      <c r="D1117" s="8" t="s">
        <v>150</v>
      </c>
      <c r="E1117" s="8" t="s">
        <v>77</v>
      </c>
      <c r="F1117" s="8" t="s">
        <v>37</v>
      </c>
      <c r="G1117" s="8" t="s">
        <v>36</v>
      </c>
      <c r="H1117" s="8" t="s">
        <v>46</v>
      </c>
      <c r="I1117" s="11">
        <v>5</v>
      </c>
      <c r="J1117" s="12">
        <v>77.900000000000006</v>
      </c>
      <c r="K1117" s="13">
        <v>0.05</v>
      </c>
      <c r="L1117" s="12">
        <v>61.13</v>
      </c>
      <c r="M1117" s="14">
        <f>ROUND(tblSprzedaz[[#This Row],[Ilość]]*tblSprzedaz[[#This Row],[Cena netto jednostkowa]]*(1-tblSprzedaz[[#This Row],[Rabat %]]),2)</f>
        <v>370.03</v>
      </c>
      <c r="N1117" s="14">
        <f>ROUND(tblSprzedaz[[#This Row],[Ilość]]*tblSprzedaz[[#This Row],[Koszt jednostkowy netto]],2)</f>
        <v>305.64999999999998</v>
      </c>
      <c r="O1117" s="14">
        <f>tblSprzedaz[[#This Row],[Przychód netto]]-tblSprzedaz[[#This Row],[Koszt całkowity netto]]</f>
        <v>64.38</v>
      </c>
      <c r="P1117" s="15">
        <f>IFERROR(tblSprzedaz[[#This Row],[Marża kwotowa]]/tblSprzedaz[[#This Row],[Przychód netto]],0)</f>
        <v>0.17398589303569981</v>
      </c>
      <c r="Q1117" s="16">
        <f>YEAR(tblSprzedaz[[#This Row],[Data]])</f>
        <v>2025</v>
      </c>
      <c r="R1117" s="16">
        <f>MONTH(tblSprzedaz[[#This Row],[Data]])</f>
        <v>10</v>
      </c>
      <c r="S1117" s="9" t="str">
        <f>YEAR(tblSprzedaz[[#This Row],[Data]])&amp;"-"&amp;RIGHT("0"&amp;MONTH(tblSprzedaz[[#This Row],[Data]]),2)</f>
        <v>2025-10</v>
      </c>
    </row>
    <row r="1118" spans="1:19" x14ac:dyDescent="0.25">
      <c r="A1118" s="7" t="s">
        <v>2403</v>
      </c>
      <c r="B1118" s="10">
        <v>45954</v>
      </c>
      <c r="C1118" s="7" t="s">
        <v>2404</v>
      </c>
      <c r="D1118" s="8" t="s">
        <v>114</v>
      </c>
      <c r="E1118" s="8" t="s">
        <v>51</v>
      </c>
      <c r="F1118" s="8" t="s">
        <v>29</v>
      </c>
      <c r="G1118" s="8" t="s">
        <v>34</v>
      </c>
      <c r="H1118" s="8" t="s">
        <v>45</v>
      </c>
      <c r="I1118" s="11">
        <v>11</v>
      </c>
      <c r="J1118" s="12">
        <v>51</v>
      </c>
      <c r="K1118" s="13">
        <v>0.1</v>
      </c>
      <c r="L1118" s="12">
        <v>31.34</v>
      </c>
      <c r="M1118" s="14">
        <f>ROUND(tblSprzedaz[[#This Row],[Ilość]]*tblSprzedaz[[#This Row],[Cena netto jednostkowa]]*(1-tblSprzedaz[[#This Row],[Rabat %]]),2)</f>
        <v>504.9</v>
      </c>
      <c r="N1118" s="14">
        <f>ROUND(tblSprzedaz[[#This Row],[Ilość]]*tblSprzedaz[[#This Row],[Koszt jednostkowy netto]],2)</f>
        <v>344.74</v>
      </c>
      <c r="O1118" s="14">
        <f>tblSprzedaz[[#This Row],[Przychód netto]]-tblSprzedaz[[#This Row],[Koszt całkowity netto]]</f>
        <v>160.15999999999997</v>
      </c>
      <c r="P1118" s="15">
        <f>IFERROR(tblSprzedaz[[#This Row],[Marża kwotowa]]/tblSprzedaz[[#This Row],[Przychód netto]],0)</f>
        <v>0.31721132897603482</v>
      </c>
      <c r="Q1118" s="16">
        <f>YEAR(tblSprzedaz[[#This Row],[Data]])</f>
        <v>2025</v>
      </c>
      <c r="R1118" s="16">
        <f>MONTH(tblSprzedaz[[#This Row],[Data]])</f>
        <v>10</v>
      </c>
      <c r="S1118" s="9" t="str">
        <f>YEAR(tblSprzedaz[[#This Row],[Data]])&amp;"-"&amp;RIGHT("0"&amp;MONTH(tblSprzedaz[[#This Row],[Data]]),2)</f>
        <v>2025-10</v>
      </c>
    </row>
    <row r="1119" spans="1:19" x14ac:dyDescent="0.25">
      <c r="A1119" s="7" t="s">
        <v>2405</v>
      </c>
      <c r="B1119" s="10">
        <v>45954</v>
      </c>
      <c r="C1119" s="7" t="s">
        <v>2406</v>
      </c>
      <c r="D1119" s="8" t="s">
        <v>99</v>
      </c>
      <c r="E1119" s="8" t="s">
        <v>72</v>
      </c>
      <c r="F1119" s="8" t="s">
        <v>37</v>
      </c>
      <c r="G1119" s="8" t="s">
        <v>28</v>
      </c>
      <c r="H1119" s="8" t="s">
        <v>38</v>
      </c>
      <c r="I1119" s="11">
        <v>17</v>
      </c>
      <c r="J1119" s="12">
        <v>94.05</v>
      </c>
      <c r="K1119" s="13">
        <v>0</v>
      </c>
      <c r="L1119" s="12">
        <v>69.31</v>
      </c>
      <c r="M1119" s="14">
        <f>ROUND(tblSprzedaz[[#This Row],[Ilość]]*tblSprzedaz[[#This Row],[Cena netto jednostkowa]]*(1-tblSprzedaz[[#This Row],[Rabat %]]),2)</f>
        <v>1598.85</v>
      </c>
      <c r="N1119" s="14">
        <f>ROUND(tblSprzedaz[[#This Row],[Ilość]]*tblSprzedaz[[#This Row],[Koszt jednostkowy netto]],2)</f>
        <v>1178.27</v>
      </c>
      <c r="O1119" s="14">
        <f>tblSprzedaz[[#This Row],[Przychód netto]]-tblSprzedaz[[#This Row],[Koszt całkowity netto]]</f>
        <v>420.57999999999993</v>
      </c>
      <c r="P1119" s="15">
        <f>IFERROR(tblSprzedaz[[#This Row],[Marża kwotowa]]/tblSprzedaz[[#This Row],[Przychód netto]],0)</f>
        <v>0.2630515683147262</v>
      </c>
      <c r="Q1119" s="16">
        <f>YEAR(tblSprzedaz[[#This Row],[Data]])</f>
        <v>2025</v>
      </c>
      <c r="R1119" s="16">
        <f>MONTH(tblSprzedaz[[#This Row],[Data]])</f>
        <v>10</v>
      </c>
      <c r="S1119" s="9" t="str">
        <f>YEAR(tblSprzedaz[[#This Row],[Data]])&amp;"-"&amp;RIGHT("0"&amp;MONTH(tblSprzedaz[[#This Row],[Data]]),2)</f>
        <v>2025-10</v>
      </c>
    </row>
    <row r="1120" spans="1:19" x14ac:dyDescent="0.25">
      <c r="A1120" s="7" t="s">
        <v>2407</v>
      </c>
      <c r="B1120" s="10">
        <v>45954</v>
      </c>
      <c r="C1120" s="7" t="s">
        <v>2408</v>
      </c>
      <c r="D1120" s="8" t="s">
        <v>147</v>
      </c>
      <c r="E1120" s="8" t="s">
        <v>77</v>
      </c>
      <c r="F1120" s="8" t="s">
        <v>37</v>
      </c>
      <c r="G1120" s="8" t="s">
        <v>32</v>
      </c>
      <c r="H1120" s="8" t="s">
        <v>42</v>
      </c>
      <c r="I1120" s="11">
        <v>10</v>
      </c>
      <c r="J1120" s="12">
        <v>77.900000000000006</v>
      </c>
      <c r="K1120" s="13">
        <v>0</v>
      </c>
      <c r="L1120" s="12">
        <v>62.83</v>
      </c>
      <c r="M1120" s="14">
        <f>ROUND(tblSprzedaz[[#This Row],[Ilość]]*tblSprzedaz[[#This Row],[Cena netto jednostkowa]]*(1-tblSprzedaz[[#This Row],[Rabat %]]),2)</f>
        <v>779</v>
      </c>
      <c r="N1120" s="14">
        <f>ROUND(tblSprzedaz[[#This Row],[Ilość]]*tblSprzedaz[[#This Row],[Koszt jednostkowy netto]],2)</f>
        <v>628.29999999999995</v>
      </c>
      <c r="O1120" s="14">
        <f>tblSprzedaz[[#This Row],[Przychód netto]]-tblSprzedaz[[#This Row],[Koszt całkowity netto]]</f>
        <v>150.70000000000005</v>
      </c>
      <c r="P1120" s="15">
        <f>IFERROR(tblSprzedaz[[#This Row],[Marża kwotowa]]/tblSprzedaz[[#This Row],[Przychód netto]],0)</f>
        <v>0.19345314505776642</v>
      </c>
      <c r="Q1120" s="16">
        <f>YEAR(tblSprzedaz[[#This Row],[Data]])</f>
        <v>2025</v>
      </c>
      <c r="R1120" s="16">
        <f>MONTH(tblSprzedaz[[#This Row],[Data]])</f>
        <v>10</v>
      </c>
      <c r="S1120" s="9" t="str">
        <f>YEAR(tblSprzedaz[[#This Row],[Data]])&amp;"-"&amp;RIGHT("0"&amp;MONTH(tblSprzedaz[[#This Row],[Data]]),2)</f>
        <v>2025-10</v>
      </c>
    </row>
    <row r="1121" spans="1:19" x14ac:dyDescent="0.25">
      <c r="A1121" s="7" t="s">
        <v>2409</v>
      </c>
      <c r="B1121" s="10">
        <v>45955</v>
      </c>
      <c r="C1121" s="7" t="s">
        <v>2410</v>
      </c>
      <c r="D1121" s="8" t="s">
        <v>129</v>
      </c>
      <c r="E1121" s="8" t="s">
        <v>52</v>
      </c>
      <c r="F1121" s="8" t="s">
        <v>29</v>
      </c>
      <c r="G1121" s="8" t="s">
        <v>34</v>
      </c>
      <c r="H1121" s="8" t="s">
        <v>44</v>
      </c>
      <c r="I1121" s="11">
        <v>7</v>
      </c>
      <c r="J1121" s="12">
        <v>56.78</v>
      </c>
      <c r="K1121" s="13">
        <v>0.05</v>
      </c>
      <c r="L1121" s="12">
        <v>32.07</v>
      </c>
      <c r="M1121" s="14">
        <f>ROUND(tblSprzedaz[[#This Row],[Ilość]]*tblSprzedaz[[#This Row],[Cena netto jednostkowa]]*(1-tblSprzedaz[[#This Row],[Rabat %]]),2)</f>
        <v>377.59</v>
      </c>
      <c r="N1121" s="14">
        <f>ROUND(tblSprzedaz[[#This Row],[Ilość]]*tblSprzedaz[[#This Row],[Koszt jednostkowy netto]],2)</f>
        <v>224.49</v>
      </c>
      <c r="O1121" s="14">
        <f>tblSprzedaz[[#This Row],[Przychód netto]]-tblSprzedaz[[#This Row],[Koszt całkowity netto]]</f>
        <v>153.09999999999997</v>
      </c>
      <c r="P1121" s="15">
        <f>IFERROR(tblSprzedaz[[#This Row],[Marża kwotowa]]/tblSprzedaz[[#This Row],[Przychód netto]],0)</f>
        <v>0.40546624645779805</v>
      </c>
      <c r="Q1121" s="16">
        <f>YEAR(tblSprzedaz[[#This Row],[Data]])</f>
        <v>2025</v>
      </c>
      <c r="R1121" s="16">
        <f>MONTH(tblSprzedaz[[#This Row],[Data]])</f>
        <v>10</v>
      </c>
      <c r="S1121" s="9" t="str">
        <f>YEAR(tblSprzedaz[[#This Row],[Data]])&amp;"-"&amp;RIGHT("0"&amp;MONTH(tblSprzedaz[[#This Row],[Data]]),2)</f>
        <v>2025-10</v>
      </c>
    </row>
    <row r="1122" spans="1:19" x14ac:dyDescent="0.25">
      <c r="A1122" s="7" t="s">
        <v>2411</v>
      </c>
      <c r="B1122" s="10">
        <v>45956</v>
      </c>
      <c r="C1122" s="7" t="s">
        <v>2412</v>
      </c>
      <c r="D1122" s="8" t="s">
        <v>94</v>
      </c>
      <c r="E1122" s="8" t="s">
        <v>48</v>
      </c>
      <c r="F1122" s="8" t="s">
        <v>29</v>
      </c>
      <c r="G1122" s="8" t="s">
        <v>34</v>
      </c>
      <c r="H1122" s="8" t="s">
        <v>45</v>
      </c>
      <c r="I1122" s="11">
        <v>11</v>
      </c>
      <c r="J1122" s="12">
        <v>33.659999999999997</v>
      </c>
      <c r="K1122" s="13">
        <v>0</v>
      </c>
      <c r="L1122" s="12">
        <v>20.05</v>
      </c>
      <c r="M1122" s="14">
        <f>ROUND(tblSprzedaz[[#This Row],[Ilość]]*tblSprzedaz[[#This Row],[Cena netto jednostkowa]]*(1-tblSprzedaz[[#This Row],[Rabat %]]),2)</f>
        <v>370.26</v>
      </c>
      <c r="N1122" s="14">
        <f>ROUND(tblSprzedaz[[#This Row],[Ilość]]*tblSprzedaz[[#This Row],[Koszt jednostkowy netto]],2)</f>
        <v>220.55</v>
      </c>
      <c r="O1122" s="14">
        <f>tblSprzedaz[[#This Row],[Przychód netto]]-tblSprzedaz[[#This Row],[Koszt całkowity netto]]</f>
        <v>149.70999999999998</v>
      </c>
      <c r="P1122" s="15">
        <f>IFERROR(tblSprzedaz[[#This Row],[Marża kwotowa]]/tblSprzedaz[[#This Row],[Przychód netto]],0)</f>
        <v>0.40433749257278667</v>
      </c>
      <c r="Q1122" s="16">
        <f>YEAR(tblSprzedaz[[#This Row],[Data]])</f>
        <v>2025</v>
      </c>
      <c r="R1122" s="16">
        <f>MONTH(tblSprzedaz[[#This Row],[Data]])</f>
        <v>10</v>
      </c>
      <c r="S1122" s="9" t="str">
        <f>YEAR(tblSprzedaz[[#This Row],[Data]])&amp;"-"&amp;RIGHT("0"&amp;MONTH(tblSprzedaz[[#This Row],[Data]]),2)</f>
        <v>2025-10</v>
      </c>
    </row>
    <row r="1123" spans="1:19" x14ac:dyDescent="0.25">
      <c r="A1123" s="7" t="s">
        <v>2413</v>
      </c>
      <c r="B1123" s="10">
        <v>45956</v>
      </c>
      <c r="C1123" s="7" t="s">
        <v>2414</v>
      </c>
      <c r="D1123" s="8" t="s">
        <v>112</v>
      </c>
      <c r="E1123" s="8" t="s">
        <v>65</v>
      </c>
      <c r="F1123" s="8" t="s">
        <v>33</v>
      </c>
      <c r="G1123" s="8" t="s">
        <v>34</v>
      </c>
      <c r="H1123" s="8" t="s">
        <v>45</v>
      </c>
      <c r="I1123" s="11">
        <v>6</v>
      </c>
      <c r="J1123" s="12">
        <v>377.2</v>
      </c>
      <c r="K1123" s="13">
        <v>0.05</v>
      </c>
      <c r="L1123" s="12">
        <v>266.45999999999998</v>
      </c>
      <c r="M1123" s="14">
        <f>ROUND(tblSprzedaz[[#This Row],[Ilość]]*tblSprzedaz[[#This Row],[Cena netto jednostkowa]]*(1-tblSprzedaz[[#This Row],[Rabat %]]),2)</f>
        <v>2150.04</v>
      </c>
      <c r="N1123" s="14">
        <f>ROUND(tblSprzedaz[[#This Row],[Ilość]]*tblSprzedaz[[#This Row],[Koszt jednostkowy netto]],2)</f>
        <v>1598.76</v>
      </c>
      <c r="O1123" s="14">
        <f>tblSprzedaz[[#This Row],[Przychód netto]]-tblSprzedaz[[#This Row],[Koszt całkowity netto]]</f>
        <v>551.28</v>
      </c>
      <c r="P1123" s="15">
        <f>IFERROR(tblSprzedaz[[#This Row],[Marża kwotowa]]/tblSprzedaz[[#This Row],[Przychód netto]],0)</f>
        <v>0.25640453200870683</v>
      </c>
      <c r="Q1123" s="16">
        <f>YEAR(tblSprzedaz[[#This Row],[Data]])</f>
        <v>2025</v>
      </c>
      <c r="R1123" s="16">
        <f>MONTH(tblSprzedaz[[#This Row],[Data]])</f>
        <v>10</v>
      </c>
      <c r="S1123" s="9" t="str">
        <f>YEAR(tblSprzedaz[[#This Row],[Data]])&amp;"-"&amp;RIGHT("0"&amp;MONTH(tblSprzedaz[[#This Row],[Data]]),2)</f>
        <v>2025-10</v>
      </c>
    </row>
    <row r="1124" spans="1:19" x14ac:dyDescent="0.25">
      <c r="A1124" s="7" t="s">
        <v>2415</v>
      </c>
      <c r="B1124" s="10">
        <v>45957</v>
      </c>
      <c r="C1124" s="7" t="s">
        <v>2416</v>
      </c>
      <c r="D1124" s="8" t="s">
        <v>138</v>
      </c>
      <c r="E1124" s="8" t="s">
        <v>64</v>
      </c>
      <c r="F1124" s="8" t="s">
        <v>33</v>
      </c>
      <c r="G1124" s="8" t="s">
        <v>34</v>
      </c>
      <c r="H1124" s="8" t="s">
        <v>44</v>
      </c>
      <c r="I1124" s="11">
        <v>11</v>
      </c>
      <c r="J1124" s="12">
        <v>768.2</v>
      </c>
      <c r="K1124" s="13">
        <v>0.1</v>
      </c>
      <c r="L1124" s="12">
        <v>528.17999999999995</v>
      </c>
      <c r="M1124" s="14">
        <f>ROUND(tblSprzedaz[[#This Row],[Ilość]]*tblSprzedaz[[#This Row],[Cena netto jednostkowa]]*(1-tblSprzedaz[[#This Row],[Rabat %]]),2)</f>
        <v>7605.18</v>
      </c>
      <c r="N1124" s="14">
        <f>ROUND(tblSprzedaz[[#This Row],[Ilość]]*tblSprzedaz[[#This Row],[Koszt jednostkowy netto]],2)</f>
        <v>5809.98</v>
      </c>
      <c r="O1124" s="14">
        <f>tblSprzedaz[[#This Row],[Przychód netto]]-tblSprzedaz[[#This Row],[Koszt całkowity netto]]</f>
        <v>1795.2000000000007</v>
      </c>
      <c r="P1124" s="15">
        <f>IFERROR(tblSprzedaz[[#This Row],[Marża kwotowa]]/tblSprzedaz[[#This Row],[Przychód netto]],0)</f>
        <v>0.23604963985073341</v>
      </c>
      <c r="Q1124" s="16">
        <f>YEAR(tblSprzedaz[[#This Row],[Data]])</f>
        <v>2025</v>
      </c>
      <c r="R1124" s="16">
        <f>MONTH(tblSprzedaz[[#This Row],[Data]])</f>
        <v>10</v>
      </c>
      <c r="S1124" s="9" t="str">
        <f>YEAR(tblSprzedaz[[#This Row],[Data]])&amp;"-"&amp;RIGHT("0"&amp;MONTH(tblSprzedaz[[#This Row],[Data]]),2)</f>
        <v>2025-10</v>
      </c>
    </row>
    <row r="1125" spans="1:19" x14ac:dyDescent="0.25">
      <c r="A1125" s="7" t="s">
        <v>2417</v>
      </c>
      <c r="B1125" s="10">
        <v>45957</v>
      </c>
      <c r="C1125" s="7" t="s">
        <v>2418</v>
      </c>
      <c r="D1125" s="8" t="s">
        <v>87</v>
      </c>
      <c r="E1125" s="8" t="s">
        <v>48</v>
      </c>
      <c r="F1125" s="8" t="s">
        <v>29</v>
      </c>
      <c r="G1125" s="8" t="s">
        <v>36</v>
      </c>
      <c r="H1125" s="8" t="s">
        <v>46</v>
      </c>
      <c r="I1125" s="11">
        <v>3</v>
      </c>
      <c r="J1125" s="12">
        <v>33.659999999999997</v>
      </c>
      <c r="K1125" s="13">
        <v>0.05</v>
      </c>
      <c r="L1125" s="12">
        <v>20.69</v>
      </c>
      <c r="M1125" s="14">
        <f>ROUND(tblSprzedaz[[#This Row],[Ilość]]*tblSprzedaz[[#This Row],[Cena netto jednostkowa]]*(1-tblSprzedaz[[#This Row],[Rabat %]]),2)</f>
        <v>95.93</v>
      </c>
      <c r="N1125" s="14">
        <f>ROUND(tblSprzedaz[[#This Row],[Ilość]]*tblSprzedaz[[#This Row],[Koszt jednostkowy netto]],2)</f>
        <v>62.07</v>
      </c>
      <c r="O1125" s="14">
        <f>tblSprzedaz[[#This Row],[Przychód netto]]-tblSprzedaz[[#This Row],[Koszt całkowity netto]]</f>
        <v>33.860000000000007</v>
      </c>
      <c r="P1125" s="15">
        <f>IFERROR(tblSprzedaz[[#This Row],[Marża kwotowa]]/tblSprzedaz[[#This Row],[Przychód netto]],0)</f>
        <v>0.35296570415928286</v>
      </c>
      <c r="Q1125" s="16">
        <f>YEAR(tblSprzedaz[[#This Row],[Data]])</f>
        <v>2025</v>
      </c>
      <c r="R1125" s="16">
        <f>MONTH(tblSprzedaz[[#This Row],[Data]])</f>
        <v>10</v>
      </c>
      <c r="S1125" s="9" t="str">
        <f>YEAR(tblSprzedaz[[#This Row],[Data]])&amp;"-"&amp;RIGHT("0"&amp;MONTH(tblSprzedaz[[#This Row],[Data]]),2)</f>
        <v>2025-10</v>
      </c>
    </row>
    <row r="1126" spans="1:19" x14ac:dyDescent="0.25">
      <c r="A1126" s="7" t="s">
        <v>2419</v>
      </c>
      <c r="B1126" s="10">
        <v>45957</v>
      </c>
      <c r="C1126" s="7" t="s">
        <v>2420</v>
      </c>
      <c r="D1126" s="8" t="s">
        <v>87</v>
      </c>
      <c r="E1126" s="8" t="s">
        <v>62</v>
      </c>
      <c r="F1126" s="8" t="s">
        <v>33</v>
      </c>
      <c r="G1126" s="8" t="s">
        <v>28</v>
      </c>
      <c r="H1126" s="8" t="s">
        <v>39</v>
      </c>
      <c r="I1126" s="11">
        <v>2</v>
      </c>
      <c r="J1126" s="12">
        <v>611.79999999999995</v>
      </c>
      <c r="K1126" s="13">
        <v>0.1</v>
      </c>
      <c r="L1126" s="12">
        <v>433.83</v>
      </c>
      <c r="M1126" s="14">
        <f>ROUND(tblSprzedaz[[#This Row],[Ilość]]*tblSprzedaz[[#This Row],[Cena netto jednostkowa]]*(1-tblSprzedaz[[#This Row],[Rabat %]]),2)</f>
        <v>1101.24</v>
      </c>
      <c r="N1126" s="14">
        <f>ROUND(tblSprzedaz[[#This Row],[Ilość]]*tblSprzedaz[[#This Row],[Koszt jednostkowy netto]],2)</f>
        <v>867.66</v>
      </c>
      <c r="O1126" s="14">
        <f>tblSprzedaz[[#This Row],[Przychód netto]]-tblSprzedaz[[#This Row],[Koszt całkowity netto]]</f>
        <v>233.58000000000004</v>
      </c>
      <c r="P1126" s="15">
        <f>IFERROR(tblSprzedaz[[#This Row],[Marża kwotowa]]/tblSprzedaz[[#This Row],[Przychód netto]],0)</f>
        <v>0.21210635283861831</v>
      </c>
      <c r="Q1126" s="16">
        <f>YEAR(tblSprzedaz[[#This Row],[Data]])</f>
        <v>2025</v>
      </c>
      <c r="R1126" s="16">
        <f>MONTH(tblSprzedaz[[#This Row],[Data]])</f>
        <v>10</v>
      </c>
      <c r="S1126" s="9" t="str">
        <f>YEAR(tblSprzedaz[[#This Row],[Data]])&amp;"-"&amp;RIGHT("0"&amp;MONTH(tblSprzedaz[[#This Row],[Data]]),2)</f>
        <v>2025-10</v>
      </c>
    </row>
    <row r="1127" spans="1:19" x14ac:dyDescent="0.25">
      <c r="A1127" s="7" t="s">
        <v>2421</v>
      </c>
      <c r="B1127" s="10">
        <v>45957</v>
      </c>
      <c r="C1127" s="7" t="s">
        <v>2422</v>
      </c>
      <c r="D1127" s="8" t="s">
        <v>92</v>
      </c>
      <c r="E1127" s="8" t="s">
        <v>63</v>
      </c>
      <c r="F1127" s="8" t="s">
        <v>33</v>
      </c>
      <c r="G1127" s="8" t="s">
        <v>34</v>
      </c>
      <c r="H1127" s="8" t="s">
        <v>44</v>
      </c>
      <c r="I1127" s="11">
        <v>18</v>
      </c>
      <c r="J1127" s="12">
        <v>690</v>
      </c>
      <c r="K1127" s="13">
        <v>0</v>
      </c>
      <c r="L1127" s="12">
        <v>476.48</v>
      </c>
      <c r="M1127" s="14">
        <f>ROUND(tblSprzedaz[[#This Row],[Ilość]]*tblSprzedaz[[#This Row],[Cena netto jednostkowa]]*(1-tblSprzedaz[[#This Row],[Rabat %]]),2)</f>
        <v>12420</v>
      </c>
      <c r="N1127" s="14">
        <f>ROUND(tblSprzedaz[[#This Row],[Ilość]]*tblSprzedaz[[#This Row],[Koszt jednostkowy netto]],2)</f>
        <v>8576.64</v>
      </c>
      <c r="O1127" s="14">
        <f>tblSprzedaz[[#This Row],[Przychód netto]]-tblSprzedaz[[#This Row],[Koszt całkowity netto]]</f>
        <v>3843.3600000000006</v>
      </c>
      <c r="P1127" s="15">
        <f>IFERROR(tblSprzedaz[[#This Row],[Marża kwotowa]]/tblSprzedaz[[#This Row],[Przychód netto]],0)</f>
        <v>0.30944927536231887</v>
      </c>
      <c r="Q1127" s="16">
        <f>YEAR(tblSprzedaz[[#This Row],[Data]])</f>
        <v>2025</v>
      </c>
      <c r="R1127" s="16">
        <f>MONTH(tblSprzedaz[[#This Row],[Data]])</f>
        <v>10</v>
      </c>
      <c r="S1127" s="9" t="str">
        <f>YEAR(tblSprzedaz[[#This Row],[Data]])&amp;"-"&amp;RIGHT("0"&amp;MONTH(tblSprzedaz[[#This Row],[Data]]),2)</f>
        <v>2025-10</v>
      </c>
    </row>
    <row r="1128" spans="1:19" x14ac:dyDescent="0.25">
      <c r="A1128" s="7" t="s">
        <v>2423</v>
      </c>
      <c r="B1128" s="10">
        <v>45957</v>
      </c>
      <c r="C1128" s="7" t="s">
        <v>2424</v>
      </c>
      <c r="D1128" s="8" t="s">
        <v>125</v>
      </c>
      <c r="E1128" s="8" t="s">
        <v>57</v>
      </c>
      <c r="F1128" s="8" t="s">
        <v>31</v>
      </c>
      <c r="G1128" s="8" t="s">
        <v>30</v>
      </c>
      <c r="H1128" s="8" t="s">
        <v>40</v>
      </c>
      <c r="I1128" s="11">
        <v>28</v>
      </c>
      <c r="J1128" s="12">
        <v>315</v>
      </c>
      <c r="K1128" s="13">
        <v>0</v>
      </c>
      <c r="L1128" s="12">
        <v>208.2</v>
      </c>
      <c r="M1128" s="14">
        <f>ROUND(tblSprzedaz[[#This Row],[Ilość]]*tblSprzedaz[[#This Row],[Cena netto jednostkowa]]*(1-tblSprzedaz[[#This Row],[Rabat %]]),2)</f>
        <v>8820</v>
      </c>
      <c r="N1128" s="14">
        <f>ROUND(tblSprzedaz[[#This Row],[Ilość]]*tblSprzedaz[[#This Row],[Koszt jednostkowy netto]],2)</f>
        <v>5829.6</v>
      </c>
      <c r="O1128" s="14">
        <f>tblSprzedaz[[#This Row],[Przychód netto]]-tblSprzedaz[[#This Row],[Koszt całkowity netto]]</f>
        <v>2990.3999999999996</v>
      </c>
      <c r="P1128" s="15">
        <f>IFERROR(tblSprzedaz[[#This Row],[Marża kwotowa]]/tblSprzedaz[[#This Row],[Przychód netto]],0)</f>
        <v>0.33904761904761899</v>
      </c>
      <c r="Q1128" s="16">
        <f>YEAR(tblSprzedaz[[#This Row],[Data]])</f>
        <v>2025</v>
      </c>
      <c r="R1128" s="16">
        <f>MONTH(tblSprzedaz[[#This Row],[Data]])</f>
        <v>10</v>
      </c>
      <c r="S1128" s="9" t="str">
        <f>YEAR(tblSprzedaz[[#This Row],[Data]])&amp;"-"&amp;RIGHT("0"&amp;MONTH(tblSprzedaz[[#This Row],[Data]]),2)</f>
        <v>2025-10</v>
      </c>
    </row>
    <row r="1129" spans="1:19" x14ac:dyDescent="0.25">
      <c r="A1129" s="7" t="s">
        <v>2425</v>
      </c>
      <c r="B1129" s="10">
        <v>45957</v>
      </c>
      <c r="C1129" s="7" t="s">
        <v>2426</v>
      </c>
      <c r="D1129" s="8" t="s">
        <v>131</v>
      </c>
      <c r="E1129" s="8" t="s">
        <v>53</v>
      </c>
      <c r="F1129" s="8" t="s">
        <v>29</v>
      </c>
      <c r="G1129" s="8" t="s">
        <v>30</v>
      </c>
      <c r="H1129" s="8" t="s">
        <v>41</v>
      </c>
      <c r="I1129" s="11">
        <v>4</v>
      </c>
      <c r="J1129" s="12">
        <v>27.88</v>
      </c>
      <c r="K1129" s="13">
        <v>0.05</v>
      </c>
      <c r="L1129" s="12">
        <v>16.059999999999999</v>
      </c>
      <c r="M1129" s="14">
        <f>ROUND(tblSprzedaz[[#This Row],[Ilość]]*tblSprzedaz[[#This Row],[Cena netto jednostkowa]]*(1-tblSprzedaz[[#This Row],[Rabat %]]),2)</f>
        <v>105.94</v>
      </c>
      <c r="N1129" s="14">
        <f>ROUND(tblSprzedaz[[#This Row],[Ilość]]*tblSprzedaz[[#This Row],[Koszt jednostkowy netto]],2)</f>
        <v>64.239999999999995</v>
      </c>
      <c r="O1129" s="14">
        <f>tblSprzedaz[[#This Row],[Przychód netto]]-tblSprzedaz[[#This Row],[Koszt całkowity netto]]</f>
        <v>41.7</v>
      </c>
      <c r="P1129" s="15">
        <f>IFERROR(tblSprzedaz[[#This Row],[Marża kwotowa]]/tblSprzedaz[[#This Row],[Przychód netto]],0)</f>
        <v>0.39361902963941858</v>
      </c>
      <c r="Q1129" s="16">
        <f>YEAR(tblSprzedaz[[#This Row],[Data]])</f>
        <v>2025</v>
      </c>
      <c r="R1129" s="16">
        <f>MONTH(tblSprzedaz[[#This Row],[Data]])</f>
        <v>10</v>
      </c>
      <c r="S1129" s="9" t="str">
        <f>YEAR(tblSprzedaz[[#This Row],[Data]])&amp;"-"&amp;RIGHT("0"&amp;MONTH(tblSprzedaz[[#This Row],[Data]]),2)</f>
        <v>2025-10</v>
      </c>
    </row>
    <row r="1130" spans="1:19" x14ac:dyDescent="0.25">
      <c r="A1130" s="7" t="s">
        <v>2427</v>
      </c>
      <c r="B1130" s="10">
        <v>45958</v>
      </c>
      <c r="C1130" s="7" t="s">
        <v>2428</v>
      </c>
      <c r="D1130" s="8" t="s">
        <v>146</v>
      </c>
      <c r="E1130" s="8" t="s">
        <v>72</v>
      </c>
      <c r="F1130" s="8" t="s">
        <v>37</v>
      </c>
      <c r="G1130" s="8" t="s">
        <v>34</v>
      </c>
      <c r="H1130" s="8" t="s">
        <v>45</v>
      </c>
      <c r="I1130" s="11">
        <v>16</v>
      </c>
      <c r="J1130" s="12">
        <v>94.05</v>
      </c>
      <c r="K1130" s="13">
        <v>0.1</v>
      </c>
      <c r="L1130" s="12">
        <v>70.540000000000006</v>
      </c>
      <c r="M1130" s="14">
        <f>ROUND(tblSprzedaz[[#This Row],[Ilość]]*tblSprzedaz[[#This Row],[Cena netto jednostkowa]]*(1-tblSprzedaz[[#This Row],[Rabat %]]),2)</f>
        <v>1354.32</v>
      </c>
      <c r="N1130" s="14">
        <f>ROUND(tblSprzedaz[[#This Row],[Ilość]]*tblSprzedaz[[#This Row],[Koszt jednostkowy netto]],2)</f>
        <v>1128.6400000000001</v>
      </c>
      <c r="O1130" s="14">
        <f>tblSprzedaz[[#This Row],[Przychód netto]]-tblSprzedaz[[#This Row],[Koszt całkowity netto]]</f>
        <v>225.67999999999984</v>
      </c>
      <c r="P1130" s="15">
        <f>IFERROR(tblSprzedaz[[#This Row],[Marża kwotowa]]/tblSprzedaz[[#This Row],[Przychód netto]],0)</f>
        <v>0.16663713154941215</v>
      </c>
      <c r="Q1130" s="16">
        <f>YEAR(tblSprzedaz[[#This Row],[Data]])</f>
        <v>2025</v>
      </c>
      <c r="R1130" s="16">
        <f>MONTH(tblSprzedaz[[#This Row],[Data]])</f>
        <v>10</v>
      </c>
      <c r="S1130" s="9" t="str">
        <f>YEAR(tblSprzedaz[[#This Row],[Data]])&amp;"-"&amp;RIGHT("0"&amp;MONTH(tblSprzedaz[[#This Row],[Data]]),2)</f>
        <v>2025-10</v>
      </c>
    </row>
    <row r="1131" spans="1:19" x14ac:dyDescent="0.25">
      <c r="A1131" s="7" t="s">
        <v>2429</v>
      </c>
      <c r="B1131" s="10">
        <v>45958</v>
      </c>
      <c r="C1131" s="7" t="s">
        <v>2430</v>
      </c>
      <c r="D1131" s="8" t="s">
        <v>129</v>
      </c>
      <c r="E1131" s="8" t="s">
        <v>74</v>
      </c>
      <c r="F1131" s="8" t="s">
        <v>37</v>
      </c>
      <c r="G1131" s="8" t="s">
        <v>32</v>
      </c>
      <c r="H1131" s="8" t="s">
        <v>42</v>
      </c>
      <c r="I1131" s="11">
        <v>18</v>
      </c>
      <c r="J1131" s="12">
        <v>126.35</v>
      </c>
      <c r="K1131" s="13">
        <v>0</v>
      </c>
      <c r="L1131" s="12">
        <v>93.66</v>
      </c>
      <c r="M1131" s="14">
        <f>ROUND(tblSprzedaz[[#This Row],[Ilość]]*tblSprzedaz[[#This Row],[Cena netto jednostkowa]]*(1-tblSprzedaz[[#This Row],[Rabat %]]),2)</f>
        <v>2274.3000000000002</v>
      </c>
      <c r="N1131" s="14">
        <f>ROUND(tblSprzedaz[[#This Row],[Ilość]]*tblSprzedaz[[#This Row],[Koszt jednostkowy netto]],2)</f>
        <v>1685.88</v>
      </c>
      <c r="O1131" s="14">
        <f>tblSprzedaz[[#This Row],[Przychód netto]]-tblSprzedaz[[#This Row],[Koszt całkowity netto]]</f>
        <v>588.42000000000007</v>
      </c>
      <c r="P1131" s="15">
        <f>IFERROR(tblSprzedaz[[#This Row],[Marża kwotowa]]/tblSprzedaz[[#This Row],[Przychód netto]],0)</f>
        <v>0.25872576177285322</v>
      </c>
      <c r="Q1131" s="16">
        <f>YEAR(tblSprzedaz[[#This Row],[Data]])</f>
        <v>2025</v>
      </c>
      <c r="R1131" s="16">
        <f>MONTH(tblSprzedaz[[#This Row],[Data]])</f>
        <v>10</v>
      </c>
      <c r="S1131" s="9" t="str">
        <f>YEAR(tblSprzedaz[[#This Row],[Data]])&amp;"-"&amp;RIGHT("0"&amp;MONTH(tblSprzedaz[[#This Row],[Data]]),2)</f>
        <v>2025-10</v>
      </c>
    </row>
    <row r="1132" spans="1:19" x14ac:dyDescent="0.25">
      <c r="A1132" s="7" t="s">
        <v>2431</v>
      </c>
      <c r="B1132" s="10">
        <v>45958</v>
      </c>
      <c r="C1132" s="7" t="s">
        <v>2432</v>
      </c>
      <c r="D1132" s="8" t="s">
        <v>100</v>
      </c>
      <c r="E1132" s="8" t="s">
        <v>50</v>
      </c>
      <c r="F1132" s="8" t="s">
        <v>29</v>
      </c>
      <c r="G1132" s="8" t="s">
        <v>30</v>
      </c>
      <c r="H1132" s="8" t="s">
        <v>41</v>
      </c>
      <c r="I1132" s="11">
        <v>19</v>
      </c>
      <c r="J1132" s="12">
        <v>45.22</v>
      </c>
      <c r="K1132" s="13">
        <v>0.15</v>
      </c>
      <c r="L1132" s="12">
        <v>28</v>
      </c>
      <c r="M1132" s="14">
        <f>ROUND(tblSprzedaz[[#This Row],[Ilość]]*tblSprzedaz[[#This Row],[Cena netto jednostkowa]]*(1-tblSprzedaz[[#This Row],[Rabat %]]),2)</f>
        <v>730.3</v>
      </c>
      <c r="N1132" s="14">
        <f>ROUND(tblSprzedaz[[#This Row],[Ilość]]*tblSprzedaz[[#This Row],[Koszt jednostkowy netto]],2)</f>
        <v>532</v>
      </c>
      <c r="O1132" s="14">
        <f>tblSprzedaz[[#This Row],[Przychód netto]]-tblSprzedaz[[#This Row],[Koszt całkowity netto]]</f>
        <v>198.29999999999995</v>
      </c>
      <c r="P1132" s="15">
        <f>IFERROR(tblSprzedaz[[#This Row],[Marża kwotowa]]/tblSprzedaz[[#This Row],[Przychód netto]],0)</f>
        <v>0.27153224702177181</v>
      </c>
      <c r="Q1132" s="16">
        <f>YEAR(tblSprzedaz[[#This Row],[Data]])</f>
        <v>2025</v>
      </c>
      <c r="R1132" s="16">
        <f>MONTH(tblSprzedaz[[#This Row],[Data]])</f>
        <v>10</v>
      </c>
      <c r="S1132" s="9" t="str">
        <f>YEAR(tblSprzedaz[[#This Row],[Data]])&amp;"-"&amp;RIGHT("0"&amp;MONTH(tblSprzedaz[[#This Row],[Data]]),2)</f>
        <v>2025-10</v>
      </c>
    </row>
    <row r="1133" spans="1:19" x14ac:dyDescent="0.25">
      <c r="A1133" s="7" t="s">
        <v>2433</v>
      </c>
      <c r="B1133" s="10">
        <v>45958</v>
      </c>
      <c r="C1133" s="7" t="s">
        <v>2434</v>
      </c>
      <c r="D1133" s="8" t="s">
        <v>129</v>
      </c>
      <c r="E1133" s="8" t="s">
        <v>50</v>
      </c>
      <c r="F1133" s="8" t="s">
        <v>29</v>
      </c>
      <c r="G1133" s="8" t="s">
        <v>30</v>
      </c>
      <c r="H1133" s="8" t="s">
        <v>40</v>
      </c>
      <c r="I1133" s="11">
        <v>26</v>
      </c>
      <c r="J1133" s="12">
        <v>45.22</v>
      </c>
      <c r="K1133" s="13">
        <v>0</v>
      </c>
      <c r="L1133" s="12">
        <v>28.43</v>
      </c>
      <c r="M1133" s="14">
        <f>ROUND(tblSprzedaz[[#This Row],[Ilość]]*tblSprzedaz[[#This Row],[Cena netto jednostkowa]]*(1-tblSprzedaz[[#This Row],[Rabat %]]),2)</f>
        <v>1175.72</v>
      </c>
      <c r="N1133" s="14">
        <f>ROUND(tblSprzedaz[[#This Row],[Ilość]]*tblSprzedaz[[#This Row],[Koszt jednostkowy netto]],2)</f>
        <v>739.18</v>
      </c>
      <c r="O1133" s="14">
        <f>tblSprzedaz[[#This Row],[Przychód netto]]-tblSprzedaz[[#This Row],[Koszt całkowity netto]]</f>
        <v>436.54000000000008</v>
      </c>
      <c r="P1133" s="15">
        <f>IFERROR(tblSprzedaz[[#This Row],[Marża kwotowa]]/tblSprzedaz[[#This Row],[Przychód netto]],0)</f>
        <v>0.37129588677576297</v>
      </c>
      <c r="Q1133" s="16">
        <f>YEAR(tblSprzedaz[[#This Row],[Data]])</f>
        <v>2025</v>
      </c>
      <c r="R1133" s="16">
        <f>MONTH(tblSprzedaz[[#This Row],[Data]])</f>
        <v>10</v>
      </c>
      <c r="S1133" s="9" t="str">
        <f>YEAR(tblSprzedaz[[#This Row],[Data]])&amp;"-"&amp;RIGHT("0"&amp;MONTH(tblSprzedaz[[#This Row],[Data]]),2)</f>
        <v>2025-10</v>
      </c>
    </row>
    <row r="1134" spans="1:19" x14ac:dyDescent="0.25">
      <c r="A1134" s="7" t="s">
        <v>2435</v>
      </c>
      <c r="B1134" s="10">
        <v>45958</v>
      </c>
      <c r="C1134" s="7" t="s">
        <v>2436</v>
      </c>
      <c r="D1134" s="8" t="s">
        <v>95</v>
      </c>
      <c r="E1134" s="8" t="s">
        <v>55</v>
      </c>
      <c r="F1134" s="8" t="s">
        <v>31</v>
      </c>
      <c r="G1134" s="8" t="s">
        <v>30</v>
      </c>
      <c r="H1134" s="8" t="s">
        <v>40</v>
      </c>
      <c r="I1134" s="11">
        <v>28</v>
      </c>
      <c r="J1134" s="12">
        <v>243.6</v>
      </c>
      <c r="K1134" s="13">
        <v>0</v>
      </c>
      <c r="L1134" s="12">
        <v>155.30000000000001</v>
      </c>
      <c r="M1134" s="14">
        <f>ROUND(tblSprzedaz[[#This Row],[Ilość]]*tblSprzedaz[[#This Row],[Cena netto jednostkowa]]*(1-tblSprzedaz[[#This Row],[Rabat %]]),2)</f>
        <v>6820.8</v>
      </c>
      <c r="N1134" s="14">
        <f>ROUND(tblSprzedaz[[#This Row],[Ilość]]*tblSprzedaz[[#This Row],[Koszt jednostkowy netto]],2)</f>
        <v>4348.3999999999996</v>
      </c>
      <c r="O1134" s="14">
        <f>tblSprzedaz[[#This Row],[Przychód netto]]-tblSprzedaz[[#This Row],[Koszt całkowity netto]]</f>
        <v>2472.4000000000005</v>
      </c>
      <c r="P1134" s="15">
        <f>IFERROR(tblSprzedaz[[#This Row],[Marża kwotowa]]/tblSprzedaz[[#This Row],[Przychód netto]],0)</f>
        <v>0.36247947454844015</v>
      </c>
      <c r="Q1134" s="16">
        <f>YEAR(tblSprzedaz[[#This Row],[Data]])</f>
        <v>2025</v>
      </c>
      <c r="R1134" s="16">
        <f>MONTH(tblSprzedaz[[#This Row],[Data]])</f>
        <v>10</v>
      </c>
      <c r="S1134" s="9" t="str">
        <f>YEAR(tblSprzedaz[[#This Row],[Data]])&amp;"-"&amp;RIGHT("0"&amp;MONTH(tblSprzedaz[[#This Row],[Data]]),2)</f>
        <v>2025-10</v>
      </c>
    </row>
    <row r="1135" spans="1:19" x14ac:dyDescent="0.25">
      <c r="A1135" s="7" t="s">
        <v>2437</v>
      </c>
      <c r="B1135" s="10">
        <v>45958</v>
      </c>
      <c r="C1135" s="7" t="s">
        <v>2438</v>
      </c>
      <c r="D1135" s="8" t="s">
        <v>119</v>
      </c>
      <c r="E1135" s="8" t="s">
        <v>50</v>
      </c>
      <c r="F1135" s="8" t="s">
        <v>29</v>
      </c>
      <c r="G1135" s="8" t="s">
        <v>28</v>
      </c>
      <c r="H1135" s="8" t="s">
        <v>39</v>
      </c>
      <c r="I1135" s="11">
        <v>26</v>
      </c>
      <c r="J1135" s="12">
        <v>45.22</v>
      </c>
      <c r="K1135" s="13">
        <v>0.15</v>
      </c>
      <c r="L1135" s="12">
        <v>24.91</v>
      </c>
      <c r="M1135" s="14">
        <f>ROUND(tblSprzedaz[[#This Row],[Ilość]]*tblSprzedaz[[#This Row],[Cena netto jednostkowa]]*(1-tblSprzedaz[[#This Row],[Rabat %]]),2)</f>
        <v>999.36</v>
      </c>
      <c r="N1135" s="14">
        <f>ROUND(tblSprzedaz[[#This Row],[Ilość]]*tblSprzedaz[[#This Row],[Koszt jednostkowy netto]],2)</f>
        <v>647.66</v>
      </c>
      <c r="O1135" s="14">
        <f>tblSprzedaz[[#This Row],[Przychód netto]]-tblSprzedaz[[#This Row],[Koszt całkowity netto]]</f>
        <v>351.70000000000005</v>
      </c>
      <c r="P1135" s="15">
        <f>IFERROR(tblSprzedaz[[#This Row],[Marża kwotowa]]/tblSprzedaz[[#This Row],[Przychód netto]],0)</f>
        <v>0.35192523214857513</v>
      </c>
      <c r="Q1135" s="16">
        <f>YEAR(tblSprzedaz[[#This Row],[Data]])</f>
        <v>2025</v>
      </c>
      <c r="R1135" s="16">
        <f>MONTH(tblSprzedaz[[#This Row],[Data]])</f>
        <v>10</v>
      </c>
      <c r="S1135" s="9" t="str">
        <f>YEAR(tblSprzedaz[[#This Row],[Data]])&amp;"-"&amp;RIGHT("0"&amp;MONTH(tblSprzedaz[[#This Row],[Data]]),2)</f>
        <v>2025-10</v>
      </c>
    </row>
    <row r="1136" spans="1:19" x14ac:dyDescent="0.25">
      <c r="A1136" s="7" t="s">
        <v>2439</v>
      </c>
      <c r="B1136" s="10">
        <v>45958</v>
      </c>
      <c r="C1136" s="7" t="s">
        <v>2440</v>
      </c>
      <c r="D1136" s="8" t="s">
        <v>95</v>
      </c>
      <c r="E1136" s="8" t="s">
        <v>64</v>
      </c>
      <c r="F1136" s="8" t="s">
        <v>33</v>
      </c>
      <c r="G1136" s="8" t="s">
        <v>28</v>
      </c>
      <c r="H1136" s="8" t="s">
        <v>38</v>
      </c>
      <c r="I1136" s="11">
        <v>9</v>
      </c>
      <c r="J1136" s="12">
        <v>768.2</v>
      </c>
      <c r="K1136" s="13">
        <v>0</v>
      </c>
      <c r="L1136" s="12">
        <v>527.23</v>
      </c>
      <c r="M1136" s="14">
        <f>ROUND(tblSprzedaz[[#This Row],[Ilość]]*tblSprzedaz[[#This Row],[Cena netto jednostkowa]]*(1-tblSprzedaz[[#This Row],[Rabat %]]),2)</f>
        <v>6913.8</v>
      </c>
      <c r="N1136" s="14">
        <f>ROUND(tblSprzedaz[[#This Row],[Ilość]]*tblSprzedaz[[#This Row],[Koszt jednostkowy netto]],2)</f>
        <v>4745.07</v>
      </c>
      <c r="O1136" s="14">
        <f>tblSprzedaz[[#This Row],[Przychód netto]]-tblSprzedaz[[#This Row],[Koszt całkowity netto]]</f>
        <v>2168.7300000000005</v>
      </c>
      <c r="P1136" s="15">
        <f>IFERROR(tblSprzedaz[[#This Row],[Marża kwotowa]]/tblSprzedaz[[#This Row],[Przychód netto]],0)</f>
        <v>0.31368133298620154</v>
      </c>
      <c r="Q1136" s="16">
        <f>YEAR(tblSprzedaz[[#This Row],[Data]])</f>
        <v>2025</v>
      </c>
      <c r="R1136" s="16">
        <f>MONTH(tblSprzedaz[[#This Row],[Data]])</f>
        <v>10</v>
      </c>
      <c r="S1136" s="9" t="str">
        <f>YEAR(tblSprzedaz[[#This Row],[Data]])&amp;"-"&amp;RIGHT("0"&amp;MONTH(tblSprzedaz[[#This Row],[Data]]),2)</f>
        <v>2025-10</v>
      </c>
    </row>
    <row r="1137" spans="1:19" x14ac:dyDescent="0.25">
      <c r="A1137" s="7" t="s">
        <v>2441</v>
      </c>
      <c r="B1137" s="10">
        <v>45959</v>
      </c>
      <c r="C1137" s="7" t="s">
        <v>2442</v>
      </c>
      <c r="D1137" s="8" t="s">
        <v>137</v>
      </c>
      <c r="E1137" s="8" t="s">
        <v>77</v>
      </c>
      <c r="F1137" s="8" t="s">
        <v>37</v>
      </c>
      <c r="G1137" s="8" t="s">
        <v>32</v>
      </c>
      <c r="H1137" s="8" t="s">
        <v>43</v>
      </c>
      <c r="I1137" s="11">
        <v>3</v>
      </c>
      <c r="J1137" s="12">
        <v>77.900000000000006</v>
      </c>
      <c r="K1137" s="13">
        <v>0.05</v>
      </c>
      <c r="L1137" s="12">
        <v>57.52</v>
      </c>
      <c r="M1137" s="14">
        <f>ROUND(tblSprzedaz[[#This Row],[Ilość]]*tblSprzedaz[[#This Row],[Cena netto jednostkowa]]*(1-tblSprzedaz[[#This Row],[Rabat %]]),2)</f>
        <v>222.02</v>
      </c>
      <c r="N1137" s="14">
        <f>ROUND(tblSprzedaz[[#This Row],[Ilość]]*tblSprzedaz[[#This Row],[Koszt jednostkowy netto]],2)</f>
        <v>172.56</v>
      </c>
      <c r="O1137" s="14">
        <f>tblSprzedaz[[#This Row],[Przychód netto]]-tblSprzedaz[[#This Row],[Koszt całkowity netto]]</f>
        <v>49.460000000000008</v>
      </c>
      <c r="P1137" s="15">
        <f>IFERROR(tblSprzedaz[[#This Row],[Marża kwotowa]]/tblSprzedaz[[#This Row],[Przychód netto]],0)</f>
        <v>0.2227727231780921</v>
      </c>
      <c r="Q1137" s="16">
        <f>YEAR(tblSprzedaz[[#This Row],[Data]])</f>
        <v>2025</v>
      </c>
      <c r="R1137" s="16">
        <f>MONTH(tblSprzedaz[[#This Row],[Data]])</f>
        <v>10</v>
      </c>
      <c r="S1137" s="9" t="str">
        <f>YEAR(tblSprzedaz[[#This Row],[Data]])&amp;"-"&amp;RIGHT("0"&amp;MONTH(tblSprzedaz[[#This Row],[Data]]),2)</f>
        <v>2025-10</v>
      </c>
    </row>
    <row r="1138" spans="1:19" x14ac:dyDescent="0.25">
      <c r="A1138" s="7" t="s">
        <v>2443</v>
      </c>
      <c r="B1138" s="10">
        <v>45959</v>
      </c>
      <c r="C1138" s="7" t="s">
        <v>2444</v>
      </c>
      <c r="D1138" s="8" t="s">
        <v>100</v>
      </c>
      <c r="E1138" s="8" t="s">
        <v>53</v>
      </c>
      <c r="F1138" s="8" t="s">
        <v>29</v>
      </c>
      <c r="G1138" s="8" t="s">
        <v>34</v>
      </c>
      <c r="H1138" s="8" t="s">
        <v>44</v>
      </c>
      <c r="I1138" s="11">
        <v>8</v>
      </c>
      <c r="J1138" s="12">
        <v>27.88</v>
      </c>
      <c r="K1138" s="13">
        <v>0.15</v>
      </c>
      <c r="L1138" s="12">
        <v>17.350000000000001</v>
      </c>
      <c r="M1138" s="14">
        <f>ROUND(tblSprzedaz[[#This Row],[Ilość]]*tblSprzedaz[[#This Row],[Cena netto jednostkowa]]*(1-tblSprzedaz[[#This Row],[Rabat %]]),2)</f>
        <v>189.58</v>
      </c>
      <c r="N1138" s="14">
        <f>ROUND(tblSprzedaz[[#This Row],[Ilość]]*tblSprzedaz[[#This Row],[Koszt jednostkowy netto]],2)</f>
        <v>138.80000000000001</v>
      </c>
      <c r="O1138" s="14">
        <f>tblSprzedaz[[#This Row],[Przychód netto]]-tblSprzedaz[[#This Row],[Koszt całkowity netto]]</f>
        <v>50.78</v>
      </c>
      <c r="P1138" s="15">
        <f>IFERROR(tblSprzedaz[[#This Row],[Marża kwotowa]]/tblSprzedaz[[#This Row],[Przychód netto]],0)</f>
        <v>0.26785525899356472</v>
      </c>
      <c r="Q1138" s="16">
        <f>YEAR(tblSprzedaz[[#This Row],[Data]])</f>
        <v>2025</v>
      </c>
      <c r="R1138" s="16">
        <f>MONTH(tblSprzedaz[[#This Row],[Data]])</f>
        <v>10</v>
      </c>
      <c r="S1138" s="9" t="str">
        <f>YEAR(tblSprzedaz[[#This Row],[Data]])&amp;"-"&amp;RIGHT("0"&amp;MONTH(tblSprzedaz[[#This Row],[Data]]),2)</f>
        <v>2025-10</v>
      </c>
    </row>
    <row r="1139" spans="1:19" x14ac:dyDescent="0.25">
      <c r="A1139" s="7" t="s">
        <v>2445</v>
      </c>
      <c r="B1139" s="10">
        <v>45959</v>
      </c>
      <c r="C1139" s="7" t="s">
        <v>2446</v>
      </c>
      <c r="D1139" s="8" t="s">
        <v>145</v>
      </c>
      <c r="E1139" s="8" t="s">
        <v>54</v>
      </c>
      <c r="F1139" s="8" t="s">
        <v>31</v>
      </c>
      <c r="G1139" s="8" t="s">
        <v>34</v>
      </c>
      <c r="H1139" s="8" t="s">
        <v>45</v>
      </c>
      <c r="I1139" s="11">
        <v>10</v>
      </c>
      <c r="J1139" s="12">
        <v>207.9</v>
      </c>
      <c r="K1139" s="13">
        <v>0</v>
      </c>
      <c r="L1139" s="12">
        <v>128.01</v>
      </c>
      <c r="M1139" s="14">
        <f>ROUND(tblSprzedaz[[#This Row],[Ilość]]*tblSprzedaz[[#This Row],[Cena netto jednostkowa]]*(1-tblSprzedaz[[#This Row],[Rabat %]]),2)</f>
        <v>2079</v>
      </c>
      <c r="N1139" s="14">
        <f>ROUND(tblSprzedaz[[#This Row],[Ilość]]*tblSprzedaz[[#This Row],[Koszt jednostkowy netto]],2)</f>
        <v>1280.0999999999999</v>
      </c>
      <c r="O1139" s="14">
        <f>tblSprzedaz[[#This Row],[Przychód netto]]-tblSprzedaz[[#This Row],[Koszt całkowity netto]]</f>
        <v>798.90000000000009</v>
      </c>
      <c r="P1139" s="15">
        <f>IFERROR(tblSprzedaz[[#This Row],[Marża kwotowa]]/tblSprzedaz[[#This Row],[Przychód netto]],0)</f>
        <v>0.38427128427128432</v>
      </c>
      <c r="Q1139" s="16">
        <f>YEAR(tblSprzedaz[[#This Row],[Data]])</f>
        <v>2025</v>
      </c>
      <c r="R1139" s="16">
        <f>MONTH(tblSprzedaz[[#This Row],[Data]])</f>
        <v>10</v>
      </c>
      <c r="S1139" s="9" t="str">
        <f>YEAR(tblSprzedaz[[#This Row],[Data]])&amp;"-"&amp;RIGHT("0"&amp;MONTH(tblSprzedaz[[#This Row],[Data]]),2)</f>
        <v>2025-10</v>
      </c>
    </row>
    <row r="1140" spans="1:19" x14ac:dyDescent="0.25">
      <c r="A1140" s="7" t="s">
        <v>2447</v>
      </c>
      <c r="B1140" s="10">
        <v>45959</v>
      </c>
      <c r="C1140" s="7" t="s">
        <v>2448</v>
      </c>
      <c r="D1140" s="8" t="s">
        <v>83</v>
      </c>
      <c r="E1140" s="8" t="s">
        <v>64</v>
      </c>
      <c r="F1140" s="8" t="s">
        <v>33</v>
      </c>
      <c r="G1140" s="8" t="s">
        <v>30</v>
      </c>
      <c r="H1140" s="8" t="s">
        <v>41</v>
      </c>
      <c r="I1140" s="11">
        <v>31</v>
      </c>
      <c r="J1140" s="12">
        <v>768.2</v>
      </c>
      <c r="K1140" s="13">
        <v>0</v>
      </c>
      <c r="L1140" s="12">
        <v>524.72</v>
      </c>
      <c r="M1140" s="14">
        <f>ROUND(tblSprzedaz[[#This Row],[Ilość]]*tblSprzedaz[[#This Row],[Cena netto jednostkowa]]*(1-tblSprzedaz[[#This Row],[Rabat %]]),2)</f>
        <v>23814.2</v>
      </c>
      <c r="N1140" s="14">
        <f>ROUND(tblSprzedaz[[#This Row],[Ilość]]*tblSprzedaz[[#This Row],[Koszt jednostkowy netto]],2)</f>
        <v>16266.32</v>
      </c>
      <c r="O1140" s="14">
        <f>tblSprzedaz[[#This Row],[Przychód netto]]-tblSprzedaz[[#This Row],[Koszt całkowity netto]]</f>
        <v>7547.880000000001</v>
      </c>
      <c r="P1140" s="15">
        <f>IFERROR(tblSprzedaz[[#This Row],[Marża kwotowa]]/tblSprzedaz[[#This Row],[Przychód netto]],0)</f>
        <v>0.31694871127310598</v>
      </c>
      <c r="Q1140" s="16">
        <f>YEAR(tblSprzedaz[[#This Row],[Data]])</f>
        <v>2025</v>
      </c>
      <c r="R1140" s="16">
        <f>MONTH(tblSprzedaz[[#This Row],[Data]])</f>
        <v>10</v>
      </c>
      <c r="S1140" s="9" t="str">
        <f>YEAR(tblSprzedaz[[#This Row],[Data]])&amp;"-"&amp;RIGHT("0"&amp;MONTH(tblSprzedaz[[#This Row],[Data]]),2)</f>
        <v>2025-10</v>
      </c>
    </row>
    <row r="1141" spans="1:19" x14ac:dyDescent="0.25">
      <c r="A1141" s="7" t="s">
        <v>2449</v>
      </c>
      <c r="B1141" s="10">
        <v>45959</v>
      </c>
      <c r="C1141" s="7" t="s">
        <v>2450</v>
      </c>
      <c r="D1141" s="8" t="s">
        <v>90</v>
      </c>
      <c r="E1141" s="8" t="s">
        <v>64</v>
      </c>
      <c r="F1141" s="8" t="s">
        <v>33</v>
      </c>
      <c r="G1141" s="8" t="s">
        <v>36</v>
      </c>
      <c r="H1141" s="8" t="s">
        <v>46</v>
      </c>
      <c r="I1141" s="11">
        <v>19</v>
      </c>
      <c r="J1141" s="12">
        <v>768.2</v>
      </c>
      <c r="K1141" s="13">
        <v>0</v>
      </c>
      <c r="L1141" s="12">
        <v>531.36</v>
      </c>
      <c r="M1141" s="14">
        <f>ROUND(tblSprzedaz[[#This Row],[Ilość]]*tblSprzedaz[[#This Row],[Cena netto jednostkowa]]*(1-tblSprzedaz[[#This Row],[Rabat %]]),2)</f>
        <v>14595.8</v>
      </c>
      <c r="N1141" s="14">
        <f>ROUND(tblSprzedaz[[#This Row],[Ilość]]*tblSprzedaz[[#This Row],[Koszt jednostkowy netto]],2)</f>
        <v>10095.84</v>
      </c>
      <c r="O1141" s="14">
        <f>tblSprzedaz[[#This Row],[Przychód netto]]-tblSprzedaz[[#This Row],[Koszt całkowity netto]]</f>
        <v>4499.9599999999991</v>
      </c>
      <c r="P1141" s="15">
        <f>IFERROR(tblSprzedaz[[#This Row],[Marża kwotowa]]/tblSprzedaz[[#This Row],[Przychód netto]],0)</f>
        <v>0.30830512887268935</v>
      </c>
      <c r="Q1141" s="16">
        <f>YEAR(tblSprzedaz[[#This Row],[Data]])</f>
        <v>2025</v>
      </c>
      <c r="R1141" s="16">
        <f>MONTH(tblSprzedaz[[#This Row],[Data]])</f>
        <v>10</v>
      </c>
      <c r="S1141" s="9" t="str">
        <f>YEAR(tblSprzedaz[[#This Row],[Data]])&amp;"-"&amp;RIGHT("0"&amp;MONTH(tblSprzedaz[[#This Row],[Data]]),2)</f>
        <v>2025-10</v>
      </c>
    </row>
    <row r="1142" spans="1:19" x14ac:dyDescent="0.25">
      <c r="A1142" s="7" t="s">
        <v>2451</v>
      </c>
      <c r="B1142" s="10">
        <v>45959</v>
      </c>
      <c r="C1142" s="7" t="s">
        <v>2452</v>
      </c>
      <c r="D1142" s="8" t="s">
        <v>152</v>
      </c>
      <c r="E1142" s="8" t="s">
        <v>54</v>
      </c>
      <c r="F1142" s="8" t="s">
        <v>31</v>
      </c>
      <c r="G1142" s="8" t="s">
        <v>36</v>
      </c>
      <c r="H1142" s="8" t="s">
        <v>46</v>
      </c>
      <c r="I1142" s="11">
        <v>29</v>
      </c>
      <c r="J1142" s="12">
        <v>207.9</v>
      </c>
      <c r="K1142" s="13">
        <v>0</v>
      </c>
      <c r="L1142" s="12">
        <v>130.29</v>
      </c>
      <c r="M1142" s="14">
        <f>ROUND(tblSprzedaz[[#This Row],[Ilość]]*tblSprzedaz[[#This Row],[Cena netto jednostkowa]]*(1-tblSprzedaz[[#This Row],[Rabat %]]),2)</f>
        <v>6029.1</v>
      </c>
      <c r="N1142" s="14">
        <f>ROUND(tblSprzedaz[[#This Row],[Ilość]]*tblSprzedaz[[#This Row],[Koszt jednostkowy netto]],2)</f>
        <v>3778.41</v>
      </c>
      <c r="O1142" s="14">
        <f>tblSprzedaz[[#This Row],[Przychód netto]]-tblSprzedaz[[#This Row],[Koszt całkowity netto]]</f>
        <v>2250.6900000000005</v>
      </c>
      <c r="P1142" s="15">
        <f>IFERROR(tblSprzedaz[[#This Row],[Marża kwotowa]]/tblSprzedaz[[#This Row],[Przychód netto]],0)</f>
        <v>0.37330447330447336</v>
      </c>
      <c r="Q1142" s="16">
        <f>YEAR(tblSprzedaz[[#This Row],[Data]])</f>
        <v>2025</v>
      </c>
      <c r="R1142" s="16">
        <f>MONTH(tblSprzedaz[[#This Row],[Data]])</f>
        <v>10</v>
      </c>
      <c r="S1142" s="9" t="str">
        <f>YEAR(tblSprzedaz[[#This Row],[Data]])&amp;"-"&amp;RIGHT("0"&amp;MONTH(tblSprzedaz[[#This Row],[Data]]),2)</f>
        <v>2025-10</v>
      </c>
    </row>
    <row r="1143" spans="1:19" x14ac:dyDescent="0.25">
      <c r="A1143" s="7" t="s">
        <v>2453</v>
      </c>
      <c r="B1143" s="10">
        <v>45960</v>
      </c>
      <c r="C1143" s="7" t="s">
        <v>2454</v>
      </c>
      <c r="D1143" s="8" t="s">
        <v>143</v>
      </c>
      <c r="E1143" s="8" t="s">
        <v>58</v>
      </c>
      <c r="F1143" s="8" t="s">
        <v>31</v>
      </c>
      <c r="G1143" s="8" t="s">
        <v>34</v>
      </c>
      <c r="H1143" s="8" t="s">
        <v>44</v>
      </c>
      <c r="I1143" s="11">
        <v>16</v>
      </c>
      <c r="J1143" s="12">
        <v>350.7</v>
      </c>
      <c r="K1143" s="13">
        <v>0.1</v>
      </c>
      <c r="L1143" s="12">
        <v>224.89</v>
      </c>
      <c r="M1143" s="14">
        <f>ROUND(tblSprzedaz[[#This Row],[Ilość]]*tblSprzedaz[[#This Row],[Cena netto jednostkowa]]*(1-tblSprzedaz[[#This Row],[Rabat %]]),2)</f>
        <v>5050.08</v>
      </c>
      <c r="N1143" s="14">
        <f>ROUND(tblSprzedaz[[#This Row],[Ilość]]*tblSprzedaz[[#This Row],[Koszt jednostkowy netto]],2)</f>
        <v>3598.24</v>
      </c>
      <c r="O1143" s="14">
        <f>tblSprzedaz[[#This Row],[Przychód netto]]-tblSprzedaz[[#This Row],[Koszt całkowity netto]]</f>
        <v>1451.8400000000001</v>
      </c>
      <c r="P1143" s="15">
        <f>IFERROR(tblSprzedaz[[#This Row],[Marża kwotowa]]/tblSprzedaz[[#This Row],[Przychód netto]],0)</f>
        <v>0.28748851503342526</v>
      </c>
      <c r="Q1143" s="16">
        <f>YEAR(tblSprzedaz[[#This Row],[Data]])</f>
        <v>2025</v>
      </c>
      <c r="R1143" s="16">
        <f>MONTH(tblSprzedaz[[#This Row],[Data]])</f>
        <v>10</v>
      </c>
      <c r="S1143" s="9" t="str">
        <f>YEAR(tblSprzedaz[[#This Row],[Data]])&amp;"-"&amp;RIGHT("0"&amp;MONTH(tblSprzedaz[[#This Row],[Data]]),2)</f>
        <v>2025-10</v>
      </c>
    </row>
    <row r="1144" spans="1:19" x14ac:dyDescent="0.25">
      <c r="A1144" s="7" t="s">
        <v>2455</v>
      </c>
      <c r="B1144" s="10">
        <v>45960</v>
      </c>
      <c r="C1144" s="7" t="s">
        <v>2456</v>
      </c>
      <c r="D1144" s="8" t="s">
        <v>140</v>
      </c>
      <c r="E1144" s="8" t="s">
        <v>48</v>
      </c>
      <c r="F1144" s="8" t="s">
        <v>29</v>
      </c>
      <c r="G1144" s="8" t="s">
        <v>28</v>
      </c>
      <c r="H1144" s="8" t="s">
        <v>38</v>
      </c>
      <c r="I1144" s="11">
        <v>14</v>
      </c>
      <c r="J1144" s="12">
        <v>33.659999999999997</v>
      </c>
      <c r="K1144" s="13">
        <v>0</v>
      </c>
      <c r="L1144" s="12">
        <v>18.62</v>
      </c>
      <c r="M1144" s="14">
        <f>ROUND(tblSprzedaz[[#This Row],[Ilość]]*tblSprzedaz[[#This Row],[Cena netto jednostkowa]]*(1-tblSprzedaz[[#This Row],[Rabat %]]),2)</f>
        <v>471.24</v>
      </c>
      <c r="N1144" s="14">
        <f>ROUND(tblSprzedaz[[#This Row],[Ilość]]*tblSprzedaz[[#This Row],[Koszt jednostkowy netto]],2)</f>
        <v>260.68</v>
      </c>
      <c r="O1144" s="14">
        <f>tblSprzedaz[[#This Row],[Przychód netto]]-tblSprzedaz[[#This Row],[Koszt całkowity netto]]</f>
        <v>210.56</v>
      </c>
      <c r="P1144" s="15">
        <f>IFERROR(tblSprzedaz[[#This Row],[Marża kwotowa]]/tblSprzedaz[[#This Row],[Przychód netto]],0)</f>
        <v>0.44682115270350564</v>
      </c>
      <c r="Q1144" s="16">
        <f>YEAR(tblSprzedaz[[#This Row],[Data]])</f>
        <v>2025</v>
      </c>
      <c r="R1144" s="16">
        <f>MONTH(tblSprzedaz[[#This Row],[Data]])</f>
        <v>10</v>
      </c>
      <c r="S1144" s="9" t="str">
        <f>YEAR(tblSprzedaz[[#This Row],[Data]])&amp;"-"&amp;RIGHT("0"&amp;MONTH(tblSprzedaz[[#This Row],[Data]]),2)</f>
        <v>2025-10</v>
      </c>
    </row>
    <row r="1145" spans="1:19" x14ac:dyDescent="0.25">
      <c r="A1145" s="7" t="s">
        <v>2457</v>
      </c>
      <c r="B1145" s="10">
        <v>45960</v>
      </c>
      <c r="C1145" s="7" t="s">
        <v>2458</v>
      </c>
      <c r="D1145" s="8" t="s">
        <v>93</v>
      </c>
      <c r="E1145" s="8" t="s">
        <v>66</v>
      </c>
      <c r="F1145" s="8" t="s">
        <v>35</v>
      </c>
      <c r="G1145" s="8" t="s">
        <v>32</v>
      </c>
      <c r="H1145" s="8" t="s">
        <v>43</v>
      </c>
      <c r="I1145" s="11">
        <v>25</v>
      </c>
      <c r="J1145" s="12">
        <v>67.319999999999993</v>
      </c>
      <c r="K1145" s="13">
        <v>0.05</v>
      </c>
      <c r="L1145" s="12">
        <v>51.41</v>
      </c>
      <c r="M1145" s="14">
        <f>ROUND(tblSprzedaz[[#This Row],[Ilość]]*tblSprzedaz[[#This Row],[Cena netto jednostkowa]]*(1-tblSprzedaz[[#This Row],[Rabat %]]),2)</f>
        <v>1598.85</v>
      </c>
      <c r="N1145" s="14">
        <f>ROUND(tblSprzedaz[[#This Row],[Ilość]]*tblSprzedaz[[#This Row],[Koszt jednostkowy netto]],2)</f>
        <v>1285.25</v>
      </c>
      <c r="O1145" s="14">
        <f>tblSprzedaz[[#This Row],[Przychód netto]]-tblSprzedaz[[#This Row],[Koszt całkowity netto]]</f>
        <v>313.59999999999991</v>
      </c>
      <c r="P1145" s="15">
        <f>IFERROR(tblSprzedaz[[#This Row],[Marża kwotowa]]/tblSprzedaz[[#This Row],[Przychód netto]],0)</f>
        <v>0.1961409763267348</v>
      </c>
      <c r="Q1145" s="16">
        <f>YEAR(tblSprzedaz[[#This Row],[Data]])</f>
        <v>2025</v>
      </c>
      <c r="R1145" s="16">
        <f>MONTH(tblSprzedaz[[#This Row],[Data]])</f>
        <v>10</v>
      </c>
      <c r="S1145" s="9" t="str">
        <f>YEAR(tblSprzedaz[[#This Row],[Data]])&amp;"-"&amp;RIGHT("0"&amp;MONTH(tblSprzedaz[[#This Row],[Data]]),2)</f>
        <v>2025-10</v>
      </c>
    </row>
    <row r="1146" spans="1:19" x14ac:dyDescent="0.25">
      <c r="A1146" s="7" t="s">
        <v>2459</v>
      </c>
      <c r="B1146" s="10">
        <v>45960</v>
      </c>
      <c r="C1146" s="7" t="s">
        <v>2460</v>
      </c>
      <c r="D1146" s="8" t="s">
        <v>92</v>
      </c>
      <c r="E1146" s="8" t="s">
        <v>74</v>
      </c>
      <c r="F1146" s="8" t="s">
        <v>37</v>
      </c>
      <c r="G1146" s="8" t="s">
        <v>34</v>
      </c>
      <c r="H1146" s="8" t="s">
        <v>44</v>
      </c>
      <c r="I1146" s="11">
        <v>6</v>
      </c>
      <c r="J1146" s="12">
        <v>126.35</v>
      </c>
      <c r="K1146" s="13">
        <v>0</v>
      </c>
      <c r="L1146" s="12">
        <v>98.51</v>
      </c>
      <c r="M1146" s="14">
        <f>ROUND(tblSprzedaz[[#This Row],[Ilość]]*tblSprzedaz[[#This Row],[Cena netto jednostkowa]]*(1-tblSprzedaz[[#This Row],[Rabat %]]),2)</f>
        <v>758.1</v>
      </c>
      <c r="N1146" s="14">
        <f>ROUND(tblSprzedaz[[#This Row],[Ilość]]*tblSprzedaz[[#This Row],[Koszt jednostkowy netto]],2)</f>
        <v>591.05999999999995</v>
      </c>
      <c r="O1146" s="14">
        <f>tblSprzedaz[[#This Row],[Przychód netto]]-tblSprzedaz[[#This Row],[Koszt całkowity netto]]</f>
        <v>167.04000000000008</v>
      </c>
      <c r="P1146" s="15">
        <f>IFERROR(tblSprzedaz[[#This Row],[Marża kwotowa]]/tblSprzedaz[[#This Row],[Przychód netto]],0)</f>
        <v>0.22034032449544924</v>
      </c>
      <c r="Q1146" s="16">
        <f>YEAR(tblSprzedaz[[#This Row],[Data]])</f>
        <v>2025</v>
      </c>
      <c r="R1146" s="16">
        <f>MONTH(tblSprzedaz[[#This Row],[Data]])</f>
        <v>10</v>
      </c>
      <c r="S1146" s="9" t="str">
        <f>YEAR(tblSprzedaz[[#This Row],[Data]])&amp;"-"&amp;RIGHT("0"&amp;MONTH(tblSprzedaz[[#This Row],[Data]]),2)</f>
        <v>2025-10</v>
      </c>
    </row>
    <row r="1147" spans="1:19" x14ac:dyDescent="0.25">
      <c r="A1147" s="7" t="s">
        <v>2461</v>
      </c>
      <c r="B1147" s="10">
        <v>45960</v>
      </c>
      <c r="C1147" s="7" t="s">
        <v>2462</v>
      </c>
      <c r="D1147" s="8" t="s">
        <v>145</v>
      </c>
      <c r="E1147" s="8" t="s">
        <v>75</v>
      </c>
      <c r="F1147" s="8" t="s">
        <v>37</v>
      </c>
      <c r="G1147" s="8" t="s">
        <v>28</v>
      </c>
      <c r="H1147" s="8" t="s">
        <v>38</v>
      </c>
      <c r="I1147" s="11">
        <v>2</v>
      </c>
      <c r="J1147" s="12">
        <v>142.5</v>
      </c>
      <c r="K1147" s="13">
        <v>0</v>
      </c>
      <c r="L1147" s="12">
        <v>111.87</v>
      </c>
      <c r="M1147" s="14">
        <f>ROUND(tblSprzedaz[[#This Row],[Ilość]]*tblSprzedaz[[#This Row],[Cena netto jednostkowa]]*(1-tblSprzedaz[[#This Row],[Rabat %]]),2)</f>
        <v>285</v>
      </c>
      <c r="N1147" s="14">
        <f>ROUND(tblSprzedaz[[#This Row],[Ilość]]*tblSprzedaz[[#This Row],[Koszt jednostkowy netto]],2)</f>
        <v>223.74</v>
      </c>
      <c r="O1147" s="14">
        <f>tblSprzedaz[[#This Row],[Przychód netto]]-tblSprzedaz[[#This Row],[Koszt całkowity netto]]</f>
        <v>61.259999999999991</v>
      </c>
      <c r="P1147" s="15">
        <f>IFERROR(tblSprzedaz[[#This Row],[Marża kwotowa]]/tblSprzedaz[[#This Row],[Przychód netto]],0)</f>
        <v>0.21494736842105261</v>
      </c>
      <c r="Q1147" s="16">
        <f>YEAR(tblSprzedaz[[#This Row],[Data]])</f>
        <v>2025</v>
      </c>
      <c r="R1147" s="16">
        <f>MONTH(tblSprzedaz[[#This Row],[Data]])</f>
        <v>10</v>
      </c>
      <c r="S1147" s="9" t="str">
        <f>YEAR(tblSprzedaz[[#This Row],[Data]])&amp;"-"&amp;RIGHT("0"&amp;MONTH(tblSprzedaz[[#This Row],[Data]]),2)</f>
        <v>2025-10</v>
      </c>
    </row>
    <row r="1148" spans="1:19" x14ac:dyDescent="0.25">
      <c r="A1148" s="7" t="s">
        <v>2463</v>
      </c>
      <c r="B1148" s="10">
        <v>45960</v>
      </c>
      <c r="C1148" s="7" t="s">
        <v>2464</v>
      </c>
      <c r="D1148" s="8" t="s">
        <v>105</v>
      </c>
      <c r="E1148" s="8" t="s">
        <v>73</v>
      </c>
      <c r="F1148" s="8" t="s">
        <v>37</v>
      </c>
      <c r="G1148" s="8" t="s">
        <v>30</v>
      </c>
      <c r="H1148" s="8" t="s">
        <v>41</v>
      </c>
      <c r="I1148" s="11">
        <v>18</v>
      </c>
      <c r="J1148" s="12">
        <v>110.2</v>
      </c>
      <c r="K1148" s="13">
        <v>0.15</v>
      </c>
      <c r="L1148" s="12">
        <v>87.6</v>
      </c>
      <c r="M1148" s="14">
        <f>ROUND(tblSprzedaz[[#This Row],[Ilość]]*tblSprzedaz[[#This Row],[Cena netto jednostkowa]]*(1-tblSprzedaz[[#This Row],[Rabat %]]),2)</f>
        <v>1686.06</v>
      </c>
      <c r="N1148" s="14">
        <f>ROUND(tblSprzedaz[[#This Row],[Ilość]]*tblSprzedaz[[#This Row],[Koszt jednostkowy netto]],2)</f>
        <v>1576.8</v>
      </c>
      <c r="O1148" s="14">
        <f>tblSprzedaz[[#This Row],[Przychód netto]]-tblSprzedaz[[#This Row],[Koszt całkowity netto]]</f>
        <v>109.25999999999999</v>
      </c>
      <c r="P1148" s="15">
        <f>IFERROR(tblSprzedaz[[#This Row],[Marża kwotowa]]/tblSprzedaz[[#This Row],[Przychód netto]],0)</f>
        <v>6.4801964342905943E-2</v>
      </c>
      <c r="Q1148" s="16">
        <f>YEAR(tblSprzedaz[[#This Row],[Data]])</f>
        <v>2025</v>
      </c>
      <c r="R1148" s="16">
        <f>MONTH(tblSprzedaz[[#This Row],[Data]])</f>
        <v>10</v>
      </c>
      <c r="S1148" s="9" t="str">
        <f>YEAR(tblSprzedaz[[#This Row],[Data]])&amp;"-"&amp;RIGHT("0"&amp;MONTH(tblSprzedaz[[#This Row],[Data]]),2)</f>
        <v>2025-10</v>
      </c>
    </row>
    <row r="1149" spans="1:19" x14ac:dyDescent="0.25">
      <c r="A1149" s="7" t="s">
        <v>2465</v>
      </c>
      <c r="B1149" s="10">
        <v>45961</v>
      </c>
      <c r="C1149" s="7" t="s">
        <v>2466</v>
      </c>
      <c r="D1149" s="8" t="s">
        <v>122</v>
      </c>
      <c r="E1149" s="8" t="s">
        <v>62</v>
      </c>
      <c r="F1149" s="8" t="s">
        <v>33</v>
      </c>
      <c r="G1149" s="8" t="s">
        <v>36</v>
      </c>
      <c r="H1149" s="8" t="s">
        <v>46</v>
      </c>
      <c r="I1149" s="11">
        <v>29</v>
      </c>
      <c r="J1149" s="12">
        <v>611.79999999999995</v>
      </c>
      <c r="K1149" s="13">
        <v>0.15</v>
      </c>
      <c r="L1149" s="12">
        <v>439.86</v>
      </c>
      <c r="M1149" s="14">
        <f>ROUND(tblSprzedaz[[#This Row],[Ilość]]*tblSprzedaz[[#This Row],[Cena netto jednostkowa]]*(1-tblSprzedaz[[#This Row],[Rabat %]]),2)</f>
        <v>15080.87</v>
      </c>
      <c r="N1149" s="14">
        <f>ROUND(tblSprzedaz[[#This Row],[Ilość]]*tblSprzedaz[[#This Row],[Koszt jednostkowy netto]],2)</f>
        <v>12755.94</v>
      </c>
      <c r="O1149" s="14">
        <f>tblSprzedaz[[#This Row],[Przychód netto]]-tblSprzedaz[[#This Row],[Koszt całkowity netto]]</f>
        <v>2324.9300000000003</v>
      </c>
      <c r="P1149" s="15">
        <f>IFERROR(tblSprzedaz[[#This Row],[Marża kwotowa]]/tblSprzedaz[[#This Row],[Przychód netto]],0)</f>
        <v>0.15416418283560565</v>
      </c>
      <c r="Q1149" s="16">
        <f>YEAR(tblSprzedaz[[#This Row],[Data]])</f>
        <v>2025</v>
      </c>
      <c r="R1149" s="16">
        <f>MONTH(tblSprzedaz[[#This Row],[Data]])</f>
        <v>10</v>
      </c>
      <c r="S1149" s="9" t="str">
        <f>YEAR(tblSprzedaz[[#This Row],[Data]])&amp;"-"&amp;RIGHT("0"&amp;MONTH(tblSprzedaz[[#This Row],[Data]]),2)</f>
        <v>2025-10</v>
      </c>
    </row>
    <row r="1150" spans="1:19" x14ac:dyDescent="0.25">
      <c r="A1150" s="7" t="s">
        <v>2467</v>
      </c>
      <c r="B1150" s="10">
        <v>45961</v>
      </c>
      <c r="C1150" s="7" t="s">
        <v>2468</v>
      </c>
      <c r="D1150" s="8" t="s">
        <v>127</v>
      </c>
      <c r="E1150" s="8" t="s">
        <v>52</v>
      </c>
      <c r="F1150" s="8" t="s">
        <v>29</v>
      </c>
      <c r="G1150" s="8" t="s">
        <v>30</v>
      </c>
      <c r="H1150" s="8" t="s">
        <v>40</v>
      </c>
      <c r="I1150" s="11">
        <v>12</v>
      </c>
      <c r="J1150" s="12">
        <v>56.78</v>
      </c>
      <c r="K1150" s="13">
        <v>0</v>
      </c>
      <c r="L1150" s="12">
        <v>35.68</v>
      </c>
      <c r="M1150" s="14">
        <f>ROUND(tblSprzedaz[[#This Row],[Ilość]]*tblSprzedaz[[#This Row],[Cena netto jednostkowa]]*(1-tblSprzedaz[[#This Row],[Rabat %]]),2)</f>
        <v>681.36</v>
      </c>
      <c r="N1150" s="14">
        <f>ROUND(tblSprzedaz[[#This Row],[Ilość]]*tblSprzedaz[[#This Row],[Koszt jednostkowy netto]],2)</f>
        <v>428.16</v>
      </c>
      <c r="O1150" s="14">
        <f>tblSprzedaz[[#This Row],[Przychód netto]]-tblSprzedaz[[#This Row],[Koszt całkowity netto]]</f>
        <v>253.2</v>
      </c>
      <c r="P1150" s="15">
        <f>IFERROR(tblSprzedaz[[#This Row],[Marża kwotowa]]/tblSprzedaz[[#This Row],[Przychód netto]],0)</f>
        <v>0.37160972173300455</v>
      </c>
      <c r="Q1150" s="16">
        <f>YEAR(tblSprzedaz[[#This Row],[Data]])</f>
        <v>2025</v>
      </c>
      <c r="R1150" s="16">
        <f>MONTH(tblSprzedaz[[#This Row],[Data]])</f>
        <v>10</v>
      </c>
      <c r="S1150" s="9" t="str">
        <f>YEAR(tblSprzedaz[[#This Row],[Data]])&amp;"-"&amp;RIGHT("0"&amp;MONTH(tblSprzedaz[[#This Row],[Data]]),2)</f>
        <v>2025-10</v>
      </c>
    </row>
    <row r="1151" spans="1:19" x14ac:dyDescent="0.25">
      <c r="A1151" s="7" t="s">
        <v>2469</v>
      </c>
      <c r="B1151" s="10">
        <v>45961</v>
      </c>
      <c r="C1151" s="7" t="s">
        <v>2470</v>
      </c>
      <c r="D1151" s="8" t="s">
        <v>88</v>
      </c>
      <c r="E1151" s="8" t="s">
        <v>72</v>
      </c>
      <c r="F1151" s="8" t="s">
        <v>37</v>
      </c>
      <c r="G1151" s="8" t="s">
        <v>30</v>
      </c>
      <c r="H1151" s="8" t="s">
        <v>40</v>
      </c>
      <c r="I1151" s="11">
        <v>29</v>
      </c>
      <c r="J1151" s="12">
        <v>94.05</v>
      </c>
      <c r="K1151" s="13">
        <v>0</v>
      </c>
      <c r="L1151" s="12">
        <v>75.239999999999995</v>
      </c>
      <c r="M1151" s="14">
        <f>ROUND(tblSprzedaz[[#This Row],[Ilość]]*tblSprzedaz[[#This Row],[Cena netto jednostkowa]]*(1-tblSprzedaz[[#This Row],[Rabat %]]),2)</f>
        <v>2727.45</v>
      </c>
      <c r="N1151" s="14">
        <f>ROUND(tblSprzedaz[[#This Row],[Ilość]]*tblSprzedaz[[#This Row],[Koszt jednostkowy netto]],2)</f>
        <v>2181.96</v>
      </c>
      <c r="O1151" s="14">
        <f>tblSprzedaz[[#This Row],[Przychód netto]]-tblSprzedaz[[#This Row],[Koszt całkowity netto]]</f>
        <v>545.48999999999978</v>
      </c>
      <c r="P1151" s="15">
        <f>IFERROR(tblSprzedaz[[#This Row],[Marża kwotowa]]/tblSprzedaz[[#This Row],[Przychód netto]],0)</f>
        <v>0.19999999999999993</v>
      </c>
      <c r="Q1151" s="16">
        <f>YEAR(tblSprzedaz[[#This Row],[Data]])</f>
        <v>2025</v>
      </c>
      <c r="R1151" s="16">
        <f>MONTH(tblSprzedaz[[#This Row],[Data]])</f>
        <v>10</v>
      </c>
      <c r="S1151" s="9" t="str">
        <f>YEAR(tblSprzedaz[[#This Row],[Data]])&amp;"-"&amp;RIGHT("0"&amp;MONTH(tblSprzedaz[[#This Row],[Data]]),2)</f>
        <v>2025-10</v>
      </c>
    </row>
    <row r="1152" spans="1:19" x14ac:dyDescent="0.25">
      <c r="A1152" s="7" t="s">
        <v>2471</v>
      </c>
      <c r="B1152" s="10">
        <v>45962</v>
      </c>
      <c r="C1152" s="7" t="s">
        <v>2472</v>
      </c>
      <c r="D1152" s="8" t="s">
        <v>104</v>
      </c>
      <c r="E1152" s="8" t="s">
        <v>58</v>
      </c>
      <c r="F1152" s="8" t="s">
        <v>31</v>
      </c>
      <c r="G1152" s="8" t="s">
        <v>34</v>
      </c>
      <c r="H1152" s="8" t="s">
        <v>45</v>
      </c>
      <c r="I1152" s="11">
        <v>14</v>
      </c>
      <c r="J1152" s="12">
        <v>350.7</v>
      </c>
      <c r="K1152" s="13">
        <v>0</v>
      </c>
      <c r="L1152" s="12">
        <v>227.91</v>
      </c>
      <c r="M1152" s="14">
        <f>ROUND(tblSprzedaz[[#This Row],[Ilość]]*tblSprzedaz[[#This Row],[Cena netto jednostkowa]]*(1-tblSprzedaz[[#This Row],[Rabat %]]),2)</f>
        <v>4909.8</v>
      </c>
      <c r="N1152" s="14">
        <f>ROUND(tblSprzedaz[[#This Row],[Ilość]]*tblSprzedaz[[#This Row],[Koszt jednostkowy netto]],2)</f>
        <v>3190.74</v>
      </c>
      <c r="O1152" s="14">
        <f>tblSprzedaz[[#This Row],[Przychód netto]]-tblSprzedaz[[#This Row],[Koszt całkowity netto]]</f>
        <v>1719.0600000000004</v>
      </c>
      <c r="P1152" s="15">
        <f>IFERROR(tblSprzedaz[[#This Row],[Marża kwotowa]]/tblSprzedaz[[#This Row],[Przychód netto]],0)</f>
        <v>0.35012831479897355</v>
      </c>
      <c r="Q1152" s="16">
        <f>YEAR(tblSprzedaz[[#This Row],[Data]])</f>
        <v>2025</v>
      </c>
      <c r="R1152" s="16">
        <f>MONTH(tblSprzedaz[[#This Row],[Data]])</f>
        <v>11</v>
      </c>
      <c r="S1152" s="9" t="str">
        <f>YEAR(tblSprzedaz[[#This Row],[Data]])&amp;"-"&amp;RIGHT("0"&amp;MONTH(tblSprzedaz[[#This Row],[Data]]),2)</f>
        <v>2025-11</v>
      </c>
    </row>
    <row r="1153" spans="1:19" x14ac:dyDescent="0.25">
      <c r="A1153" s="7" t="s">
        <v>2473</v>
      </c>
      <c r="B1153" s="10">
        <v>45963</v>
      </c>
      <c r="C1153" s="7" t="s">
        <v>2474</v>
      </c>
      <c r="D1153" s="8" t="s">
        <v>138</v>
      </c>
      <c r="E1153" s="8" t="s">
        <v>54</v>
      </c>
      <c r="F1153" s="8" t="s">
        <v>31</v>
      </c>
      <c r="G1153" s="8" t="s">
        <v>28</v>
      </c>
      <c r="H1153" s="8" t="s">
        <v>38</v>
      </c>
      <c r="I1153" s="11">
        <v>22</v>
      </c>
      <c r="J1153" s="12">
        <v>207.9</v>
      </c>
      <c r="K1153" s="13">
        <v>0</v>
      </c>
      <c r="L1153" s="12">
        <v>134.07</v>
      </c>
      <c r="M1153" s="14">
        <f>ROUND(tblSprzedaz[[#This Row],[Ilość]]*tblSprzedaz[[#This Row],[Cena netto jednostkowa]]*(1-tblSprzedaz[[#This Row],[Rabat %]]),2)</f>
        <v>4573.8</v>
      </c>
      <c r="N1153" s="14">
        <f>ROUND(tblSprzedaz[[#This Row],[Ilość]]*tblSprzedaz[[#This Row],[Koszt jednostkowy netto]],2)</f>
        <v>2949.54</v>
      </c>
      <c r="O1153" s="14">
        <f>tblSprzedaz[[#This Row],[Przychód netto]]-tblSprzedaz[[#This Row],[Koszt całkowity netto]]</f>
        <v>1624.2600000000002</v>
      </c>
      <c r="P1153" s="15">
        <f>IFERROR(tblSprzedaz[[#This Row],[Marża kwotowa]]/tblSprzedaz[[#This Row],[Przychód netto]],0)</f>
        <v>0.35512265512265517</v>
      </c>
      <c r="Q1153" s="16">
        <f>YEAR(tblSprzedaz[[#This Row],[Data]])</f>
        <v>2025</v>
      </c>
      <c r="R1153" s="16">
        <f>MONTH(tblSprzedaz[[#This Row],[Data]])</f>
        <v>11</v>
      </c>
      <c r="S1153" s="9" t="str">
        <f>YEAR(tblSprzedaz[[#This Row],[Data]])&amp;"-"&amp;RIGHT("0"&amp;MONTH(tblSprzedaz[[#This Row],[Data]]),2)</f>
        <v>2025-11</v>
      </c>
    </row>
    <row r="1154" spans="1:19" x14ac:dyDescent="0.25">
      <c r="A1154" s="7" t="s">
        <v>2475</v>
      </c>
      <c r="B1154" s="10">
        <v>45963</v>
      </c>
      <c r="C1154" s="7" t="s">
        <v>2476</v>
      </c>
      <c r="D1154" s="8" t="s">
        <v>123</v>
      </c>
      <c r="E1154" s="8" t="s">
        <v>70</v>
      </c>
      <c r="F1154" s="8" t="s">
        <v>35</v>
      </c>
      <c r="G1154" s="8" t="s">
        <v>34</v>
      </c>
      <c r="H1154" s="8" t="s">
        <v>44</v>
      </c>
      <c r="I1154" s="11">
        <v>10</v>
      </c>
      <c r="J1154" s="12">
        <v>113.56</v>
      </c>
      <c r="K1154" s="13">
        <v>0</v>
      </c>
      <c r="L1154" s="12">
        <v>84.88</v>
      </c>
      <c r="M1154" s="14">
        <f>ROUND(tblSprzedaz[[#This Row],[Ilość]]*tblSprzedaz[[#This Row],[Cena netto jednostkowa]]*(1-tblSprzedaz[[#This Row],[Rabat %]]),2)</f>
        <v>1135.5999999999999</v>
      </c>
      <c r="N1154" s="14">
        <f>ROUND(tblSprzedaz[[#This Row],[Ilość]]*tblSprzedaz[[#This Row],[Koszt jednostkowy netto]],2)</f>
        <v>848.8</v>
      </c>
      <c r="O1154" s="14">
        <f>tblSprzedaz[[#This Row],[Przychód netto]]-tblSprzedaz[[#This Row],[Koszt całkowity netto]]</f>
        <v>286.79999999999995</v>
      </c>
      <c r="P1154" s="15">
        <f>IFERROR(tblSprzedaz[[#This Row],[Marża kwotowa]]/tblSprzedaz[[#This Row],[Przychód netto]],0)</f>
        <v>0.25255371609721733</v>
      </c>
      <c r="Q1154" s="16">
        <f>YEAR(tblSprzedaz[[#This Row],[Data]])</f>
        <v>2025</v>
      </c>
      <c r="R1154" s="16">
        <f>MONTH(tblSprzedaz[[#This Row],[Data]])</f>
        <v>11</v>
      </c>
      <c r="S1154" s="9" t="str">
        <f>YEAR(tblSprzedaz[[#This Row],[Data]])&amp;"-"&amp;RIGHT("0"&amp;MONTH(tblSprzedaz[[#This Row],[Data]]),2)</f>
        <v>2025-11</v>
      </c>
    </row>
    <row r="1155" spans="1:19" x14ac:dyDescent="0.25">
      <c r="A1155" s="7" t="s">
        <v>2477</v>
      </c>
      <c r="B1155" s="10">
        <v>45964</v>
      </c>
      <c r="C1155" s="7" t="s">
        <v>2478</v>
      </c>
      <c r="D1155" s="8" t="s">
        <v>98</v>
      </c>
      <c r="E1155" s="8" t="s">
        <v>74</v>
      </c>
      <c r="F1155" s="8" t="s">
        <v>37</v>
      </c>
      <c r="G1155" s="8" t="s">
        <v>28</v>
      </c>
      <c r="H1155" s="8" t="s">
        <v>39</v>
      </c>
      <c r="I1155" s="11">
        <v>22</v>
      </c>
      <c r="J1155" s="12">
        <v>126.35</v>
      </c>
      <c r="K1155" s="13">
        <v>0</v>
      </c>
      <c r="L1155" s="12">
        <v>93.73</v>
      </c>
      <c r="M1155" s="14">
        <f>ROUND(tblSprzedaz[[#This Row],[Ilość]]*tblSprzedaz[[#This Row],[Cena netto jednostkowa]]*(1-tblSprzedaz[[#This Row],[Rabat %]]),2)</f>
        <v>2779.7</v>
      </c>
      <c r="N1155" s="14">
        <f>ROUND(tblSprzedaz[[#This Row],[Ilość]]*tblSprzedaz[[#This Row],[Koszt jednostkowy netto]],2)</f>
        <v>2062.06</v>
      </c>
      <c r="O1155" s="14">
        <f>tblSprzedaz[[#This Row],[Przychód netto]]-tblSprzedaz[[#This Row],[Koszt całkowity netto]]</f>
        <v>717.63999999999987</v>
      </c>
      <c r="P1155" s="15">
        <f>IFERROR(tblSprzedaz[[#This Row],[Marża kwotowa]]/tblSprzedaz[[#This Row],[Przychód netto]],0)</f>
        <v>0.25817174515235453</v>
      </c>
      <c r="Q1155" s="16">
        <f>YEAR(tblSprzedaz[[#This Row],[Data]])</f>
        <v>2025</v>
      </c>
      <c r="R1155" s="16">
        <f>MONTH(tblSprzedaz[[#This Row],[Data]])</f>
        <v>11</v>
      </c>
      <c r="S1155" s="9" t="str">
        <f>YEAR(tblSprzedaz[[#This Row],[Data]])&amp;"-"&amp;RIGHT("0"&amp;MONTH(tblSprzedaz[[#This Row],[Data]]),2)</f>
        <v>2025-11</v>
      </c>
    </row>
    <row r="1156" spans="1:19" x14ac:dyDescent="0.25">
      <c r="A1156" s="7" t="s">
        <v>2479</v>
      </c>
      <c r="B1156" s="10">
        <v>45964</v>
      </c>
      <c r="C1156" s="7" t="s">
        <v>2480</v>
      </c>
      <c r="D1156" s="8" t="s">
        <v>123</v>
      </c>
      <c r="E1156" s="8" t="s">
        <v>54</v>
      </c>
      <c r="F1156" s="8" t="s">
        <v>31</v>
      </c>
      <c r="G1156" s="8" t="s">
        <v>30</v>
      </c>
      <c r="H1156" s="8" t="s">
        <v>40</v>
      </c>
      <c r="I1156" s="11">
        <v>32</v>
      </c>
      <c r="J1156" s="12">
        <v>207.9</v>
      </c>
      <c r="K1156" s="13">
        <v>0</v>
      </c>
      <c r="L1156" s="12">
        <v>127.65</v>
      </c>
      <c r="M1156" s="14">
        <f>ROUND(tblSprzedaz[[#This Row],[Ilość]]*tblSprzedaz[[#This Row],[Cena netto jednostkowa]]*(1-tblSprzedaz[[#This Row],[Rabat %]]),2)</f>
        <v>6652.8</v>
      </c>
      <c r="N1156" s="14">
        <f>ROUND(tblSprzedaz[[#This Row],[Ilość]]*tblSprzedaz[[#This Row],[Koszt jednostkowy netto]],2)</f>
        <v>4084.8</v>
      </c>
      <c r="O1156" s="14">
        <f>tblSprzedaz[[#This Row],[Przychód netto]]-tblSprzedaz[[#This Row],[Koszt całkowity netto]]</f>
        <v>2568</v>
      </c>
      <c r="P1156" s="15">
        <f>IFERROR(tblSprzedaz[[#This Row],[Marża kwotowa]]/tblSprzedaz[[#This Row],[Przychód netto]],0)</f>
        <v>0.38600288600288601</v>
      </c>
      <c r="Q1156" s="16">
        <f>YEAR(tblSprzedaz[[#This Row],[Data]])</f>
        <v>2025</v>
      </c>
      <c r="R1156" s="16">
        <f>MONTH(tblSprzedaz[[#This Row],[Data]])</f>
        <v>11</v>
      </c>
      <c r="S1156" s="9" t="str">
        <f>YEAR(tblSprzedaz[[#This Row],[Data]])&amp;"-"&amp;RIGHT("0"&amp;MONTH(tblSprzedaz[[#This Row],[Data]]),2)</f>
        <v>2025-11</v>
      </c>
    </row>
    <row r="1157" spans="1:19" x14ac:dyDescent="0.25">
      <c r="A1157" s="7" t="s">
        <v>2481</v>
      </c>
      <c r="B1157" s="10">
        <v>45964</v>
      </c>
      <c r="C1157" s="7" t="s">
        <v>2482</v>
      </c>
      <c r="D1157" s="8" t="s">
        <v>88</v>
      </c>
      <c r="E1157" s="8" t="s">
        <v>57</v>
      </c>
      <c r="F1157" s="8" t="s">
        <v>31</v>
      </c>
      <c r="G1157" s="8" t="s">
        <v>36</v>
      </c>
      <c r="H1157" s="8" t="s">
        <v>46</v>
      </c>
      <c r="I1157" s="11">
        <v>10</v>
      </c>
      <c r="J1157" s="12">
        <v>315</v>
      </c>
      <c r="K1157" s="13">
        <v>0.1</v>
      </c>
      <c r="L1157" s="12">
        <v>202.8</v>
      </c>
      <c r="M1157" s="14">
        <f>ROUND(tblSprzedaz[[#This Row],[Ilość]]*tblSprzedaz[[#This Row],[Cena netto jednostkowa]]*(1-tblSprzedaz[[#This Row],[Rabat %]]),2)</f>
        <v>2835</v>
      </c>
      <c r="N1157" s="14">
        <f>ROUND(tblSprzedaz[[#This Row],[Ilość]]*tblSprzedaz[[#This Row],[Koszt jednostkowy netto]],2)</f>
        <v>2028</v>
      </c>
      <c r="O1157" s="14">
        <f>tblSprzedaz[[#This Row],[Przychód netto]]-tblSprzedaz[[#This Row],[Koszt całkowity netto]]</f>
        <v>807</v>
      </c>
      <c r="P1157" s="15">
        <f>IFERROR(tblSprzedaz[[#This Row],[Marża kwotowa]]/tblSprzedaz[[#This Row],[Przychód netto]],0)</f>
        <v>0.28465608465608466</v>
      </c>
      <c r="Q1157" s="16">
        <f>YEAR(tblSprzedaz[[#This Row],[Data]])</f>
        <v>2025</v>
      </c>
      <c r="R1157" s="16">
        <f>MONTH(tblSprzedaz[[#This Row],[Data]])</f>
        <v>11</v>
      </c>
      <c r="S1157" s="9" t="str">
        <f>YEAR(tblSprzedaz[[#This Row],[Data]])&amp;"-"&amp;RIGHT("0"&amp;MONTH(tblSprzedaz[[#This Row],[Data]]),2)</f>
        <v>2025-11</v>
      </c>
    </row>
    <row r="1158" spans="1:19" x14ac:dyDescent="0.25">
      <c r="A1158" s="7" t="s">
        <v>2483</v>
      </c>
      <c r="B1158" s="10">
        <v>45964</v>
      </c>
      <c r="C1158" s="7" t="s">
        <v>2484</v>
      </c>
      <c r="D1158" s="8" t="s">
        <v>152</v>
      </c>
      <c r="E1158" s="8" t="s">
        <v>77</v>
      </c>
      <c r="F1158" s="8" t="s">
        <v>37</v>
      </c>
      <c r="G1158" s="8" t="s">
        <v>36</v>
      </c>
      <c r="H1158" s="8" t="s">
        <v>47</v>
      </c>
      <c r="I1158" s="11">
        <v>12</v>
      </c>
      <c r="J1158" s="12">
        <v>77.900000000000006</v>
      </c>
      <c r="K1158" s="13">
        <v>0.1</v>
      </c>
      <c r="L1158" s="12">
        <v>61.63</v>
      </c>
      <c r="M1158" s="14">
        <f>ROUND(tblSprzedaz[[#This Row],[Ilość]]*tblSprzedaz[[#This Row],[Cena netto jednostkowa]]*(1-tblSprzedaz[[#This Row],[Rabat %]]),2)</f>
        <v>841.32</v>
      </c>
      <c r="N1158" s="14">
        <f>ROUND(tblSprzedaz[[#This Row],[Ilość]]*tblSprzedaz[[#This Row],[Koszt jednostkowy netto]],2)</f>
        <v>739.56</v>
      </c>
      <c r="O1158" s="14">
        <f>tblSprzedaz[[#This Row],[Przychód netto]]-tblSprzedaz[[#This Row],[Koszt całkowity netto]]</f>
        <v>101.7600000000001</v>
      </c>
      <c r="P1158" s="15">
        <f>IFERROR(tblSprzedaz[[#This Row],[Marża kwotowa]]/tblSprzedaz[[#This Row],[Przychód netto]],0)</f>
        <v>0.12095278847525329</v>
      </c>
      <c r="Q1158" s="16">
        <f>YEAR(tblSprzedaz[[#This Row],[Data]])</f>
        <v>2025</v>
      </c>
      <c r="R1158" s="16">
        <f>MONTH(tblSprzedaz[[#This Row],[Data]])</f>
        <v>11</v>
      </c>
      <c r="S1158" s="9" t="str">
        <f>YEAR(tblSprzedaz[[#This Row],[Data]])&amp;"-"&amp;RIGHT("0"&amp;MONTH(tblSprzedaz[[#This Row],[Data]]),2)</f>
        <v>2025-11</v>
      </c>
    </row>
    <row r="1159" spans="1:19" x14ac:dyDescent="0.25">
      <c r="A1159" s="7" t="s">
        <v>2485</v>
      </c>
      <c r="B1159" s="10">
        <v>45964</v>
      </c>
      <c r="C1159" s="7" t="s">
        <v>2486</v>
      </c>
      <c r="D1159" s="8" t="s">
        <v>103</v>
      </c>
      <c r="E1159" s="8" t="s">
        <v>50</v>
      </c>
      <c r="F1159" s="8" t="s">
        <v>29</v>
      </c>
      <c r="G1159" s="8" t="s">
        <v>30</v>
      </c>
      <c r="H1159" s="8" t="s">
        <v>40</v>
      </c>
      <c r="I1159" s="11">
        <v>36</v>
      </c>
      <c r="J1159" s="12">
        <v>45.22</v>
      </c>
      <c r="K1159" s="13">
        <v>0</v>
      </c>
      <c r="L1159" s="12">
        <v>26.29</v>
      </c>
      <c r="M1159" s="14">
        <f>ROUND(tblSprzedaz[[#This Row],[Ilość]]*tblSprzedaz[[#This Row],[Cena netto jednostkowa]]*(1-tblSprzedaz[[#This Row],[Rabat %]]),2)</f>
        <v>1627.92</v>
      </c>
      <c r="N1159" s="14">
        <f>ROUND(tblSprzedaz[[#This Row],[Ilość]]*tblSprzedaz[[#This Row],[Koszt jednostkowy netto]],2)</f>
        <v>946.44</v>
      </c>
      <c r="O1159" s="14">
        <f>tblSprzedaz[[#This Row],[Przychód netto]]-tblSprzedaz[[#This Row],[Koszt całkowity netto]]</f>
        <v>681.48</v>
      </c>
      <c r="P1159" s="15">
        <f>IFERROR(tblSprzedaz[[#This Row],[Marża kwotowa]]/tblSprzedaz[[#This Row],[Przychód netto]],0)</f>
        <v>0.41862007961079167</v>
      </c>
      <c r="Q1159" s="16">
        <f>YEAR(tblSprzedaz[[#This Row],[Data]])</f>
        <v>2025</v>
      </c>
      <c r="R1159" s="16">
        <f>MONTH(tblSprzedaz[[#This Row],[Data]])</f>
        <v>11</v>
      </c>
      <c r="S1159" s="9" t="str">
        <f>YEAR(tblSprzedaz[[#This Row],[Data]])&amp;"-"&amp;RIGHT("0"&amp;MONTH(tblSprzedaz[[#This Row],[Data]]),2)</f>
        <v>2025-11</v>
      </c>
    </row>
    <row r="1160" spans="1:19" x14ac:dyDescent="0.25">
      <c r="A1160" s="7" t="s">
        <v>2487</v>
      </c>
      <c r="B1160" s="10">
        <v>45965</v>
      </c>
      <c r="C1160" s="7" t="s">
        <v>2488</v>
      </c>
      <c r="D1160" s="8" t="s">
        <v>91</v>
      </c>
      <c r="E1160" s="8" t="s">
        <v>58</v>
      </c>
      <c r="F1160" s="8" t="s">
        <v>31</v>
      </c>
      <c r="G1160" s="8" t="s">
        <v>30</v>
      </c>
      <c r="H1160" s="8" t="s">
        <v>40</v>
      </c>
      <c r="I1160" s="11">
        <v>36</v>
      </c>
      <c r="J1160" s="12">
        <v>350.7</v>
      </c>
      <c r="K1160" s="13">
        <v>0.15</v>
      </c>
      <c r="L1160" s="12">
        <v>226.94</v>
      </c>
      <c r="M1160" s="14">
        <f>ROUND(tblSprzedaz[[#This Row],[Ilość]]*tblSprzedaz[[#This Row],[Cena netto jednostkowa]]*(1-tblSprzedaz[[#This Row],[Rabat %]]),2)</f>
        <v>10731.42</v>
      </c>
      <c r="N1160" s="14">
        <f>ROUND(tblSprzedaz[[#This Row],[Ilość]]*tblSprzedaz[[#This Row],[Koszt jednostkowy netto]],2)</f>
        <v>8169.84</v>
      </c>
      <c r="O1160" s="14">
        <f>tblSprzedaz[[#This Row],[Przychód netto]]-tblSprzedaz[[#This Row],[Koszt całkowity netto]]</f>
        <v>2561.58</v>
      </c>
      <c r="P1160" s="15">
        <f>IFERROR(tblSprzedaz[[#This Row],[Marża kwotowa]]/tblSprzedaz[[#This Row],[Przychód netto]],0)</f>
        <v>0.23869907244334859</v>
      </c>
      <c r="Q1160" s="16">
        <f>YEAR(tblSprzedaz[[#This Row],[Data]])</f>
        <v>2025</v>
      </c>
      <c r="R1160" s="16">
        <f>MONTH(tblSprzedaz[[#This Row],[Data]])</f>
        <v>11</v>
      </c>
      <c r="S1160" s="9" t="str">
        <f>YEAR(tblSprzedaz[[#This Row],[Data]])&amp;"-"&amp;RIGHT("0"&amp;MONTH(tblSprzedaz[[#This Row],[Data]]),2)</f>
        <v>2025-11</v>
      </c>
    </row>
    <row r="1161" spans="1:19" x14ac:dyDescent="0.25">
      <c r="A1161" s="7" t="s">
        <v>2489</v>
      </c>
      <c r="B1161" s="10">
        <v>45965</v>
      </c>
      <c r="C1161" s="7" t="s">
        <v>2490</v>
      </c>
      <c r="D1161" s="8" t="s">
        <v>111</v>
      </c>
      <c r="E1161" s="8" t="s">
        <v>75</v>
      </c>
      <c r="F1161" s="8" t="s">
        <v>37</v>
      </c>
      <c r="G1161" s="8" t="s">
        <v>34</v>
      </c>
      <c r="H1161" s="8" t="s">
        <v>44</v>
      </c>
      <c r="I1161" s="11">
        <v>2</v>
      </c>
      <c r="J1161" s="12">
        <v>142.5</v>
      </c>
      <c r="K1161" s="13">
        <v>0.05</v>
      </c>
      <c r="L1161" s="12">
        <v>114.88</v>
      </c>
      <c r="M1161" s="14">
        <f>ROUND(tblSprzedaz[[#This Row],[Ilość]]*tblSprzedaz[[#This Row],[Cena netto jednostkowa]]*(1-tblSprzedaz[[#This Row],[Rabat %]]),2)</f>
        <v>270.75</v>
      </c>
      <c r="N1161" s="14">
        <f>ROUND(tblSprzedaz[[#This Row],[Ilość]]*tblSprzedaz[[#This Row],[Koszt jednostkowy netto]],2)</f>
        <v>229.76</v>
      </c>
      <c r="O1161" s="14">
        <f>tblSprzedaz[[#This Row],[Przychód netto]]-tblSprzedaz[[#This Row],[Koszt całkowity netto]]</f>
        <v>40.990000000000009</v>
      </c>
      <c r="P1161" s="15">
        <f>IFERROR(tblSprzedaz[[#This Row],[Marża kwotowa]]/tblSprzedaz[[#This Row],[Przychód netto]],0)</f>
        <v>0.15139427516158821</v>
      </c>
      <c r="Q1161" s="16">
        <f>YEAR(tblSprzedaz[[#This Row],[Data]])</f>
        <v>2025</v>
      </c>
      <c r="R1161" s="16">
        <f>MONTH(tblSprzedaz[[#This Row],[Data]])</f>
        <v>11</v>
      </c>
      <c r="S1161" s="9" t="str">
        <f>YEAR(tblSprzedaz[[#This Row],[Data]])&amp;"-"&amp;RIGHT("0"&amp;MONTH(tblSprzedaz[[#This Row],[Data]]),2)</f>
        <v>2025-11</v>
      </c>
    </row>
    <row r="1162" spans="1:19" x14ac:dyDescent="0.25">
      <c r="A1162" s="7" t="s">
        <v>2491</v>
      </c>
      <c r="B1162" s="10">
        <v>45965</v>
      </c>
      <c r="C1162" s="7" t="s">
        <v>2492</v>
      </c>
      <c r="D1162" s="8" t="s">
        <v>133</v>
      </c>
      <c r="E1162" s="8" t="s">
        <v>72</v>
      </c>
      <c r="F1162" s="8" t="s">
        <v>37</v>
      </c>
      <c r="G1162" s="8" t="s">
        <v>32</v>
      </c>
      <c r="H1162" s="8" t="s">
        <v>42</v>
      </c>
      <c r="I1162" s="11">
        <v>3</v>
      </c>
      <c r="J1162" s="12">
        <v>94.05</v>
      </c>
      <c r="K1162" s="13">
        <v>0.15</v>
      </c>
      <c r="L1162" s="12">
        <v>70.31</v>
      </c>
      <c r="M1162" s="14">
        <f>ROUND(tblSprzedaz[[#This Row],[Ilość]]*tblSprzedaz[[#This Row],[Cena netto jednostkowa]]*(1-tblSprzedaz[[#This Row],[Rabat %]]),2)</f>
        <v>239.83</v>
      </c>
      <c r="N1162" s="14">
        <f>ROUND(tblSprzedaz[[#This Row],[Ilość]]*tblSprzedaz[[#This Row],[Koszt jednostkowy netto]],2)</f>
        <v>210.93</v>
      </c>
      <c r="O1162" s="14">
        <f>tblSprzedaz[[#This Row],[Przychód netto]]-tblSprzedaz[[#This Row],[Koszt całkowity netto]]</f>
        <v>28.900000000000006</v>
      </c>
      <c r="P1162" s="15">
        <f>IFERROR(tblSprzedaz[[#This Row],[Marża kwotowa]]/tblSprzedaz[[#This Row],[Przychód netto]],0)</f>
        <v>0.1205020222657716</v>
      </c>
      <c r="Q1162" s="16">
        <f>YEAR(tblSprzedaz[[#This Row],[Data]])</f>
        <v>2025</v>
      </c>
      <c r="R1162" s="16">
        <f>MONTH(tblSprzedaz[[#This Row],[Data]])</f>
        <v>11</v>
      </c>
      <c r="S1162" s="9" t="str">
        <f>YEAR(tblSprzedaz[[#This Row],[Data]])&amp;"-"&amp;RIGHT("0"&amp;MONTH(tblSprzedaz[[#This Row],[Data]]),2)</f>
        <v>2025-11</v>
      </c>
    </row>
    <row r="1163" spans="1:19" x14ac:dyDescent="0.25">
      <c r="A1163" s="7" t="s">
        <v>2493</v>
      </c>
      <c r="B1163" s="10">
        <v>45965</v>
      </c>
      <c r="C1163" s="7" t="s">
        <v>2494</v>
      </c>
      <c r="D1163" s="8" t="s">
        <v>95</v>
      </c>
      <c r="E1163" s="8" t="s">
        <v>48</v>
      </c>
      <c r="F1163" s="8" t="s">
        <v>29</v>
      </c>
      <c r="G1163" s="8" t="s">
        <v>28</v>
      </c>
      <c r="H1163" s="8" t="s">
        <v>38</v>
      </c>
      <c r="I1163" s="11">
        <v>27</v>
      </c>
      <c r="J1163" s="12">
        <v>33.659999999999997</v>
      </c>
      <c r="K1163" s="13">
        <v>0</v>
      </c>
      <c r="L1163" s="12">
        <v>18.75</v>
      </c>
      <c r="M1163" s="14">
        <f>ROUND(tblSprzedaz[[#This Row],[Ilość]]*tblSprzedaz[[#This Row],[Cena netto jednostkowa]]*(1-tblSprzedaz[[#This Row],[Rabat %]]),2)</f>
        <v>908.82</v>
      </c>
      <c r="N1163" s="14">
        <f>ROUND(tblSprzedaz[[#This Row],[Ilość]]*tblSprzedaz[[#This Row],[Koszt jednostkowy netto]],2)</f>
        <v>506.25</v>
      </c>
      <c r="O1163" s="14">
        <f>tblSprzedaz[[#This Row],[Przychód netto]]-tblSprzedaz[[#This Row],[Koszt całkowity netto]]</f>
        <v>402.57000000000005</v>
      </c>
      <c r="P1163" s="15">
        <f>IFERROR(tblSprzedaz[[#This Row],[Marża kwotowa]]/tblSprzedaz[[#This Row],[Przychód netto]],0)</f>
        <v>0.44295900178253123</v>
      </c>
      <c r="Q1163" s="16">
        <f>YEAR(tblSprzedaz[[#This Row],[Data]])</f>
        <v>2025</v>
      </c>
      <c r="R1163" s="16">
        <f>MONTH(tblSprzedaz[[#This Row],[Data]])</f>
        <v>11</v>
      </c>
      <c r="S1163" s="9" t="str">
        <f>YEAR(tblSprzedaz[[#This Row],[Data]])&amp;"-"&amp;RIGHT("0"&amp;MONTH(tblSprzedaz[[#This Row],[Data]]),2)</f>
        <v>2025-11</v>
      </c>
    </row>
    <row r="1164" spans="1:19" x14ac:dyDescent="0.25">
      <c r="A1164" s="7" t="s">
        <v>2495</v>
      </c>
      <c r="B1164" s="10">
        <v>45965</v>
      </c>
      <c r="C1164" s="7" t="s">
        <v>2496</v>
      </c>
      <c r="D1164" s="8" t="s">
        <v>101</v>
      </c>
      <c r="E1164" s="8" t="s">
        <v>55</v>
      </c>
      <c r="F1164" s="8" t="s">
        <v>31</v>
      </c>
      <c r="G1164" s="8" t="s">
        <v>28</v>
      </c>
      <c r="H1164" s="8" t="s">
        <v>39</v>
      </c>
      <c r="I1164" s="11">
        <v>24</v>
      </c>
      <c r="J1164" s="12">
        <v>243.6</v>
      </c>
      <c r="K1164" s="13">
        <v>0</v>
      </c>
      <c r="L1164" s="12">
        <v>147.24</v>
      </c>
      <c r="M1164" s="14">
        <f>ROUND(tblSprzedaz[[#This Row],[Ilość]]*tblSprzedaz[[#This Row],[Cena netto jednostkowa]]*(1-tblSprzedaz[[#This Row],[Rabat %]]),2)</f>
        <v>5846.4</v>
      </c>
      <c r="N1164" s="14">
        <f>ROUND(tblSprzedaz[[#This Row],[Ilość]]*tblSprzedaz[[#This Row],[Koszt jednostkowy netto]],2)</f>
        <v>3533.76</v>
      </c>
      <c r="O1164" s="14">
        <f>tblSprzedaz[[#This Row],[Przychód netto]]-tblSprzedaz[[#This Row],[Koszt całkowity netto]]</f>
        <v>2312.6399999999994</v>
      </c>
      <c r="P1164" s="15">
        <f>IFERROR(tblSprzedaz[[#This Row],[Marża kwotowa]]/tblSprzedaz[[#This Row],[Przychód netto]],0)</f>
        <v>0.39556650246305414</v>
      </c>
      <c r="Q1164" s="16">
        <f>YEAR(tblSprzedaz[[#This Row],[Data]])</f>
        <v>2025</v>
      </c>
      <c r="R1164" s="16">
        <f>MONTH(tblSprzedaz[[#This Row],[Data]])</f>
        <v>11</v>
      </c>
      <c r="S1164" s="9" t="str">
        <f>YEAR(tblSprzedaz[[#This Row],[Data]])&amp;"-"&amp;RIGHT("0"&amp;MONTH(tblSprzedaz[[#This Row],[Data]]),2)</f>
        <v>2025-11</v>
      </c>
    </row>
    <row r="1165" spans="1:19" x14ac:dyDescent="0.25">
      <c r="A1165" s="7" t="s">
        <v>2497</v>
      </c>
      <c r="B1165" s="10">
        <v>45965</v>
      </c>
      <c r="C1165" s="7" t="s">
        <v>2498</v>
      </c>
      <c r="D1165" s="8" t="s">
        <v>89</v>
      </c>
      <c r="E1165" s="8" t="s">
        <v>52</v>
      </c>
      <c r="F1165" s="8" t="s">
        <v>29</v>
      </c>
      <c r="G1165" s="8" t="s">
        <v>30</v>
      </c>
      <c r="H1165" s="8" t="s">
        <v>41</v>
      </c>
      <c r="I1165" s="11">
        <v>31</v>
      </c>
      <c r="J1165" s="12">
        <v>56.78</v>
      </c>
      <c r="K1165" s="13">
        <v>0.05</v>
      </c>
      <c r="L1165" s="12">
        <v>31.34</v>
      </c>
      <c r="M1165" s="14">
        <f>ROUND(tblSprzedaz[[#This Row],[Ilość]]*tblSprzedaz[[#This Row],[Cena netto jednostkowa]]*(1-tblSprzedaz[[#This Row],[Rabat %]]),2)</f>
        <v>1672.17</v>
      </c>
      <c r="N1165" s="14">
        <f>ROUND(tblSprzedaz[[#This Row],[Ilość]]*tblSprzedaz[[#This Row],[Koszt jednostkowy netto]],2)</f>
        <v>971.54</v>
      </c>
      <c r="O1165" s="14">
        <f>tblSprzedaz[[#This Row],[Przychód netto]]-tblSprzedaz[[#This Row],[Koszt całkowity netto]]</f>
        <v>700.63000000000011</v>
      </c>
      <c r="P1165" s="15">
        <f>IFERROR(tblSprzedaz[[#This Row],[Marża kwotowa]]/tblSprzedaz[[#This Row],[Przychód netto]],0)</f>
        <v>0.41899448022629282</v>
      </c>
      <c r="Q1165" s="16">
        <f>YEAR(tblSprzedaz[[#This Row],[Data]])</f>
        <v>2025</v>
      </c>
      <c r="R1165" s="16">
        <f>MONTH(tblSprzedaz[[#This Row],[Data]])</f>
        <v>11</v>
      </c>
      <c r="S1165" s="9" t="str">
        <f>YEAR(tblSprzedaz[[#This Row],[Data]])&amp;"-"&amp;RIGHT("0"&amp;MONTH(tblSprzedaz[[#This Row],[Data]]),2)</f>
        <v>2025-11</v>
      </c>
    </row>
    <row r="1166" spans="1:19" x14ac:dyDescent="0.25">
      <c r="A1166" s="7" t="s">
        <v>2499</v>
      </c>
      <c r="B1166" s="10">
        <v>45965</v>
      </c>
      <c r="C1166" s="7" t="s">
        <v>2500</v>
      </c>
      <c r="D1166" s="8" t="s">
        <v>108</v>
      </c>
      <c r="E1166" s="8" t="s">
        <v>67</v>
      </c>
      <c r="F1166" s="8" t="s">
        <v>35</v>
      </c>
      <c r="G1166" s="8" t="s">
        <v>36</v>
      </c>
      <c r="H1166" s="8" t="s">
        <v>47</v>
      </c>
      <c r="I1166" s="11">
        <v>12</v>
      </c>
      <c r="J1166" s="12">
        <v>78.88</v>
      </c>
      <c r="K1166" s="13">
        <v>0</v>
      </c>
      <c r="L1166" s="12">
        <v>55.52</v>
      </c>
      <c r="M1166" s="14">
        <f>ROUND(tblSprzedaz[[#This Row],[Ilość]]*tblSprzedaz[[#This Row],[Cena netto jednostkowa]]*(1-tblSprzedaz[[#This Row],[Rabat %]]),2)</f>
        <v>946.56</v>
      </c>
      <c r="N1166" s="14">
        <f>ROUND(tblSprzedaz[[#This Row],[Ilość]]*tblSprzedaz[[#This Row],[Koszt jednostkowy netto]],2)</f>
        <v>666.24</v>
      </c>
      <c r="O1166" s="14">
        <f>tblSprzedaz[[#This Row],[Przychód netto]]-tblSprzedaz[[#This Row],[Koszt całkowity netto]]</f>
        <v>280.31999999999994</v>
      </c>
      <c r="P1166" s="15">
        <f>IFERROR(tblSprzedaz[[#This Row],[Marża kwotowa]]/tblSprzedaz[[#This Row],[Przychód netto]],0)</f>
        <v>0.29614604462474642</v>
      </c>
      <c r="Q1166" s="16">
        <f>YEAR(tblSprzedaz[[#This Row],[Data]])</f>
        <v>2025</v>
      </c>
      <c r="R1166" s="16">
        <f>MONTH(tblSprzedaz[[#This Row],[Data]])</f>
        <v>11</v>
      </c>
      <c r="S1166" s="9" t="str">
        <f>YEAR(tblSprzedaz[[#This Row],[Data]])&amp;"-"&amp;RIGHT("0"&amp;MONTH(tblSprzedaz[[#This Row],[Data]]),2)</f>
        <v>2025-11</v>
      </c>
    </row>
    <row r="1167" spans="1:19" x14ac:dyDescent="0.25">
      <c r="A1167" s="7" t="s">
        <v>2501</v>
      </c>
      <c r="B1167" s="10">
        <v>45965</v>
      </c>
      <c r="C1167" s="7" t="s">
        <v>2502</v>
      </c>
      <c r="D1167" s="8" t="s">
        <v>147</v>
      </c>
      <c r="E1167" s="8" t="s">
        <v>72</v>
      </c>
      <c r="F1167" s="8" t="s">
        <v>37</v>
      </c>
      <c r="G1167" s="8" t="s">
        <v>36</v>
      </c>
      <c r="H1167" s="8" t="s">
        <v>47</v>
      </c>
      <c r="I1167" s="11">
        <v>25</v>
      </c>
      <c r="J1167" s="12">
        <v>94.05</v>
      </c>
      <c r="K1167" s="13">
        <v>0</v>
      </c>
      <c r="L1167" s="12">
        <v>75.010000000000005</v>
      </c>
      <c r="M1167" s="14">
        <f>ROUND(tblSprzedaz[[#This Row],[Ilość]]*tblSprzedaz[[#This Row],[Cena netto jednostkowa]]*(1-tblSprzedaz[[#This Row],[Rabat %]]),2)</f>
        <v>2351.25</v>
      </c>
      <c r="N1167" s="14">
        <f>ROUND(tblSprzedaz[[#This Row],[Ilość]]*tblSprzedaz[[#This Row],[Koszt jednostkowy netto]],2)</f>
        <v>1875.25</v>
      </c>
      <c r="O1167" s="14">
        <f>tblSprzedaz[[#This Row],[Przychód netto]]-tblSprzedaz[[#This Row],[Koszt całkowity netto]]</f>
        <v>476</v>
      </c>
      <c r="P1167" s="15">
        <f>IFERROR(tblSprzedaz[[#This Row],[Marża kwotowa]]/tblSprzedaz[[#This Row],[Przychód netto]],0)</f>
        <v>0.2024455077086656</v>
      </c>
      <c r="Q1167" s="16">
        <f>YEAR(tblSprzedaz[[#This Row],[Data]])</f>
        <v>2025</v>
      </c>
      <c r="R1167" s="16">
        <f>MONTH(tblSprzedaz[[#This Row],[Data]])</f>
        <v>11</v>
      </c>
      <c r="S1167" s="9" t="str">
        <f>YEAR(tblSprzedaz[[#This Row],[Data]])&amp;"-"&amp;RIGHT("0"&amp;MONTH(tblSprzedaz[[#This Row],[Data]]),2)</f>
        <v>2025-11</v>
      </c>
    </row>
    <row r="1168" spans="1:19" x14ac:dyDescent="0.25">
      <c r="A1168" s="7" t="s">
        <v>2503</v>
      </c>
      <c r="B1168" s="10">
        <v>45966</v>
      </c>
      <c r="C1168" s="7" t="s">
        <v>2504</v>
      </c>
      <c r="D1168" s="8" t="s">
        <v>120</v>
      </c>
      <c r="E1168" s="8" t="s">
        <v>49</v>
      </c>
      <c r="F1168" s="8" t="s">
        <v>29</v>
      </c>
      <c r="G1168" s="8" t="s">
        <v>36</v>
      </c>
      <c r="H1168" s="8" t="s">
        <v>46</v>
      </c>
      <c r="I1168" s="11">
        <v>21</v>
      </c>
      <c r="J1168" s="12">
        <v>39.44</v>
      </c>
      <c r="K1168" s="13">
        <v>0.05</v>
      </c>
      <c r="L1168" s="12">
        <v>22.86</v>
      </c>
      <c r="M1168" s="14">
        <f>ROUND(tblSprzedaz[[#This Row],[Ilość]]*tblSprzedaz[[#This Row],[Cena netto jednostkowa]]*(1-tblSprzedaz[[#This Row],[Rabat %]]),2)</f>
        <v>786.83</v>
      </c>
      <c r="N1168" s="14">
        <f>ROUND(tblSprzedaz[[#This Row],[Ilość]]*tblSprzedaz[[#This Row],[Koszt jednostkowy netto]],2)</f>
        <v>480.06</v>
      </c>
      <c r="O1168" s="14">
        <f>tblSprzedaz[[#This Row],[Przychód netto]]-tblSprzedaz[[#This Row],[Koszt całkowity netto]]</f>
        <v>306.77000000000004</v>
      </c>
      <c r="P1168" s="15">
        <f>IFERROR(tblSprzedaz[[#This Row],[Marża kwotowa]]/tblSprzedaz[[#This Row],[Przychód netto]],0)</f>
        <v>0.38988091455587615</v>
      </c>
      <c r="Q1168" s="16">
        <f>YEAR(tblSprzedaz[[#This Row],[Data]])</f>
        <v>2025</v>
      </c>
      <c r="R1168" s="16">
        <f>MONTH(tblSprzedaz[[#This Row],[Data]])</f>
        <v>11</v>
      </c>
      <c r="S1168" s="9" t="str">
        <f>YEAR(tblSprzedaz[[#This Row],[Data]])&amp;"-"&amp;RIGHT("0"&amp;MONTH(tblSprzedaz[[#This Row],[Data]]),2)</f>
        <v>2025-11</v>
      </c>
    </row>
    <row r="1169" spans="1:19" x14ac:dyDescent="0.25">
      <c r="A1169" s="7" t="s">
        <v>2505</v>
      </c>
      <c r="B1169" s="10">
        <v>45966</v>
      </c>
      <c r="C1169" s="7" t="s">
        <v>2506</v>
      </c>
      <c r="D1169" s="8" t="s">
        <v>127</v>
      </c>
      <c r="E1169" s="8" t="s">
        <v>57</v>
      </c>
      <c r="F1169" s="8" t="s">
        <v>31</v>
      </c>
      <c r="G1169" s="8" t="s">
        <v>28</v>
      </c>
      <c r="H1169" s="8" t="s">
        <v>38</v>
      </c>
      <c r="I1169" s="11">
        <v>10</v>
      </c>
      <c r="J1169" s="12">
        <v>315</v>
      </c>
      <c r="K1169" s="13">
        <v>0</v>
      </c>
      <c r="L1169" s="12">
        <v>203.42</v>
      </c>
      <c r="M1169" s="14">
        <f>ROUND(tblSprzedaz[[#This Row],[Ilość]]*tblSprzedaz[[#This Row],[Cena netto jednostkowa]]*(1-tblSprzedaz[[#This Row],[Rabat %]]),2)</f>
        <v>3150</v>
      </c>
      <c r="N1169" s="14">
        <f>ROUND(tblSprzedaz[[#This Row],[Ilość]]*tblSprzedaz[[#This Row],[Koszt jednostkowy netto]],2)</f>
        <v>2034.2</v>
      </c>
      <c r="O1169" s="14">
        <f>tblSprzedaz[[#This Row],[Przychód netto]]-tblSprzedaz[[#This Row],[Koszt całkowity netto]]</f>
        <v>1115.8</v>
      </c>
      <c r="P1169" s="15">
        <f>IFERROR(tblSprzedaz[[#This Row],[Marża kwotowa]]/tblSprzedaz[[#This Row],[Przychód netto]],0)</f>
        <v>0.35422222222222222</v>
      </c>
      <c r="Q1169" s="16">
        <f>YEAR(tblSprzedaz[[#This Row],[Data]])</f>
        <v>2025</v>
      </c>
      <c r="R1169" s="16">
        <f>MONTH(tblSprzedaz[[#This Row],[Data]])</f>
        <v>11</v>
      </c>
      <c r="S1169" s="9" t="str">
        <f>YEAR(tblSprzedaz[[#This Row],[Data]])&amp;"-"&amp;RIGHT("0"&amp;MONTH(tblSprzedaz[[#This Row],[Data]]),2)</f>
        <v>2025-11</v>
      </c>
    </row>
    <row r="1170" spans="1:19" x14ac:dyDescent="0.25">
      <c r="A1170" s="7" t="s">
        <v>2507</v>
      </c>
      <c r="B1170" s="10">
        <v>45966</v>
      </c>
      <c r="C1170" s="7" t="s">
        <v>2508</v>
      </c>
      <c r="D1170" s="8" t="s">
        <v>100</v>
      </c>
      <c r="E1170" s="8" t="s">
        <v>58</v>
      </c>
      <c r="F1170" s="8" t="s">
        <v>31</v>
      </c>
      <c r="G1170" s="8" t="s">
        <v>36</v>
      </c>
      <c r="H1170" s="8" t="s">
        <v>46</v>
      </c>
      <c r="I1170" s="11">
        <v>34</v>
      </c>
      <c r="J1170" s="12">
        <v>350.7</v>
      </c>
      <c r="K1170" s="13">
        <v>0</v>
      </c>
      <c r="L1170" s="12">
        <v>236.26</v>
      </c>
      <c r="M1170" s="14">
        <f>ROUND(tblSprzedaz[[#This Row],[Ilość]]*tblSprzedaz[[#This Row],[Cena netto jednostkowa]]*(1-tblSprzedaz[[#This Row],[Rabat %]]),2)</f>
        <v>11923.8</v>
      </c>
      <c r="N1170" s="14">
        <f>ROUND(tblSprzedaz[[#This Row],[Ilość]]*tblSprzedaz[[#This Row],[Koszt jednostkowy netto]],2)</f>
        <v>8032.84</v>
      </c>
      <c r="O1170" s="14">
        <f>tblSprzedaz[[#This Row],[Przychód netto]]-tblSprzedaz[[#This Row],[Koszt całkowity netto]]</f>
        <v>3890.9599999999991</v>
      </c>
      <c r="P1170" s="15">
        <f>IFERROR(tblSprzedaz[[#This Row],[Marża kwotowa]]/tblSprzedaz[[#This Row],[Przychód netto]],0)</f>
        <v>0.3263187909894496</v>
      </c>
      <c r="Q1170" s="16">
        <f>YEAR(tblSprzedaz[[#This Row],[Data]])</f>
        <v>2025</v>
      </c>
      <c r="R1170" s="16">
        <f>MONTH(tblSprzedaz[[#This Row],[Data]])</f>
        <v>11</v>
      </c>
      <c r="S1170" s="9" t="str">
        <f>YEAR(tblSprzedaz[[#This Row],[Data]])&amp;"-"&amp;RIGHT("0"&amp;MONTH(tblSprzedaz[[#This Row],[Data]]),2)</f>
        <v>2025-11</v>
      </c>
    </row>
    <row r="1171" spans="1:19" x14ac:dyDescent="0.25">
      <c r="A1171" s="7" t="s">
        <v>2509</v>
      </c>
      <c r="B1171" s="10">
        <v>45966</v>
      </c>
      <c r="C1171" s="7" t="s">
        <v>2510</v>
      </c>
      <c r="D1171" s="8" t="s">
        <v>143</v>
      </c>
      <c r="E1171" s="8" t="s">
        <v>74</v>
      </c>
      <c r="F1171" s="8" t="s">
        <v>37</v>
      </c>
      <c r="G1171" s="8" t="s">
        <v>34</v>
      </c>
      <c r="H1171" s="8" t="s">
        <v>44</v>
      </c>
      <c r="I1171" s="11">
        <v>6</v>
      </c>
      <c r="J1171" s="12">
        <v>126.35</v>
      </c>
      <c r="K1171" s="13">
        <v>0.1</v>
      </c>
      <c r="L1171" s="12">
        <v>94.08</v>
      </c>
      <c r="M1171" s="14">
        <f>ROUND(tblSprzedaz[[#This Row],[Ilość]]*tblSprzedaz[[#This Row],[Cena netto jednostkowa]]*(1-tblSprzedaz[[#This Row],[Rabat %]]),2)</f>
        <v>682.29</v>
      </c>
      <c r="N1171" s="14">
        <f>ROUND(tblSprzedaz[[#This Row],[Ilość]]*tblSprzedaz[[#This Row],[Koszt jednostkowy netto]],2)</f>
        <v>564.48</v>
      </c>
      <c r="O1171" s="14">
        <f>tblSprzedaz[[#This Row],[Przychód netto]]-tblSprzedaz[[#This Row],[Koszt całkowity netto]]</f>
        <v>117.80999999999995</v>
      </c>
      <c r="P1171" s="15">
        <f>IFERROR(tblSprzedaz[[#This Row],[Marża kwotowa]]/tblSprzedaz[[#This Row],[Przychód netto]],0)</f>
        <v>0.17266851338873493</v>
      </c>
      <c r="Q1171" s="16">
        <f>YEAR(tblSprzedaz[[#This Row],[Data]])</f>
        <v>2025</v>
      </c>
      <c r="R1171" s="16">
        <f>MONTH(tblSprzedaz[[#This Row],[Data]])</f>
        <v>11</v>
      </c>
      <c r="S1171" s="9" t="str">
        <f>YEAR(tblSprzedaz[[#This Row],[Data]])&amp;"-"&amp;RIGHT("0"&amp;MONTH(tblSprzedaz[[#This Row],[Data]]),2)</f>
        <v>2025-11</v>
      </c>
    </row>
    <row r="1172" spans="1:19" x14ac:dyDescent="0.25">
      <c r="A1172" s="7" t="s">
        <v>2511</v>
      </c>
      <c r="B1172" s="10">
        <v>45966</v>
      </c>
      <c r="C1172" s="7" t="s">
        <v>2512</v>
      </c>
      <c r="D1172" s="8" t="s">
        <v>112</v>
      </c>
      <c r="E1172" s="8" t="s">
        <v>74</v>
      </c>
      <c r="F1172" s="8" t="s">
        <v>37</v>
      </c>
      <c r="G1172" s="8" t="s">
        <v>36</v>
      </c>
      <c r="H1172" s="8" t="s">
        <v>46</v>
      </c>
      <c r="I1172" s="11">
        <v>8</v>
      </c>
      <c r="J1172" s="12">
        <v>126.35</v>
      </c>
      <c r="K1172" s="13">
        <v>0</v>
      </c>
      <c r="L1172" s="12">
        <v>95.83</v>
      </c>
      <c r="M1172" s="14">
        <f>ROUND(tblSprzedaz[[#This Row],[Ilość]]*tblSprzedaz[[#This Row],[Cena netto jednostkowa]]*(1-tblSprzedaz[[#This Row],[Rabat %]]),2)</f>
        <v>1010.8</v>
      </c>
      <c r="N1172" s="14">
        <f>ROUND(tblSprzedaz[[#This Row],[Ilość]]*tblSprzedaz[[#This Row],[Koszt jednostkowy netto]],2)</f>
        <v>766.64</v>
      </c>
      <c r="O1172" s="14">
        <f>tblSprzedaz[[#This Row],[Przychód netto]]-tblSprzedaz[[#This Row],[Koszt całkowity netto]]</f>
        <v>244.15999999999997</v>
      </c>
      <c r="P1172" s="15">
        <f>IFERROR(tblSprzedaz[[#This Row],[Marża kwotowa]]/tblSprzedaz[[#This Row],[Przychód netto]],0)</f>
        <v>0.2415512465373961</v>
      </c>
      <c r="Q1172" s="16">
        <f>YEAR(tblSprzedaz[[#This Row],[Data]])</f>
        <v>2025</v>
      </c>
      <c r="R1172" s="16">
        <f>MONTH(tblSprzedaz[[#This Row],[Data]])</f>
        <v>11</v>
      </c>
      <c r="S1172" s="9" t="str">
        <f>YEAR(tblSprzedaz[[#This Row],[Data]])&amp;"-"&amp;RIGHT("0"&amp;MONTH(tblSprzedaz[[#This Row],[Data]]),2)</f>
        <v>2025-11</v>
      </c>
    </row>
    <row r="1173" spans="1:19" x14ac:dyDescent="0.25">
      <c r="A1173" s="7" t="s">
        <v>2513</v>
      </c>
      <c r="B1173" s="10">
        <v>45966</v>
      </c>
      <c r="C1173" s="7" t="s">
        <v>2514</v>
      </c>
      <c r="D1173" s="8" t="s">
        <v>90</v>
      </c>
      <c r="E1173" s="8" t="s">
        <v>70</v>
      </c>
      <c r="F1173" s="8" t="s">
        <v>35</v>
      </c>
      <c r="G1173" s="8" t="s">
        <v>34</v>
      </c>
      <c r="H1173" s="8" t="s">
        <v>44</v>
      </c>
      <c r="I1173" s="11">
        <v>20</v>
      </c>
      <c r="J1173" s="12">
        <v>113.56</v>
      </c>
      <c r="K1173" s="13">
        <v>0.05</v>
      </c>
      <c r="L1173" s="12">
        <v>77.849999999999994</v>
      </c>
      <c r="M1173" s="14">
        <f>ROUND(tblSprzedaz[[#This Row],[Ilość]]*tblSprzedaz[[#This Row],[Cena netto jednostkowa]]*(1-tblSprzedaz[[#This Row],[Rabat %]]),2)</f>
        <v>2157.64</v>
      </c>
      <c r="N1173" s="14">
        <f>ROUND(tblSprzedaz[[#This Row],[Ilość]]*tblSprzedaz[[#This Row],[Koszt jednostkowy netto]],2)</f>
        <v>1557</v>
      </c>
      <c r="O1173" s="14">
        <f>tblSprzedaz[[#This Row],[Przychód netto]]-tblSprzedaz[[#This Row],[Koszt całkowity netto]]</f>
        <v>600.63999999999987</v>
      </c>
      <c r="P1173" s="15">
        <f>IFERROR(tblSprzedaz[[#This Row],[Marża kwotowa]]/tblSprzedaz[[#This Row],[Przychód netto]],0)</f>
        <v>0.27837822806399581</v>
      </c>
      <c r="Q1173" s="16">
        <f>YEAR(tblSprzedaz[[#This Row],[Data]])</f>
        <v>2025</v>
      </c>
      <c r="R1173" s="16">
        <f>MONTH(tblSprzedaz[[#This Row],[Data]])</f>
        <v>11</v>
      </c>
      <c r="S1173" s="9" t="str">
        <f>YEAR(tblSprzedaz[[#This Row],[Data]])&amp;"-"&amp;RIGHT("0"&amp;MONTH(tblSprzedaz[[#This Row],[Data]]),2)</f>
        <v>2025-11</v>
      </c>
    </row>
    <row r="1174" spans="1:19" x14ac:dyDescent="0.25">
      <c r="A1174" s="7" t="s">
        <v>2515</v>
      </c>
      <c r="B1174" s="10">
        <v>45967</v>
      </c>
      <c r="C1174" s="7" t="s">
        <v>2516</v>
      </c>
      <c r="D1174" s="8" t="s">
        <v>117</v>
      </c>
      <c r="E1174" s="8" t="s">
        <v>75</v>
      </c>
      <c r="F1174" s="8" t="s">
        <v>37</v>
      </c>
      <c r="G1174" s="8" t="s">
        <v>28</v>
      </c>
      <c r="H1174" s="8" t="s">
        <v>39</v>
      </c>
      <c r="I1174" s="11">
        <v>21</v>
      </c>
      <c r="J1174" s="12">
        <v>142.5</v>
      </c>
      <c r="K1174" s="13">
        <v>0.05</v>
      </c>
      <c r="L1174" s="12">
        <v>111.2</v>
      </c>
      <c r="M1174" s="14">
        <f>ROUND(tblSprzedaz[[#This Row],[Ilość]]*tblSprzedaz[[#This Row],[Cena netto jednostkowa]]*(1-tblSprzedaz[[#This Row],[Rabat %]]),2)</f>
        <v>2842.88</v>
      </c>
      <c r="N1174" s="14">
        <f>ROUND(tblSprzedaz[[#This Row],[Ilość]]*tblSprzedaz[[#This Row],[Koszt jednostkowy netto]],2)</f>
        <v>2335.1999999999998</v>
      </c>
      <c r="O1174" s="14">
        <f>tblSprzedaz[[#This Row],[Przychód netto]]-tblSprzedaz[[#This Row],[Koszt całkowity netto]]</f>
        <v>507.68000000000029</v>
      </c>
      <c r="P1174" s="15">
        <f>IFERROR(tblSprzedaz[[#This Row],[Marża kwotowa]]/tblSprzedaz[[#This Row],[Przychód netto]],0)</f>
        <v>0.17857946870778937</v>
      </c>
      <c r="Q1174" s="16">
        <f>YEAR(tblSprzedaz[[#This Row],[Data]])</f>
        <v>2025</v>
      </c>
      <c r="R1174" s="16">
        <f>MONTH(tblSprzedaz[[#This Row],[Data]])</f>
        <v>11</v>
      </c>
      <c r="S1174" s="9" t="str">
        <f>YEAR(tblSprzedaz[[#This Row],[Data]])&amp;"-"&amp;RIGHT("0"&amp;MONTH(tblSprzedaz[[#This Row],[Data]]),2)</f>
        <v>2025-11</v>
      </c>
    </row>
    <row r="1175" spans="1:19" x14ac:dyDescent="0.25">
      <c r="A1175" s="7" t="s">
        <v>2517</v>
      </c>
      <c r="B1175" s="10">
        <v>45967</v>
      </c>
      <c r="C1175" s="7" t="s">
        <v>2518</v>
      </c>
      <c r="D1175" s="8" t="s">
        <v>113</v>
      </c>
      <c r="E1175" s="8" t="s">
        <v>52</v>
      </c>
      <c r="F1175" s="8" t="s">
        <v>29</v>
      </c>
      <c r="G1175" s="8" t="s">
        <v>36</v>
      </c>
      <c r="H1175" s="8" t="s">
        <v>46</v>
      </c>
      <c r="I1175" s="11">
        <v>35</v>
      </c>
      <c r="J1175" s="12">
        <v>56.78</v>
      </c>
      <c r="K1175" s="13">
        <v>0.1</v>
      </c>
      <c r="L1175" s="12">
        <v>35.68</v>
      </c>
      <c r="M1175" s="14">
        <f>ROUND(tblSprzedaz[[#This Row],[Ilość]]*tblSprzedaz[[#This Row],[Cena netto jednostkowa]]*(1-tblSprzedaz[[#This Row],[Rabat %]]),2)</f>
        <v>1788.57</v>
      </c>
      <c r="N1175" s="14">
        <f>ROUND(tblSprzedaz[[#This Row],[Ilość]]*tblSprzedaz[[#This Row],[Koszt jednostkowy netto]],2)</f>
        <v>1248.8</v>
      </c>
      <c r="O1175" s="14">
        <f>tblSprzedaz[[#This Row],[Przychód netto]]-tblSprzedaz[[#This Row],[Koszt całkowity netto]]</f>
        <v>539.77</v>
      </c>
      <c r="P1175" s="15">
        <f>IFERROR(tblSprzedaz[[#This Row],[Marża kwotowa]]/tblSprzedaz[[#This Row],[Przychód netto]],0)</f>
        <v>0.30178857970333844</v>
      </c>
      <c r="Q1175" s="16">
        <f>YEAR(tblSprzedaz[[#This Row],[Data]])</f>
        <v>2025</v>
      </c>
      <c r="R1175" s="16">
        <f>MONTH(tblSprzedaz[[#This Row],[Data]])</f>
        <v>11</v>
      </c>
      <c r="S1175" s="9" t="str">
        <f>YEAR(tblSprzedaz[[#This Row],[Data]])&amp;"-"&amp;RIGHT("0"&amp;MONTH(tblSprzedaz[[#This Row],[Data]]),2)</f>
        <v>2025-11</v>
      </c>
    </row>
    <row r="1176" spans="1:19" x14ac:dyDescent="0.25">
      <c r="A1176" s="7" t="s">
        <v>2519</v>
      </c>
      <c r="B1176" s="10">
        <v>45967</v>
      </c>
      <c r="C1176" s="7" t="s">
        <v>2520</v>
      </c>
      <c r="D1176" s="8" t="s">
        <v>109</v>
      </c>
      <c r="E1176" s="8" t="s">
        <v>49</v>
      </c>
      <c r="F1176" s="8" t="s">
        <v>29</v>
      </c>
      <c r="G1176" s="8" t="s">
        <v>34</v>
      </c>
      <c r="H1176" s="8" t="s">
        <v>44</v>
      </c>
      <c r="I1176" s="11">
        <v>6</v>
      </c>
      <c r="J1176" s="12">
        <v>39.44</v>
      </c>
      <c r="K1176" s="13">
        <v>0</v>
      </c>
      <c r="L1176" s="12">
        <v>23.7</v>
      </c>
      <c r="M1176" s="14">
        <f>ROUND(tblSprzedaz[[#This Row],[Ilość]]*tblSprzedaz[[#This Row],[Cena netto jednostkowa]]*(1-tblSprzedaz[[#This Row],[Rabat %]]),2)</f>
        <v>236.64</v>
      </c>
      <c r="N1176" s="14">
        <f>ROUND(tblSprzedaz[[#This Row],[Ilość]]*tblSprzedaz[[#This Row],[Koszt jednostkowy netto]],2)</f>
        <v>142.19999999999999</v>
      </c>
      <c r="O1176" s="14">
        <f>tblSprzedaz[[#This Row],[Przychód netto]]-tblSprzedaz[[#This Row],[Koszt całkowity netto]]</f>
        <v>94.44</v>
      </c>
      <c r="P1176" s="15">
        <f>IFERROR(tblSprzedaz[[#This Row],[Marża kwotowa]]/tblSprzedaz[[#This Row],[Przychód netto]],0)</f>
        <v>0.39908722109533468</v>
      </c>
      <c r="Q1176" s="16">
        <f>YEAR(tblSprzedaz[[#This Row],[Data]])</f>
        <v>2025</v>
      </c>
      <c r="R1176" s="16">
        <f>MONTH(tblSprzedaz[[#This Row],[Data]])</f>
        <v>11</v>
      </c>
      <c r="S1176" s="9" t="str">
        <f>YEAR(tblSprzedaz[[#This Row],[Data]])&amp;"-"&amp;RIGHT("0"&amp;MONTH(tblSprzedaz[[#This Row],[Data]]),2)</f>
        <v>2025-11</v>
      </c>
    </row>
    <row r="1177" spans="1:19" x14ac:dyDescent="0.25">
      <c r="A1177" s="7" t="s">
        <v>2521</v>
      </c>
      <c r="B1177" s="10">
        <v>45967</v>
      </c>
      <c r="C1177" s="7" t="s">
        <v>2522</v>
      </c>
      <c r="D1177" s="8" t="s">
        <v>83</v>
      </c>
      <c r="E1177" s="8" t="s">
        <v>71</v>
      </c>
      <c r="F1177" s="8" t="s">
        <v>35</v>
      </c>
      <c r="G1177" s="8" t="s">
        <v>32</v>
      </c>
      <c r="H1177" s="8" t="s">
        <v>43</v>
      </c>
      <c r="I1177" s="11">
        <v>1</v>
      </c>
      <c r="J1177" s="12">
        <v>55.76</v>
      </c>
      <c r="K1177" s="13">
        <v>0</v>
      </c>
      <c r="L1177" s="12">
        <v>42.4</v>
      </c>
      <c r="M1177" s="14">
        <f>ROUND(tblSprzedaz[[#This Row],[Ilość]]*tblSprzedaz[[#This Row],[Cena netto jednostkowa]]*(1-tblSprzedaz[[#This Row],[Rabat %]]),2)</f>
        <v>55.76</v>
      </c>
      <c r="N1177" s="14">
        <f>ROUND(tblSprzedaz[[#This Row],[Ilość]]*tblSprzedaz[[#This Row],[Koszt jednostkowy netto]],2)</f>
        <v>42.4</v>
      </c>
      <c r="O1177" s="14">
        <f>tblSprzedaz[[#This Row],[Przychód netto]]-tblSprzedaz[[#This Row],[Koszt całkowity netto]]</f>
        <v>13.36</v>
      </c>
      <c r="P1177" s="15">
        <f>IFERROR(tblSprzedaz[[#This Row],[Marża kwotowa]]/tblSprzedaz[[#This Row],[Przychód netto]],0)</f>
        <v>0.23959827833572453</v>
      </c>
      <c r="Q1177" s="16">
        <f>YEAR(tblSprzedaz[[#This Row],[Data]])</f>
        <v>2025</v>
      </c>
      <c r="R1177" s="16">
        <f>MONTH(tblSprzedaz[[#This Row],[Data]])</f>
        <v>11</v>
      </c>
      <c r="S1177" s="9" t="str">
        <f>YEAR(tblSprzedaz[[#This Row],[Data]])&amp;"-"&amp;RIGHT("0"&amp;MONTH(tblSprzedaz[[#This Row],[Data]]),2)</f>
        <v>2025-11</v>
      </c>
    </row>
    <row r="1178" spans="1:19" x14ac:dyDescent="0.25">
      <c r="A1178" s="7" t="s">
        <v>2523</v>
      </c>
      <c r="B1178" s="10">
        <v>45967</v>
      </c>
      <c r="C1178" s="7" t="s">
        <v>2524</v>
      </c>
      <c r="D1178" s="8" t="s">
        <v>138</v>
      </c>
      <c r="E1178" s="8" t="s">
        <v>56</v>
      </c>
      <c r="F1178" s="8" t="s">
        <v>31</v>
      </c>
      <c r="G1178" s="8" t="s">
        <v>28</v>
      </c>
      <c r="H1178" s="8" t="s">
        <v>38</v>
      </c>
      <c r="I1178" s="11">
        <v>17</v>
      </c>
      <c r="J1178" s="12">
        <v>279.3</v>
      </c>
      <c r="K1178" s="13">
        <v>0.05</v>
      </c>
      <c r="L1178" s="12">
        <v>174.45</v>
      </c>
      <c r="M1178" s="14">
        <f>ROUND(tblSprzedaz[[#This Row],[Ilość]]*tblSprzedaz[[#This Row],[Cena netto jednostkowa]]*(1-tblSprzedaz[[#This Row],[Rabat %]]),2)</f>
        <v>4510.7</v>
      </c>
      <c r="N1178" s="14">
        <f>ROUND(tblSprzedaz[[#This Row],[Ilość]]*tblSprzedaz[[#This Row],[Koszt jednostkowy netto]],2)</f>
        <v>2965.65</v>
      </c>
      <c r="O1178" s="14">
        <f>tblSprzedaz[[#This Row],[Przychód netto]]-tblSprzedaz[[#This Row],[Koszt całkowity netto]]</f>
        <v>1545.0499999999997</v>
      </c>
      <c r="P1178" s="15">
        <f>IFERROR(tblSprzedaz[[#This Row],[Marża kwotowa]]/tblSprzedaz[[#This Row],[Przychód netto]],0)</f>
        <v>0.34252998425964926</v>
      </c>
      <c r="Q1178" s="16">
        <f>YEAR(tblSprzedaz[[#This Row],[Data]])</f>
        <v>2025</v>
      </c>
      <c r="R1178" s="16">
        <f>MONTH(tblSprzedaz[[#This Row],[Data]])</f>
        <v>11</v>
      </c>
      <c r="S1178" s="9" t="str">
        <f>YEAR(tblSprzedaz[[#This Row],[Data]])&amp;"-"&amp;RIGHT("0"&amp;MONTH(tblSprzedaz[[#This Row],[Data]]),2)</f>
        <v>2025-11</v>
      </c>
    </row>
    <row r="1179" spans="1:19" x14ac:dyDescent="0.25">
      <c r="A1179" s="7" t="s">
        <v>2525</v>
      </c>
      <c r="B1179" s="10">
        <v>45968</v>
      </c>
      <c r="C1179" s="7" t="s">
        <v>2526</v>
      </c>
      <c r="D1179" s="8" t="s">
        <v>103</v>
      </c>
      <c r="E1179" s="8" t="s">
        <v>52</v>
      </c>
      <c r="F1179" s="8" t="s">
        <v>29</v>
      </c>
      <c r="G1179" s="8" t="s">
        <v>36</v>
      </c>
      <c r="H1179" s="8" t="s">
        <v>46</v>
      </c>
      <c r="I1179" s="11">
        <v>12</v>
      </c>
      <c r="J1179" s="12">
        <v>56.78</v>
      </c>
      <c r="K1179" s="13">
        <v>0.1</v>
      </c>
      <c r="L1179" s="12">
        <v>32.4</v>
      </c>
      <c r="M1179" s="14">
        <f>ROUND(tblSprzedaz[[#This Row],[Ilość]]*tblSprzedaz[[#This Row],[Cena netto jednostkowa]]*(1-tblSprzedaz[[#This Row],[Rabat %]]),2)</f>
        <v>613.22</v>
      </c>
      <c r="N1179" s="14">
        <f>ROUND(tblSprzedaz[[#This Row],[Ilość]]*tblSprzedaz[[#This Row],[Koszt jednostkowy netto]],2)</f>
        <v>388.8</v>
      </c>
      <c r="O1179" s="14">
        <f>tblSprzedaz[[#This Row],[Przychód netto]]-tblSprzedaz[[#This Row],[Koszt całkowity netto]]</f>
        <v>224.42000000000002</v>
      </c>
      <c r="P1179" s="15">
        <f>IFERROR(tblSprzedaz[[#This Row],[Marża kwotowa]]/tblSprzedaz[[#This Row],[Przychód netto]],0)</f>
        <v>0.36596979876716351</v>
      </c>
      <c r="Q1179" s="16">
        <f>YEAR(tblSprzedaz[[#This Row],[Data]])</f>
        <v>2025</v>
      </c>
      <c r="R1179" s="16">
        <f>MONTH(tblSprzedaz[[#This Row],[Data]])</f>
        <v>11</v>
      </c>
      <c r="S1179" s="9" t="str">
        <f>YEAR(tblSprzedaz[[#This Row],[Data]])&amp;"-"&amp;RIGHT("0"&amp;MONTH(tblSprzedaz[[#This Row],[Data]]),2)</f>
        <v>2025-11</v>
      </c>
    </row>
    <row r="1180" spans="1:19" x14ac:dyDescent="0.25">
      <c r="A1180" s="7" t="s">
        <v>2527</v>
      </c>
      <c r="B1180" s="10">
        <v>45968</v>
      </c>
      <c r="C1180" s="7" t="s">
        <v>2528</v>
      </c>
      <c r="D1180" s="8" t="s">
        <v>116</v>
      </c>
      <c r="E1180" s="8" t="s">
        <v>48</v>
      </c>
      <c r="F1180" s="8" t="s">
        <v>29</v>
      </c>
      <c r="G1180" s="8" t="s">
        <v>34</v>
      </c>
      <c r="H1180" s="8" t="s">
        <v>44</v>
      </c>
      <c r="I1180" s="11">
        <v>3</v>
      </c>
      <c r="J1180" s="12">
        <v>33.659999999999997</v>
      </c>
      <c r="K1180" s="13">
        <v>0</v>
      </c>
      <c r="L1180" s="12">
        <v>19.940000000000001</v>
      </c>
      <c r="M1180" s="14">
        <f>ROUND(tblSprzedaz[[#This Row],[Ilość]]*tblSprzedaz[[#This Row],[Cena netto jednostkowa]]*(1-tblSprzedaz[[#This Row],[Rabat %]]),2)</f>
        <v>100.98</v>
      </c>
      <c r="N1180" s="14">
        <f>ROUND(tblSprzedaz[[#This Row],[Ilość]]*tblSprzedaz[[#This Row],[Koszt jednostkowy netto]],2)</f>
        <v>59.82</v>
      </c>
      <c r="O1180" s="14">
        <f>tblSprzedaz[[#This Row],[Przychód netto]]-tblSprzedaz[[#This Row],[Koszt całkowity netto]]</f>
        <v>41.160000000000004</v>
      </c>
      <c r="P1180" s="15">
        <f>IFERROR(tblSprzedaz[[#This Row],[Marża kwotowa]]/tblSprzedaz[[#This Row],[Przychód netto]],0)</f>
        <v>0.40760546642899587</v>
      </c>
      <c r="Q1180" s="16">
        <f>YEAR(tblSprzedaz[[#This Row],[Data]])</f>
        <v>2025</v>
      </c>
      <c r="R1180" s="16">
        <f>MONTH(tblSprzedaz[[#This Row],[Data]])</f>
        <v>11</v>
      </c>
      <c r="S1180" s="9" t="str">
        <f>YEAR(tblSprzedaz[[#This Row],[Data]])&amp;"-"&amp;RIGHT("0"&amp;MONTH(tblSprzedaz[[#This Row],[Data]]),2)</f>
        <v>2025-11</v>
      </c>
    </row>
    <row r="1181" spans="1:19" x14ac:dyDescent="0.25">
      <c r="A1181" s="7" t="s">
        <v>2529</v>
      </c>
      <c r="B1181" s="10">
        <v>45968</v>
      </c>
      <c r="C1181" s="7" t="s">
        <v>2530</v>
      </c>
      <c r="D1181" s="8" t="s">
        <v>94</v>
      </c>
      <c r="E1181" s="8" t="s">
        <v>76</v>
      </c>
      <c r="F1181" s="8" t="s">
        <v>37</v>
      </c>
      <c r="G1181" s="8" t="s">
        <v>36</v>
      </c>
      <c r="H1181" s="8" t="s">
        <v>46</v>
      </c>
      <c r="I1181" s="11">
        <v>25</v>
      </c>
      <c r="J1181" s="12">
        <v>158.65</v>
      </c>
      <c r="K1181" s="13">
        <v>0.1</v>
      </c>
      <c r="L1181" s="12">
        <v>124.09</v>
      </c>
      <c r="M1181" s="14">
        <f>ROUND(tblSprzedaz[[#This Row],[Ilość]]*tblSprzedaz[[#This Row],[Cena netto jednostkowa]]*(1-tblSprzedaz[[#This Row],[Rabat %]]),2)</f>
        <v>3569.63</v>
      </c>
      <c r="N1181" s="14">
        <f>ROUND(tblSprzedaz[[#This Row],[Ilość]]*tblSprzedaz[[#This Row],[Koszt jednostkowy netto]],2)</f>
        <v>3102.25</v>
      </c>
      <c r="O1181" s="14">
        <f>tblSprzedaz[[#This Row],[Przychód netto]]-tblSprzedaz[[#This Row],[Koszt całkowity netto]]</f>
        <v>467.38000000000011</v>
      </c>
      <c r="P1181" s="15">
        <f>IFERROR(tblSprzedaz[[#This Row],[Marża kwotowa]]/tblSprzedaz[[#This Row],[Przychód netto]],0)</f>
        <v>0.13093233752517772</v>
      </c>
      <c r="Q1181" s="16">
        <f>YEAR(tblSprzedaz[[#This Row],[Data]])</f>
        <v>2025</v>
      </c>
      <c r="R1181" s="16">
        <f>MONTH(tblSprzedaz[[#This Row],[Data]])</f>
        <v>11</v>
      </c>
      <c r="S1181" s="9" t="str">
        <f>YEAR(tblSprzedaz[[#This Row],[Data]])&amp;"-"&amp;RIGHT("0"&amp;MONTH(tblSprzedaz[[#This Row],[Data]]),2)</f>
        <v>2025-11</v>
      </c>
    </row>
    <row r="1182" spans="1:19" x14ac:dyDescent="0.25">
      <c r="A1182" s="7" t="s">
        <v>2531</v>
      </c>
      <c r="B1182" s="10">
        <v>45968</v>
      </c>
      <c r="C1182" s="7" t="s">
        <v>2532</v>
      </c>
      <c r="D1182" s="8" t="s">
        <v>88</v>
      </c>
      <c r="E1182" s="8" t="s">
        <v>67</v>
      </c>
      <c r="F1182" s="8" t="s">
        <v>35</v>
      </c>
      <c r="G1182" s="8" t="s">
        <v>34</v>
      </c>
      <c r="H1182" s="8" t="s">
        <v>45</v>
      </c>
      <c r="I1182" s="11">
        <v>3</v>
      </c>
      <c r="J1182" s="12">
        <v>78.88</v>
      </c>
      <c r="K1182" s="13">
        <v>0.05</v>
      </c>
      <c r="L1182" s="12">
        <v>55.59</v>
      </c>
      <c r="M1182" s="14">
        <f>ROUND(tblSprzedaz[[#This Row],[Ilość]]*tblSprzedaz[[#This Row],[Cena netto jednostkowa]]*(1-tblSprzedaz[[#This Row],[Rabat %]]),2)</f>
        <v>224.81</v>
      </c>
      <c r="N1182" s="14">
        <f>ROUND(tblSprzedaz[[#This Row],[Ilość]]*tblSprzedaz[[#This Row],[Koszt jednostkowy netto]],2)</f>
        <v>166.77</v>
      </c>
      <c r="O1182" s="14">
        <f>tblSprzedaz[[#This Row],[Przychód netto]]-tblSprzedaz[[#This Row],[Koszt całkowity netto]]</f>
        <v>58.039999999999992</v>
      </c>
      <c r="P1182" s="15">
        <f>IFERROR(tblSprzedaz[[#This Row],[Marża kwotowa]]/tblSprzedaz[[#This Row],[Przychód netto]],0)</f>
        <v>0.25817356879142384</v>
      </c>
      <c r="Q1182" s="16">
        <f>YEAR(tblSprzedaz[[#This Row],[Data]])</f>
        <v>2025</v>
      </c>
      <c r="R1182" s="16">
        <f>MONTH(tblSprzedaz[[#This Row],[Data]])</f>
        <v>11</v>
      </c>
      <c r="S1182" s="9" t="str">
        <f>YEAR(tblSprzedaz[[#This Row],[Data]])&amp;"-"&amp;RIGHT("0"&amp;MONTH(tblSprzedaz[[#This Row],[Data]]),2)</f>
        <v>2025-11</v>
      </c>
    </row>
    <row r="1183" spans="1:19" x14ac:dyDescent="0.25">
      <c r="A1183" s="7" t="s">
        <v>2533</v>
      </c>
      <c r="B1183" s="10">
        <v>45968</v>
      </c>
      <c r="C1183" s="7" t="s">
        <v>2534</v>
      </c>
      <c r="D1183" s="8" t="s">
        <v>109</v>
      </c>
      <c r="E1183" s="8" t="s">
        <v>48</v>
      </c>
      <c r="F1183" s="8" t="s">
        <v>29</v>
      </c>
      <c r="G1183" s="8" t="s">
        <v>32</v>
      </c>
      <c r="H1183" s="8" t="s">
        <v>42</v>
      </c>
      <c r="I1183" s="11">
        <v>40</v>
      </c>
      <c r="J1183" s="12">
        <v>33.659999999999997</v>
      </c>
      <c r="K1183" s="13">
        <v>0.15</v>
      </c>
      <c r="L1183" s="12">
        <v>20.57</v>
      </c>
      <c r="M1183" s="14">
        <f>ROUND(tblSprzedaz[[#This Row],[Ilość]]*tblSprzedaz[[#This Row],[Cena netto jednostkowa]]*(1-tblSprzedaz[[#This Row],[Rabat %]]),2)</f>
        <v>1144.44</v>
      </c>
      <c r="N1183" s="14">
        <f>ROUND(tblSprzedaz[[#This Row],[Ilość]]*tblSprzedaz[[#This Row],[Koszt jednostkowy netto]],2)</f>
        <v>822.8</v>
      </c>
      <c r="O1183" s="14">
        <f>tblSprzedaz[[#This Row],[Przychód netto]]-tblSprzedaz[[#This Row],[Koszt całkowity netto]]</f>
        <v>321.6400000000001</v>
      </c>
      <c r="P1183" s="15">
        <f>IFERROR(tblSprzedaz[[#This Row],[Marża kwotowa]]/tblSprzedaz[[#This Row],[Przychód netto]],0)</f>
        <v>0.28104575163398698</v>
      </c>
      <c r="Q1183" s="16">
        <f>YEAR(tblSprzedaz[[#This Row],[Data]])</f>
        <v>2025</v>
      </c>
      <c r="R1183" s="16">
        <f>MONTH(tblSprzedaz[[#This Row],[Data]])</f>
        <v>11</v>
      </c>
      <c r="S1183" s="9" t="str">
        <f>YEAR(tblSprzedaz[[#This Row],[Data]])&amp;"-"&amp;RIGHT("0"&amp;MONTH(tblSprzedaz[[#This Row],[Data]]),2)</f>
        <v>2025-11</v>
      </c>
    </row>
    <row r="1184" spans="1:19" x14ac:dyDescent="0.25">
      <c r="A1184" s="7" t="s">
        <v>2535</v>
      </c>
      <c r="B1184" s="10">
        <v>45968</v>
      </c>
      <c r="C1184" s="7" t="s">
        <v>2536</v>
      </c>
      <c r="D1184" s="8" t="s">
        <v>95</v>
      </c>
      <c r="E1184" s="8" t="s">
        <v>54</v>
      </c>
      <c r="F1184" s="8" t="s">
        <v>31</v>
      </c>
      <c r="G1184" s="8" t="s">
        <v>34</v>
      </c>
      <c r="H1184" s="8" t="s">
        <v>44</v>
      </c>
      <c r="I1184" s="11">
        <v>10</v>
      </c>
      <c r="J1184" s="12">
        <v>207.9</v>
      </c>
      <c r="K1184" s="13">
        <v>0</v>
      </c>
      <c r="L1184" s="12">
        <v>128.88999999999999</v>
      </c>
      <c r="M1184" s="14">
        <f>ROUND(tblSprzedaz[[#This Row],[Ilość]]*tblSprzedaz[[#This Row],[Cena netto jednostkowa]]*(1-tblSprzedaz[[#This Row],[Rabat %]]),2)</f>
        <v>2079</v>
      </c>
      <c r="N1184" s="14">
        <f>ROUND(tblSprzedaz[[#This Row],[Ilość]]*tblSprzedaz[[#This Row],[Koszt jednostkowy netto]],2)</f>
        <v>1288.9000000000001</v>
      </c>
      <c r="O1184" s="14">
        <f>tblSprzedaz[[#This Row],[Przychód netto]]-tblSprzedaz[[#This Row],[Koszt całkowity netto]]</f>
        <v>790.09999999999991</v>
      </c>
      <c r="P1184" s="15">
        <f>IFERROR(tblSprzedaz[[#This Row],[Marża kwotowa]]/tblSprzedaz[[#This Row],[Przychód netto]],0)</f>
        <v>0.38003848003848001</v>
      </c>
      <c r="Q1184" s="16">
        <f>YEAR(tblSprzedaz[[#This Row],[Data]])</f>
        <v>2025</v>
      </c>
      <c r="R1184" s="16">
        <f>MONTH(tblSprzedaz[[#This Row],[Data]])</f>
        <v>11</v>
      </c>
      <c r="S1184" s="9" t="str">
        <f>YEAR(tblSprzedaz[[#This Row],[Data]])&amp;"-"&amp;RIGHT("0"&amp;MONTH(tblSprzedaz[[#This Row],[Data]]),2)</f>
        <v>2025-11</v>
      </c>
    </row>
    <row r="1185" spans="1:19" x14ac:dyDescent="0.25">
      <c r="A1185" s="7" t="s">
        <v>2537</v>
      </c>
      <c r="B1185" s="10">
        <v>45968</v>
      </c>
      <c r="C1185" s="7" t="s">
        <v>2538</v>
      </c>
      <c r="D1185" s="8" t="s">
        <v>84</v>
      </c>
      <c r="E1185" s="8" t="s">
        <v>61</v>
      </c>
      <c r="F1185" s="8" t="s">
        <v>33</v>
      </c>
      <c r="G1185" s="8" t="s">
        <v>32</v>
      </c>
      <c r="H1185" s="8" t="s">
        <v>43</v>
      </c>
      <c r="I1185" s="11">
        <v>36</v>
      </c>
      <c r="J1185" s="12">
        <v>533.6</v>
      </c>
      <c r="K1185" s="13">
        <v>0</v>
      </c>
      <c r="L1185" s="12">
        <v>376.81</v>
      </c>
      <c r="M1185" s="14">
        <f>ROUND(tblSprzedaz[[#This Row],[Ilość]]*tblSprzedaz[[#This Row],[Cena netto jednostkowa]]*(1-tblSprzedaz[[#This Row],[Rabat %]]),2)</f>
        <v>19209.599999999999</v>
      </c>
      <c r="N1185" s="14">
        <f>ROUND(tblSprzedaz[[#This Row],[Ilość]]*tblSprzedaz[[#This Row],[Koszt jednostkowy netto]],2)</f>
        <v>13565.16</v>
      </c>
      <c r="O1185" s="14">
        <f>tblSprzedaz[[#This Row],[Przychód netto]]-tblSprzedaz[[#This Row],[Koszt całkowity netto]]</f>
        <v>5644.4399999999987</v>
      </c>
      <c r="P1185" s="15">
        <f>IFERROR(tblSprzedaz[[#This Row],[Marża kwotowa]]/tblSprzedaz[[#This Row],[Przychód netto]],0)</f>
        <v>0.29383433283358318</v>
      </c>
      <c r="Q1185" s="16">
        <f>YEAR(tblSprzedaz[[#This Row],[Data]])</f>
        <v>2025</v>
      </c>
      <c r="R1185" s="16">
        <f>MONTH(tblSprzedaz[[#This Row],[Data]])</f>
        <v>11</v>
      </c>
      <c r="S1185" s="9" t="str">
        <f>YEAR(tblSprzedaz[[#This Row],[Data]])&amp;"-"&amp;RIGHT("0"&amp;MONTH(tblSprzedaz[[#This Row],[Data]]),2)</f>
        <v>2025-11</v>
      </c>
    </row>
    <row r="1186" spans="1:19" x14ac:dyDescent="0.25">
      <c r="A1186" s="7" t="s">
        <v>2539</v>
      </c>
      <c r="B1186" s="10">
        <v>45968</v>
      </c>
      <c r="C1186" s="7" t="s">
        <v>2540</v>
      </c>
      <c r="D1186" s="8" t="s">
        <v>81</v>
      </c>
      <c r="E1186" s="8" t="s">
        <v>72</v>
      </c>
      <c r="F1186" s="8" t="s">
        <v>37</v>
      </c>
      <c r="G1186" s="8" t="s">
        <v>30</v>
      </c>
      <c r="H1186" s="8" t="s">
        <v>41</v>
      </c>
      <c r="I1186" s="11">
        <v>10</v>
      </c>
      <c r="J1186" s="12">
        <v>94.05</v>
      </c>
      <c r="K1186" s="13">
        <v>0</v>
      </c>
      <c r="L1186" s="12">
        <v>72.62</v>
      </c>
      <c r="M1186" s="14">
        <f>ROUND(tblSprzedaz[[#This Row],[Ilość]]*tblSprzedaz[[#This Row],[Cena netto jednostkowa]]*(1-tblSprzedaz[[#This Row],[Rabat %]]),2)</f>
        <v>940.5</v>
      </c>
      <c r="N1186" s="14">
        <f>ROUND(tblSprzedaz[[#This Row],[Ilość]]*tblSprzedaz[[#This Row],[Koszt jednostkowy netto]],2)</f>
        <v>726.2</v>
      </c>
      <c r="O1186" s="14">
        <f>tblSprzedaz[[#This Row],[Przychód netto]]-tblSprzedaz[[#This Row],[Koszt całkowity netto]]</f>
        <v>214.29999999999995</v>
      </c>
      <c r="P1186" s="15">
        <f>IFERROR(tblSprzedaz[[#This Row],[Marża kwotowa]]/tblSprzedaz[[#This Row],[Przychód netto]],0)</f>
        <v>0.22785752259436465</v>
      </c>
      <c r="Q1186" s="16">
        <f>YEAR(tblSprzedaz[[#This Row],[Data]])</f>
        <v>2025</v>
      </c>
      <c r="R1186" s="16">
        <f>MONTH(tblSprzedaz[[#This Row],[Data]])</f>
        <v>11</v>
      </c>
      <c r="S1186" s="9" t="str">
        <f>YEAR(tblSprzedaz[[#This Row],[Data]])&amp;"-"&amp;RIGHT("0"&amp;MONTH(tblSprzedaz[[#This Row],[Data]]),2)</f>
        <v>2025-11</v>
      </c>
    </row>
    <row r="1187" spans="1:19" x14ac:dyDescent="0.25">
      <c r="A1187" s="7" t="s">
        <v>2541</v>
      </c>
      <c r="B1187" s="10">
        <v>45968</v>
      </c>
      <c r="C1187" s="7" t="s">
        <v>2542</v>
      </c>
      <c r="D1187" s="8" t="s">
        <v>87</v>
      </c>
      <c r="E1187" s="8" t="s">
        <v>68</v>
      </c>
      <c r="F1187" s="8" t="s">
        <v>35</v>
      </c>
      <c r="G1187" s="8" t="s">
        <v>32</v>
      </c>
      <c r="H1187" s="8" t="s">
        <v>42</v>
      </c>
      <c r="I1187" s="11">
        <v>18</v>
      </c>
      <c r="J1187" s="12">
        <v>90.44</v>
      </c>
      <c r="K1187" s="13">
        <v>0.1</v>
      </c>
      <c r="L1187" s="12">
        <v>63.45</v>
      </c>
      <c r="M1187" s="14">
        <f>ROUND(tblSprzedaz[[#This Row],[Ilość]]*tblSprzedaz[[#This Row],[Cena netto jednostkowa]]*(1-tblSprzedaz[[#This Row],[Rabat %]]),2)</f>
        <v>1465.13</v>
      </c>
      <c r="N1187" s="14">
        <f>ROUND(tblSprzedaz[[#This Row],[Ilość]]*tblSprzedaz[[#This Row],[Koszt jednostkowy netto]],2)</f>
        <v>1142.0999999999999</v>
      </c>
      <c r="O1187" s="14">
        <f>tblSprzedaz[[#This Row],[Przychód netto]]-tblSprzedaz[[#This Row],[Koszt całkowity netto]]</f>
        <v>323.0300000000002</v>
      </c>
      <c r="P1187" s="15">
        <f>IFERROR(tblSprzedaz[[#This Row],[Marża kwotowa]]/tblSprzedaz[[#This Row],[Przychód netto]],0)</f>
        <v>0.22047872884999978</v>
      </c>
      <c r="Q1187" s="16">
        <f>YEAR(tblSprzedaz[[#This Row],[Data]])</f>
        <v>2025</v>
      </c>
      <c r="R1187" s="16">
        <f>MONTH(tblSprzedaz[[#This Row],[Data]])</f>
        <v>11</v>
      </c>
      <c r="S1187" s="9" t="str">
        <f>YEAR(tblSprzedaz[[#This Row],[Data]])&amp;"-"&amp;RIGHT("0"&amp;MONTH(tblSprzedaz[[#This Row],[Data]]),2)</f>
        <v>2025-11</v>
      </c>
    </row>
    <row r="1188" spans="1:19" x14ac:dyDescent="0.25">
      <c r="A1188" s="7" t="s">
        <v>2543</v>
      </c>
      <c r="B1188" s="10">
        <v>45969</v>
      </c>
      <c r="C1188" s="7" t="s">
        <v>2544</v>
      </c>
      <c r="D1188" s="8" t="s">
        <v>119</v>
      </c>
      <c r="E1188" s="8" t="s">
        <v>72</v>
      </c>
      <c r="F1188" s="8" t="s">
        <v>37</v>
      </c>
      <c r="G1188" s="8" t="s">
        <v>34</v>
      </c>
      <c r="H1188" s="8" t="s">
        <v>44</v>
      </c>
      <c r="I1188" s="11">
        <v>11</v>
      </c>
      <c r="J1188" s="12">
        <v>94.05</v>
      </c>
      <c r="K1188" s="13">
        <v>0</v>
      </c>
      <c r="L1188" s="12">
        <v>70.849999999999994</v>
      </c>
      <c r="M1188" s="14">
        <f>ROUND(tblSprzedaz[[#This Row],[Ilość]]*tblSprzedaz[[#This Row],[Cena netto jednostkowa]]*(1-tblSprzedaz[[#This Row],[Rabat %]]),2)</f>
        <v>1034.55</v>
      </c>
      <c r="N1188" s="14">
        <f>ROUND(tblSprzedaz[[#This Row],[Ilość]]*tblSprzedaz[[#This Row],[Koszt jednostkowy netto]],2)</f>
        <v>779.35</v>
      </c>
      <c r="O1188" s="14">
        <f>tblSprzedaz[[#This Row],[Przychód netto]]-tblSprzedaz[[#This Row],[Koszt całkowity netto]]</f>
        <v>255.19999999999993</v>
      </c>
      <c r="P1188" s="15">
        <f>IFERROR(tblSprzedaz[[#This Row],[Marża kwotowa]]/tblSprzedaz[[#This Row],[Przychód netto]],0)</f>
        <v>0.24667729930887819</v>
      </c>
      <c r="Q1188" s="16">
        <f>YEAR(tblSprzedaz[[#This Row],[Data]])</f>
        <v>2025</v>
      </c>
      <c r="R1188" s="16">
        <f>MONTH(tblSprzedaz[[#This Row],[Data]])</f>
        <v>11</v>
      </c>
      <c r="S1188" s="9" t="str">
        <f>YEAR(tblSprzedaz[[#This Row],[Data]])&amp;"-"&amp;RIGHT("0"&amp;MONTH(tblSprzedaz[[#This Row],[Data]]),2)</f>
        <v>2025-11</v>
      </c>
    </row>
    <row r="1189" spans="1:19" x14ac:dyDescent="0.25">
      <c r="A1189" s="7" t="s">
        <v>2545</v>
      </c>
      <c r="B1189" s="10">
        <v>45970</v>
      </c>
      <c r="C1189" s="7" t="s">
        <v>2546</v>
      </c>
      <c r="D1189" s="8" t="s">
        <v>127</v>
      </c>
      <c r="E1189" s="8" t="s">
        <v>72</v>
      </c>
      <c r="F1189" s="8" t="s">
        <v>37</v>
      </c>
      <c r="G1189" s="8" t="s">
        <v>36</v>
      </c>
      <c r="H1189" s="8" t="s">
        <v>47</v>
      </c>
      <c r="I1189" s="11">
        <v>1</v>
      </c>
      <c r="J1189" s="12">
        <v>94.05</v>
      </c>
      <c r="K1189" s="13">
        <v>0.05</v>
      </c>
      <c r="L1189" s="12">
        <v>75.459999999999994</v>
      </c>
      <c r="M1189" s="14">
        <f>ROUND(tblSprzedaz[[#This Row],[Ilość]]*tblSprzedaz[[#This Row],[Cena netto jednostkowa]]*(1-tblSprzedaz[[#This Row],[Rabat %]]),2)</f>
        <v>89.35</v>
      </c>
      <c r="N1189" s="14">
        <f>ROUND(tblSprzedaz[[#This Row],[Ilość]]*tblSprzedaz[[#This Row],[Koszt jednostkowy netto]],2)</f>
        <v>75.459999999999994</v>
      </c>
      <c r="O1189" s="14">
        <f>tblSprzedaz[[#This Row],[Przychód netto]]-tblSprzedaz[[#This Row],[Koszt całkowity netto]]</f>
        <v>13.89</v>
      </c>
      <c r="P1189" s="15">
        <f>IFERROR(tblSprzedaz[[#This Row],[Marża kwotowa]]/tblSprzedaz[[#This Row],[Przychód netto]],0)</f>
        <v>0.15545607162842756</v>
      </c>
      <c r="Q1189" s="16">
        <f>YEAR(tblSprzedaz[[#This Row],[Data]])</f>
        <v>2025</v>
      </c>
      <c r="R1189" s="16">
        <f>MONTH(tblSprzedaz[[#This Row],[Data]])</f>
        <v>11</v>
      </c>
      <c r="S1189" s="9" t="str">
        <f>YEAR(tblSprzedaz[[#This Row],[Data]])&amp;"-"&amp;RIGHT("0"&amp;MONTH(tblSprzedaz[[#This Row],[Data]]),2)</f>
        <v>2025-11</v>
      </c>
    </row>
    <row r="1190" spans="1:19" x14ac:dyDescent="0.25">
      <c r="A1190" s="7" t="s">
        <v>2547</v>
      </c>
      <c r="B1190" s="10">
        <v>45971</v>
      </c>
      <c r="C1190" s="7" t="s">
        <v>2548</v>
      </c>
      <c r="D1190" s="8" t="s">
        <v>135</v>
      </c>
      <c r="E1190" s="8" t="s">
        <v>58</v>
      </c>
      <c r="F1190" s="8" t="s">
        <v>31</v>
      </c>
      <c r="G1190" s="8" t="s">
        <v>30</v>
      </c>
      <c r="H1190" s="8" t="s">
        <v>41</v>
      </c>
      <c r="I1190" s="11">
        <v>26</v>
      </c>
      <c r="J1190" s="12">
        <v>350.7</v>
      </c>
      <c r="K1190" s="13">
        <v>0.15</v>
      </c>
      <c r="L1190" s="12">
        <v>215.78</v>
      </c>
      <c r="M1190" s="14">
        <f>ROUND(tblSprzedaz[[#This Row],[Ilość]]*tblSprzedaz[[#This Row],[Cena netto jednostkowa]]*(1-tblSprzedaz[[#This Row],[Rabat %]]),2)</f>
        <v>7750.47</v>
      </c>
      <c r="N1190" s="14">
        <f>ROUND(tblSprzedaz[[#This Row],[Ilość]]*tblSprzedaz[[#This Row],[Koszt jednostkowy netto]],2)</f>
        <v>5610.28</v>
      </c>
      <c r="O1190" s="14">
        <f>tblSprzedaz[[#This Row],[Przychód netto]]-tblSprzedaz[[#This Row],[Koszt całkowity netto]]</f>
        <v>2140.1900000000005</v>
      </c>
      <c r="P1190" s="15">
        <f>IFERROR(tblSprzedaz[[#This Row],[Marża kwotowa]]/tblSprzedaz[[#This Row],[Przychód netto]],0)</f>
        <v>0.27613680202619978</v>
      </c>
      <c r="Q1190" s="16">
        <f>YEAR(tblSprzedaz[[#This Row],[Data]])</f>
        <v>2025</v>
      </c>
      <c r="R1190" s="16">
        <f>MONTH(tblSprzedaz[[#This Row],[Data]])</f>
        <v>11</v>
      </c>
      <c r="S1190" s="9" t="str">
        <f>YEAR(tblSprzedaz[[#This Row],[Data]])&amp;"-"&amp;RIGHT("0"&amp;MONTH(tblSprzedaz[[#This Row],[Data]]),2)</f>
        <v>2025-11</v>
      </c>
    </row>
    <row r="1191" spans="1:19" x14ac:dyDescent="0.25">
      <c r="A1191" s="7" t="s">
        <v>2549</v>
      </c>
      <c r="B1191" s="10">
        <v>45971</v>
      </c>
      <c r="C1191" s="7" t="s">
        <v>2550</v>
      </c>
      <c r="D1191" s="8" t="s">
        <v>88</v>
      </c>
      <c r="E1191" s="8" t="s">
        <v>58</v>
      </c>
      <c r="F1191" s="8" t="s">
        <v>31</v>
      </c>
      <c r="G1191" s="8" t="s">
        <v>36</v>
      </c>
      <c r="H1191" s="8" t="s">
        <v>46</v>
      </c>
      <c r="I1191" s="11">
        <v>8</v>
      </c>
      <c r="J1191" s="12">
        <v>350.7</v>
      </c>
      <c r="K1191" s="13">
        <v>0.1</v>
      </c>
      <c r="L1191" s="12">
        <v>227.96</v>
      </c>
      <c r="M1191" s="14">
        <f>ROUND(tblSprzedaz[[#This Row],[Ilość]]*tblSprzedaz[[#This Row],[Cena netto jednostkowa]]*(1-tblSprzedaz[[#This Row],[Rabat %]]),2)</f>
        <v>2525.04</v>
      </c>
      <c r="N1191" s="14">
        <f>ROUND(tblSprzedaz[[#This Row],[Ilość]]*tblSprzedaz[[#This Row],[Koszt jednostkowy netto]],2)</f>
        <v>1823.68</v>
      </c>
      <c r="O1191" s="14">
        <f>tblSprzedaz[[#This Row],[Przychód netto]]-tblSprzedaz[[#This Row],[Koszt całkowity netto]]</f>
        <v>701.3599999999999</v>
      </c>
      <c r="P1191" s="15">
        <f>IFERROR(tblSprzedaz[[#This Row],[Marża kwotowa]]/tblSprzedaz[[#This Row],[Przychód netto]],0)</f>
        <v>0.27776193644457114</v>
      </c>
      <c r="Q1191" s="16">
        <f>YEAR(tblSprzedaz[[#This Row],[Data]])</f>
        <v>2025</v>
      </c>
      <c r="R1191" s="16">
        <f>MONTH(tblSprzedaz[[#This Row],[Data]])</f>
        <v>11</v>
      </c>
      <c r="S1191" s="9" t="str">
        <f>YEAR(tblSprzedaz[[#This Row],[Data]])&amp;"-"&amp;RIGHT("0"&amp;MONTH(tblSprzedaz[[#This Row],[Data]]),2)</f>
        <v>2025-11</v>
      </c>
    </row>
    <row r="1192" spans="1:19" x14ac:dyDescent="0.25">
      <c r="A1192" s="7" t="s">
        <v>2551</v>
      </c>
      <c r="B1192" s="10">
        <v>45971</v>
      </c>
      <c r="C1192" s="7" t="s">
        <v>2552</v>
      </c>
      <c r="D1192" s="8" t="s">
        <v>82</v>
      </c>
      <c r="E1192" s="8" t="s">
        <v>75</v>
      </c>
      <c r="F1192" s="8" t="s">
        <v>37</v>
      </c>
      <c r="G1192" s="8" t="s">
        <v>34</v>
      </c>
      <c r="H1192" s="8" t="s">
        <v>45</v>
      </c>
      <c r="I1192" s="11">
        <v>3</v>
      </c>
      <c r="J1192" s="12">
        <v>142.5</v>
      </c>
      <c r="K1192" s="13">
        <v>0</v>
      </c>
      <c r="L1192" s="12">
        <v>113.74</v>
      </c>
      <c r="M1192" s="14">
        <f>ROUND(tblSprzedaz[[#This Row],[Ilość]]*tblSprzedaz[[#This Row],[Cena netto jednostkowa]]*(1-tblSprzedaz[[#This Row],[Rabat %]]),2)</f>
        <v>427.5</v>
      </c>
      <c r="N1192" s="14">
        <f>ROUND(tblSprzedaz[[#This Row],[Ilość]]*tblSprzedaz[[#This Row],[Koszt jednostkowy netto]],2)</f>
        <v>341.22</v>
      </c>
      <c r="O1192" s="14">
        <f>tblSprzedaz[[#This Row],[Przychód netto]]-tblSprzedaz[[#This Row],[Koszt całkowity netto]]</f>
        <v>86.279999999999973</v>
      </c>
      <c r="P1192" s="15">
        <f>IFERROR(tblSprzedaz[[#This Row],[Marża kwotowa]]/tblSprzedaz[[#This Row],[Przychód netto]],0)</f>
        <v>0.20182456140350871</v>
      </c>
      <c r="Q1192" s="16">
        <f>YEAR(tblSprzedaz[[#This Row],[Data]])</f>
        <v>2025</v>
      </c>
      <c r="R1192" s="16">
        <f>MONTH(tblSprzedaz[[#This Row],[Data]])</f>
        <v>11</v>
      </c>
      <c r="S1192" s="9" t="str">
        <f>YEAR(tblSprzedaz[[#This Row],[Data]])&amp;"-"&amp;RIGHT("0"&amp;MONTH(tblSprzedaz[[#This Row],[Data]]),2)</f>
        <v>2025-11</v>
      </c>
    </row>
    <row r="1193" spans="1:19" x14ac:dyDescent="0.25">
      <c r="A1193" s="7" t="s">
        <v>2553</v>
      </c>
      <c r="B1193" s="10">
        <v>45971</v>
      </c>
      <c r="C1193" s="7" t="s">
        <v>2554</v>
      </c>
      <c r="D1193" s="8" t="s">
        <v>80</v>
      </c>
      <c r="E1193" s="8" t="s">
        <v>57</v>
      </c>
      <c r="F1193" s="8" t="s">
        <v>31</v>
      </c>
      <c r="G1193" s="8" t="s">
        <v>28</v>
      </c>
      <c r="H1193" s="8" t="s">
        <v>39</v>
      </c>
      <c r="I1193" s="11">
        <v>16</v>
      </c>
      <c r="J1193" s="12">
        <v>315</v>
      </c>
      <c r="K1193" s="13">
        <v>0.15</v>
      </c>
      <c r="L1193" s="12">
        <v>204.61</v>
      </c>
      <c r="M1193" s="14">
        <f>ROUND(tblSprzedaz[[#This Row],[Ilość]]*tblSprzedaz[[#This Row],[Cena netto jednostkowa]]*(1-tblSprzedaz[[#This Row],[Rabat %]]),2)</f>
        <v>4284</v>
      </c>
      <c r="N1193" s="14">
        <f>ROUND(tblSprzedaz[[#This Row],[Ilość]]*tblSprzedaz[[#This Row],[Koszt jednostkowy netto]],2)</f>
        <v>3273.76</v>
      </c>
      <c r="O1193" s="14">
        <f>tblSprzedaz[[#This Row],[Przychód netto]]-tblSprzedaz[[#This Row],[Koszt całkowity netto]]</f>
        <v>1010.2399999999998</v>
      </c>
      <c r="P1193" s="15">
        <f>IFERROR(tblSprzedaz[[#This Row],[Marża kwotowa]]/tblSprzedaz[[#This Row],[Przychód netto]],0)</f>
        <v>0.23581699346405224</v>
      </c>
      <c r="Q1193" s="16">
        <f>YEAR(tblSprzedaz[[#This Row],[Data]])</f>
        <v>2025</v>
      </c>
      <c r="R1193" s="16">
        <f>MONTH(tblSprzedaz[[#This Row],[Data]])</f>
        <v>11</v>
      </c>
      <c r="S1193" s="9" t="str">
        <f>YEAR(tblSprzedaz[[#This Row],[Data]])&amp;"-"&amp;RIGHT("0"&amp;MONTH(tblSprzedaz[[#This Row],[Data]]),2)</f>
        <v>2025-11</v>
      </c>
    </row>
    <row r="1194" spans="1:19" x14ac:dyDescent="0.25">
      <c r="A1194" s="7" t="s">
        <v>2555</v>
      </c>
      <c r="B1194" s="10">
        <v>45972</v>
      </c>
      <c r="C1194" s="7" t="s">
        <v>2556</v>
      </c>
      <c r="D1194" s="8" t="s">
        <v>107</v>
      </c>
      <c r="E1194" s="8" t="s">
        <v>57</v>
      </c>
      <c r="F1194" s="8" t="s">
        <v>31</v>
      </c>
      <c r="G1194" s="8" t="s">
        <v>36</v>
      </c>
      <c r="H1194" s="8" t="s">
        <v>46</v>
      </c>
      <c r="I1194" s="11">
        <v>7</v>
      </c>
      <c r="J1194" s="12">
        <v>315</v>
      </c>
      <c r="K1194" s="13">
        <v>0.05</v>
      </c>
      <c r="L1194" s="12">
        <v>201.79</v>
      </c>
      <c r="M1194" s="14">
        <f>ROUND(tblSprzedaz[[#This Row],[Ilość]]*tblSprzedaz[[#This Row],[Cena netto jednostkowa]]*(1-tblSprzedaz[[#This Row],[Rabat %]]),2)</f>
        <v>2094.75</v>
      </c>
      <c r="N1194" s="14">
        <f>ROUND(tblSprzedaz[[#This Row],[Ilość]]*tblSprzedaz[[#This Row],[Koszt jednostkowy netto]],2)</f>
        <v>1412.53</v>
      </c>
      <c r="O1194" s="14">
        <f>tblSprzedaz[[#This Row],[Przychód netto]]-tblSprzedaz[[#This Row],[Koszt całkowity netto]]</f>
        <v>682.22</v>
      </c>
      <c r="P1194" s="15">
        <f>IFERROR(tblSprzedaz[[#This Row],[Marża kwotowa]]/tblSprzedaz[[#This Row],[Przychód netto]],0)</f>
        <v>0.32568086883876357</v>
      </c>
      <c r="Q1194" s="16">
        <f>YEAR(tblSprzedaz[[#This Row],[Data]])</f>
        <v>2025</v>
      </c>
      <c r="R1194" s="16">
        <f>MONTH(tblSprzedaz[[#This Row],[Data]])</f>
        <v>11</v>
      </c>
      <c r="S1194" s="9" t="str">
        <f>YEAR(tblSprzedaz[[#This Row],[Data]])&amp;"-"&amp;RIGHT("0"&amp;MONTH(tblSprzedaz[[#This Row],[Data]]),2)</f>
        <v>2025-11</v>
      </c>
    </row>
    <row r="1195" spans="1:19" x14ac:dyDescent="0.25">
      <c r="A1195" s="7" t="s">
        <v>2557</v>
      </c>
      <c r="B1195" s="10">
        <v>45972</v>
      </c>
      <c r="C1195" s="7" t="s">
        <v>2558</v>
      </c>
      <c r="D1195" s="8" t="s">
        <v>96</v>
      </c>
      <c r="E1195" s="8" t="s">
        <v>49</v>
      </c>
      <c r="F1195" s="8" t="s">
        <v>29</v>
      </c>
      <c r="G1195" s="8" t="s">
        <v>30</v>
      </c>
      <c r="H1195" s="8" t="s">
        <v>40</v>
      </c>
      <c r="I1195" s="11">
        <v>12</v>
      </c>
      <c r="J1195" s="12">
        <v>39.44</v>
      </c>
      <c r="K1195" s="13">
        <v>0</v>
      </c>
      <c r="L1195" s="12">
        <v>21.76</v>
      </c>
      <c r="M1195" s="14">
        <f>ROUND(tblSprzedaz[[#This Row],[Ilość]]*tblSprzedaz[[#This Row],[Cena netto jednostkowa]]*(1-tblSprzedaz[[#This Row],[Rabat %]]),2)</f>
        <v>473.28</v>
      </c>
      <c r="N1195" s="14">
        <f>ROUND(tblSprzedaz[[#This Row],[Ilość]]*tblSprzedaz[[#This Row],[Koszt jednostkowy netto]],2)</f>
        <v>261.12</v>
      </c>
      <c r="O1195" s="14">
        <f>tblSprzedaz[[#This Row],[Przychód netto]]-tblSprzedaz[[#This Row],[Koszt całkowity netto]]</f>
        <v>212.15999999999997</v>
      </c>
      <c r="P1195" s="15">
        <f>IFERROR(tblSprzedaz[[#This Row],[Marża kwotowa]]/tblSprzedaz[[#This Row],[Przychód netto]],0)</f>
        <v>0.44827586206896547</v>
      </c>
      <c r="Q1195" s="16">
        <f>YEAR(tblSprzedaz[[#This Row],[Data]])</f>
        <v>2025</v>
      </c>
      <c r="R1195" s="16">
        <f>MONTH(tblSprzedaz[[#This Row],[Data]])</f>
        <v>11</v>
      </c>
      <c r="S1195" s="9" t="str">
        <f>YEAR(tblSprzedaz[[#This Row],[Data]])&amp;"-"&amp;RIGHT("0"&amp;MONTH(tblSprzedaz[[#This Row],[Data]]),2)</f>
        <v>2025-11</v>
      </c>
    </row>
    <row r="1196" spans="1:19" x14ac:dyDescent="0.25">
      <c r="A1196" s="7" t="s">
        <v>2559</v>
      </c>
      <c r="B1196" s="10">
        <v>45972</v>
      </c>
      <c r="C1196" s="7" t="s">
        <v>2560</v>
      </c>
      <c r="D1196" s="8" t="s">
        <v>78</v>
      </c>
      <c r="E1196" s="8" t="s">
        <v>53</v>
      </c>
      <c r="F1196" s="8" t="s">
        <v>29</v>
      </c>
      <c r="G1196" s="8" t="s">
        <v>30</v>
      </c>
      <c r="H1196" s="8" t="s">
        <v>40</v>
      </c>
      <c r="I1196" s="11">
        <v>1</v>
      </c>
      <c r="J1196" s="12">
        <v>27.88</v>
      </c>
      <c r="K1196" s="13">
        <v>0.15</v>
      </c>
      <c r="L1196" s="12">
        <v>17.04</v>
      </c>
      <c r="M1196" s="14">
        <f>ROUND(tblSprzedaz[[#This Row],[Ilość]]*tblSprzedaz[[#This Row],[Cena netto jednostkowa]]*(1-tblSprzedaz[[#This Row],[Rabat %]]),2)</f>
        <v>23.7</v>
      </c>
      <c r="N1196" s="14">
        <f>ROUND(tblSprzedaz[[#This Row],[Ilość]]*tblSprzedaz[[#This Row],[Koszt jednostkowy netto]],2)</f>
        <v>17.04</v>
      </c>
      <c r="O1196" s="14">
        <f>tblSprzedaz[[#This Row],[Przychód netto]]-tblSprzedaz[[#This Row],[Koszt całkowity netto]]</f>
        <v>6.66</v>
      </c>
      <c r="P1196" s="15">
        <f>IFERROR(tblSprzedaz[[#This Row],[Marża kwotowa]]/tblSprzedaz[[#This Row],[Przychód netto]],0)</f>
        <v>0.2810126582278481</v>
      </c>
      <c r="Q1196" s="16">
        <f>YEAR(tblSprzedaz[[#This Row],[Data]])</f>
        <v>2025</v>
      </c>
      <c r="R1196" s="16">
        <f>MONTH(tblSprzedaz[[#This Row],[Data]])</f>
        <v>11</v>
      </c>
      <c r="S1196" s="9" t="str">
        <f>YEAR(tblSprzedaz[[#This Row],[Data]])&amp;"-"&amp;RIGHT("0"&amp;MONTH(tblSprzedaz[[#This Row],[Data]]),2)</f>
        <v>2025-11</v>
      </c>
    </row>
    <row r="1197" spans="1:19" x14ac:dyDescent="0.25">
      <c r="A1197" s="7" t="s">
        <v>2561</v>
      </c>
      <c r="B1197" s="10">
        <v>45972</v>
      </c>
      <c r="C1197" s="7" t="s">
        <v>2562</v>
      </c>
      <c r="D1197" s="8" t="s">
        <v>146</v>
      </c>
      <c r="E1197" s="8" t="s">
        <v>67</v>
      </c>
      <c r="F1197" s="8" t="s">
        <v>35</v>
      </c>
      <c r="G1197" s="8" t="s">
        <v>36</v>
      </c>
      <c r="H1197" s="8" t="s">
        <v>46</v>
      </c>
      <c r="I1197" s="11">
        <v>24</v>
      </c>
      <c r="J1197" s="12">
        <v>78.88</v>
      </c>
      <c r="K1197" s="13">
        <v>0</v>
      </c>
      <c r="L1197" s="12">
        <v>60.33</v>
      </c>
      <c r="M1197" s="14">
        <f>ROUND(tblSprzedaz[[#This Row],[Ilość]]*tblSprzedaz[[#This Row],[Cena netto jednostkowa]]*(1-tblSprzedaz[[#This Row],[Rabat %]]),2)</f>
        <v>1893.12</v>
      </c>
      <c r="N1197" s="14">
        <f>ROUND(tblSprzedaz[[#This Row],[Ilość]]*tblSprzedaz[[#This Row],[Koszt jednostkowy netto]],2)</f>
        <v>1447.92</v>
      </c>
      <c r="O1197" s="14">
        <f>tblSprzedaz[[#This Row],[Przychód netto]]-tblSprzedaz[[#This Row],[Koszt całkowity netto]]</f>
        <v>445.19999999999982</v>
      </c>
      <c r="P1197" s="15">
        <f>IFERROR(tblSprzedaz[[#This Row],[Marża kwotowa]]/tblSprzedaz[[#This Row],[Przychód netto]],0)</f>
        <v>0.23516734279918855</v>
      </c>
      <c r="Q1197" s="16">
        <f>YEAR(tblSprzedaz[[#This Row],[Data]])</f>
        <v>2025</v>
      </c>
      <c r="R1197" s="16">
        <f>MONTH(tblSprzedaz[[#This Row],[Data]])</f>
        <v>11</v>
      </c>
      <c r="S1197" s="9" t="str">
        <f>YEAR(tblSprzedaz[[#This Row],[Data]])&amp;"-"&amp;RIGHT("0"&amp;MONTH(tblSprzedaz[[#This Row],[Data]]),2)</f>
        <v>2025-11</v>
      </c>
    </row>
    <row r="1198" spans="1:19" x14ac:dyDescent="0.25">
      <c r="A1198" s="7" t="s">
        <v>2563</v>
      </c>
      <c r="B1198" s="10">
        <v>45973</v>
      </c>
      <c r="C1198" s="7" t="s">
        <v>2564</v>
      </c>
      <c r="D1198" s="8" t="s">
        <v>134</v>
      </c>
      <c r="E1198" s="8" t="s">
        <v>52</v>
      </c>
      <c r="F1198" s="8" t="s">
        <v>29</v>
      </c>
      <c r="G1198" s="8" t="s">
        <v>34</v>
      </c>
      <c r="H1198" s="8" t="s">
        <v>45</v>
      </c>
      <c r="I1198" s="11">
        <v>1</v>
      </c>
      <c r="J1198" s="12">
        <v>56.78</v>
      </c>
      <c r="K1198" s="13">
        <v>0.05</v>
      </c>
      <c r="L1198" s="12">
        <v>32.71</v>
      </c>
      <c r="M1198" s="14">
        <f>ROUND(tblSprzedaz[[#This Row],[Ilość]]*tblSprzedaz[[#This Row],[Cena netto jednostkowa]]*(1-tblSprzedaz[[#This Row],[Rabat %]]),2)</f>
        <v>53.94</v>
      </c>
      <c r="N1198" s="14">
        <f>ROUND(tblSprzedaz[[#This Row],[Ilość]]*tblSprzedaz[[#This Row],[Koszt jednostkowy netto]],2)</f>
        <v>32.71</v>
      </c>
      <c r="O1198" s="14">
        <f>tblSprzedaz[[#This Row],[Przychód netto]]-tblSprzedaz[[#This Row],[Koszt całkowity netto]]</f>
        <v>21.229999999999997</v>
      </c>
      <c r="P1198" s="15">
        <f>IFERROR(tblSprzedaz[[#This Row],[Marża kwotowa]]/tblSprzedaz[[#This Row],[Przychód netto]],0)</f>
        <v>0.39358546533185018</v>
      </c>
      <c r="Q1198" s="16">
        <f>YEAR(tblSprzedaz[[#This Row],[Data]])</f>
        <v>2025</v>
      </c>
      <c r="R1198" s="16">
        <f>MONTH(tblSprzedaz[[#This Row],[Data]])</f>
        <v>11</v>
      </c>
      <c r="S1198" s="9" t="str">
        <f>YEAR(tblSprzedaz[[#This Row],[Data]])&amp;"-"&amp;RIGHT("0"&amp;MONTH(tblSprzedaz[[#This Row],[Data]]),2)</f>
        <v>2025-11</v>
      </c>
    </row>
    <row r="1199" spans="1:19" x14ac:dyDescent="0.25">
      <c r="A1199" s="7" t="s">
        <v>2565</v>
      </c>
      <c r="B1199" s="10">
        <v>45973</v>
      </c>
      <c r="C1199" s="7" t="s">
        <v>2566</v>
      </c>
      <c r="D1199" s="8" t="s">
        <v>111</v>
      </c>
      <c r="E1199" s="8" t="s">
        <v>75</v>
      </c>
      <c r="F1199" s="8" t="s">
        <v>37</v>
      </c>
      <c r="G1199" s="8" t="s">
        <v>34</v>
      </c>
      <c r="H1199" s="8" t="s">
        <v>45</v>
      </c>
      <c r="I1199" s="11">
        <v>20</v>
      </c>
      <c r="J1199" s="12">
        <v>142.5</v>
      </c>
      <c r="K1199" s="13">
        <v>0.05</v>
      </c>
      <c r="L1199" s="12">
        <v>113.15</v>
      </c>
      <c r="M1199" s="14">
        <f>ROUND(tblSprzedaz[[#This Row],[Ilość]]*tblSprzedaz[[#This Row],[Cena netto jednostkowa]]*(1-tblSprzedaz[[#This Row],[Rabat %]]),2)</f>
        <v>2707.5</v>
      </c>
      <c r="N1199" s="14">
        <f>ROUND(tblSprzedaz[[#This Row],[Ilość]]*tblSprzedaz[[#This Row],[Koszt jednostkowy netto]],2)</f>
        <v>2263</v>
      </c>
      <c r="O1199" s="14">
        <f>tblSprzedaz[[#This Row],[Przychód netto]]-tblSprzedaz[[#This Row],[Koszt całkowity netto]]</f>
        <v>444.5</v>
      </c>
      <c r="P1199" s="15">
        <f>IFERROR(tblSprzedaz[[#This Row],[Marża kwotowa]]/tblSprzedaz[[#This Row],[Przychód netto]],0)</f>
        <v>0.1641735918744229</v>
      </c>
      <c r="Q1199" s="16">
        <f>YEAR(tblSprzedaz[[#This Row],[Data]])</f>
        <v>2025</v>
      </c>
      <c r="R1199" s="16">
        <f>MONTH(tblSprzedaz[[#This Row],[Data]])</f>
        <v>11</v>
      </c>
      <c r="S1199" s="9" t="str">
        <f>YEAR(tblSprzedaz[[#This Row],[Data]])&amp;"-"&amp;RIGHT("0"&amp;MONTH(tblSprzedaz[[#This Row],[Data]]),2)</f>
        <v>2025-11</v>
      </c>
    </row>
    <row r="1200" spans="1:19" x14ac:dyDescent="0.25">
      <c r="A1200" s="7" t="s">
        <v>2567</v>
      </c>
      <c r="B1200" s="10">
        <v>45973</v>
      </c>
      <c r="C1200" s="7" t="s">
        <v>2568</v>
      </c>
      <c r="D1200" s="8" t="s">
        <v>136</v>
      </c>
      <c r="E1200" s="8" t="s">
        <v>51</v>
      </c>
      <c r="F1200" s="8" t="s">
        <v>29</v>
      </c>
      <c r="G1200" s="8" t="s">
        <v>32</v>
      </c>
      <c r="H1200" s="8" t="s">
        <v>42</v>
      </c>
      <c r="I1200" s="11">
        <v>42</v>
      </c>
      <c r="J1200" s="12">
        <v>51</v>
      </c>
      <c r="K1200" s="13">
        <v>0</v>
      </c>
      <c r="L1200" s="12">
        <v>32.08</v>
      </c>
      <c r="M1200" s="14">
        <f>ROUND(tblSprzedaz[[#This Row],[Ilość]]*tblSprzedaz[[#This Row],[Cena netto jednostkowa]]*(1-tblSprzedaz[[#This Row],[Rabat %]]),2)</f>
        <v>2142</v>
      </c>
      <c r="N1200" s="14">
        <f>ROUND(tblSprzedaz[[#This Row],[Ilość]]*tblSprzedaz[[#This Row],[Koszt jednostkowy netto]],2)</f>
        <v>1347.36</v>
      </c>
      <c r="O1200" s="14">
        <f>tblSprzedaz[[#This Row],[Przychód netto]]-tblSprzedaz[[#This Row],[Koszt całkowity netto]]</f>
        <v>794.6400000000001</v>
      </c>
      <c r="P1200" s="15">
        <f>IFERROR(tblSprzedaz[[#This Row],[Marża kwotowa]]/tblSprzedaz[[#This Row],[Przychód netto]],0)</f>
        <v>0.37098039215686279</v>
      </c>
      <c r="Q1200" s="16">
        <f>YEAR(tblSprzedaz[[#This Row],[Data]])</f>
        <v>2025</v>
      </c>
      <c r="R1200" s="16">
        <f>MONTH(tblSprzedaz[[#This Row],[Data]])</f>
        <v>11</v>
      </c>
      <c r="S1200" s="9" t="str">
        <f>YEAR(tblSprzedaz[[#This Row],[Data]])&amp;"-"&amp;RIGHT("0"&amp;MONTH(tblSprzedaz[[#This Row],[Data]]),2)</f>
        <v>2025-11</v>
      </c>
    </row>
    <row r="1201" spans="1:19" x14ac:dyDescent="0.25">
      <c r="A1201" s="7" t="s">
        <v>2569</v>
      </c>
      <c r="B1201" s="10">
        <v>45973</v>
      </c>
      <c r="C1201" s="7" t="s">
        <v>2570</v>
      </c>
      <c r="D1201" s="8" t="s">
        <v>145</v>
      </c>
      <c r="E1201" s="8" t="s">
        <v>62</v>
      </c>
      <c r="F1201" s="8" t="s">
        <v>33</v>
      </c>
      <c r="G1201" s="8" t="s">
        <v>30</v>
      </c>
      <c r="H1201" s="8" t="s">
        <v>41</v>
      </c>
      <c r="I1201" s="11">
        <v>35</v>
      </c>
      <c r="J1201" s="12">
        <v>611.79999999999995</v>
      </c>
      <c r="K1201" s="13">
        <v>0</v>
      </c>
      <c r="L1201" s="12">
        <v>413.93</v>
      </c>
      <c r="M1201" s="14">
        <f>ROUND(tblSprzedaz[[#This Row],[Ilość]]*tblSprzedaz[[#This Row],[Cena netto jednostkowa]]*(1-tblSprzedaz[[#This Row],[Rabat %]]),2)</f>
        <v>21413</v>
      </c>
      <c r="N1201" s="14">
        <f>ROUND(tblSprzedaz[[#This Row],[Ilość]]*tblSprzedaz[[#This Row],[Koszt jednostkowy netto]],2)</f>
        <v>14487.55</v>
      </c>
      <c r="O1201" s="14">
        <f>tblSprzedaz[[#This Row],[Przychód netto]]-tblSprzedaz[[#This Row],[Koszt całkowity netto]]</f>
        <v>6925.4500000000007</v>
      </c>
      <c r="P1201" s="15">
        <f>IFERROR(tblSprzedaz[[#This Row],[Marża kwotowa]]/tblSprzedaz[[#This Row],[Przychód netto]],0)</f>
        <v>0.32342268715266431</v>
      </c>
      <c r="Q1201" s="16">
        <f>YEAR(tblSprzedaz[[#This Row],[Data]])</f>
        <v>2025</v>
      </c>
      <c r="R1201" s="16">
        <f>MONTH(tblSprzedaz[[#This Row],[Data]])</f>
        <v>11</v>
      </c>
      <c r="S1201" s="9" t="str">
        <f>YEAR(tblSprzedaz[[#This Row],[Data]])&amp;"-"&amp;RIGHT("0"&amp;MONTH(tblSprzedaz[[#This Row],[Data]]),2)</f>
        <v>2025-11</v>
      </c>
    </row>
    <row r="1202" spans="1:19" x14ac:dyDescent="0.25">
      <c r="A1202" s="7" t="s">
        <v>2571</v>
      </c>
      <c r="B1202" s="10">
        <v>45973</v>
      </c>
      <c r="C1202" s="7" t="s">
        <v>2572</v>
      </c>
      <c r="D1202" s="8" t="s">
        <v>81</v>
      </c>
      <c r="E1202" s="8" t="s">
        <v>77</v>
      </c>
      <c r="F1202" s="8" t="s">
        <v>37</v>
      </c>
      <c r="G1202" s="8" t="s">
        <v>30</v>
      </c>
      <c r="H1202" s="8" t="s">
        <v>40</v>
      </c>
      <c r="I1202" s="11">
        <v>12</v>
      </c>
      <c r="J1202" s="12">
        <v>77.900000000000006</v>
      </c>
      <c r="K1202" s="13">
        <v>0.15</v>
      </c>
      <c r="L1202" s="12">
        <v>62.71</v>
      </c>
      <c r="M1202" s="14">
        <f>ROUND(tblSprzedaz[[#This Row],[Ilość]]*tblSprzedaz[[#This Row],[Cena netto jednostkowa]]*(1-tblSprzedaz[[#This Row],[Rabat %]]),2)</f>
        <v>794.58</v>
      </c>
      <c r="N1202" s="14">
        <f>ROUND(tblSprzedaz[[#This Row],[Ilość]]*tblSprzedaz[[#This Row],[Koszt jednostkowy netto]],2)</f>
        <v>752.52</v>
      </c>
      <c r="O1202" s="14">
        <f>tblSprzedaz[[#This Row],[Przychód netto]]-tblSprzedaz[[#This Row],[Koszt całkowity netto]]</f>
        <v>42.060000000000059</v>
      </c>
      <c r="P1202" s="15">
        <f>IFERROR(tblSprzedaz[[#This Row],[Marża kwotowa]]/tblSprzedaz[[#This Row],[Przychód netto]],0)</f>
        <v>5.2933625311485384E-2</v>
      </c>
      <c r="Q1202" s="16">
        <f>YEAR(tblSprzedaz[[#This Row],[Data]])</f>
        <v>2025</v>
      </c>
      <c r="R1202" s="16">
        <f>MONTH(tblSprzedaz[[#This Row],[Data]])</f>
        <v>11</v>
      </c>
      <c r="S1202" s="9" t="str">
        <f>YEAR(tblSprzedaz[[#This Row],[Data]])&amp;"-"&amp;RIGHT("0"&amp;MONTH(tblSprzedaz[[#This Row],[Data]]),2)</f>
        <v>2025-11</v>
      </c>
    </row>
    <row r="1203" spans="1:19" x14ac:dyDescent="0.25">
      <c r="A1203" s="7" t="s">
        <v>2573</v>
      </c>
      <c r="B1203" s="10">
        <v>45974</v>
      </c>
      <c r="C1203" s="7" t="s">
        <v>2574</v>
      </c>
      <c r="D1203" s="8" t="s">
        <v>85</v>
      </c>
      <c r="E1203" s="8" t="s">
        <v>73</v>
      </c>
      <c r="F1203" s="8" t="s">
        <v>37</v>
      </c>
      <c r="G1203" s="8" t="s">
        <v>30</v>
      </c>
      <c r="H1203" s="8" t="s">
        <v>40</v>
      </c>
      <c r="I1203" s="11">
        <v>20</v>
      </c>
      <c r="J1203" s="12">
        <v>110.2</v>
      </c>
      <c r="K1203" s="13">
        <v>0.15</v>
      </c>
      <c r="L1203" s="12">
        <v>87.01</v>
      </c>
      <c r="M1203" s="14">
        <f>ROUND(tblSprzedaz[[#This Row],[Ilość]]*tblSprzedaz[[#This Row],[Cena netto jednostkowa]]*(1-tblSprzedaz[[#This Row],[Rabat %]]),2)</f>
        <v>1873.4</v>
      </c>
      <c r="N1203" s="14">
        <f>ROUND(tblSprzedaz[[#This Row],[Ilość]]*tblSprzedaz[[#This Row],[Koszt jednostkowy netto]],2)</f>
        <v>1740.2</v>
      </c>
      <c r="O1203" s="14">
        <f>tblSprzedaz[[#This Row],[Przychód netto]]-tblSprzedaz[[#This Row],[Koszt całkowity netto]]</f>
        <v>133.20000000000005</v>
      </c>
      <c r="P1203" s="15">
        <f>IFERROR(tblSprzedaz[[#This Row],[Marża kwotowa]]/tblSprzedaz[[#This Row],[Przychód netto]],0)</f>
        <v>7.1100672573929768E-2</v>
      </c>
      <c r="Q1203" s="16">
        <f>YEAR(tblSprzedaz[[#This Row],[Data]])</f>
        <v>2025</v>
      </c>
      <c r="R1203" s="16">
        <f>MONTH(tblSprzedaz[[#This Row],[Data]])</f>
        <v>11</v>
      </c>
      <c r="S1203" s="9" t="str">
        <f>YEAR(tblSprzedaz[[#This Row],[Data]])&amp;"-"&amp;RIGHT("0"&amp;MONTH(tblSprzedaz[[#This Row],[Data]]),2)</f>
        <v>2025-11</v>
      </c>
    </row>
    <row r="1204" spans="1:19" x14ac:dyDescent="0.25">
      <c r="A1204" s="7" t="s">
        <v>2575</v>
      </c>
      <c r="B1204" s="10">
        <v>45974</v>
      </c>
      <c r="C1204" s="7" t="s">
        <v>2576</v>
      </c>
      <c r="D1204" s="8" t="s">
        <v>151</v>
      </c>
      <c r="E1204" s="8" t="s">
        <v>71</v>
      </c>
      <c r="F1204" s="8" t="s">
        <v>35</v>
      </c>
      <c r="G1204" s="8" t="s">
        <v>28</v>
      </c>
      <c r="H1204" s="8" t="s">
        <v>38</v>
      </c>
      <c r="I1204" s="11">
        <v>19</v>
      </c>
      <c r="J1204" s="12">
        <v>55.76</v>
      </c>
      <c r="K1204" s="13">
        <v>0.15</v>
      </c>
      <c r="L1204" s="12">
        <v>41.57</v>
      </c>
      <c r="M1204" s="14">
        <f>ROUND(tblSprzedaz[[#This Row],[Ilość]]*tblSprzedaz[[#This Row],[Cena netto jednostkowa]]*(1-tblSprzedaz[[#This Row],[Rabat %]]),2)</f>
        <v>900.52</v>
      </c>
      <c r="N1204" s="14">
        <f>ROUND(tblSprzedaz[[#This Row],[Ilość]]*tblSprzedaz[[#This Row],[Koszt jednostkowy netto]],2)</f>
        <v>789.83</v>
      </c>
      <c r="O1204" s="14">
        <f>tblSprzedaz[[#This Row],[Przychód netto]]-tblSprzedaz[[#This Row],[Koszt całkowity netto]]</f>
        <v>110.68999999999994</v>
      </c>
      <c r="P1204" s="15">
        <f>IFERROR(tblSprzedaz[[#This Row],[Marża kwotowa]]/tblSprzedaz[[#This Row],[Przychód netto]],0)</f>
        <v>0.12291786967529865</v>
      </c>
      <c r="Q1204" s="16">
        <f>YEAR(tblSprzedaz[[#This Row],[Data]])</f>
        <v>2025</v>
      </c>
      <c r="R1204" s="16">
        <f>MONTH(tblSprzedaz[[#This Row],[Data]])</f>
        <v>11</v>
      </c>
      <c r="S1204" s="9" t="str">
        <f>YEAR(tblSprzedaz[[#This Row],[Data]])&amp;"-"&amp;RIGHT("0"&amp;MONTH(tblSprzedaz[[#This Row],[Data]]),2)</f>
        <v>2025-11</v>
      </c>
    </row>
    <row r="1205" spans="1:19" x14ac:dyDescent="0.25">
      <c r="A1205" s="7" t="s">
        <v>2577</v>
      </c>
      <c r="B1205" s="10">
        <v>45974</v>
      </c>
      <c r="C1205" s="7" t="s">
        <v>2578</v>
      </c>
      <c r="D1205" s="8" t="s">
        <v>79</v>
      </c>
      <c r="E1205" s="8" t="s">
        <v>58</v>
      </c>
      <c r="F1205" s="8" t="s">
        <v>31</v>
      </c>
      <c r="G1205" s="8" t="s">
        <v>34</v>
      </c>
      <c r="H1205" s="8" t="s">
        <v>45</v>
      </c>
      <c r="I1205" s="11">
        <v>21</v>
      </c>
      <c r="J1205" s="12">
        <v>350.7</v>
      </c>
      <c r="K1205" s="13">
        <v>0.15</v>
      </c>
      <c r="L1205" s="12">
        <v>221.12</v>
      </c>
      <c r="M1205" s="14">
        <f>ROUND(tblSprzedaz[[#This Row],[Ilość]]*tblSprzedaz[[#This Row],[Cena netto jednostkowa]]*(1-tblSprzedaz[[#This Row],[Rabat %]]),2)</f>
        <v>6260</v>
      </c>
      <c r="N1205" s="14">
        <f>ROUND(tblSprzedaz[[#This Row],[Ilość]]*tblSprzedaz[[#This Row],[Koszt jednostkowy netto]],2)</f>
        <v>4643.5200000000004</v>
      </c>
      <c r="O1205" s="14">
        <f>tblSprzedaz[[#This Row],[Przychód netto]]-tblSprzedaz[[#This Row],[Koszt całkowity netto]]</f>
        <v>1616.4799999999996</v>
      </c>
      <c r="P1205" s="15">
        <f>IFERROR(tblSprzedaz[[#This Row],[Marża kwotowa]]/tblSprzedaz[[#This Row],[Przychód netto]],0)</f>
        <v>0.25822364217252392</v>
      </c>
      <c r="Q1205" s="16">
        <f>YEAR(tblSprzedaz[[#This Row],[Data]])</f>
        <v>2025</v>
      </c>
      <c r="R1205" s="16">
        <f>MONTH(tblSprzedaz[[#This Row],[Data]])</f>
        <v>11</v>
      </c>
      <c r="S1205" s="9" t="str">
        <f>YEAR(tblSprzedaz[[#This Row],[Data]])&amp;"-"&amp;RIGHT("0"&amp;MONTH(tblSprzedaz[[#This Row],[Data]]),2)</f>
        <v>2025-11</v>
      </c>
    </row>
    <row r="1206" spans="1:19" x14ac:dyDescent="0.25">
      <c r="A1206" s="7" t="s">
        <v>2579</v>
      </c>
      <c r="B1206" s="10">
        <v>45974</v>
      </c>
      <c r="C1206" s="7" t="s">
        <v>2580</v>
      </c>
      <c r="D1206" s="8" t="s">
        <v>146</v>
      </c>
      <c r="E1206" s="8" t="s">
        <v>67</v>
      </c>
      <c r="F1206" s="8" t="s">
        <v>35</v>
      </c>
      <c r="G1206" s="8" t="s">
        <v>36</v>
      </c>
      <c r="H1206" s="8" t="s">
        <v>46</v>
      </c>
      <c r="I1206" s="11">
        <v>29</v>
      </c>
      <c r="J1206" s="12">
        <v>78.88</v>
      </c>
      <c r="K1206" s="13">
        <v>0</v>
      </c>
      <c r="L1206" s="12">
        <v>54.1</v>
      </c>
      <c r="M1206" s="14">
        <f>ROUND(tblSprzedaz[[#This Row],[Ilość]]*tblSprzedaz[[#This Row],[Cena netto jednostkowa]]*(1-tblSprzedaz[[#This Row],[Rabat %]]),2)</f>
        <v>2287.52</v>
      </c>
      <c r="N1206" s="14">
        <f>ROUND(tblSprzedaz[[#This Row],[Ilość]]*tblSprzedaz[[#This Row],[Koszt jednostkowy netto]],2)</f>
        <v>1568.9</v>
      </c>
      <c r="O1206" s="14">
        <f>tblSprzedaz[[#This Row],[Przychód netto]]-tblSprzedaz[[#This Row],[Koszt całkowity netto]]</f>
        <v>718.61999999999989</v>
      </c>
      <c r="P1206" s="15">
        <f>IFERROR(tblSprzedaz[[#This Row],[Marża kwotowa]]/tblSprzedaz[[#This Row],[Przychód netto]],0)</f>
        <v>0.31414807302231235</v>
      </c>
      <c r="Q1206" s="16">
        <f>YEAR(tblSprzedaz[[#This Row],[Data]])</f>
        <v>2025</v>
      </c>
      <c r="R1206" s="16">
        <f>MONTH(tblSprzedaz[[#This Row],[Data]])</f>
        <v>11</v>
      </c>
      <c r="S1206" s="9" t="str">
        <f>YEAR(tblSprzedaz[[#This Row],[Data]])&amp;"-"&amp;RIGHT("0"&amp;MONTH(tblSprzedaz[[#This Row],[Data]]),2)</f>
        <v>2025-11</v>
      </c>
    </row>
    <row r="1207" spans="1:19" x14ac:dyDescent="0.25">
      <c r="A1207" s="7" t="s">
        <v>2581</v>
      </c>
      <c r="B1207" s="10">
        <v>45974</v>
      </c>
      <c r="C1207" s="7" t="s">
        <v>2582</v>
      </c>
      <c r="D1207" s="8" t="s">
        <v>126</v>
      </c>
      <c r="E1207" s="8" t="s">
        <v>51</v>
      </c>
      <c r="F1207" s="8" t="s">
        <v>29</v>
      </c>
      <c r="G1207" s="8" t="s">
        <v>28</v>
      </c>
      <c r="H1207" s="8" t="s">
        <v>39</v>
      </c>
      <c r="I1207" s="11">
        <v>31</v>
      </c>
      <c r="J1207" s="12">
        <v>51</v>
      </c>
      <c r="K1207" s="13">
        <v>0</v>
      </c>
      <c r="L1207" s="12">
        <v>31.33</v>
      </c>
      <c r="M1207" s="14">
        <f>ROUND(tblSprzedaz[[#This Row],[Ilość]]*tblSprzedaz[[#This Row],[Cena netto jednostkowa]]*(1-tblSprzedaz[[#This Row],[Rabat %]]),2)</f>
        <v>1581</v>
      </c>
      <c r="N1207" s="14">
        <f>ROUND(tblSprzedaz[[#This Row],[Ilość]]*tblSprzedaz[[#This Row],[Koszt jednostkowy netto]],2)</f>
        <v>971.23</v>
      </c>
      <c r="O1207" s="14">
        <f>tblSprzedaz[[#This Row],[Przychód netto]]-tblSprzedaz[[#This Row],[Koszt całkowity netto]]</f>
        <v>609.77</v>
      </c>
      <c r="P1207" s="15">
        <f>IFERROR(tblSprzedaz[[#This Row],[Marża kwotowa]]/tblSprzedaz[[#This Row],[Przychód netto]],0)</f>
        <v>0.38568627450980392</v>
      </c>
      <c r="Q1207" s="16">
        <f>YEAR(tblSprzedaz[[#This Row],[Data]])</f>
        <v>2025</v>
      </c>
      <c r="R1207" s="16">
        <f>MONTH(tblSprzedaz[[#This Row],[Data]])</f>
        <v>11</v>
      </c>
      <c r="S1207" s="9" t="str">
        <f>YEAR(tblSprzedaz[[#This Row],[Data]])&amp;"-"&amp;RIGHT("0"&amp;MONTH(tblSprzedaz[[#This Row],[Data]]),2)</f>
        <v>2025-11</v>
      </c>
    </row>
    <row r="1208" spans="1:19" x14ac:dyDescent="0.25">
      <c r="A1208" s="7" t="s">
        <v>2583</v>
      </c>
      <c r="B1208" s="10">
        <v>45974</v>
      </c>
      <c r="C1208" s="7" t="s">
        <v>2584</v>
      </c>
      <c r="D1208" s="8" t="s">
        <v>113</v>
      </c>
      <c r="E1208" s="8" t="s">
        <v>70</v>
      </c>
      <c r="F1208" s="8" t="s">
        <v>35</v>
      </c>
      <c r="G1208" s="8" t="s">
        <v>36</v>
      </c>
      <c r="H1208" s="8" t="s">
        <v>46</v>
      </c>
      <c r="I1208" s="11">
        <v>17</v>
      </c>
      <c r="J1208" s="12">
        <v>113.56</v>
      </c>
      <c r="K1208" s="13">
        <v>0.1</v>
      </c>
      <c r="L1208" s="12">
        <v>79.59</v>
      </c>
      <c r="M1208" s="14">
        <f>ROUND(tblSprzedaz[[#This Row],[Ilość]]*tblSprzedaz[[#This Row],[Cena netto jednostkowa]]*(1-tblSprzedaz[[#This Row],[Rabat %]]),2)</f>
        <v>1737.47</v>
      </c>
      <c r="N1208" s="14">
        <f>ROUND(tblSprzedaz[[#This Row],[Ilość]]*tblSprzedaz[[#This Row],[Koszt jednostkowy netto]],2)</f>
        <v>1353.03</v>
      </c>
      <c r="O1208" s="14">
        <f>tblSprzedaz[[#This Row],[Przychód netto]]-tblSprzedaz[[#This Row],[Koszt całkowity netto]]</f>
        <v>384.44000000000005</v>
      </c>
      <c r="P1208" s="15">
        <f>IFERROR(tblSprzedaz[[#This Row],[Marża kwotowa]]/tblSprzedaz[[#This Row],[Przychód netto]],0)</f>
        <v>0.22126425204463965</v>
      </c>
      <c r="Q1208" s="16">
        <f>YEAR(tblSprzedaz[[#This Row],[Data]])</f>
        <v>2025</v>
      </c>
      <c r="R1208" s="16">
        <f>MONTH(tblSprzedaz[[#This Row],[Data]])</f>
        <v>11</v>
      </c>
      <c r="S1208" s="9" t="str">
        <f>YEAR(tblSprzedaz[[#This Row],[Data]])&amp;"-"&amp;RIGHT("0"&amp;MONTH(tblSprzedaz[[#This Row],[Data]]),2)</f>
        <v>2025-11</v>
      </c>
    </row>
    <row r="1209" spans="1:19" x14ac:dyDescent="0.25">
      <c r="A1209" s="7" t="s">
        <v>2585</v>
      </c>
      <c r="B1209" s="10">
        <v>45975</v>
      </c>
      <c r="C1209" s="7" t="s">
        <v>2586</v>
      </c>
      <c r="D1209" s="8" t="s">
        <v>102</v>
      </c>
      <c r="E1209" s="8" t="s">
        <v>62</v>
      </c>
      <c r="F1209" s="8" t="s">
        <v>33</v>
      </c>
      <c r="G1209" s="8" t="s">
        <v>36</v>
      </c>
      <c r="H1209" s="8" t="s">
        <v>46</v>
      </c>
      <c r="I1209" s="11">
        <v>33</v>
      </c>
      <c r="J1209" s="12">
        <v>611.79999999999995</v>
      </c>
      <c r="K1209" s="13">
        <v>0</v>
      </c>
      <c r="L1209" s="12">
        <v>424.93</v>
      </c>
      <c r="M1209" s="14">
        <f>ROUND(tblSprzedaz[[#This Row],[Ilość]]*tblSprzedaz[[#This Row],[Cena netto jednostkowa]]*(1-tblSprzedaz[[#This Row],[Rabat %]]),2)</f>
        <v>20189.400000000001</v>
      </c>
      <c r="N1209" s="14">
        <f>ROUND(tblSprzedaz[[#This Row],[Ilość]]*tblSprzedaz[[#This Row],[Koszt jednostkowy netto]],2)</f>
        <v>14022.69</v>
      </c>
      <c r="O1209" s="14">
        <f>tblSprzedaz[[#This Row],[Przychód netto]]-tblSprzedaz[[#This Row],[Koszt całkowity netto]]</f>
        <v>6166.7100000000009</v>
      </c>
      <c r="P1209" s="15">
        <f>IFERROR(tblSprzedaz[[#This Row],[Marża kwotowa]]/tblSprzedaz[[#This Row],[Przychód netto]],0)</f>
        <v>0.30544295521412229</v>
      </c>
      <c r="Q1209" s="16">
        <f>YEAR(tblSprzedaz[[#This Row],[Data]])</f>
        <v>2025</v>
      </c>
      <c r="R1209" s="16">
        <f>MONTH(tblSprzedaz[[#This Row],[Data]])</f>
        <v>11</v>
      </c>
      <c r="S1209" s="9" t="str">
        <f>YEAR(tblSprzedaz[[#This Row],[Data]])&amp;"-"&amp;RIGHT("0"&amp;MONTH(tblSprzedaz[[#This Row],[Data]]),2)</f>
        <v>2025-11</v>
      </c>
    </row>
    <row r="1210" spans="1:19" x14ac:dyDescent="0.25">
      <c r="A1210" s="7" t="s">
        <v>2587</v>
      </c>
      <c r="B1210" s="10">
        <v>45975</v>
      </c>
      <c r="C1210" s="7" t="s">
        <v>2588</v>
      </c>
      <c r="D1210" s="8" t="s">
        <v>112</v>
      </c>
      <c r="E1210" s="8" t="s">
        <v>58</v>
      </c>
      <c r="F1210" s="8" t="s">
        <v>31</v>
      </c>
      <c r="G1210" s="8" t="s">
        <v>32</v>
      </c>
      <c r="H1210" s="8" t="s">
        <v>42</v>
      </c>
      <c r="I1210" s="11">
        <v>30</v>
      </c>
      <c r="J1210" s="12">
        <v>350.7</v>
      </c>
      <c r="K1210" s="13">
        <v>0</v>
      </c>
      <c r="L1210" s="12">
        <v>234.89</v>
      </c>
      <c r="M1210" s="14">
        <f>ROUND(tblSprzedaz[[#This Row],[Ilość]]*tblSprzedaz[[#This Row],[Cena netto jednostkowa]]*(1-tblSprzedaz[[#This Row],[Rabat %]]),2)</f>
        <v>10521</v>
      </c>
      <c r="N1210" s="14">
        <f>ROUND(tblSprzedaz[[#This Row],[Ilość]]*tblSprzedaz[[#This Row],[Koszt jednostkowy netto]],2)</f>
        <v>7046.7</v>
      </c>
      <c r="O1210" s="14">
        <f>tblSprzedaz[[#This Row],[Przychód netto]]-tblSprzedaz[[#This Row],[Koszt całkowity netto]]</f>
        <v>3474.3</v>
      </c>
      <c r="P1210" s="15">
        <f>IFERROR(tblSprzedaz[[#This Row],[Marża kwotowa]]/tblSprzedaz[[#This Row],[Przychód netto]],0)</f>
        <v>0.33022526375819788</v>
      </c>
      <c r="Q1210" s="16">
        <f>YEAR(tblSprzedaz[[#This Row],[Data]])</f>
        <v>2025</v>
      </c>
      <c r="R1210" s="16">
        <f>MONTH(tblSprzedaz[[#This Row],[Data]])</f>
        <v>11</v>
      </c>
      <c r="S1210" s="9" t="str">
        <f>YEAR(tblSprzedaz[[#This Row],[Data]])&amp;"-"&amp;RIGHT("0"&amp;MONTH(tblSprzedaz[[#This Row],[Data]]),2)</f>
        <v>2025-11</v>
      </c>
    </row>
    <row r="1211" spans="1:19" x14ac:dyDescent="0.25">
      <c r="A1211" s="7" t="s">
        <v>2589</v>
      </c>
      <c r="B1211" s="10">
        <v>45975</v>
      </c>
      <c r="C1211" s="7" t="s">
        <v>2590</v>
      </c>
      <c r="D1211" s="8" t="s">
        <v>142</v>
      </c>
      <c r="E1211" s="8" t="s">
        <v>69</v>
      </c>
      <c r="F1211" s="8" t="s">
        <v>35</v>
      </c>
      <c r="G1211" s="8" t="s">
        <v>34</v>
      </c>
      <c r="H1211" s="8" t="s">
        <v>44</v>
      </c>
      <c r="I1211" s="11">
        <v>6</v>
      </c>
      <c r="J1211" s="12">
        <v>102</v>
      </c>
      <c r="K1211" s="13">
        <v>0</v>
      </c>
      <c r="L1211" s="12">
        <v>77.23</v>
      </c>
      <c r="M1211" s="14">
        <f>ROUND(tblSprzedaz[[#This Row],[Ilość]]*tblSprzedaz[[#This Row],[Cena netto jednostkowa]]*(1-tblSprzedaz[[#This Row],[Rabat %]]),2)</f>
        <v>612</v>
      </c>
      <c r="N1211" s="14">
        <f>ROUND(tblSprzedaz[[#This Row],[Ilość]]*tblSprzedaz[[#This Row],[Koszt jednostkowy netto]],2)</f>
        <v>463.38</v>
      </c>
      <c r="O1211" s="14">
        <f>tblSprzedaz[[#This Row],[Przychód netto]]-tblSprzedaz[[#This Row],[Koszt całkowity netto]]</f>
        <v>148.62</v>
      </c>
      <c r="P1211" s="15">
        <f>IFERROR(tblSprzedaz[[#This Row],[Marża kwotowa]]/tblSprzedaz[[#This Row],[Przychód netto]],0)</f>
        <v>0.24284313725490198</v>
      </c>
      <c r="Q1211" s="16">
        <f>YEAR(tblSprzedaz[[#This Row],[Data]])</f>
        <v>2025</v>
      </c>
      <c r="R1211" s="16">
        <f>MONTH(tblSprzedaz[[#This Row],[Data]])</f>
        <v>11</v>
      </c>
      <c r="S1211" s="9" t="str">
        <f>YEAR(tblSprzedaz[[#This Row],[Data]])&amp;"-"&amp;RIGHT("0"&amp;MONTH(tblSprzedaz[[#This Row],[Data]]),2)</f>
        <v>2025-11</v>
      </c>
    </row>
    <row r="1212" spans="1:19" x14ac:dyDescent="0.25">
      <c r="A1212" s="7" t="s">
        <v>2591</v>
      </c>
      <c r="B1212" s="10">
        <v>45975</v>
      </c>
      <c r="C1212" s="7" t="s">
        <v>2592</v>
      </c>
      <c r="D1212" s="8" t="s">
        <v>78</v>
      </c>
      <c r="E1212" s="8" t="s">
        <v>68</v>
      </c>
      <c r="F1212" s="8" t="s">
        <v>35</v>
      </c>
      <c r="G1212" s="8" t="s">
        <v>36</v>
      </c>
      <c r="H1212" s="8" t="s">
        <v>46</v>
      </c>
      <c r="I1212" s="11">
        <v>26</v>
      </c>
      <c r="J1212" s="12">
        <v>90.44</v>
      </c>
      <c r="K1212" s="13">
        <v>0</v>
      </c>
      <c r="L1212" s="12">
        <v>64.72</v>
      </c>
      <c r="M1212" s="14">
        <f>ROUND(tblSprzedaz[[#This Row],[Ilość]]*tblSprzedaz[[#This Row],[Cena netto jednostkowa]]*(1-tblSprzedaz[[#This Row],[Rabat %]]),2)</f>
        <v>2351.44</v>
      </c>
      <c r="N1212" s="14">
        <f>ROUND(tblSprzedaz[[#This Row],[Ilość]]*tblSprzedaz[[#This Row],[Koszt jednostkowy netto]],2)</f>
        <v>1682.72</v>
      </c>
      <c r="O1212" s="14">
        <f>tblSprzedaz[[#This Row],[Przychód netto]]-tblSprzedaz[[#This Row],[Koszt całkowity netto]]</f>
        <v>668.72</v>
      </c>
      <c r="P1212" s="15">
        <f>IFERROR(tblSprzedaz[[#This Row],[Marża kwotowa]]/tblSprzedaz[[#This Row],[Przychód netto]],0)</f>
        <v>0.2843874391862008</v>
      </c>
      <c r="Q1212" s="16">
        <f>YEAR(tblSprzedaz[[#This Row],[Data]])</f>
        <v>2025</v>
      </c>
      <c r="R1212" s="16">
        <f>MONTH(tblSprzedaz[[#This Row],[Data]])</f>
        <v>11</v>
      </c>
      <c r="S1212" s="9" t="str">
        <f>YEAR(tblSprzedaz[[#This Row],[Data]])&amp;"-"&amp;RIGHT("0"&amp;MONTH(tblSprzedaz[[#This Row],[Data]]),2)</f>
        <v>2025-11</v>
      </c>
    </row>
    <row r="1213" spans="1:19" x14ac:dyDescent="0.25">
      <c r="A1213" s="7" t="s">
        <v>2593</v>
      </c>
      <c r="B1213" s="10">
        <v>45976</v>
      </c>
      <c r="C1213" s="7" t="s">
        <v>2594</v>
      </c>
      <c r="D1213" s="8" t="s">
        <v>87</v>
      </c>
      <c r="E1213" s="8" t="s">
        <v>76</v>
      </c>
      <c r="F1213" s="8" t="s">
        <v>37</v>
      </c>
      <c r="G1213" s="8" t="s">
        <v>28</v>
      </c>
      <c r="H1213" s="8" t="s">
        <v>38</v>
      </c>
      <c r="I1213" s="11">
        <v>25</v>
      </c>
      <c r="J1213" s="12">
        <v>158.65</v>
      </c>
      <c r="K1213" s="13">
        <v>0</v>
      </c>
      <c r="L1213" s="12">
        <v>116.87</v>
      </c>
      <c r="M1213" s="14">
        <f>ROUND(tblSprzedaz[[#This Row],[Ilość]]*tblSprzedaz[[#This Row],[Cena netto jednostkowa]]*(1-tblSprzedaz[[#This Row],[Rabat %]]),2)</f>
        <v>3966.25</v>
      </c>
      <c r="N1213" s="14">
        <f>ROUND(tblSprzedaz[[#This Row],[Ilość]]*tblSprzedaz[[#This Row],[Koszt jednostkowy netto]],2)</f>
        <v>2921.75</v>
      </c>
      <c r="O1213" s="14">
        <f>tblSprzedaz[[#This Row],[Przychód netto]]-tblSprzedaz[[#This Row],[Koszt całkowity netto]]</f>
        <v>1044.5</v>
      </c>
      <c r="P1213" s="15">
        <f>IFERROR(tblSprzedaz[[#This Row],[Marża kwotowa]]/tblSprzedaz[[#This Row],[Przychód netto]],0)</f>
        <v>0.26334699023006619</v>
      </c>
      <c r="Q1213" s="16">
        <f>YEAR(tblSprzedaz[[#This Row],[Data]])</f>
        <v>2025</v>
      </c>
      <c r="R1213" s="16">
        <f>MONTH(tblSprzedaz[[#This Row],[Data]])</f>
        <v>11</v>
      </c>
      <c r="S1213" s="9" t="str">
        <f>YEAR(tblSprzedaz[[#This Row],[Data]])&amp;"-"&amp;RIGHT("0"&amp;MONTH(tblSprzedaz[[#This Row],[Data]]),2)</f>
        <v>2025-11</v>
      </c>
    </row>
    <row r="1214" spans="1:19" x14ac:dyDescent="0.25">
      <c r="A1214" s="7" t="s">
        <v>2595</v>
      </c>
      <c r="B1214" s="10">
        <v>45976</v>
      </c>
      <c r="C1214" s="7" t="s">
        <v>2596</v>
      </c>
      <c r="D1214" s="8" t="s">
        <v>112</v>
      </c>
      <c r="E1214" s="8" t="s">
        <v>66</v>
      </c>
      <c r="F1214" s="8" t="s">
        <v>35</v>
      </c>
      <c r="G1214" s="8" t="s">
        <v>34</v>
      </c>
      <c r="H1214" s="8" t="s">
        <v>44</v>
      </c>
      <c r="I1214" s="11">
        <v>9</v>
      </c>
      <c r="J1214" s="12">
        <v>67.319999999999993</v>
      </c>
      <c r="K1214" s="13">
        <v>0</v>
      </c>
      <c r="L1214" s="12">
        <v>48.44</v>
      </c>
      <c r="M1214" s="14">
        <f>ROUND(tblSprzedaz[[#This Row],[Ilość]]*tblSprzedaz[[#This Row],[Cena netto jednostkowa]]*(1-tblSprzedaz[[#This Row],[Rabat %]]),2)</f>
        <v>605.88</v>
      </c>
      <c r="N1214" s="14">
        <f>ROUND(tblSprzedaz[[#This Row],[Ilość]]*tblSprzedaz[[#This Row],[Koszt jednostkowy netto]],2)</f>
        <v>435.96</v>
      </c>
      <c r="O1214" s="14">
        <f>tblSprzedaz[[#This Row],[Przychód netto]]-tblSprzedaz[[#This Row],[Koszt całkowity netto]]</f>
        <v>169.92000000000002</v>
      </c>
      <c r="P1214" s="15">
        <f>IFERROR(tblSprzedaz[[#This Row],[Marża kwotowa]]/tblSprzedaz[[#This Row],[Przychód netto]],0)</f>
        <v>0.28045157456922165</v>
      </c>
      <c r="Q1214" s="16">
        <f>YEAR(tblSprzedaz[[#This Row],[Data]])</f>
        <v>2025</v>
      </c>
      <c r="R1214" s="16">
        <f>MONTH(tblSprzedaz[[#This Row],[Data]])</f>
        <v>11</v>
      </c>
      <c r="S1214" s="9" t="str">
        <f>YEAR(tblSprzedaz[[#This Row],[Data]])&amp;"-"&amp;RIGHT("0"&amp;MONTH(tblSprzedaz[[#This Row],[Data]]),2)</f>
        <v>2025-11</v>
      </c>
    </row>
    <row r="1215" spans="1:19" x14ac:dyDescent="0.25">
      <c r="A1215" s="7" t="s">
        <v>2597</v>
      </c>
      <c r="B1215" s="10">
        <v>45977</v>
      </c>
      <c r="C1215" s="7" t="s">
        <v>2598</v>
      </c>
      <c r="D1215" s="8" t="s">
        <v>141</v>
      </c>
      <c r="E1215" s="8" t="s">
        <v>75</v>
      </c>
      <c r="F1215" s="8" t="s">
        <v>37</v>
      </c>
      <c r="G1215" s="8" t="s">
        <v>30</v>
      </c>
      <c r="H1215" s="8" t="s">
        <v>40</v>
      </c>
      <c r="I1215" s="11">
        <v>26</v>
      </c>
      <c r="J1215" s="12">
        <v>142.5</v>
      </c>
      <c r="K1215" s="13">
        <v>0.05</v>
      </c>
      <c r="L1215" s="12">
        <v>110.85</v>
      </c>
      <c r="M1215" s="14">
        <f>ROUND(tblSprzedaz[[#This Row],[Ilość]]*tblSprzedaz[[#This Row],[Cena netto jednostkowa]]*(1-tblSprzedaz[[#This Row],[Rabat %]]),2)</f>
        <v>3519.75</v>
      </c>
      <c r="N1215" s="14">
        <f>ROUND(tblSprzedaz[[#This Row],[Ilość]]*tblSprzedaz[[#This Row],[Koszt jednostkowy netto]],2)</f>
        <v>2882.1</v>
      </c>
      <c r="O1215" s="14">
        <f>tblSprzedaz[[#This Row],[Przychód netto]]-tblSprzedaz[[#This Row],[Koszt całkowity netto]]</f>
        <v>637.65000000000009</v>
      </c>
      <c r="P1215" s="15">
        <f>IFERROR(tblSprzedaz[[#This Row],[Marża kwotowa]]/tblSprzedaz[[#This Row],[Przychód netto]],0)</f>
        <v>0.18116343490304712</v>
      </c>
      <c r="Q1215" s="16">
        <f>YEAR(tblSprzedaz[[#This Row],[Data]])</f>
        <v>2025</v>
      </c>
      <c r="R1215" s="16">
        <f>MONTH(tblSprzedaz[[#This Row],[Data]])</f>
        <v>11</v>
      </c>
      <c r="S1215" s="9" t="str">
        <f>YEAR(tblSprzedaz[[#This Row],[Data]])&amp;"-"&amp;RIGHT("0"&amp;MONTH(tblSprzedaz[[#This Row],[Data]]),2)</f>
        <v>2025-11</v>
      </c>
    </row>
    <row r="1216" spans="1:19" x14ac:dyDescent="0.25">
      <c r="A1216" s="7" t="s">
        <v>2599</v>
      </c>
      <c r="B1216" s="10">
        <v>45978</v>
      </c>
      <c r="C1216" s="7" t="s">
        <v>2600</v>
      </c>
      <c r="D1216" s="8" t="s">
        <v>107</v>
      </c>
      <c r="E1216" s="8" t="s">
        <v>72</v>
      </c>
      <c r="F1216" s="8" t="s">
        <v>37</v>
      </c>
      <c r="G1216" s="8" t="s">
        <v>34</v>
      </c>
      <c r="H1216" s="8" t="s">
        <v>44</v>
      </c>
      <c r="I1216" s="11">
        <v>1</v>
      </c>
      <c r="J1216" s="12">
        <v>94.05</v>
      </c>
      <c r="K1216" s="13">
        <v>0.1</v>
      </c>
      <c r="L1216" s="12">
        <v>72.28</v>
      </c>
      <c r="M1216" s="14">
        <f>ROUND(tblSprzedaz[[#This Row],[Ilość]]*tblSprzedaz[[#This Row],[Cena netto jednostkowa]]*(1-tblSprzedaz[[#This Row],[Rabat %]]),2)</f>
        <v>84.65</v>
      </c>
      <c r="N1216" s="14">
        <f>ROUND(tblSprzedaz[[#This Row],[Ilość]]*tblSprzedaz[[#This Row],[Koszt jednostkowy netto]],2)</f>
        <v>72.28</v>
      </c>
      <c r="O1216" s="14">
        <f>tblSprzedaz[[#This Row],[Przychód netto]]-tblSprzedaz[[#This Row],[Koszt całkowity netto]]</f>
        <v>12.370000000000005</v>
      </c>
      <c r="P1216" s="15">
        <f>IFERROR(tblSprzedaz[[#This Row],[Marża kwotowa]]/tblSprzedaz[[#This Row],[Przychód netto]],0)</f>
        <v>0.14613112817483762</v>
      </c>
      <c r="Q1216" s="16">
        <f>YEAR(tblSprzedaz[[#This Row],[Data]])</f>
        <v>2025</v>
      </c>
      <c r="R1216" s="16">
        <f>MONTH(tblSprzedaz[[#This Row],[Data]])</f>
        <v>11</v>
      </c>
      <c r="S1216" s="9" t="str">
        <f>YEAR(tblSprzedaz[[#This Row],[Data]])&amp;"-"&amp;RIGHT("0"&amp;MONTH(tblSprzedaz[[#This Row],[Data]]),2)</f>
        <v>2025-11</v>
      </c>
    </row>
    <row r="1217" spans="1:19" x14ac:dyDescent="0.25">
      <c r="A1217" s="7" t="s">
        <v>2601</v>
      </c>
      <c r="B1217" s="10">
        <v>45978</v>
      </c>
      <c r="C1217" s="7" t="s">
        <v>2602</v>
      </c>
      <c r="D1217" s="8" t="s">
        <v>100</v>
      </c>
      <c r="E1217" s="8" t="s">
        <v>65</v>
      </c>
      <c r="F1217" s="8" t="s">
        <v>33</v>
      </c>
      <c r="G1217" s="8" t="s">
        <v>34</v>
      </c>
      <c r="H1217" s="8" t="s">
        <v>44</v>
      </c>
      <c r="I1217" s="11">
        <v>5</v>
      </c>
      <c r="J1217" s="12">
        <v>377.2</v>
      </c>
      <c r="K1217" s="13">
        <v>0</v>
      </c>
      <c r="L1217" s="12">
        <v>249.59</v>
      </c>
      <c r="M1217" s="14">
        <f>ROUND(tblSprzedaz[[#This Row],[Ilość]]*tblSprzedaz[[#This Row],[Cena netto jednostkowa]]*(1-tblSprzedaz[[#This Row],[Rabat %]]),2)</f>
        <v>1886</v>
      </c>
      <c r="N1217" s="14">
        <f>ROUND(tblSprzedaz[[#This Row],[Ilość]]*tblSprzedaz[[#This Row],[Koszt jednostkowy netto]],2)</f>
        <v>1247.95</v>
      </c>
      <c r="O1217" s="14">
        <f>tblSprzedaz[[#This Row],[Przychód netto]]-tblSprzedaz[[#This Row],[Koszt całkowity netto]]</f>
        <v>638.04999999999995</v>
      </c>
      <c r="P1217" s="15">
        <f>IFERROR(tblSprzedaz[[#This Row],[Marża kwotowa]]/tblSprzedaz[[#This Row],[Przychód netto]],0)</f>
        <v>0.33830858960763516</v>
      </c>
      <c r="Q1217" s="16">
        <f>YEAR(tblSprzedaz[[#This Row],[Data]])</f>
        <v>2025</v>
      </c>
      <c r="R1217" s="16">
        <f>MONTH(tblSprzedaz[[#This Row],[Data]])</f>
        <v>11</v>
      </c>
      <c r="S1217" s="9" t="str">
        <f>YEAR(tblSprzedaz[[#This Row],[Data]])&amp;"-"&amp;RIGHT("0"&amp;MONTH(tblSprzedaz[[#This Row],[Data]]),2)</f>
        <v>2025-11</v>
      </c>
    </row>
    <row r="1218" spans="1:19" x14ac:dyDescent="0.25">
      <c r="A1218" s="7" t="s">
        <v>2603</v>
      </c>
      <c r="B1218" s="10">
        <v>45978</v>
      </c>
      <c r="C1218" s="7" t="s">
        <v>2604</v>
      </c>
      <c r="D1218" s="8" t="s">
        <v>126</v>
      </c>
      <c r="E1218" s="8" t="s">
        <v>68</v>
      </c>
      <c r="F1218" s="8" t="s">
        <v>35</v>
      </c>
      <c r="G1218" s="8" t="s">
        <v>30</v>
      </c>
      <c r="H1218" s="8" t="s">
        <v>40</v>
      </c>
      <c r="I1218" s="11">
        <v>31</v>
      </c>
      <c r="J1218" s="12">
        <v>90.44</v>
      </c>
      <c r="K1218" s="13">
        <v>0.15</v>
      </c>
      <c r="L1218" s="12">
        <v>64.73</v>
      </c>
      <c r="M1218" s="14">
        <f>ROUND(tblSprzedaz[[#This Row],[Ilość]]*tblSprzedaz[[#This Row],[Cena netto jednostkowa]]*(1-tblSprzedaz[[#This Row],[Rabat %]]),2)</f>
        <v>2383.09</v>
      </c>
      <c r="N1218" s="14">
        <f>ROUND(tblSprzedaz[[#This Row],[Ilość]]*tblSprzedaz[[#This Row],[Koszt jednostkowy netto]],2)</f>
        <v>2006.63</v>
      </c>
      <c r="O1218" s="14">
        <f>tblSprzedaz[[#This Row],[Przychód netto]]-tblSprzedaz[[#This Row],[Koszt całkowity netto]]</f>
        <v>376.46000000000004</v>
      </c>
      <c r="P1218" s="15">
        <f>IFERROR(tblSprzedaz[[#This Row],[Marża kwotowa]]/tblSprzedaz[[#This Row],[Przychód netto]],0)</f>
        <v>0.15797137330105032</v>
      </c>
      <c r="Q1218" s="16">
        <f>YEAR(tblSprzedaz[[#This Row],[Data]])</f>
        <v>2025</v>
      </c>
      <c r="R1218" s="16">
        <f>MONTH(tblSprzedaz[[#This Row],[Data]])</f>
        <v>11</v>
      </c>
      <c r="S1218" s="9" t="str">
        <f>YEAR(tblSprzedaz[[#This Row],[Data]])&amp;"-"&amp;RIGHT("0"&amp;MONTH(tblSprzedaz[[#This Row],[Data]]),2)</f>
        <v>2025-11</v>
      </c>
    </row>
    <row r="1219" spans="1:19" x14ac:dyDescent="0.25">
      <c r="A1219" s="7" t="s">
        <v>2605</v>
      </c>
      <c r="B1219" s="10">
        <v>45978</v>
      </c>
      <c r="C1219" s="7" t="s">
        <v>2606</v>
      </c>
      <c r="D1219" s="8" t="s">
        <v>114</v>
      </c>
      <c r="E1219" s="8" t="s">
        <v>73</v>
      </c>
      <c r="F1219" s="8" t="s">
        <v>37</v>
      </c>
      <c r="G1219" s="8" t="s">
        <v>34</v>
      </c>
      <c r="H1219" s="8" t="s">
        <v>45</v>
      </c>
      <c r="I1219" s="11">
        <v>15</v>
      </c>
      <c r="J1219" s="12">
        <v>110.2</v>
      </c>
      <c r="K1219" s="13">
        <v>0</v>
      </c>
      <c r="L1219" s="12">
        <v>86.13</v>
      </c>
      <c r="M1219" s="14">
        <f>ROUND(tblSprzedaz[[#This Row],[Ilość]]*tblSprzedaz[[#This Row],[Cena netto jednostkowa]]*(1-tblSprzedaz[[#This Row],[Rabat %]]),2)</f>
        <v>1653</v>
      </c>
      <c r="N1219" s="14">
        <f>ROUND(tblSprzedaz[[#This Row],[Ilość]]*tblSprzedaz[[#This Row],[Koszt jednostkowy netto]],2)</f>
        <v>1291.95</v>
      </c>
      <c r="O1219" s="14">
        <f>tblSprzedaz[[#This Row],[Przychód netto]]-tblSprzedaz[[#This Row],[Koszt całkowity netto]]</f>
        <v>361.04999999999995</v>
      </c>
      <c r="P1219" s="15">
        <f>IFERROR(tblSprzedaz[[#This Row],[Marża kwotowa]]/tblSprzedaz[[#This Row],[Przychód netto]],0)</f>
        <v>0.21842105263157893</v>
      </c>
      <c r="Q1219" s="16">
        <f>YEAR(tblSprzedaz[[#This Row],[Data]])</f>
        <v>2025</v>
      </c>
      <c r="R1219" s="16">
        <f>MONTH(tblSprzedaz[[#This Row],[Data]])</f>
        <v>11</v>
      </c>
      <c r="S1219" s="9" t="str">
        <f>YEAR(tblSprzedaz[[#This Row],[Data]])&amp;"-"&amp;RIGHT("0"&amp;MONTH(tblSprzedaz[[#This Row],[Data]]),2)</f>
        <v>2025-11</v>
      </c>
    </row>
    <row r="1220" spans="1:19" x14ac:dyDescent="0.25">
      <c r="A1220" s="7" t="s">
        <v>2607</v>
      </c>
      <c r="B1220" s="10">
        <v>45979</v>
      </c>
      <c r="C1220" s="7" t="s">
        <v>2608</v>
      </c>
      <c r="D1220" s="8" t="s">
        <v>97</v>
      </c>
      <c r="E1220" s="8" t="s">
        <v>52</v>
      </c>
      <c r="F1220" s="8" t="s">
        <v>29</v>
      </c>
      <c r="G1220" s="8" t="s">
        <v>32</v>
      </c>
      <c r="H1220" s="8" t="s">
        <v>43</v>
      </c>
      <c r="I1220" s="11">
        <v>39</v>
      </c>
      <c r="J1220" s="12">
        <v>56.78</v>
      </c>
      <c r="K1220" s="13">
        <v>0</v>
      </c>
      <c r="L1220" s="12">
        <v>32.22</v>
      </c>
      <c r="M1220" s="14">
        <f>ROUND(tblSprzedaz[[#This Row],[Ilość]]*tblSprzedaz[[#This Row],[Cena netto jednostkowa]]*(1-tblSprzedaz[[#This Row],[Rabat %]]),2)</f>
        <v>2214.42</v>
      </c>
      <c r="N1220" s="14">
        <f>ROUND(tblSprzedaz[[#This Row],[Ilość]]*tblSprzedaz[[#This Row],[Koszt jednostkowy netto]],2)</f>
        <v>1256.58</v>
      </c>
      <c r="O1220" s="14">
        <f>tblSprzedaz[[#This Row],[Przychód netto]]-tblSprzedaz[[#This Row],[Koszt całkowity netto]]</f>
        <v>957.84000000000015</v>
      </c>
      <c r="P1220" s="15">
        <f>IFERROR(tblSprzedaz[[#This Row],[Marża kwotowa]]/tblSprzedaz[[#This Row],[Przychód netto]],0)</f>
        <v>0.43254667136315611</v>
      </c>
      <c r="Q1220" s="16">
        <f>YEAR(tblSprzedaz[[#This Row],[Data]])</f>
        <v>2025</v>
      </c>
      <c r="R1220" s="16">
        <f>MONTH(tblSprzedaz[[#This Row],[Data]])</f>
        <v>11</v>
      </c>
      <c r="S1220" s="9" t="str">
        <f>YEAR(tblSprzedaz[[#This Row],[Data]])&amp;"-"&amp;RIGHT("0"&amp;MONTH(tblSprzedaz[[#This Row],[Data]]),2)</f>
        <v>2025-11</v>
      </c>
    </row>
    <row r="1221" spans="1:19" x14ac:dyDescent="0.25">
      <c r="A1221" s="7" t="s">
        <v>2609</v>
      </c>
      <c r="B1221" s="10">
        <v>45979</v>
      </c>
      <c r="C1221" s="7" t="s">
        <v>2610</v>
      </c>
      <c r="D1221" s="8" t="s">
        <v>113</v>
      </c>
      <c r="E1221" s="8" t="s">
        <v>67</v>
      </c>
      <c r="F1221" s="8" t="s">
        <v>35</v>
      </c>
      <c r="G1221" s="8" t="s">
        <v>32</v>
      </c>
      <c r="H1221" s="8" t="s">
        <v>43</v>
      </c>
      <c r="I1221" s="11">
        <v>29</v>
      </c>
      <c r="J1221" s="12">
        <v>78.88</v>
      </c>
      <c r="K1221" s="13">
        <v>0</v>
      </c>
      <c r="L1221" s="12">
        <v>58.5</v>
      </c>
      <c r="M1221" s="14">
        <f>ROUND(tblSprzedaz[[#This Row],[Ilość]]*tblSprzedaz[[#This Row],[Cena netto jednostkowa]]*(1-tblSprzedaz[[#This Row],[Rabat %]]),2)</f>
        <v>2287.52</v>
      </c>
      <c r="N1221" s="14">
        <f>ROUND(tblSprzedaz[[#This Row],[Ilość]]*tblSprzedaz[[#This Row],[Koszt jednostkowy netto]],2)</f>
        <v>1696.5</v>
      </c>
      <c r="O1221" s="14">
        <f>tblSprzedaz[[#This Row],[Przychód netto]]-tblSprzedaz[[#This Row],[Koszt całkowity netto]]</f>
        <v>591.02</v>
      </c>
      <c r="P1221" s="15">
        <f>IFERROR(tblSprzedaz[[#This Row],[Marża kwotowa]]/tblSprzedaz[[#This Row],[Przychód netto]],0)</f>
        <v>0.25836713995943206</v>
      </c>
      <c r="Q1221" s="16">
        <f>YEAR(tblSprzedaz[[#This Row],[Data]])</f>
        <v>2025</v>
      </c>
      <c r="R1221" s="16">
        <f>MONTH(tblSprzedaz[[#This Row],[Data]])</f>
        <v>11</v>
      </c>
      <c r="S1221" s="9" t="str">
        <f>YEAR(tblSprzedaz[[#This Row],[Data]])&amp;"-"&amp;RIGHT("0"&amp;MONTH(tblSprzedaz[[#This Row],[Data]]),2)</f>
        <v>2025-11</v>
      </c>
    </row>
    <row r="1222" spans="1:19" x14ac:dyDescent="0.25">
      <c r="A1222" s="7" t="s">
        <v>2611</v>
      </c>
      <c r="B1222" s="10">
        <v>45979</v>
      </c>
      <c r="C1222" s="7" t="s">
        <v>2612</v>
      </c>
      <c r="D1222" s="8" t="s">
        <v>148</v>
      </c>
      <c r="E1222" s="8" t="s">
        <v>74</v>
      </c>
      <c r="F1222" s="8" t="s">
        <v>37</v>
      </c>
      <c r="G1222" s="8" t="s">
        <v>30</v>
      </c>
      <c r="H1222" s="8" t="s">
        <v>40</v>
      </c>
      <c r="I1222" s="11">
        <v>15</v>
      </c>
      <c r="J1222" s="12">
        <v>126.35</v>
      </c>
      <c r="K1222" s="13">
        <v>0.15</v>
      </c>
      <c r="L1222" s="12">
        <v>96.56</v>
      </c>
      <c r="M1222" s="14">
        <f>ROUND(tblSprzedaz[[#This Row],[Ilość]]*tblSprzedaz[[#This Row],[Cena netto jednostkowa]]*(1-tblSprzedaz[[#This Row],[Rabat %]]),2)</f>
        <v>1610.96</v>
      </c>
      <c r="N1222" s="14">
        <f>ROUND(tblSprzedaz[[#This Row],[Ilość]]*tblSprzedaz[[#This Row],[Koszt jednostkowy netto]],2)</f>
        <v>1448.4</v>
      </c>
      <c r="O1222" s="14">
        <f>tblSprzedaz[[#This Row],[Przychód netto]]-tblSprzedaz[[#This Row],[Koszt całkowity netto]]</f>
        <v>162.55999999999995</v>
      </c>
      <c r="P1222" s="15">
        <f>IFERROR(tblSprzedaz[[#This Row],[Marża kwotowa]]/tblSprzedaz[[#This Row],[Przychód netto]],0)</f>
        <v>0.10090877489198984</v>
      </c>
      <c r="Q1222" s="16">
        <f>YEAR(tblSprzedaz[[#This Row],[Data]])</f>
        <v>2025</v>
      </c>
      <c r="R1222" s="16">
        <f>MONTH(tblSprzedaz[[#This Row],[Data]])</f>
        <v>11</v>
      </c>
      <c r="S1222" s="9" t="str">
        <f>YEAR(tblSprzedaz[[#This Row],[Data]])&amp;"-"&amp;RIGHT("0"&amp;MONTH(tblSprzedaz[[#This Row],[Data]]),2)</f>
        <v>2025-11</v>
      </c>
    </row>
    <row r="1223" spans="1:19" x14ac:dyDescent="0.25">
      <c r="A1223" s="7" t="s">
        <v>2613</v>
      </c>
      <c r="B1223" s="10">
        <v>45980</v>
      </c>
      <c r="C1223" s="7" t="s">
        <v>2614</v>
      </c>
      <c r="D1223" s="8" t="s">
        <v>105</v>
      </c>
      <c r="E1223" s="8" t="s">
        <v>62</v>
      </c>
      <c r="F1223" s="8" t="s">
        <v>33</v>
      </c>
      <c r="G1223" s="8" t="s">
        <v>30</v>
      </c>
      <c r="H1223" s="8" t="s">
        <v>40</v>
      </c>
      <c r="I1223" s="11">
        <v>1</v>
      </c>
      <c r="J1223" s="12">
        <v>611.79999999999995</v>
      </c>
      <c r="K1223" s="13">
        <v>0</v>
      </c>
      <c r="L1223" s="12">
        <v>412.72</v>
      </c>
      <c r="M1223" s="14">
        <f>ROUND(tblSprzedaz[[#This Row],[Ilość]]*tblSprzedaz[[#This Row],[Cena netto jednostkowa]]*(1-tblSprzedaz[[#This Row],[Rabat %]]),2)</f>
        <v>611.79999999999995</v>
      </c>
      <c r="N1223" s="14">
        <f>ROUND(tblSprzedaz[[#This Row],[Ilość]]*tblSprzedaz[[#This Row],[Koszt jednostkowy netto]],2)</f>
        <v>412.72</v>
      </c>
      <c r="O1223" s="14">
        <f>tblSprzedaz[[#This Row],[Przychód netto]]-tblSprzedaz[[#This Row],[Koszt całkowity netto]]</f>
        <v>199.07999999999993</v>
      </c>
      <c r="P1223" s="15">
        <f>IFERROR(tblSprzedaz[[#This Row],[Marża kwotowa]]/tblSprzedaz[[#This Row],[Przychód netto]],0)</f>
        <v>0.32540045766590381</v>
      </c>
      <c r="Q1223" s="16">
        <f>YEAR(tblSprzedaz[[#This Row],[Data]])</f>
        <v>2025</v>
      </c>
      <c r="R1223" s="16">
        <f>MONTH(tblSprzedaz[[#This Row],[Data]])</f>
        <v>11</v>
      </c>
      <c r="S1223" s="9" t="str">
        <f>YEAR(tblSprzedaz[[#This Row],[Data]])&amp;"-"&amp;RIGHT("0"&amp;MONTH(tblSprzedaz[[#This Row],[Data]]),2)</f>
        <v>2025-11</v>
      </c>
    </row>
    <row r="1224" spans="1:19" x14ac:dyDescent="0.25">
      <c r="A1224" s="7" t="s">
        <v>2615</v>
      </c>
      <c r="B1224" s="10">
        <v>45980</v>
      </c>
      <c r="C1224" s="7" t="s">
        <v>2616</v>
      </c>
      <c r="D1224" s="8" t="s">
        <v>126</v>
      </c>
      <c r="E1224" s="8" t="s">
        <v>51</v>
      </c>
      <c r="F1224" s="8" t="s">
        <v>29</v>
      </c>
      <c r="G1224" s="8" t="s">
        <v>36</v>
      </c>
      <c r="H1224" s="8" t="s">
        <v>46</v>
      </c>
      <c r="I1224" s="11">
        <v>22</v>
      </c>
      <c r="J1224" s="12">
        <v>51</v>
      </c>
      <c r="K1224" s="13">
        <v>0.15</v>
      </c>
      <c r="L1224" s="12">
        <v>31.54</v>
      </c>
      <c r="M1224" s="14">
        <f>ROUND(tblSprzedaz[[#This Row],[Ilość]]*tblSprzedaz[[#This Row],[Cena netto jednostkowa]]*(1-tblSprzedaz[[#This Row],[Rabat %]]),2)</f>
        <v>953.7</v>
      </c>
      <c r="N1224" s="14">
        <f>ROUND(tblSprzedaz[[#This Row],[Ilość]]*tblSprzedaz[[#This Row],[Koszt jednostkowy netto]],2)</f>
        <v>693.88</v>
      </c>
      <c r="O1224" s="14">
        <f>tblSprzedaz[[#This Row],[Przychód netto]]-tblSprzedaz[[#This Row],[Koszt całkowity netto]]</f>
        <v>259.82000000000005</v>
      </c>
      <c r="P1224" s="15">
        <f>IFERROR(tblSprzedaz[[#This Row],[Marża kwotowa]]/tblSprzedaz[[#This Row],[Przychód netto]],0)</f>
        <v>0.27243367935409463</v>
      </c>
      <c r="Q1224" s="16">
        <f>YEAR(tblSprzedaz[[#This Row],[Data]])</f>
        <v>2025</v>
      </c>
      <c r="R1224" s="16">
        <f>MONTH(tblSprzedaz[[#This Row],[Data]])</f>
        <v>11</v>
      </c>
      <c r="S1224" s="9" t="str">
        <f>YEAR(tblSprzedaz[[#This Row],[Data]])&amp;"-"&amp;RIGHT("0"&amp;MONTH(tblSprzedaz[[#This Row],[Data]]),2)</f>
        <v>2025-11</v>
      </c>
    </row>
    <row r="1225" spans="1:19" x14ac:dyDescent="0.25">
      <c r="A1225" s="7" t="s">
        <v>2617</v>
      </c>
      <c r="B1225" s="10">
        <v>45980</v>
      </c>
      <c r="C1225" s="7" t="s">
        <v>2618</v>
      </c>
      <c r="D1225" s="8" t="s">
        <v>125</v>
      </c>
      <c r="E1225" s="8" t="s">
        <v>65</v>
      </c>
      <c r="F1225" s="8" t="s">
        <v>33</v>
      </c>
      <c r="G1225" s="8" t="s">
        <v>30</v>
      </c>
      <c r="H1225" s="8" t="s">
        <v>41</v>
      </c>
      <c r="I1225" s="11">
        <v>27</v>
      </c>
      <c r="J1225" s="12">
        <v>377.2</v>
      </c>
      <c r="K1225" s="13">
        <v>0.15</v>
      </c>
      <c r="L1225" s="12">
        <v>250.96</v>
      </c>
      <c r="M1225" s="14">
        <f>ROUND(tblSprzedaz[[#This Row],[Ilość]]*tblSprzedaz[[#This Row],[Cena netto jednostkowa]]*(1-tblSprzedaz[[#This Row],[Rabat %]]),2)</f>
        <v>8656.74</v>
      </c>
      <c r="N1225" s="14">
        <f>ROUND(tblSprzedaz[[#This Row],[Ilość]]*tblSprzedaz[[#This Row],[Koszt jednostkowy netto]],2)</f>
        <v>6775.92</v>
      </c>
      <c r="O1225" s="14">
        <f>tblSprzedaz[[#This Row],[Przychód netto]]-tblSprzedaz[[#This Row],[Koszt całkowity netto]]</f>
        <v>1880.8199999999997</v>
      </c>
      <c r="P1225" s="15">
        <f>IFERROR(tblSprzedaz[[#This Row],[Marża kwotowa]]/tblSprzedaz[[#This Row],[Przychód netto]],0)</f>
        <v>0.21726654606699516</v>
      </c>
      <c r="Q1225" s="16">
        <f>YEAR(tblSprzedaz[[#This Row],[Data]])</f>
        <v>2025</v>
      </c>
      <c r="R1225" s="16">
        <f>MONTH(tblSprzedaz[[#This Row],[Data]])</f>
        <v>11</v>
      </c>
      <c r="S1225" s="9" t="str">
        <f>YEAR(tblSprzedaz[[#This Row],[Data]])&amp;"-"&amp;RIGHT("0"&amp;MONTH(tblSprzedaz[[#This Row],[Data]]),2)</f>
        <v>2025-11</v>
      </c>
    </row>
    <row r="1226" spans="1:19" x14ac:dyDescent="0.25">
      <c r="A1226" s="7" t="s">
        <v>2619</v>
      </c>
      <c r="B1226" s="10">
        <v>45980</v>
      </c>
      <c r="C1226" s="7" t="s">
        <v>2620</v>
      </c>
      <c r="D1226" s="8" t="s">
        <v>84</v>
      </c>
      <c r="E1226" s="8" t="s">
        <v>51</v>
      </c>
      <c r="F1226" s="8" t="s">
        <v>29</v>
      </c>
      <c r="G1226" s="8" t="s">
        <v>32</v>
      </c>
      <c r="H1226" s="8" t="s">
        <v>43</v>
      </c>
      <c r="I1226" s="11">
        <v>11</v>
      </c>
      <c r="J1226" s="12">
        <v>51</v>
      </c>
      <c r="K1226" s="13">
        <v>0.15</v>
      </c>
      <c r="L1226" s="12">
        <v>30.74</v>
      </c>
      <c r="M1226" s="14">
        <f>ROUND(tblSprzedaz[[#This Row],[Ilość]]*tblSprzedaz[[#This Row],[Cena netto jednostkowa]]*(1-tblSprzedaz[[#This Row],[Rabat %]]),2)</f>
        <v>476.85</v>
      </c>
      <c r="N1226" s="14">
        <f>ROUND(tblSprzedaz[[#This Row],[Ilość]]*tblSprzedaz[[#This Row],[Koszt jednostkowy netto]],2)</f>
        <v>338.14</v>
      </c>
      <c r="O1226" s="14">
        <f>tblSprzedaz[[#This Row],[Przychód netto]]-tblSprzedaz[[#This Row],[Koszt całkowity netto]]</f>
        <v>138.71000000000004</v>
      </c>
      <c r="P1226" s="15">
        <f>IFERROR(tblSprzedaz[[#This Row],[Marża kwotowa]]/tblSprzedaz[[#This Row],[Przychód netto]],0)</f>
        <v>0.29088811995386399</v>
      </c>
      <c r="Q1226" s="16">
        <f>YEAR(tblSprzedaz[[#This Row],[Data]])</f>
        <v>2025</v>
      </c>
      <c r="R1226" s="16">
        <f>MONTH(tblSprzedaz[[#This Row],[Data]])</f>
        <v>11</v>
      </c>
      <c r="S1226" s="9" t="str">
        <f>YEAR(tblSprzedaz[[#This Row],[Data]])&amp;"-"&amp;RIGHT("0"&amp;MONTH(tblSprzedaz[[#This Row],[Data]]),2)</f>
        <v>2025-11</v>
      </c>
    </row>
    <row r="1227" spans="1:19" x14ac:dyDescent="0.25">
      <c r="A1227" s="7" t="s">
        <v>2621</v>
      </c>
      <c r="B1227" s="10">
        <v>45980</v>
      </c>
      <c r="C1227" s="7" t="s">
        <v>2622</v>
      </c>
      <c r="D1227" s="8" t="s">
        <v>143</v>
      </c>
      <c r="E1227" s="8" t="s">
        <v>61</v>
      </c>
      <c r="F1227" s="8" t="s">
        <v>33</v>
      </c>
      <c r="G1227" s="8" t="s">
        <v>32</v>
      </c>
      <c r="H1227" s="8" t="s">
        <v>42</v>
      </c>
      <c r="I1227" s="11">
        <v>6</v>
      </c>
      <c r="J1227" s="12">
        <v>533.6</v>
      </c>
      <c r="K1227" s="13">
        <v>0</v>
      </c>
      <c r="L1227" s="12">
        <v>354.77</v>
      </c>
      <c r="M1227" s="14">
        <f>ROUND(tblSprzedaz[[#This Row],[Ilość]]*tblSprzedaz[[#This Row],[Cena netto jednostkowa]]*(1-tblSprzedaz[[#This Row],[Rabat %]]),2)</f>
        <v>3201.6</v>
      </c>
      <c r="N1227" s="14">
        <f>ROUND(tblSprzedaz[[#This Row],[Ilość]]*tblSprzedaz[[#This Row],[Koszt jednostkowy netto]],2)</f>
        <v>2128.62</v>
      </c>
      <c r="O1227" s="14">
        <f>tblSprzedaz[[#This Row],[Przychód netto]]-tblSprzedaz[[#This Row],[Koszt całkowity netto]]</f>
        <v>1072.98</v>
      </c>
      <c r="P1227" s="15">
        <f>IFERROR(tblSprzedaz[[#This Row],[Marża kwotowa]]/tblSprzedaz[[#This Row],[Przychód netto]],0)</f>
        <v>0.33513868065967017</v>
      </c>
      <c r="Q1227" s="16">
        <f>YEAR(tblSprzedaz[[#This Row],[Data]])</f>
        <v>2025</v>
      </c>
      <c r="R1227" s="16">
        <f>MONTH(tblSprzedaz[[#This Row],[Data]])</f>
        <v>11</v>
      </c>
      <c r="S1227" s="9" t="str">
        <f>YEAR(tblSprzedaz[[#This Row],[Data]])&amp;"-"&amp;RIGHT("0"&amp;MONTH(tblSprzedaz[[#This Row],[Data]]),2)</f>
        <v>2025-11</v>
      </c>
    </row>
    <row r="1228" spans="1:19" x14ac:dyDescent="0.25">
      <c r="A1228" s="7" t="s">
        <v>2623</v>
      </c>
      <c r="B1228" s="10">
        <v>45981</v>
      </c>
      <c r="C1228" s="7" t="s">
        <v>2624</v>
      </c>
      <c r="D1228" s="8" t="s">
        <v>79</v>
      </c>
      <c r="E1228" s="8" t="s">
        <v>50</v>
      </c>
      <c r="F1228" s="8" t="s">
        <v>29</v>
      </c>
      <c r="G1228" s="8" t="s">
        <v>30</v>
      </c>
      <c r="H1228" s="8" t="s">
        <v>40</v>
      </c>
      <c r="I1228" s="11">
        <v>2</v>
      </c>
      <c r="J1228" s="12">
        <v>45.22</v>
      </c>
      <c r="K1228" s="13">
        <v>0</v>
      </c>
      <c r="L1228" s="12">
        <v>26.14</v>
      </c>
      <c r="M1228" s="14">
        <f>ROUND(tblSprzedaz[[#This Row],[Ilość]]*tblSprzedaz[[#This Row],[Cena netto jednostkowa]]*(1-tblSprzedaz[[#This Row],[Rabat %]]),2)</f>
        <v>90.44</v>
      </c>
      <c r="N1228" s="14">
        <f>ROUND(tblSprzedaz[[#This Row],[Ilość]]*tblSprzedaz[[#This Row],[Koszt jednostkowy netto]],2)</f>
        <v>52.28</v>
      </c>
      <c r="O1228" s="14">
        <f>tblSprzedaz[[#This Row],[Przychód netto]]-tblSprzedaz[[#This Row],[Koszt całkowity netto]]</f>
        <v>38.159999999999997</v>
      </c>
      <c r="P1228" s="15">
        <f>IFERROR(tblSprzedaz[[#This Row],[Marża kwotowa]]/tblSprzedaz[[#This Row],[Przychód netto]],0)</f>
        <v>0.42193719593100393</v>
      </c>
      <c r="Q1228" s="16">
        <f>YEAR(tblSprzedaz[[#This Row],[Data]])</f>
        <v>2025</v>
      </c>
      <c r="R1228" s="16">
        <f>MONTH(tblSprzedaz[[#This Row],[Data]])</f>
        <v>11</v>
      </c>
      <c r="S1228" s="9" t="str">
        <f>YEAR(tblSprzedaz[[#This Row],[Data]])&amp;"-"&amp;RIGHT("0"&amp;MONTH(tblSprzedaz[[#This Row],[Data]]),2)</f>
        <v>2025-11</v>
      </c>
    </row>
    <row r="1229" spans="1:19" x14ac:dyDescent="0.25">
      <c r="A1229" s="7" t="s">
        <v>2625</v>
      </c>
      <c r="B1229" s="10">
        <v>45981</v>
      </c>
      <c r="C1229" s="7" t="s">
        <v>2626</v>
      </c>
      <c r="D1229" s="8" t="s">
        <v>119</v>
      </c>
      <c r="E1229" s="8" t="s">
        <v>73</v>
      </c>
      <c r="F1229" s="8" t="s">
        <v>37</v>
      </c>
      <c r="G1229" s="8" t="s">
        <v>34</v>
      </c>
      <c r="H1229" s="8" t="s">
        <v>45</v>
      </c>
      <c r="I1229" s="11">
        <v>21</v>
      </c>
      <c r="J1229" s="12">
        <v>110.2</v>
      </c>
      <c r="K1229" s="13">
        <v>0</v>
      </c>
      <c r="L1229" s="12">
        <v>87.15</v>
      </c>
      <c r="M1229" s="14">
        <f>ROUND(tblSprzedaz[[#This Row],[Ilość]]*tblSprzedaz[[#This Row],[Cena netto jednostkowa]]*(1-tblSprzedaz[[#This Row],[Rabat %]]),2)</f>
        <v>2314.1999999999998</v>
      </c>
      <c r="N1229" s="14">
        <f>ROUND(tblSprzedaz[[#This Row],[Ilość]]*tblSprzedaz[[#This Row],[Koszt jednostkowy netto]],2)</f>
        <v>1830.15</v>
      </c>
      <c r="O1229" s="14">
        <f>tblSprzedaz[[#This Row],[Przychód netto]]-tblSprzedaz[[#This Row],[Koszt całkowity netto]]</f>
        <v>484.04999999999973</v>
      </c>
      <c r="P1229" s="15">
        <f>IFERROR(tblSprzedaz[[#This Row],[Marża kwotowa]]/tblSprzedaz[[#This Row],[Przychód netto]],0)</f>
        <v>0.20916515426497267</v>
      </c>
      <c r="Q1229" s="16">
        <f>YEAR(tblSprzedaz[[#This Row],[Data]])</f>
        <v>2025</v>
      </c>
      <c r="R1229" s="16">
        <f>MONTH(tblSprzedaz[[#This Row],[Data]])</f>
        <v>11</v>
      </c>
      <c r="S1229" s="9" t="str">
        <f>YEAR(tblSprzedaz[[#This Row],[Data]])&amp;"-"&amp;RIGHT("0"&amp;MONTH(tblSprzedaz[[#This Row],[Data]]),2)</f>
        <v>2025-11</v>
      </c>
    </row>
    <row r="1230" spans="1:19" x14ac:dyDescent="0.25">
      <c r="A1230" s="7" t="s">
        <v>2627</v>
      </c>
      <c r="B1230" s="10">
        <v>45981</v>
      </c>
      <c r="C1230" s="7" t="s">
        <v>2628</v>
      </c>
      <c r="D1230" s="8" t="s">
        <v>113</v>
      </c>
      <c r="E1230" s="8" t="s">
        <v>55</v>
      </c>
      <c r="F1230" s="8" t="s">
        <v>31</v>
      </c>
      <c r="G1230" s="8" t="s">
        <v>36</v>
      </c>
      <c r="H1230" s="8" t="s">
        <v>46</v>
      </c>
      <c r="I1230" s="11">
        <v>16</v>
      </c>
      <c r="J1230" s="12">
        <v>243.6</v>
      </c>
      <c r="K1230" s="13">
        <v>0</v>
      </c>
      <c r="L1230" s="12">
        <v>162.76</v>
      </c>
      <c r="M1230" s="14">
        <f>ROUND(tblSprzedaz[[#This Row],[Ilość]]*tblSprzedaz[[#This Row],[Cena netto jednostkowa]]*(1-tblSprzedaz[[#This Row],[Rabat %]]),2)</f>
        <v>3897.6</v>
      </c>
      <c r="N1230" s="14">
        <f>ROUND(tblSprzedaz[[#This Row],[Ilość]]*tblSprzedaz[[#This Row],[Koszt jednostkowy netto]],2)</f>
        <v>2604.16</v>
      </c>
      <c r="O1230" s="14">
        <f>tblSprzedaz[[#This Row],[Przychód netto]]-tblSprzedaz[[#This Row],[Koszt całkowity netto]]</f>
        <v>1293.44</v>
      </c>
      <c r="P1230" s="15">
        <f>IFERROR(tblSprzedaz[[#This Row],[Marża kwotowa]]/tblSprzedaz[[#This Row],[Przychód netto]],0)</f>
        <v>0.33185550082101806</v>
      </c>
      <c r="Q1230" s="16">
        <f>YEAR(tblSprzedaz[[#This Row],[Data]])</f>
        <v>2025</v>
      </c>
      <c r="R1230" s="16">
        <f>MONTH(tblSprzedaz[[#This Row],[Data]])</f>
        <v>11</v>
      </c>
      <c r="S1230" s="9" t="str">
        <f>YEAR(tblSprzedaz[[#This Row],[Data]])&amp;"-"&amp;RIGHT("0"&amp;MONTH(tblSprzedaz[[#This Row],[Data]]),2)</f>
        <v>2025-11</v>
      </c>
    </row>
    <row r="1231" spans="1:19" x14ac:dyDescent="0.25">
      <c r="A1231" s="7" t="s">
        <v>2629</v>
      </c>
      <c r="B1231" s="10">
        <v>45981</v>
      </c>
      <c r="C1231" s="7" t="s">
        <v>2630</v>
      </c>
      <c r="D1231" s="8" t="s">
        <v>123</v>
      </c>
      <c r="E1231" s="8" t="s">
        <v>52</v>
      </c>
      <c r="F1231" s="8" t="s">
        <v>29</v>
      </c>
      <c r="G1231" s="8" t="s">
        <v>36</v>
      </c>
      <c r="H1231" s="8" t="s">
        <v>46</v>
      </c>
      <c r="I1231" s="11">
        <v>17</v>
      </c>
      <c r="J1231" s="12">
        <v>56.78</v>
      </c>
      <c r="K1231" s="13">
        <v>0.05</v>
      </c>
      <c r="L1231" s="12">
        <v>34.33</v>
      </c>
      <c r="M1231" s="14">
        <f>ROUND(tblSprzedaz[[#This Row],[Ilość]]*tblSprzedaz[[#This Row],[Cena netto jednostkowa]]*(1-tblSprzedaz[[#This Row],[Rabat %]]),2)</f>
        <v>917</v>
      </c>
      <c r="N1231" s="14">
        <f>ROUND(tblSprzedaz[[#This Row],[Ilość]]*tblSprzedaz[[#This Row],[Koszt jednostkowy netto]],2)</f>
        <v>583.61</v>
      </c>
      <c r="O1231" s="14">
        <f>tblSprzedaz[[#This Row],[Przychód netto]]-tblSprzedaz[[#This Row],[Koszt całkowity netto]]</f>
        <v>333.39</v>
      </c>
      <c r="P1231" s="15">
        <f>IFERROR(tblSprzedaz[[#This Row],[Marża kwotowa]]/tblSprzedaz[[#This Row],[Przychód netto]],0)</f>
        <v>0.36356597600872409</v>
      </c>
      <c r="Q1231" s="16">
        <f>YEAR(tblSprzedaz[[#This Row],[Data]])</f>
        <v>2025</v>
      </c>
      <c r="R1231" s="16">
        <f>MONTH(tblSprzedaz[[#This Row],[Data]])</f>
        <v>11</v>
      </c>
      <c r="S1231" s="9" t="str">
        <f>YEAR(tblSprzedaz[[#This Row],[Data]])&amp;"-"&amp;RIGHT("0"&amp;MONTH(tblSprzedaz[[#This Row],[Data]]),2)</f>
        <v>2025-11</v>
      </c>
    </row>
    <row r="1232" spans="1:19" x14ac:dyDescent="0.25">
      <c r="A1232" s="7" t="s">
        <v>2631</v>
      </c>
      <c r="B1232" s="10">
        <v>45982</v>
      </c>
      <c r="C1232" s="7" t="s">
        <v>2632</v>
      </c>
      <c r="D1232" s="8" t="s">
        <v>82</v>
      </c>
      <c r="E1232" s="8" t="s">
        <v>54</v>
      </c>
      <c r="F1232" s="8" t="s">
        <v>31</v>
      </c>
      <c r="G1232" s="8" t="s">
        <v>28</v>
      </c>
      <c r="H1232" s="8" t="s">
        <v>39</v>
      </c>
      <c r="I1232" s="11">
        <v>5</v>
      </c>
      <c r="J1232" s="12">
        <v>207.9</v>
      </c>
      <c r="K1232" s="13">
        <v>0.15</v>
      </c>
      <c r="L1232" s="12">
        <v>128.62</v>
      </c>
      <c r="M1232" s="14">
        <f>ROUND(tblSprzedaz[[#This Row],[Ilość]]*tblSprzedaz[[#This Row],[Cena netto jednostkowa]]*(1-tblSprzedaz[[#This Row],[Rabat %]]),2)</f>
        <v>883.58</v>
      </c>
      <c r="N1232" s="14">
        <f>ROUND(tblSprzedaz[[#This Row],[Ilość]]*tblSprzedaz[[#This Row],[Koszt jednostkowy netto]],2)</f>
        <v>643.1</v>
      </c>
      <c r="O1232" s="14">
        <f>tblSprzedaz[[#This Row],[Przychód netto]]-tblSprzedaz[[#This Row],[Koszt całkowity netto]]</f>
        <v>240.48000000000002</v>
      </c>
      <c r="P1232" s="15">
        <f>IFERROR(tblSprzedaz[[#This Row],[Marża kwotowa]]/tblSprzedaz[[#This Row],[Przychód netto]],0)</f>
        <v>0.27216550849951338</v>
      </c>
      <c r="Q1232" s="16">
        <f>YEAR(tblSprzedaz[[#This Row],[Data]])</f>
        <v>2025</v>
      </c>
      <c r="R1232" s="16">
        <f>MONTH(tblSprzedaz[[#This Row],[Data]])</f>
        <v>11</v>
      </c>
      <c r="S1232" s="9" t="str">
        <f>YEAR(tblSprzedaz[[#This Row],[Data]])&amp;"-"&amp;RIGHT("0"&amp;MONTH(tblSprzedaz[[#This Row],[Data]]),2)</f>
        <v>2025-11</v>
      </c>
    </row>
    <row r="1233" spans="1:19" x14ac:dyDescent="0.25">
      <c r="A1233" s="7" t="s">
        <v>2633</v>
      </c>
      <c r="B1233" s="10">
        <v>45982</v>
      </c>
      <c r="C1233" s="7" t="s">
        <v>2634</v>
      </c>
      <c r="D1233" s="8" t="s">
        <v>105</v>
      </c>
      <c r="E1233" s="8" t="s">
        <v>55</v>
      </c>
      <c r="F1233" s="8" t="s">
        <v>31</v>
      </c>
      <c r="G1233" s="8" t="s">
        <v>34</v>
      </c>
      <c r="H1233" s="8" t="s">
        <v>45</v>
      </c>
      <c r="I1233" s="11">
        <v>18</v>
      </c>
      <c r="J1233" s="12">
        <v>243.6</v>
      </c>
      <c r="K1233" s="13">
        <v>0.05</v>
      </c>
      <c r="L1233" s="12">
        <v>148.72</v>
      </c>
      <c r="M1233" s="14">
        <f>ROUND(tblSprzedaz[[#This Row],[Ilość]]*tblSprzedaz[[#This Row],[Cena netto jednostkowa]]*(1-tblSprzedaz[[#This Row],[Rabat %]]),2)</f>
        <v>4165.5600000000004</v>
      </c>
      <c r="N1233" s="14">
        <f>ROUND(tblSprzedaz[[#This Row],[Ilość]]*tblSprzedaz[[#This Row],[Koszt jednostkowy netto]],2)</f>
        <v>2676.96</v>
      </c>
      <c r="O1233" s="14">
        <f>tblSprzedaz[[#This Row],[Przychód netto]]-tblSprzedaz[[#This Row],[Koszt całkowity netto]]</f>
        <v>1488.6000000000004</v>
      </c>
      <c r="P1233" s="15">
        <f>IFERROR(tblSprzedaz[[#This Row],[Marża kwotowa]]/tblSprzedaz[[#This Row],[Przychód netto]],0)</f>
        <v>0.35735891452769863</v>
      </c>
      <c r="Q1233" s="16">
        <f>YEAR(tblSprzedaz[[#This Row],[Data]])</f>
        <v>2025</v>
      </c>
      <c r="R1233" s="16">
        <f>MONTH(tblSprzedaz[[#This Row],[Data]])</f>
        <v>11</v>
      </c>
      <c r="S1233" s="9" t="str">
        <f>YEAR(tblSprzedaz[[#This Row],[Data]])&amp;"-"&amp;RIGHT("0"&amp;MONTH(tblSprzedaz[[#This Row],[Data]]),2)</f>
        <v>2025-11</v>
      </c>
    </row>
    <row r="1234" spans="1:19" x14ac:dyDescent="0.25">
      <c r="A1234" s="7" t="s">
        <v>2635</v>
      </c>
      <c r="B1234" s="10">
        <v>45982</v>
      </c>
      <c r="C1234" s="7" t="s">
        <v>2636</v>
      </c>
      <c r="D1234" s="8" t="s">
        <v>147</v>
      </c>
      <c r="E1234" s="8" t="s">
        <v>49</v>
      </c>
      <c r="F1234" s="8" t="s">
        <v>29</v>
      </c>
      <c r="G1234" s="8" t="s">
        <v>30</v>
      </c>
      <c r="H1234" s="8" t="s">
        <v>41</v>
      </c>
      <c r="I1234" s="11">
        <v>5</v>
      </c>
      <c r="J1234" s="12">
        <v>39.44</v>
      </c>
      <c r="K1234" s="13">
        <v>0</v>
      </c>
      <c r="L1234" s="12">
        <v>23.55</v>
      </c>
      <c r="M1234" s="14">
        <f>ROUND(tblSprzedaz[[#This Row],[Ilość]]*tblSprzedaz[[#This Row],[Cena netto jednostkowa]]*(1-tblSprzedaz[[#This Row],[Rabat %]]),2)</f>
        <v>197.2</v>
      </c>
      <c r="N1234" s="14">
        <f>ROUND(tblSprzedaz[[#This Row],[Ilość]]*tblSprzedaz[[#This Row],[Koszt jednostkowy netto]],2)</f>
        <v>117.75</v>
      </c>
      <c r="O1234" s="14">
        <f>tblSprzedaz[[#This Row],[Przychód netto]]-tblSprzedaz[[#This Row],[Koszt całkowity netto]]</f>
        <v>79.449999999999989</v>
      </c>
      <c r="P1234" s="15">
        <f>IFERROR(tblSprzedaz[[#This Row],[Marża kwotowa]]/tblSprzedaz[[#This Row],[Przychód netto]],0)</f>
        <v>0.40289046653144012</v>
      </c>
      <c r="Q1234" s="16">
        <f>YEAR(tblSprzedaz[[#This Row],[Data]])</f>
        <v>2025</v>
      </c>
      <c r="R1234" s="16">
        <f>MONTH(tblSprzedaz[[#This Row],[Data]])</f>
        <v>11</v>
      </c>
      <c r="S1234" s="9" t="str">
        <f>YEAR(tblSprzedaz[[#This Row],[Data]])&amp;"-"&amp;RIGHT("0"&amp;MONTH(tblSprzedaz[[#This Row],[Data]]),2)</f>
        <v>2025-11</v>
      </c>
    </row>
    <row r="1235" spans="1:19" x14ac:dyDescent="0.25">
      <c r="A1235" s="7" t="s">
        <v>2637</v>
      </c>
      <c r="B1235" s="10">
        <v>45982</v>
      </c>
      <c r="C1235" s="7" t="s">
        <v>2638</v>
      </c>
      <c r="D1235" s="8" t="s">
        <v>117</v>
      </c>
      <c r="E1235" s="8" t="s">
        <v>48</v>
      </c>
      <c r="F1235" s="8" t="s">
        <v>29</v>
      </c>
      <c r="G1235" s="8" t="s">
        <v>30</v>
      </c>
      <c r="H1235" s="8" t="s">
        <v>40</v>
      </c>
      <c r="I1235" s="11">
        <v>20</v>
      </c>
      <c r="J1235" s="12">
        <v>33.659999999999997</v>
      </c>
      <c r="K1235" s="13">
        <v>0.05</v>
      </c>
      <c r="L1235" s="12">
        <v>19.170000000000002</v>
      </c>
      <c r="M1235" s="14">
        <f>ROUND(tblSprzedaz[[#This Row],[Ilość]]*tblSprzedaz[[#This Row],[Cena netto jednostkowa]]*(1-tblSprzedaz[[#This Row],[Rabat %]]),2)</f>
        <v>639.54</v>
      </c>
      <c r="N1235" s="14">
        <f>ROUND(tblSprzedaz[[#This Row],[Ilość]]*tblSprzedaz[[#This Row],[Koszt jednostkowy netto]],2)</f>
        <v>383.4</v>
      </c>
      <c r="O1235" s="14">
        <f>tblSprzedaz[[#This Row],[Przychód netto]]-tblSprzedaz[[#This Row],[Koszt całkowity netto]]</f>
        <v>256.14</v>
      </c>
      <c r="P1235" s="15">
        <f>IFERROR(tblSprzedaz[[#This Row],[Marża kwotowa]]/tblSprzedaz[[#This Row],[Przychód netto]],0)</f>
        <v>0.40050661412890515</v>
      </c>
      <c r="Q1235" s="16">
        <f>YEAR(tblSprzedaz[[#This Row],[Data]])</f>
        <v>2025</v>
      </c>
      <c r="R1235" s="16">
        <f>MONTH(tblSprzedaz[[#This Row],[Data]])</f>
        <v>11</v>
      </c>
      <c r="S1235" s="9" t="str">
        <f>YEAR(tblSprzedaz[[#This Row],[Data]])&amp;"-"&amp;RIGHT("0"&amp;MONTH(tblSprzedaz[[#This Row],[Data]]),2)</f>
        <v>2025-11</v>
      </c>
    </row>
    <row r="1236" spans="1:19" x14ac:dyDescent="0.25">
      <c r="A1236" s="7" t="s">
        <v>2639</v>
      </c>
      <c r="B1236" s="10">
        <v>45982</v>
      </c>
      <c r="C1236" s="7" t="s">
        <v>2640</v>
      </c>
      <c r="D1236" s="8" t="s">
        <v>133</v>
      </c>
      <c r="E1236" s="8" t="s">
        <v>77</v>
      </c>
      <c r="F1236" s="8" t="s">
        <v>37</v>
      </c>
      <c r="G1236" s="8" t="s">
        <v>32</v>
      </c>
      <c r="H1236" s="8" t="s">
        <v>42</v>
      </c>
      <c r="I1236" s="11">
        <v>31</v>
      </c>
      <c r="J1236" s="12">
        <v>77.900000000000006</v>
      </c>
      <c r="K1236" s="13">
        <v>0.15</v>
      </c>
      <c r="L1236" s="12">
        <v>62.22</v>
      </c>
      <c r="M1236" s="14">
        <f>ROUND(tblSprzedaz[[#This Row],[Ilość]]*tblSprzedaz[[#This Row],[Cena netto jednostkowa]]*(1-tblSprzedaz[[#This Row],[Rabat %]]),2)</f>
        <v>2052.67</v>
      </c>
      <c r="N1236" s="14">
        <f>ROUND(tblSprzedaz[[#This Row],[Ilość]]*tblSprzedaz[[#This Row],[Koszt jednostkowy netto]],2)</f>
        <v>1928.82</v>
      </c>
      <c r="O1236" s="14">
        <f>tblSprzedaz[[#This Row],[Przychód netto]]-tblSprzedaz[[#This Row],[Koszt całkowity netto]]</f>
        <v>123.85000000000014</v>
      </c>
      <c r="P1236" s="15">
        <f>IFERROR(tblSprzedaz[[#This Row],[Marża kwotowa]]/tblSprzedaz[[#This Row],[Przychód netto]],0)</f>
        <v>6.033605012008756E-2</v>
      </c>
      <c r="Q1236" s="16">
        <f>YEAR(tblSprzedaz[[#This Row],[Data]])</f>
        <v>2025</v>
      </c>
      <c r="R1236" s="16">
        <f>MONTH(tblSprzedaz[[#This Row],[Data]])</f>
        <v>11</v>
      </c>
      <c r="S1236" s="9" t="str">
        <f>YEAR(tblSprzedaz[[#This Row],[Data]])&amp;"-"&amp;RIGHT("0"&amp;MONTH(tblSprzedaz[[#This Row],[Data]]),2)</f>
        <v>2025-11</v>
      </c>
    </row>
    <row r="1237" spans="1:19" x14ac:dyDescent="0.25">
      <c r="A1237" s="7" t="s">
        <v>2641</v>
      </c>
      <c r="B1237" s="10">
        <v>45982</v>
      </c>
      <c r="C1237" s="7" t="s">
        <v>2642</v>
      </c>
      <c r="D1237" s="8" t="s">
        <v>86</v>
      </c>
      <c r="E1237" s="8" t="s">
        <v>60</v>
      </c>
      <c r="F1237" s="8" t="s">
        <v>33</v>
      </c>
      <c r="G1237" s="8" t="s">
        <v>34</v>
      </c>
      <c r="H1237" s="8" t="s">
        <v>44</v>
      </c>
      <c r="I1237" s="11">
        <v>18</v>
      </c>
      <c r="J1237" s="12">
        <v>455.4</v>
      </c>
      <c r="K1237" s="13">
        <v>0.05</v>
      </c>
      <c r="L1237" s="12">
        <v>326.29000000000002</v>
      </c>
      <c r="M1237" s="14">
        <f>ROUND(tblSprzedaz[[#This Row],[Ilość]]*tblSprzedaz[[#This Row],[Cena netto jednostkowa]]*(1-tblSprzedaz[[#This Row],[Rabat %]]),2)</f>
        <v>7787.34</v>
      </c>
      <c r="N1237" s="14">
        <f>ROUND(tblSprzedaz[[#This Row],[Ilość]]*tblSprzedaz[[#This Row],[Koszt jednostkowy netto]],2)</f>
        <v>5873.22</v>
      </c>
      <c r="O1237" s="14">
        <f>tblSprzedaz[[#This Row],[Przychód netto]]-tblSprzedaz[[#This Row],[Koszt całkowity netto]]</f>
        <v>1914.12</v>
      </c>
      <c r="P1237" s="15">
        <f>IFERROR(tblSprzedaz[[#This Row],[Marża kwotowa]]/tblSprzedaz[[#This Row],[Przychód netto]],0)</f>
        <v>0.24579895060444257</v>
      </c>
      <c r="Q1237" s="16">
        <f>YEAR(tblSprzedaz[[#This Row],[Data]])</f>
        <v>2025</v>
      </c>
      <c r="R1237" s="16">
        <f>MONTH(tblSprzedaz[[#This Row],[Data]])</f>
        <v>11</v>
      </c>
      <c r="S1237" s="9" t="str">
        <f>YEAR(tblSprzedaz[[#This Row],[Data]])&amp;"-"&amp;RIGHT("0"&amp;MONTH(tblSprzedaz[[#This Row],[Data]]),2)</f>
        <v>2025-11</v>
      </c>
    </row>
    <row r="1238" spans="1:19" x14ac:dyDescent="0.25">
      <c r="A1238" s="7" t="s">
        <v>2643</v>
      </c>
      <c r="B1238" s="10">
        <v>45982</v>
      </c>
      <c r="C1238" s="7" t="s">
        <v>2644</v>
      </c>
      <c r="D1238" s="8" t="s">
        <v>84</v>
      </c>
      <c r="E1238" s="8" t="s">
        <v>63</v>
      </c>
      <c r="F1238" s="8" t="s">
        <v>33</v>
      </c>
      <c r="G1238" s="8" t="s">
        <v>30</v>
      </c>
      <c r="H1238" s="8" t="s">
        <v>41</v>
      </c>
      <c r="I1238" s="11">
        <v>6</v>
      </c>
      <c r="J1238" s="12">
        <v>690</v>
      </c>
      <c r="K1238" s="13">
        <v>0</v>
      </c>
      <c r="L1238" s="12">
        <v>442.37</v>
      </c>
      <c r="M1238" s="14">
        <f>ROUND(tblSprzedaz[[#This Row],[Ilość]]*tblSprzedaz[[#This Row],[Cena netto jednostkowa]]*(1-tblSprzedaz[[#This Row],[Rabat %]]),2)</f>
        <v>4140</v>
      </c>
      <c r="N1238" s="14">
        <f>ROUND(tblSprzedaz[[#This Row],[Ilość]]*tblSprzedaz[[#This Row],[Koszt jednostkowy netto]],2)</f>
        <v>2654.22</v>
      </c>
      <c r="O1238" s="14">
        <f>tblSprzedaz[[#This Row],[Przychód netto]]-tblSprzedaz[[#This Row],[Koszt całkowity netto]]</f>
        <v>1485.7800000000002</v>
      </c>
      <c r="P1238" s="15">
        <f>IFERROR(tblSprzedaz[[#This Row],[Marża kwotowa]]/tblSprzedaz[[#This Row],[Przychód netto]],0)</f>
        <v>0.35888405797101453</v>
      </c>
      <c r="Q1238" s="16">
        <f>YEAR(tblSprzedaz[[#This Row],[Data]])</f>
        <v>2025</v>
      </c>
      <c r="R1238" s="16">
        <f>MONTH(tblSprzedaz[[#This Row],[Data]])</f>
        <v>11</v>
      </c>
      <c r="S1238" s="9" t="str">
        <f>YEAR(tblSprzedaz[[#This Row],[Data]])&amp;"-"&amp;RIGHT("0"&amp;MONTH(tblSprzedaz[[#This Row],[Data]]),2)</f>
        <v>2025-11</v>
      </c>
    </row>
    <row r="1239" spans="1:19" x14ac:dyDescent="0.25">
      <c r="A1239" s="7" t="s">
        <v>2645</v>
      </c>
      <c r="B1239" s="10">
        <v>45983</v>
      </c>
      <c r="C1239" s="7" t="s">
        <v>2646</v>
      </c>
      <c r="D1239" s="8" t="s">
        <v>133</v>
      </c>
      <c r="E1239" s="8" t="s">
        <v>57</v>
      </c>
      <c r="F1239" s="8" t="s">
        <v>31</v>
      </c>
      <c r="G1239" s="8" t="s">
        <v>30</v>
      </c>
      <c r="H1239" s="8" t="s">
        <v>40</v>
      </c>
      <c r="I1239" s="11">
        <v>21</v>
      </c>
      <c r="J1239" s="12">
        <v>315</v>
      </c>
      <c r="K1239" s="13">
        <v>0</v>
      </c>
      <c r="L1239" s="12">
        <v>212.42</v>
      </c>
      <c r="M1239" s="14">
        <f>ROUND(tblSprzedaz[[#This Row],[Ilość]]*tblSprzedaz[[#This Row],[Cena netto jednostkowa]]*(1-tblSprzedaz[[#This Row],[Rabat %]]),2)</f>
        <v>6615</v>
      </c>
      <c r="N1239" s="14">
        <f>ROUND(tblSprzedaz[[#This Row],[Ilość]]*tblSprzedaz[[#This Row],[Koszt jednostkowy netto]],2)</f>
        <v>4460.82</v>
      </c>
      <c r="O1239" s="14">
        <f>tblSprzedaz[[#This Row],[Przychód netto]]-tblSprzedaz[[#This Row],[Koszt całkowity netto]]</f>
        <v>2154.1800000000003</v>
      </c>
      <c r="P1239" s="15">
        <f>IFERROR(tblSprzedaz[[#This Row],[Marża kwotowa]]/tblSprzedaz[[#This Row],[Przychód netto]],0)</f>
        <v>0.32565079365079369</v>
      </c>
      <c r="Q1239" s="16">
        <f>YEAR(tblSprzedaz[[#This Row],[Data]])</f>
        <v>2025</v>
      </c>
      <c r="R1239" s="16">
        <f>MONTH(tblSprzedaz[[#This Row],[Data]])</f>
        <v>11</v>
      </c>
      <c r="S1239" s="9" t="str">
        <f>YEAR(tblSprzedaz[[#This Row],[Data]])&amp;"-"&amp;RIGHT("0"&amp;MONTH(tblSprzedaz[[#This Row],[Data]]),2)</f>
        <v>2025-11</v>
      </c>
    </row>
    <row r="1240" spans="1:19" x14ac:dyDescent="0.25">
      <c r="A1240" s="7" t="s">
        <v>2647</v>
      </c>
      <c r="B1240" s="10">
        <v>45983</v>
      </c>
      <c r="C1240" s="7" t="s">
        <v>2648</v>
      </c>
      <c r="D1240" s="8" t="s">
        <v>95</v>
      </c>
      <c r="E1240" s="8" t="s">
        <v>63</v>
      </c>
      <c r="F1240" s="8" t="s">
        <v>33</v>
      </c>
      <c r="G1240" s="8" t="s">
        <v>28</v>
      </c>
      <c r="H1240" s="8" t="s">
        <v>38</v>
      </c>
      <c r="I1240" s="11">
        <v>11</v>
      </c>
      <c r="J1240" s="12">
        <v>690</v>
      </c>
      <c r="K1240" s="13">
        <v>0.05</v>
      </c>
      <c r="L1240" s="12">
        <v>445.16</v>
      </c>
      <c r="M1240" s="14">
        <f>ROUND(tblSprzedaz[[#This Row],[Ilość]]*tblSprzedaz[[#This Row],[Cena netto jednostkowa]]*(1-tblSprzedaz[[#This Row],[Rabat %]]),2)</f>
        <v>7210.5</v>
      </c>
      <c r="N1240" s="14">
        <f>ROUND(tblSprzedaz[[#This Row],[Ilość]]*tblSprzedaz[[#This Row],[Koszt jednostkowy netto]],2)</f>
        <v>4896.76</v>
      </c>
      <c r="O1240" s="14">
        <f>tblSprzedaz[[#This Row],[Przychód netto]]-tblSprzedaz[[#This Row],[Koszt całkowity netto]]</f>
        <v>2313.7399999999998</v>
      </c>
      <c r="P1240" s="15">
        <f>IFERROR(tblSprzedaz[[#This Row],[Marża kwotowa]]/tblSprzedaz[[#This Row],[Przychód netto]],0)</f>
        <v>0.32088482074752095</v>
      </c>
      <c r="Q1240" s="16">
        <f>YEAR(tblSprzedaz[[#This Row],[Data]])</f>
        <v>2025</v>
      </c>
      <c r="R1240" s="16">
        <f>MONTH(tblSprzedaz[[#This Row],[Data]])</f>
        <v>11</v>
      </c>
      <c r="S1240" s="9" t="str">
        <f>YEAR(tblSprzedaz[[#This Row],[Data]])&amp;"-"&amp;RIGHT("0"&amp;MONTH(tblSprzedaz[[#This Row],[Data]]),2)</f>
        <v>2025-11</v>
      </c>
    </row>
    <row r="1241" spans="1:19" x14ac:dyDescent="0.25">
      <c r="A1241" s="7" t="s">
        <v>2649</v>
      </c>
      <c r="B1241" s="10">
        <v>45984</v>
      </c>
      <c r="C1241" s="7" t="s">
        <v>2650</v>
      </c>
      <c r="D1241" s="8" t="s">
        <v>146</v>
      </c>
      <c r="E1241" s="8" t="s">
        <v>75</v>
      </c>
      <c r="F1241" s="8" t="s">
        <v>37</v>
      </c>
      <c r="G1241" s="8" t="s">
        <v>34</v>
      </c>
      <c r="H1241" s="8" t="s">
        <v>45</v>
      </c>
      <c r="I1241" s="11">
        <v>13</v>
      </c>
      <c r="J1241" s="12">
        <v>142.5</v>
      </c>
      <c r="K1241" s="13">
        <v>0.1</v>
      </c>
      <c r="L1241" s="12">
        <v>105.05</v>
      </c>
      <c r="M1241" s="14">
        <f>ROUND(tblSprzedaz[[#This Row],[Ilość]]*tblSprzedaz[[#This Row],[Cena netto jednostkowa]]*(1-tblSprzedaz[[#This Row],[Rabat %]]),2)</f>
        <v>1667.25</v>
      </c>
      <c r="N1241" s="14">
        <f>ROUND(tblSprzedaz[[#This Row],[Ilość]]*tblSprzedaz[[#This Row],[Koszt jednostkowy netto]],2)</f>
        <v>1365.65</v>
      </c>
      <c r="O1241" s="14">
        <f>tblSprzedaz[[#This Row],[Przychód netto]]-tblSprzedaz[[#This Row],[Koszt całkowity netto]]</f>
        <v>301.59999999999991</v>
      </c>
      <c r="P1241" s="15">
        <f>IFERROR(tblSprzedaz[[#This Row],[Marża kwotowa]]/tblSprzedaz[[#This Row],[Przychód netto]],0)</f>
        <v>0.180896686159844</v>
      </c>
      <c r="Q1241" s="16">
        <f>YEAR(tblSprzedaz[[#This Row],[Data]])</f>
        <v>2025</v>
      </c>
      <c r="R1241" s="16">
        <f>MONTH(tblSprzedaz[[#This Row],[Data]])</f>
        <v>11</v>
      </c>
      <c r="S1241" s="9" t="str">
        <f>YEAR(tblSprzedaz[[#This Row],[Data]])&amp;"-"&amp;RIGHT("0"&amp;MONTH(tblSprzedaz[[#This Row],[Data]]),2)</f>
        <v>2025-11</v>
      </c>
    </row>
    <row r="1242" spans="1:19" x14ac:dyDescent="0.25">
      <c r="A1242" s="7" t="s">
        <v>2651</v>
      </c>
      <c r="B1242" s="10">
        <v>45984</v>
      </c>
      <c r="C1242" s="7" t="s">
        <v>2652</v>
      </c>
      <c r="D1242" s="8" t="s">
        <v>145</v>
      </c>
      <c r="E1242" s="8" t="s">
        <v>50</v>
      </c>
      <c r="F1242" s="8" t="s">
        <v>29</v>
      </c>
      <c r="G1242" s="8" t="s">
        <v>36</v>
      </c>
      <c r="H1242" s="8" t="s">
        <v>47</v>
      </c>
      <c r="I1242" s="11">
        <v>7</v>
      </c>
      <c r="J1242" s="12">
        <v>45.22</v>
      </c>
      <c r="K1242" s="13">
        <v>0</v>
      </c>
      <c r="L1242" s="12">
        <v>26.99</v>
      </c>
      <c r="M1242" s="14">
        <f>ROUND(tblSprzedaz[[#This Row],[Ilość]]*tblSprzedaz[[#This Row],[Cena netto jednostkowa]]*(1-tblSprzedaz[[#This Row],[Rabat %]]),2)</f>
        <v>316.54000000000002</v>
      </c>
      <c r="N1242" s="14">
        <f>ROUND(tblSprzedaz[[#This Row],[Ilość]]*tblSprzedaz[[#This Row],[Koszt jednostkowy netto]],2)</f>
        <v>188.93</v>
      </c>
      <c r="O1242" s="14">
        <f>tblSprzedaz[[#This Row],[Przychód netto]]-tblSprzedaz[[#This Row],[Koszt całkowity netto]]</f>
        <v>127.61000000000001</v>
      </c>
      <c r="P1242" s="15">
        <f>IFERROR(tblSprzedaz[[#This Row],[Marża kwotowa]]/tblSprzedaz[[#This Row],[Przychód netto]],0)</f>
        <v>0.403140203449801</v>
      </c>
      <c r="Q1242" s="16">
        <f>YEAR(tblSprzedaz[[#This Row],[Data]])</f>
        <v>2025</v>
      </c>
      <c r="R1242" s="16">
        <f>MONTH(tblSprzedaz[[#This Row],[Data]])</f>
        <v>11</v>
      </c>
      <c r="S1242" s="9" t="str">
        <f>YEAR(tblSprzedaz[[#This Row],[Data]])&amp;"-"&amp;RIGHT("0"&amp;MONTH(tblSprzedaz[[#This Row],[Data]]),2)</f>
        <v>2025-11</v>
      </c>
    </row>
    <row r="1243" spans="1:19" x14ac:dyDescent="0.25">
      <c r="A1243" s="7" t="s">
        <v>2653</v>
      </c>
      <c r="B1243" s="10">
        <v>45985</v>
      </c>
      <c r="C1243" s="7" t="s">
        <v>2654</v>
      </c>
      <c r="D1243" s="8" t="s">
        <v>97</v>
      </c>
      <c r="E1243" s="8" t="s">
        <v>70</v>
      </c>
      <c r="F1243" s="8" t="s">
        <v>35</v>
      </c>
      <c r="G1243" s="8" t="s">
        <v>30</v>
      </c>
      <c r="H1243" s="8" t="s">
        <v>40</v>
      </c>
      <c r="I1243" s="11">
        <v>3</v>
      </c>
      <c r="J1243" s="12">
        <v>113.56</v>
      </c>
      <c r="K1243" s="13">
        <v>0.15</v>
      </c>
      <c r="L1243" s="12">
        <v>83.6</v>
      </c>
      <c r="M1243" s="14">
        <f>ROUND(tblSprzedaz[[#This Row],[Ilość]]*tblSprzedaz[[#This Row],[Cena netto jednostkowa]]*(1-tblSprzedaz[[#This Row],[Rabat %]]),2)</f>
        <v>289.58</v>
      </c>
      <c r="N1243" s="14">
        <f>ROUND(tblSprzedaz[[#This Row],[Ilość]]*tblSprzedaz[[#This Row],[Koszt jednostkowy netto]],2)</f>
        <v>250.8</v>
      </c>
      <c r="O1243" s="14">
        <f>tblSprzedaz[[#This Row],[Przychód netto]]-tblSprzedaz[[#This Row],[Koszt całkowity netto]]</f>
        <v>38.779999999999973</v>
      </c>
      <c r="P1243" s="15">
        <f>IFERROR(tblSprzedaz[[#This Row],[Marża kwotowa]]/tblSprzedaz[[#This Row],[Przychód netto]],0)</f>
        <v>0.13391808826576412</v>
      </c>
      <c r="Q1243" s="16">
        <f>YEAR(tblSprzedaz[[#This Row],[Data]])</f>
        <v>2025</v>
      </c>
      <c r="R1243" s="16">
        <f>MONTH(tblSprzedaz[[#This Row],[Data]])</f>
        <v>11</v>
      </c>
      <c r="S1243" s="9" t="str">
        <f>YEAR(tblSprzedaz[[#This Row],[Data]])&amp;"-"&amp;RIGHT("0"&amp;MONTH(tblSprzedaz[[#This Row],[Data]]),2)</f>
        <v>2025-11</v>
      </c>
    </row>
    <row r="1244" spans="1:19" x14ac:dyDescent="0.25">
      <c r="A1244" s="7" t="s">
        <v>2655</v>
      </c>
      <c r="B1244" s="10">
        <v>45985</v>
      </c>
      <c r="C1244" s="7" t="s">
        <v>2656</v>
      </c>
      <c r="D1244" s="8" t="s">
        <v>133</v>
      </c>
      <c r="E1244" s="8" t="s">
        <v>55</v>
      </c>
      <c r="F1244" s="8" t="s">
        <v>31</v>
      </c>
      <c r="G1244" s="8" t="s">
        <v>28</v>
      </c>
      <c r="H1244" s="8" t="s">
        <v>38</v>
      </c>
      <c r="I1244" s="11">
        <v>26</v>
      </c>
      <c r="J1244" s="12">
        <v>243.6</v>
      </c>
      <c r="K1244" s="13">
        <v>0</v>
      </c>
      <c r="L1244" s="12">
        <v>150.38</v>
      </c>
      <c r="M1244" s="14">
        <f>ROUND(tblSprzedaz[[#This Row],[Ilość]]*tblSprzedaz[[#This Row],[Cena netto jednostkowa]]*(1-tblSprzedaz[[#This Row],[Rabat %]]),2)</f>
        <v>6333.6</v>
      </c>
      <c r="N1244" s="14">
        <f>ROUND(tblSprzedaz[[#This Row],[Ilość]]*tblSprzedaz[[#This Row],[Koszt jednostkowy netto]],2)</f>
        <v>3909.88</v>
      </c>
      <c r="O1244" s="14">
        <f>tblSprzedaz[[#This Row],[Przychód netto]]-tblSprzedaz[[#This Row],[Koszt całkowity netto]]</f>
        <v>2423.7200000000003</v>
      </c>
      <c r="P1244" s="15">
        <f>IFERROR(tblSprzedaz[[#This Row],[Marża kwotowa]]/tblSprzedaz[[#This Row],[Przychód netto]],0)</f>
        <v>0.38267651888341547</v>
      </c>
      <c r="Q1244" s="16">
        <f>YEAR(tblSprzedaz[[#This Row],[Data]])</f>
        <v>2025</v>
      </c>
      <c r="R1244" s="16">
        <f>MONTH(tblSprzedaz[[#This Row],[Data]])</f>
        <v>11</v>
      </c>
      <c r="S1244" s="9" t="str">
        <f>YEAR(tblSprzedaz[[#This Row],[Data]])&amp;"-"&amp;RIGHT("0"&amp;MONTH(tblSprzedaz[[#This Row],[Data]]),2)</f>
        <v>2025-11</v>
      </c>
    </row>
    <row r="1245" spans="1:19" x14ac:dyDescent="0.25">
      <c r="A1245" s="7" t="s">
        <v>2657</v>
      </c>
      <c r="B1245" s="10">
        <v>45985</v>
      </c>
      <c r="C1245" s="7" t="s">
        <v>2658</v>
      </c>
      <c r="D1245" s="8" t="s">
        <v>133</v>
      </c>
      <c r="E1245" s="8" t="s">
        <v>56</v>
      </c>
      <c r="F1245" s="8" t="s">
        <v>31</v>
      </c>
      <c r="G1245" s="8" t="s">
        <v>34</v>
      </c>
      <c r="H1245" s="8" t="s">
        <v>45</v>
      </c>
      <c r="I1245" s="11">
        <v>4</v>
      </c>
      <c r="J1245" s="12">
        <v>279.3</v>
      </c>
      <c r="K1245" s="13">
        <v>0.05</v>
      </c>
      <c r="L1245" s="12">
        <v>187.85</v>
      </c>
      <c r="M1245" s="14">
        <f>ROUND(tblSprzedaz[[#This Row],[Ilość]]*tblSprzedaz[[#This Row],[Cena netto jednostkowa]]*(1-tblSprzedaz[[#This Row],[Rabat %]]),2)</f>
        <v>1061.3399999999999</v>
      </c>
      <c r="N1245" s="14">
        <f>ROUND(tblSprzedaz[[#This Row],[Ilość]]*tblSprzedaz[[#This Row],[Koszt jednostkowy netto]],2)</f>
        <v>751.4</v>
      </c>
      <c r="O1245" s="14">
        <f>tblSprzedaz[[#This Row],[Przychód netto]]-tblSprzedaz[[#This Row],[Koszt całkowity netto]]</f>
        <v>309.93999999999994</v>
      </c>
      <c r="P1245" s="15">
        <f>IFERROR(tblSprzedaz[[#This Row],[Marża kwotowa]]/tblSprzedaz[[#This Row],[Przychód netto]],0)</f>
        <v>0.29202706013153179</v>
      </c>
      <c r="Q1245" s="16">
        <f>YEAR(tblSprzedaz[[#This Row],[Data]])</f>
        <v>2025</v>
      </c>
      <c r="R1245" s="16">
        <f>MONTH(tblSprzedaz[[#This Row],[Data]])</f>
        <v>11</v>
      </c>
      <c r="S1245" s="9" t="str">
        <f>YEAR(tblSprzedaz[[#This Row],[Data]])&amp;"-"&amp;RIGHT("0"&amp;MONTH(tblSprzedaz[[#This Row],[Data]]),2)</f>
        <v>2025-11</v>
      </c>
    </row>
    <row r="1246" spans="1:19" x14ac:dyDescent="0.25">
      <c r="A1246" s="7" t="s">
        <v>2659</v>
      </c>
      <c r="B1246" s="10">
        <v>45985</v>
      </c>
      <c r="C1246" s="7" t="s">
        <v>2660</v>
      </c>
      <c r="D1246" s="8" t="s">
        <v>98</v>
      </c>
      <c r="E1246" s="8" t="s">
        <v>77</v>
      </c>
      <c r="F1246" s="8" t="s">
        <v>37</v>
      </c>
      <c r="G1246" s="8" t="s">
        <v>34</v>
      </c>
      <c r="H1246" s="8" t="s">
        <v>44</v>
      </c>
      <c r="I1246" s="11">
        <v>18</v>
      </c>
      <c r="J1246" s="12">
        <v>77.900000000000006</v>
      </c>
      <c r="K1246" s="13">
        <v>0</v>
      </c>
      <c r="L1246" s="12">
        <v>59.55</v>
      </c>
      <c r="M1246" s="14">
        <f>ROUND(tblSprzedaz[[#This Row],[Ilość]]*tblSprzedaz[[#This Row],[Cena netto jednostkowa]]*(1-tblSprzedaz[[#This Row],[Rabat %]]),2)</f>
        <v>1402.2</v>
      </c>
      <c r="N1246" s="14">
        <f>ROUND(tblSprzedaz[[#This Row],[Ilość]]*tblSprzedaz[[#This Row],[Koszt jednostkowy netto]],2)</f>
        <v>1071.9000000000001</v>
      </c>
      <c r="O1246" s="14">
        <f>tblSprzedaz[[#This Row],[Przychód netto]]-tblSprzedaz[[#This Row],[Koszt całkowity netto]]</f>
        <v>330.29999999999995</v>
      </c>
      <c r="P1246" s="15">
        <f>IFERROR(tblSprzedaz[[#This Row],[Marża kwotowa]]/tblSprzedaz[[#This Row],[Przychód netto]],0)</f>
        <v>0.23555840821566107</v>
      </c>
      <c r="Q1246" s="16">
        <f>YEAR(tblSprzedaz[[#This Row],[Data]])</f>
        <v>2025</v>
      </c>
      <c r="R1246" s="16">
        <f>MONTH(tblSprzedaz[[#This Row],[Data]])</f>
        <v>11</v>
      </c>
      <c r="S1246" s="9" t="str">
        <f>YEAR(tblSprzedaz[[#This Row],[Data]])&amp;"-"&amp;RIGHT("0"&amp;MONTH(tblSprzedaz[[#This Row],[Data]]),2)</f>
        <v>2025-11</v>
      </c>
    </row>
    <row r="1247" spans="1:19" x14ac:dyDescent="0.25">
      <c r="A1247" s="7" t="s">
        <v>2661</v>
      </c>
      <c r="B1247" s="10">
        <v>45985</v>
      </c>
      <c r="C1247" s="7" t="s">
        <v>2662</v>
      </c>
      <c r="D1247" s="8" t="s">
        <v>90</v>
      </c>
      <c r="E1247" s="8" t="s">
        <v>71</v>
      </c>
      <c r="F1247" s="8" t="s">
        <v>35</v>
      </c>
      <c r="G1247" s="8" t="s">
        <v>36</v>
      </c>
      <c r="H1247" s="8" t="s">
        <v>47</v>
      </c>
      <c r="I1247" s="11">
        <v>9</v>
      </c>
      <c r="J1247" s="12">
        <v>55.76</v>
      </c>
      <c r="K1247" s="13">
        <v>0.1</v>
      </c>
      <c r="L1247" s="12">
        <v>39.54</v>
      </c>
      <c r="M1247" s="14">
        <f>ROUND(tblSprzedaz[[#This Row],[Ilość]]*tblSprzedaz[[#This Row],[Cena netto jednostkowa]]*(1-tblSprzedaz[[#This Row],[Rabat %]]),2)</f>
        <v>451.66</v>
      </c>
      <c r="N1247" s="14">
        <f>ROUND(tblSprzedaz[[#This Row],[Ilość]]*tblSprzedaz[[#This Row],[Koszt jednostkowy netto]],2)</f>
        <v>355.86</v>
      </c>
      <c r="O1247" s="14">
        <f>tblSprzedaz[[#This Row],[Przychód netto]]-tblSprzedaz[[#This Row],[Koszt całkowity netto]]</f>
        <v>95.800000000000011</v>
      </c>
      <c r="P1247" s="15">
        <f>IFERROR(tblSprzedaz[[#This Row],[Marża kwotowa]]/tblSprzedaz[[#This Row],[Przychód netto]],0)</f>
        <v>0.2121064517557455</v>
      </c>
      <c r="Q1247" s="16">
        <f>YEAR(tblSprzedaz[[#This Row],[Data]])</f>
        <v>2025</v>
      </c>
      <c r="R1247" s="16">
        <f>MONTH(tblSprzedaz[[#This Row],[Data]])</f>
        <v>11</v>
      </c>
      <c r="S1247" s="9" t="str">
        <f>YEAR(tblSprzedaz[[#This Row],[Data]])&amp;"-"&amp;RIGHT("0"&amp;MONTH(tblSprzedaz[[#This Row],[Data]]),2)</f>
        <v>2025-11</v>
      </c>
    </row>
    <row r="1248" spans="1:19" x14ac:dyDescent="0.25">
      <c r="A1248" s="7" t="s">
        <v>2663</v>
      </c>
      <c r="B1248" s="10">
        <v>45985</v>
      </c>
      <c r="C1248" s="7" t="s">
        <v>2664</v>
      </c>
      <c r="D1248" s="8" t="s">
        <v>124</v>
      </c>
      <c r="E1248" s="8" t="s">
        <v>61</v>
      </c>
      <c r="F1248" s="8" t="s">
        <v>33</v>
      </c>
      <c r="G1248" s="8" t="s">
        <v>30</v>
      </c>
      <c r="H1248" s="8" t="s">
        <v>40</v>
      </c>
      <c r="I1248" s="11">
        <v>22</v>
      </c>
      <c r="J1248" s="12">
        <v>533.6</v>
      </c>
      <c r="K1248" s="13">
        <v>0.05</v>
      </c>
      <c r="L1248" s="12">
        <v>359.52</v>
      </c>
      <c r="M1248" s="14">
        <f>ROUND(tblSprzedaz[[#This Row],[Ilość]]*tblSprzedaz[[#This Row],[Cena netto jednostkowa]]*(1-tblSprzedaz[[#This Row],[Rabat %]]),2)</f>
        <v>11152.24</v>
      </c>
      <c r="N1248" s="14">
        <f>ROUND(tblSprzedaz[[#This Row],[Ilość]]*tblSprzedaz[[#This Row],[Koszt jednostkowy netto]],2)</f>
        <v>7909.44</v>
      </c>
      <c r="O1248" s="14">
        <f>tblSprzedaz[[#This Row],[Przychód netto]]-tblSprzedaz[[#This Row],[Koszt całkowity netto]]</f>
        <v>3242.8</v>
      </c>
      <c r="P1248" s="15">
        <f>IFERROR(tblSprzedaz[[#This Row],[Marża kwotowa]]/tblSprzedaz[[#This Row],[Przychód netto]],0)</f>
        <v>0.29077566479917938</v>
      </c>
      <c r="Q1248" s="16">
        <f>YEAR(tblSprzedaz[[#This Row],[Data]])</f>
        <v>2025</v>
      </c>
      <c r="R1248" s="16">
        <f>MONTH(tblSprzedaz[[#This Row],[Data]])</f>
        <v>11</v>
      </c>
      <c r="S1248" s="9" t="str">
        <f>YEAR(tblSprzedaz[[#This Row],[Data]])&amp;"-"&amp;RIGHT("0"&amp;MONTH(tblSprzedaz[[#This Row],[Data]]),2)</f>
        <v>2025-11</v>
      </c>
    </row>
    <row r="1249" spans="1:19" x14ac:dyDescent="0.25">
      <c r="A1249" s="7" t="s">
        <v>2665</v>
      </c>
      <c r="B1249" s="10">
        <v>45986</v>
      </c>
      <c r="C1249" s="7" t="s">
        <v>2666</v>
      </c>
      <c r="D1249" s="8" t="s">
        <v>95</v>
      </c>
      <c r="E1249" s="8" t="s">
        <v>67</v>
      </c>
      <c r="F1249" s="8" t="s">
        <v>35</v>
      </c>
      <c r="G1249" s="8" t="s">
        <v>28</v>
      </c>
      <c r="H1249" s="8" t="s">
        <v>38</v>
      </c>
      <c r="I1249" s="11">
        <v>4</v>
      </c>
      <c r="J1249" s="12">
        <v>78.88</v>
      </c>
      <c r="K1249" s="13">
        <v>0.1</v>
      </c>
      <c r="L1249" s="12">
        <v>59.77</v>
      </c>
      <c r="M1249" s="14">
        <f>ROUND(tblSprzedaz[[#This Row],[Ilość]]*tblSprzedaz[[#This Row],[Cena netto jednostkowa]]*(1-tblSprzedaz[[#This Row],[Rabat %]]),2)</f>
        <v>283.97000000000003</v>
      </c>
      <c r="N1249" s="14">
        <f>ROUND(tblSprzedaz[[#This Row],[Ilość]]*tblSprzedaz[[#This Row],[Koszt jednostkowy netto]],2)</f>
        <v>239.08</v>
      </c>
      <c r="O1249" s="14">
        <f>tblSprzedaz[[#This Row],[Przychód netto]]-tblSprzedaz[[#This Row],[Koszt całkowity netto]]</f>
        <v>44.890000000000015</v>
      </c>
      <c r="P1249" s="15">
        <f>IFERROR(tblSprzedaz[[#This Row],[Marża kwotowa]]/tblSprzedaz[[#This Row],[Przychód netto]],0)</f>
        <v>0.15808007888157202</v>
      </c>
      <c r="Q1249" s="16">
        <f>YEAR(tblSprzedaz[[#This Row],[Data]])</f>
        <v>2025</v>
      </c>
      <c r="R1249" s="16">
        <f>MONTH(tblSprzedaz[[#This Row],[Data]])</f>
        <v>11</v>
      </c>
      <c r="S1249" s="9" t="str">
        <f>YEAR(tblSprzedaz[[#This Row],[Data]])&amp;"-"&amp;RIGHT("0"&amp;MONTH(tblSprzedaz[[#This Row],[Data]]),2)</f>
        <v>2025-11</v>
      </c>
    </row>
    <row r="1250" spans="1:19" x14ac:dyDescent="0.25">
      <c r="A1250" s="7" t="s">
        <v>2667</v>
      </c>
      <c r="B1250" s="10">
        <v>45986</v>
      </c>
      <c r="C1250" s="7" t="s">
        <v>2668</v>
      </c>
      <c r="D1250" s="8" t="s">
        <v>102</v>
      </c>
      <c r="E1250" s="8" t="s">
        <v>77</v>
      </c>
      <c r="F1250" s="8" t="s">
        <v>37</v>
      </c>
      <c r="G1250" s="8" t="s">
        <v>30</v>
      </c>
      <c r="H1250" s="8" t="s">
        <v>40</v>
      </c>
      <c r="I1250" s="11">
        <v>5</v>
      </c>
      <c r="J1250" s="12">
        <v>77.900000000000006</v>
      </c>
      <c r="K1250" s="13">
        <v>0.05</v>
      </c>
      <c r="L1250" s="12">
        <v>61.21</v>
      </c>
      <c r="M1250" s="14">
        <f>ROUND(tblSprzedaz[[#This Row],[Ilość]]*tblSprzedaz[[#This Row],[Cena netto jednostkowa]]*(1-tblSprzedaz[[#This Row],[Rabat %]]),2)</f>
        <v>370.03</v>
      </c>
      <c r="N1250" s="14">
        <f>ROUND(tblSprzedaz[[#This Row],[Ilość]]*tblSprzedaz[[#This Row],[Koszt jednostkowy netto]],2)</f>
        <v>306.05</v>
      </c>
      <c r="O1250" s="14">
        <f>tblSprzedaz[[#This Row],[Przychód netto]]-tblSprzedaz[[#This Row],[Koszt całkowity netto]]</f>
        <v>63.979999999999961</v>
      </c>
      <c r="P1250" s="15">
        <f>IFERROR(tblSprzedaz[[#This Row],[Marża kwotowa]]/tblSprzedaz[[#This Row],[Przychód netto]],0)</f>
        <v>0.17290489960273484</v>
      </c>
      <c r="Q1250" s="16">
        <f>YEAR(tblSprzedaz[[#This Row],[Data]])</f>
        <v>2025</v>
      </c>
      <c r="R1250" s="16">
        <f>MONTH(tblSprzedaz[[#This Row],[Data]])</f>
        <v>11</v>
      </c>
      <c r="S1250" s="9" t="str">
        <f>YEAR(tblSprzedaz[[#This Row],[Data]])&amp;"-"&amp;RIGHT("0"&amp;MONTH(tblSprzedaz[[#This Row],[Data]]),2)</f>
        <v>2025-11</v>
      </c>
    </row>
    <row r="1251" spans="1:19" x14ac:dyDescent="0.25">
      <c r="A1251" s="7" t="s">
        <v>2669</v>
      </c>
      <c r="B1251" s="10">
        <v>45986</v>
      </c>
      <c r="C1251" s="7" t="s">
        <v>2670</v>
      </c>
      <c r="D1251" s="8" t="s">
        <v>117</v>
      </c>
      <c r="E1251" s="8" t="s">
        <v>64</v>
      </c>
      <c r="F1251" s="8" t="s">
        <v>33</v>
      </c>
      <c r="G1251" s="8" t="s">
        <v>30</v>
      </c>
      <c r="H1251" s="8" t="s">
        <v>40</v>
      </c>
      <c r="I1251" s="11">
        <v>26</v>
      </c>
      <c r="J1251" s="12">
        <v>768.2</v>
      </c>
      <c r="K1251" s="13">
        <v>0.05</v>
      </c>
      <c r="L1251" s="12">
        <v>546.28</v>
      </c>
      <c r="M1251" s="14">
        <f>ROUND(tblSprzedaz[[#This Row],[Ilość]]*tblSprzedaz[[#This Row],[Cena netto jednostkowa]]*(1-tblSprzedaz[[#This Row],[Rabat %]]),2)</f>
        <v>18974.54</v>
      </c>
      <c r="N1251" s="14">
        <f>ROUND(tblSprzedaz[[#This Row],[Ilość]]*tblSprzedaz[[#This Row],[Koszt jednostkowy netto]],2)</f>
        <v>14203.28</v>
      </c>
      <c r="O1251" s="14">
        <f>tblSprzedaz[[#This Row],[Przychód netto]]-tblSprzedaz[[#This Row],[Koszt całkowity netto]]</f>
        <v>4771.26</v>
      </c>
      <c r="P1251" s="15">
        <f>IFERROR(tblSprzedaz[[#This Row],[Marża kwotowa]]/tblSprzedaz[[#This Row],[Przychód netto]],0)</f>
        <v>0.25145589827210568</v>
      </c>
      <c r="Q1251" s="16">
        <f>YEAR(tblSprzedaz[[#This Row],[Data]])</f>
        <v>2025</v>
      </c>
      <c r="R1251" s="16">
        <f>MONTH(tblSprzedaz[[#This Row],[Data]])</f>
        <v>11</v>
      </c>
      <c r="S1251" s="9" t="str">
        <f>YEAR(tblSprzedaz[[#This Row],[Data]])&amp;"-"&amp;RIGHT("0"&amp;MONTH(tblSprzedaz[[#This Row],[Data]]),2)</f>
        <v>2025-11</v>
      </c>
    </row>
    <row r="1252" spans="1:19" x14ac:dyDescent="0.25">
      <c r="A1252" s="7" t="s">
        <v>2671</v>
      </c>
      <c r="B1252" s="10">
        <v>45986</v>
      </c>
      <c r="C1252" s="7" t="s">
        <v>2672</v>
      </c>
      <c r="D1252" s="8" t="s">
        <v>114</v>
      </c>
      <c r="E1252" s="8" t="s">
        <v>76</v>
      </c>
      <c r="F1252" s="8" t="s">
        <v>37</v>
      </c>
      <c r="G1252" s="8" t="s">
        <v>32</v>
      </c>
      <c r="H1252" s="8" t="s">
        <v>43</v>
      </c>
      <c r="I1252" s="11">
        <v>1</v>
      </c>
      <c r="J1252" s="12">
        <v>158.65</v>
      </c>
      <c r="K1252" s="13">
        <v>0</v>
      </c>
      <c r="L1252" s="12">
        <v>127.37</v>
      </c>
      <c r="M1252" s="14">
        <f>ROUND(tblSprzedaz[[#This Row],[Ilość]]*tblSprzedaz[[#This Row],[Cena netto jednostkowa]]*(1-tblSprzedaz[[#This Row],[Rabat %]]),2)</f>
        <v>158.65</v>
      </c>
      <c r="N1252" s="14">
        <f>ROUND(tblSprzedaz[[#This Row],[Ilość]]*tblSprzedaz[[#This Row],[Koszt jednostkowy netto]],2)</f>
        <v>127.37</v>
      </c>
      <c r="O1252" s="14">
        <f>tblSprzedaz[[#This Row],[Przychód netto]]-tblSprzedaz[[#This Row],[Koszt całkowity netto]]</f>
        <v>31.28</v>
      </c>
      <c r="P1252" s="15">
        <f>IFERROR(tblSprzedaz[[#This Row],[Marża kwotowa]]/tblSprzedaz[[#This Row],[Przychód netto]],0)</f>
        <v>0.19716356760163883</v>
      </c>
      <c r="Q1252" s="16">
        <f>YEAR(tblSprzedaz[[#This Row],[Data]])</f>
        <v>2025</v>
      </c>
      <c r="R1252" s="16">
        <f>MONTH(tblSprzedaz[[#This Row],[Data]])</f>
        <v>11</v>
      </c>
      <c r="S1252" s="9" t="str">
        <f>YEAR(tblSprzedaz[[#This Row],[Data]])&amp;"-"&amp;RIGHT("0"&amp;MONTH(tblSprzedaz[[#This Row],[Data]]),2)</f>
        <v>2025-11</v>
      </c>
    </row>
    <row r="1253" spans="1:19" x14ac:dyDescent="0.25">
      <c r="A1253" s="7" t="s">
        <v>2673</v>
      </c>
      <c r="B1253" s="10">
        <v>45986</v>
      </c>
      <c r="C1253" s="7" t="s">
        <v>2674</v>
      </c>
      <c r="D1253" s="8" t="s">
        <v>93</v>
      </c>
      <c r="E1253" s="8" t="s">
        <v>68</v>
      </c>
      <c r="F1253" s="8" t="s">
        <v>35</v>
      </c>
      <c r="G1253" s="8" t="s">
        <v>30</v>
      </c>
      <c r="H1253" s="8" t="s">
        <v>40</v>
      </c>
      <c r="I1253" s="11">
        <v>13</v>
      </c>
      <c r="J1253" s="12">
        <v>90.44</v>
      </c>
      <c r="K1253" s="13">
        <v>0.15</v>
      </c>
      <c r="L1253" s="12">
        <v>67.64</v>
      </c>
      <c r="M1253" s="14">
        <f>ROUND(tblSprzedaz[[#This Row],[Ilość]]*tblSprzedaz[[#This Row],[Cena netto jednostkowa]]*(1-tblSprzedaz[[#This Row],[Rabat %]]),2)</f>
        <v>999.36</v>
      </c>
      <c r="N1253" s="14">
        <f>ROUND(tblSprzedaz[[#This Row],[Ilość]]*tblSprzedaz[[#This Row],[Koszt jednostkowy netto]],2)</f>
        <v>879.32</v>
      </c>
      <c r="O1253" s="14">
        <f>tblSprzedaz[[#This Row],[Przychód netto]]-tblSprzedaz[[#This Row],[Koszt całkowity netto]]</f>
        <v>120.03999999999996</v>
      </c>
      <c r="P1253" s="15">
        <f>IFERROR(tblSprzedaz[[#This Row],[Marża kwotowa]]/tblSprzedaz[[#This Row],[Przychód netto]],0)</f>
        <v>0.12011687479987188</v>
      </c>
      <c r="Q1253" s="16">
        <f>YEAR(tblSprzedaz[[#This Row],[Data]])</f>
        <v>2025</v>
      </c>
      <c r="R1253" s="16">
        <f>MONTH(tblSprzedaz[[#This Row],[Data]])</f>
        <v>11</v>
      </c>
      <c r="S1253" s="9" t="str">
        <f>YEAR(tblSprzedaz[[#This Row],[Data]])&amp;"-"&amp;RIGHT("0"&amp;MONTH(tblSprzedaz[[#This Row],[Data]]),2)</f>
        <v>2025-11</v>
      </c>
    </row>
    <row r="1254" spans="1:19" x14ac:dyDescent="0.25">
      <c r="A1254" s="7" t="s">
        <v>2675</v>
      </c>
      <c r="B1254" s="10">
        <v>45986</v>
      </c>
      <c r="C1254" s="7" t="s">
        <v>2676</v>
      </c>
      <c r="D1254" s="8" t="s">
        <v>152</v>
      </c>
      <c r="E1254" s="8" t="s">
        <v>53</v>
      </c>
      <c r="F1254" s="8" t="s">
        <v>29</v>
      </c>
      <c r="G1254" s="8" t="s">
        <v>34</v>
      </c>
      <c r="H1254" s="8" t="s">
        <v>44</v>
      </c>
      <c r="I1254" s="11">
        <v>15</v>
      </c>
      <c r="J1254" s="12">
        <v>27.88</v>
      </c>
      <c r="K1254" s="13">
        <v>0</v>
      </c>
      <c r="L1254" s="12">
        <v>17.350000000000001</v>
      </c>
      <c r="M1254" s="14">
        <f>ROUND(tblSprzedaz[[#This Row],[Ilość]]*tblSprzedaz[[#This Row],[Cena netto jednostkowa]]*(1-tblSprzedaz[[#This Row],[Rabat %]]),2)</f>
        <v>418.2</v>
      </c>
      <c r="N1254" s="14">
        <f>ROUND(tblSprzedaz[[#This Row],[Ilość]]*tblSprzedaz[[#This Row],[Koszt jednostkowy netto]],2)</f>
        <v>260.25</v>
      </c>
      <c r="O1254" s="14">
        <f>tblSprzedaz[[#This Row],[Przychód netto]]-tblSprzedaz[[#This Row],[Koszt całkowity netto]]</f>
        <v>157.94999999999999</v>
      </c>
      <c r="P1254" s="15">
        <f>IFERROR(tblSprzedaz[[#This Row],[Marża kwotowa]]/tblSprzedaz[[#This Row],[Przychód netto]],0)</f>
        <v>0.37769010043041606</v>
      </c>
      <c r="Q1254" s="16">
        <f>YEAR(tblSprzedaz[[#This Row],[Data]])</f>
        <v>2025</v>
      </c>
      <c r="R1254" s="16">
        <f>MONTH(tblSprzedaz[[#This Row],[Data]])</f>
        <v>11</v>
      </c>
      <c r="S1254" s="9" t="str">
        <f>YEAR(tblSprzedaz[[#This Row],[Data]])&amp;"-"&amp;RIGHT("0"&amp;MONTH(tblSprzedaz[[#This Row],[Data]]),2)</f>
        <v>2025-11</v>
      </c>
    </row>
    <row r="1255" spans="1:19" x14ac:dyDescent="0.25">
      <c r="A1255" s="7" t="s">
        <v>2677</v>
      </c>
      <c r="B1255" s="10">
        <v>45987</v>
      </c>
      <c r="C1255" s="7" t="s">
        <v>2678</v>
      </c>
      <c r="D1255" s="8" t="s">
        <v>119</v>
      </c>
      <c r="E1255" s="8" t="s">
        <v>49</v>
      </c>
      <c r="F1255" s="8" t="s">
        <v>29</v>
      </c>
      <c r="G1255" s="8" t="s">
        <v>34</v>
      </c>
      <c r="H1255" s="8" t="s">
        <v>45</v>
      </c>
      <c r="I1255" s="11">
        <v>20</v>
      </c>
      <c r="J1255" s="12">
        <v>39.44</v>
      </c>
      <c r="K1255" s="13">
        <v>0.05</v>
      </c>
      <c r="L1255" s="12">
        <v>22.23</v>
      </c>
      <c r="M1255" s="14">
        <f>ROUND(tblSprzedaz[[#This Row],[Ilość]]*tblSprzedaz[[#This Row],[Cena netto jednostkowa]]*(1-tblSprzedaz[[#This Row],[Rabat %]]),2)</f>
        <v>749.36</v>
      </c>
      <c r="N1255" s="14">
        <f>ROUND(tblSprzedaz[[#This Row],[Ilość]]*tblSprzedaz[[#This Row],[Koszt jednostkowy netto]],2)</f>
        <v>444.6</v>
      </c>
      <c r="O1255" s="14">
        <f>tblSprzedaz[[#This Row],[Przychód netto]]-tblSprzedaz[[#This Row],[Koszt całkowity netto]]</f>
        <v>304.76</v>
      </c>
      <c r="P1255" s="15">
        <f>IFERROR(tblSprzedaz[[#This Row],[Marża kwotowa]]/tblSprzedaz[[#This Row],[Przychód netto]],0)</f>
        <v>0.40669371196754561</v>
      </c>
      <c r="Q1255" s="16">
        <f>YEAR(tblSprzedaz[[#This Row],[Data]])</f>
        <v>2025</v>
      </c>
      <c r="R1255" s="16">
        <f>MONTH(tblSprzedaz[[#This Row],[Data]])</f>
        <v>11</v>
      </c>
      <c r="S1255" s="9" t="str">
        <f>YEAR(tblSprzedaz[[#This Row],[Data]])&amp;"-"&amp;RIGHT("0"&amp;MONTH(tblSprzedaz[[#This Row],[Data]]),2)</f>
        <v>2025-11</v>
      </c>
    </row>
    <row r="1256" spans="1:19" x14ac:dyDescent="0.25">
      <c r="A1256" s="7" t="s">
        <v>2679</v>
      </c>
      <c r="B1256" s="10">
        <v>45987</v>
      </c>
      <c r="C1256" s="7" t="s">
        <v>2680</v>
      </c>
      <c r="D1256" s="8" t="s">
        <v>118</v>
      </c>
      <c r="E1256" s="8" t="s">
        <v>66</v>
      </c>
      <c r="F1256" s="8" t="s">
        <v>35</v>
      </c>
      <c r="G1256" s="8" t="s">
        <v>32</v>
      </c>
      <c r="H1256" s="8" t="s">
        <v>42</v>
      </c>
      <c r="I1256" s="11">
        <v>8</v>
      </c>
      <c r="J1256" s="12">
        <v>67.319999999999993</v>
      </c>
      <c r="K1256" s="13">
        <v>0.05</v>
      </c>
      <c r="L1256" s="12">
        <v>46.94</v>
      </c>
      <c r="M1256" s="14">
        <f>ROUND(tblSprzedaz[[#This Row],[Ilość]]*tblSprzedaz[[#This Row],[Cena netto jednostkowa]]*(1-tblSprzedaz[[#This Row],[Rabat %]]),2)</f>
        <v>511.63</v>
      </c>
      <c r="N1256" s="14">
        <f>ROUND(tblSprzedaz[[#This Row],[Ilość]]*tblSprzedaz[[#This Row],[Koszt jednostkowy netto]],2)</f>
        <v>375.52</v>
      </c>
      <c r="O1256" s="14">
        <f>tblSprzedaz[[#This Row],[Przychód netto]]-tblSprzedaz[[#This Row],[Koszt całkowity netto]]</f>
        <v>136.11000000000001</v>
      </c>
      <c r="P1256" s="15">
        <f>IFERROR(tblSprzedaz[[#This Row],[Marża kwotowa]]/tblSprzedaz[[#This Row],[Przychód netto]],0)</f>
        <v>0.26603209350507206</v>
      </c>
      <c r="Q1256" s="16">
        <f>YEAR(tblSprzedaz[[#This Row],[Data]])</f>
        <v>2025</v>
      </c>
      <c r="R1256" s="16">
        <f>MONTH(tblSprzedaz[[#This Row],[Data]])</f>
        <v>11</v>
      </c>
      <c r="S1256" s="9" t="str">
        <f>YEAR(tblSprzedaz[[#This Row],[Data]])&amp;"-"&amp;RIGHT("0"&amp;MONTH(tblSprzedaz[[#This Row],[Data]]),2)</f>
        <v>2025-11</v>
      </c>
    </row>
    <row r="1257" spans="1:19" x14ac:dyDescent="0.25">
      <c r="A1257" s="7" t="s">
        <v>2681</v>
      </c>
      <c r="B1257" s="10">
        <v>45987</v>
      </c>
      <c r="C1257" s="7" t="s">
        <v>2682</v>
      </c>
      <c r="D1257" s="8" t="s">
        <v>124</v>
      </c>
      <c r="E1257" s="8" t="s">
        <v>65</v>
      </c>
      <c r="F1257" s="8" t="s">
        <v>33</v>
      </c>
      <c r="G1257" s="8" t="s">
        <v>36</v>
      </c>
      <c r="H1257" s="8" t="s">
        <v>47</v>
      </c>
      <c r="I1257" s="11">
        <v>1</v>
      </c>
      <c r="J1257" s="12">
        <v>377.2</v>
      </c>
      <c r="K1257" s="13">
        <v>0</v>
      </c>
      <c r="L1257" s="12">
        <v>269.14</v>
      </c>
      <c r="M1257" s="14">
        <f>ROUND(tblSprzedaz[[#This Row],[Ilość]]*tblSprzedaz[[#This Row],[Cena netto jednostkowa]]*(1-tblSprzedaz[[#This Row],[Rabat %]]),2)</f>
        <v>377.2</v>
      </c>
      <c r="N1257" s="14">
        <f>ROUND(tblSprzedaz[[#This Row],[Ilość]]*tblSprzedaz[[#This Row],[Koszt jednostkowy netto]],2)</f>
        <v>269.14</v>
      </c>
      <c r="O1257" s="14">
        <f>tblSprzedaz[[#This Row],[Przychód netto]]-tblSprzedaz[[#This Row],[Koszt całkowity netto]]</f>
        <v>108.06</v>
      </c>
      <c r="P1257" s="15">
        <f>IFERROR(tblSprzedaz[[#This Row],[Marża kwotowa]]/tblSprzedaz[[#This Row],[Przychód netto]],0)</f>
        <v>0.2864793213149523</v>
      </c>
      <c r="Q1257" s="16">
        <f>YEAR(tblSprzedaz[[#This Row],[Data]])</f>
        <v>2025</v>
      </c>
      <c r="R1257" s="16">
        <f>MONTH(tblSprzedaz[[#This Row],[Data]])</f>
        <v>11</v>
      </c>
      <c r="S1257" s="9" t="str">
        <f>YEAR(tblSprzedaz[[#This Row],[Data]])&amp;"-"&amp;RIGHT("0"&amp;MONTH(tblSprzedaz[[#This Row],[Data]]),2)</f>
        <v>2025-11</v>
      </c>
    </row>
    <row r="1258" spans="1:19" x14ac:dyDescent="0.25">
      <c r="A1258" s="7" t="s">
        <v>2683</v>
      </c>
      <c r="B1258" s="10">
        <v>45987</v>
      </c>
      <c r="C1258" s="7" t="s">
        <v>2684</v>
      </c>
      <c r="D1258" s="8" t="s">
        <v>84</v>
      </c>
      <c r="E1258" s="8" t="s">
        <v>50</v>
      </c>
      <c r="F1258" s="8" t="s">
        <v>29</v>
      </c>
      <c r="G1258" s="8" t="s">
        <v>28</v>
      </c>
      <c r="H1258" s="8" t="s">
        <v>38</v>
      </c>
      <c r="I1258" s="11">
        <v>8</v>
      </c>
      <c r="J1258" s="12">
        <v>45.22</v>
      </c>
      <c r="K1258" s="13">
        <v>0</v>
      </c>
      <c r="L1258" s="12">
        <v>26.96</v>
      </c>
      <c r="M1258" s="14">
        <f>ROUND(tblSprzedaz[[#This Row],[Ilość]]*tblSprzedaz[[#This Row],[Cena netto jednostkowa]]*(1-tblSprzedaz[[#This Row],[Rabat %]]),2)</f>
        <v>361.76</v>
      </c>
      <c r="N1258" s="14">
        <f>ROUND(tblSprzedaz[[#This Row],[Ilość]]*tblSprzedaz[[#This Row],[Koszt jednostkowy netto]],2)</f>
        <v>215.68</v>
      </c>
      <c r="O1258" s="14">
        <f>tblSprzedaz[[#This Row],[Przychód netto]]-tblSprzedaz[[#This Row],[Koszt całkowity netto]]</f>
        <v>146.07999999999998</v>
      </c>
      <c r="P1258" s="15">
        <f>IFERROR(tblSprzedaz[[#This Row],[Marża kwotowa]]/tblSprzedaz[[#This Row],[Przychód netto]],0)</f>
        <v>0.4038036267138434</v>
      </c>
      <c r="Q1258" s="16">
        <f>YEAR(tblSprzedaz[[#This Row],[Data]])</f>
        <v>2025</v>
      </c>
      <c r="R1258" s="16">
        <f>MONTH(tblSprzedaz[[#This Row],[Data]])</f>
        <v>11</v>
      </c>
      <c r="S1258" s="9" t="str">
        <f>YEAR(tblSprzedaz[[#This Row],[Data]])&amp;"-"&amp;RIGHT("0"&amp;MONTH(tblSprzedaz[[#This Row],[Data]]),2)</f>
        <v>2025-11</v>
      </c>
    </row>
    <row r="1259" spans="1:19" x14ac:dyDescent="0.25">
      <c r="A1259" s="7" t="s">
        <v>2685</v>
      </c>
      <c r="B1259" s="10">
        <v>45987</v>
      </c>
      <c r="C1259" s="7" t="s">
        <v>2686</v>
      </c>
      <c r="D1259" s="8" t="s">
        <v>126</v>
      </c>
      <c r="E1259" s="8" t="s">
        <v>59</v>
      </c>
      <c r="F1259" s="8" t="s">
        <v>31</v>
      </c>
      <c r="G1259" s="8" t="s">
        <v>28</v>
      </c>
      <c r="H1259" s="8" t="s">
        <v>38</v>
      </c>
      <c r="I1259" s="11">
        <v>26</v>
      </c>
      <c r="J1259" s="12">
        <v>172.2</v>
      </c>
      <c r="K1259" s="13">
        <v>0</v>
      </c>
      <c r="L1259" s="12">
        <v>104.84</v>
      </c>
      <c r="M1259" s="14">
        <f>ROUND(tblSprzedaz[[#This Row],[Ilość]]*tblSprzedaz[[#This Row],[Cena netto jednostkowa]]*(1-tblSprzedaz[[#This Row],[Rabat %]]),2)</f>
        <v>4477.2</v>
      </c>
      <c r="N1259" s="14">
        <f>ROUND(tblSprzedaz[[#This Row],[Ilość]]*tblSprzedaz[[#This Row],[Koszt jednostkowy netto]],2)</f>
        <v>2725.84</v>
      </c>
      <c r="O1259" s="14">
        <f>tblSprzedaz[[#This Row],[Przychód netto]]-tblSprzedaz[[#This Row],[Koszt całkowity netto]]</f>
        <v>1751.3599999999997</v>
      </c>
      <c r="P1259" s="15">
        <f>IFERROR(tblSprzedaz[[#This Row],[Marża kwotowa]]/tblSprzedaz[[#This Row],[Przychód netto]],0)</f>
        <v>0.3911730545876887</v>
      </c>
      <c r="Q1259" s="16">
        <f>YEAR(tblSprzedaz[[#This Row],[Data]])</f>
        <v>2025</v>
      </c>
      <c r="R1259" s="16">
        <f>MONTH(tblSprzedaz[[#This Row],[Data]])</f>
        <v>11</v>
      </c>
      <c r="S1259" s="9" t="str">
        <f>YEAR(tblSprzedaz[[#This Row],[Data]])&amp;"-"&amp;RIGHT("0"&amp;MONTH(tblSprzedaz[[#This Row],[Data]]),2)</f>
        <v>2025-11</v>
      </c>
    </row>
    <row r="1260" spans="1:19" x14ac:dyDescent="0.25">
      <c r="A1260" s="7" t="s">
        <v>2687</v>
      </c>
      <c r="B1260" s="10">
        <v>45987</v>
      </c>
      <c r="C1260" s="7" t="s">
        <v>2688</v>
      </c>
      <c r="D1260" s="8" t="s">
        <v>125</v>
      </c>
      <c r="E1260" s="8" t="s">
        <v>75</v>
      </c>
      <c r="F1260" s="8" t="s">
        <v>37</v>
      </c>
      <c r="G1260" s="8" t="s">
        <v>32</v>
      </c>
      <c r="H1260" s="8" t="s">
        <v>42</v>
      </c>
      <c r="I1260" s="11">
        <v>22</v>
      </c>
      <c r="J1260" s="12">
        <v>142.5</v>
      </c>
      <c r="K1260" s="13">
        <v>0.05</v>
      </c>
      <c r="L1260" s="12">
        <v>107.36</v>
      </c>
      <c r="M1260" s="14">
        <f>ROUND(tblSprzedaz[[#This Row],[Ilość]]*tblSprzedaz[[#This Row],[Cena netto jednostkowa]]*(1-tblSprzedaz[[#This Row],[Rabat %]]),2)</f>
        <v>2978.25</v>
      </c>
      <c r="N1260" s="14">
        <f>ROUND(tblSprzedaz[[#This Row],[Ilość]]*tblSprzedaz[[#This Row],[Koszt jednostkowy netto]],2)</f>
        <v>2361.92</v>
      </c>
      <c r="O1260" s="14">
        <f>tblSprzedaz[[#This Row],[Przychód netto]]-tblSprzedaz[[#This Row],[Koszt całkowity netto]]</f>
        <v>616.32999999999993</v>
      </c>
      <c r="P1260" s="15">
        <f>IFERROR(tblSprzedaz[[#This Row],[Marża kwotowa]]/tblSprzedaz[[#This Row],[Przychód netto]],0)</f>
        <v>0.20694367497691596</v>
      </c>
      <c r="Q1260" s="16">
        <f>YEAR(tblSprzedaz[[#This Row],[Data]])</f>
        <v>2025</v>
      </c>
      <c r="R1260" s="16">
        <f>MONTH(tblSprzedaz[[#This Row],[Data]])</f>
        <v>11</v>
      </c>
      <c r="S1260" s="9" t="str">
        <f>YEAR(tblSprzedaz[[#This Row],[Data]])&amp;"-"&amp;RIGHT("0"&amp;MONTH(tblSprzedaz[[#This Row],[Data]]),2)</f>
        <v>2025-11</v>
      </c>
    </row>
    <row r="1261" spans="1:19" x14ac:dyDescent="0.25">
      <c r="A1261" s="7" t="s">
        <v>2689</v>
      </c>
      <c r="B1261" s="10">
        <v>45987</v>
      </c>
      <c r="C1261" s="7" t="s">
        <v>2690</v>
      </c>
      <c r="D1261" s="8" t="s">
        <v>103</v>
      </c>
      <c r="E1261" s="8" t="s">
        <v>54</v>
      </c>
      <c r="F1261" s="8" t="s">
        <v>31</v>
      </c>
      <c r="G1261" s="8" t="s">
        <v>36</v>
      </c>
      <c r="H1261" s="8" t="s">
        <v>47</v>
      </c>
      <c r="I1261" s="11">
        <v>9</v>
      </c>
      <c r="J1261" s="12">
        <v>207.9</v>
      </c>
      <c r="K1261" s="13">
        <v>0</v>
      </c>
      <c r="L1261" s="12">
        <v>137.33000000000001</v>
      </c>
      <c r="M1261" s="14">
        <f>ROUND(tblSprzedaz[[#This Row],[Ilość]]*tblSprzedaz[[#This Row],[Cena netto jednostkowa]]*(1-tblSprzedaz[[#This Row],[Rabat %]]),2)</f>
        <v>1871.1</v>
      </c>
      <c r="N1261" s="14">
        <f>ROUND(tblSprzedaz[[#This Row],[Ilość]]*tblSprzedaz[[#This Row],[Koszt jednostkowy netto]],2)</f>
        <v>1235.97</v>
      </c>
      <c r="O1261" s="14">
        <f>tblSprzedaz[[#This Row],[Przychód netto]]-tblSprzedaz[[#This Row],[Koszt całkowity netto]]</f>
        <v>635.12999999999988</v>
      </c>
      <c r="P1261" s="15">
        <f>IFERROR(tblSprzedaz[[#This Row],[Marża kwotowa]]/tblSprzedaz[[#This Row],[Przychód netto]],0)</f>
        <v>0.33944203944203938</v>
      </c>
      <c r="Q1261" s="16">
        <f>YEAR(tblSprzedaz[[#This Row],[Data]])</f>
        <v>2025</v>
      </c>
      <c r="R1261" s="16">
        <f>MONTH(tblSprzedaz[[#This Row],[Data]])</f>
        <v>11</v>
      </c>
      <c r="S1261" s="9" t="str">
        <f>YEAR(tblSprzedaz[[#This Row],[Data]])&amp;"-"&amp;RIGHT("0"&amp;MONTH(tblSprzedaz[[#This Row],[Data]]),2)</f>
        <v>2025-11</v>
      </c>
    </row>
    <row r="1262" spans="1:19" x14ac:dyDescent="0.25">
      <c r="A1262" s="7" t="s">
        <v>2691</v>
      </c>
      <c r="B1262" s="10">
        <v>45987</v>
      </c>
      <c r="C1262" s="7" t="s">
        <v>2692</v>
      </c>
      <c r="D1262" s="8" t="s">
        <v>131</v>
      </c>
      <c r="E1262" s="8" t="s">
        <v>72</v>
      </c>
      <c r="F1262" s="8" t="s">
        <v>37</v>
      </c>
      <c r="G1262" s="8" t="s">
        <v>34</v>
      </c>
      <c r="H1262" s="8" t="s">
        <v>44</v>
      </c>
      <c r="I1262" s="11">
        <v>17</v>
      </c>
      <c r="J1262" s="12">
        <v>94.05</v>
      </c>
      <c r="K1262" s="13">
        <v>0.15</v>
      </c>
      <c r="L1262" s="12">
        <v>74.489999999999995</v>
      </c>
      <c r="M1262" s="14">
        <f>ROUND(tblSprzedaz[[#This Row],[Ilość]]*tblSprzedaz[[#This Row],[Cena netto jednostkowa]]*(1-tblSprzedaz[[#This Row],[Rabat %]]),2)</f>
        <v>1359.02</v>
      </c>
      <c r="N1262" s="14">
        <f>ROUND(tblSprzedaz[[#This Row],[Ilość]]*tblSprzedaz[[#This Row],[Koszt jednostkowy netto]],2)</f>
        <v>1266.33</v>
      </c>
      <c r="O1262" s="14">
        <f>tblSprzedaz[[#This Row],[Przychód netto]]-tblSprzedaz[[#This Row],[Koszt całkowity netto]]</f>
        <v>92.690000000000055</v>
      </c>
      <c r="P1262" s="15">
        <f>IFERROR(tblSprzedaz[[#This Row],[Marża kwotowa]]/tblSprzedaz[[#This Row],[Przychód netto]],0)</f>
        <v>6.8203558446527687E-2</v>
      </c>
      <c r="Q1262" s="16">
        <f>YEAR(tblSprzedaz[[#This Row],[Data]])</f>
        <v>2025</v>
      </c>
      <c r="R1262" s="16">
        <f>MONTH(tblSprzedaz[[#This Row],[Data]])</f>
        <v>11</v>
      </c>
      <c r="S1262" s="9" t="str">
        <f>YEAR(tblSprzedaz[[#This Row],[Data]])&amp;"-"&amp;RIGHT("0"&amp;MONTH(tblSprzedaz[[#This Row],[Data]]),2)</f>
        <v>2025-11</v>
      </c>
    </row>
    <row r="1263" spans="1:19" x14ac:dyDescent="0.25">
      <c r="A1263" s="7" t="s">
        <v>2693</v>
      </c>
      <c r="B1263" s="10">
        <v>45988</v>
      </c>
      <c r="C1263" s="7" t="s">
        <v>2694</v>
      </c>
      <c r="D1263" s="8" t="s">
        <v>149</v>
      </c>
      <c r="E1263" s="8" t="s">
        <v>71</v>
      </c>
      <c r="F1263" s="8" t="s">
        <v>35</v>
      </c>
      <c r="G1263" s="8" t="s">
        <v>36</v>
      </c>
      <c r="H1263" s="8" t="s">
        <v>46</v>
      </c>
      <c r="I1263" s="11">
        <v>23</v>
      </c>
      <c r="J1263" s="12">
        <v>55.76</v>
      </c>
      <c r="K1263" s="13">
        <v>0.15</v>
      </c>
      <c r="L1263" s="12">
        <v>42.29</v>
      </c>
      <c r="M1263" s="14">
        <f>ROUND(tblSprzedaz[[#This Row],[Ilość]]*tblSprzedaz[[#This Row],[Cena netto jednostkowa]]*(1-tblSprzedaz[[#This Row],[Rabat %]]),2)</f>
        <v>1090.1099999999999</v>
      </c>
      <c r="N1263" s="14">
        <f>ROUND(tblSprzedaz[[#This Row],[Ilość]]*tblSprzedaz[[#This Row],[Koszt jednostkowy netto]],2)</f>
        <v>972.67</v>
      </c>
      <c r="O1263" s="14">
        <f>tblSprzedaz[[#This Row],[Przychód netto]]-tblSprzedaz[[#This Row],[Koszt całkowity netto]]</f>
        <v>117.43999999999994</v>
      </c>
      <c r="P1263" s="15">
        <f>IFERROR(tblSprzedaz[[#This Row],[Marża kwotowa]]/tblSprzedaz[[#This Row],[Przychód netto]],0)</f>
        <v>0.10773224720441052</v>
      </c>
      <c r="Q1263" s="16">
        <f>YEAR(tblSprzedaz[[#This Row],[Data]])</f>
        <v>2025</v>
      </c>
      <c r="R1263" s="16">
        <f>MONTH(tblSprzedaz[[#This Row],[Data]])</f>
        <v>11</v>
      </c>
      <c r="S1263" s="9" t="str">
        <f>YEAR(tblSprzedaz[[#This Row],[Data]])&amp;"-"&amp;RIGHT("0"&amp;MONTH(tblSprzedaz[[#This Row],[Data]]),2)</f>
        <v>2025-11</v>
      </c>
    </row>
    <row r="1264" spans="1:19" x14ac:dyDescent="0.25">
      <c r="A1264" s="7" t="s">
        <v>2695</v>
      </c>
      <c r="B1264" s="10">
        <v>45988</v>
      </c>
      <c r="C1264" s="7" t="s">
        <v>2696</v>
      </c>
      <c r="D1264" s="8" t="s">
        <v>123</v>
      </c>
      <c r="E1264" s="8" t="s">
        <v>56</v>
      </c>
      <c r="F1264" s="8" t="s">
        <v>31</v>
      </c>
      <c r="G1264" s="8" t="s">
        <v>32</v>
      </c>
      <c r="H1264" s="8" t="s">
        <v>43</v>
      </c>
      <c r="I1264" s="11">
        <v>41</v>
      </c>
      <c r="J1264" s="12">
        <v>279.3</v>
      </c>
      <c r="K1264" s="13">
        <v>0.15</v>
      </c>
      <c r="L1264" s="12">
        <v>171.73</v>
      </c>
      <c r="M1264" s="14">
        <f>ROUND(tblSprzedaz[[#This Row],[Ilość]]*tblSprzedaz[[#This Row],[Cena netto jednostkowa]]*(1-tblSprzedaz[[#This Row],[Rabat %]]),2)</f>
        <v>9733.61</v>
      </c>
      <c r="N1264" s="14">
        <f>ROUND(tblSprzedaz[[#This Row],[Ilość]]*tblSprzedaz[[#This Row],[Koszt jednostkowy netto]],2)</f>
        <v>7040.93</v>
      </c>
      <c r="O1264" s="14">
        <f>tblSprzedaz[[#This Row],[Przychód netto]]-tblSprzedaz[[#This Row],[Koszt całkowity netto]]</f>
        <v>2692.6800000000003</v>
      </c>
      <c r="P1264" s="15">
        <f>IFERROR(tblSprzedaz[[#This Row],[Marża kwotowa]]/tblSprzedaz[[#This Row],[Przychód netto]],0)</f>
        <v>0.27663734215774005</v>
      </c>
      <c r="Q1264" s="16">
        <f>YEAR(tblSprzedaz[[#This Row],[Data]])</f>
        <v>2025</v>
      </c>
      <c r="R1264" s="16">
        <f>MONTH(tblSprzedaz[[#This Row],[Data]])</f>
        <v>11</v>
      </c>
      <c r="S1264" s="9" t="str">
        <f>YEAR(tblSprzedaz[[#This Row],[Data]])&amp;"-"&amp;RIGHT("0"&amp;MONTH(tblSprzedaz[[#This Row],[Data]]),2)</f>
        <v>2025-11</v>
      </c>
    </row>
    <row r="1265" spans="1:19" x14ac:dyDescent="0.25">
      <c r="A1265" s="7" t="s">
        <v>2697</v>
      </c>
      <c r="B1265" s="10">
        <v>45988</v>
      </c>
      <c r="C1265" s="7" t="s">
        <v>2698</v>
      </c>
      <c r="D1265" s="8" t="s">
        <v>118</v>
      </c>
      <c r="E1265" s="8" t="s">
        <v>50</v>
      </c>
      <c r="F1265" s="8" t="s">
        <v>29</v>
      </c>
      <c r="G1265" s="8" t="s">
        <v>30</v>
      </c>
      <c r="H1265" s="8" t="s">
        <v>41</v>
      </c>
      <c r="I1265" s="11">
        <v>31</v>
      </c>
      <c r="J1265" s="12">
        <v>45.22</v>
      </c>
      <c r="K1265" s="13">
        <v>0</v>
      </c>
      <c r="L1265" s="12">
        <v>26.95</v>
      </c>
      <c r="M1265" s="14">
        <f>ROUND(tblSprzedaz[[#This Row],[Ilość]]*tblSprzedaz[[#This Row],[Cena netto jednostkowa]]*(1-tblSprzedaz[[#This Row],[Rabat %]]),2)</f>
        <v>1401.82</v>
      </c>
      <c r="N1265" s="14">
        <f>ROUND(tblSprzedaz[[#This Row],[Ilość]]*tblSprzedaz[[#This Row],[Koszt jednostkowy netto]],2)</f>
        <v>835.45</v>
      </c>
      <c r="O1265" s="14">
        <f>tblSprzedaz[[#This Row],[Przychód netto]]-tblSprzedaz[[#This Row],[Koszt całkowity netto]]</f>
        <v>566.36999999999989</v>
      </c>
      <c r="P1265" s="15">
        <f>IFERROR(tblSprzedaz[[#This Row],[Marża kwotowa]]/tblSprzedaz[[#This Row],[Przychód netto]],0)</f>
        <v>0.40402476780185753</v>
      </c>
      <c r="Q1265" s="16">
        <f>YEAR(tblSprzedaz[[#This Row],[Data]])</f>
        <v>2025</v>
      </c>
      <c r="R1265" s="16">
        <f>MONTH(tblSprzedaz[[#This Row],[Data]])</f>
        <v>11</v>
      </c>
      <c r="S1265" s="9" t="str">
        <f>YEAR(tblSprzedaz[[#This Row],[Data]])&amp;"-"&amp;RIGHT("0"&amp;MONTH(tblSprzedaz[[#This Row],[Data]]),2)</f>
        <v>2025-11</v>
      </c>
    </row>
    <row r="1266" spans="1:19" x14ac:dyDescent="0.25">
      <c r="A1266" s="7" t="s">
        <v>2699</v>
      </c>
      <c r="B1266" s="10">
        <v>45988</v>
      </c>
      <c r="C1266" s="7" t="s">
        <v>2700</v>
      </c>
      <c r="D1266" s="8" t="s">
        <v>145</v>
      </c>
      <c r="E1266" s="8" t="s">
        <v>56</v>
      </c>
      <c r="F1266" s="8" t="s">
        <v>31</v>
      </c>
      <c r="G1266" s="8" t="s">
        <v>30</v>
      </c>
      <c r="H1266" s="8" t="s">
        <v>41</v>
      </c>
      <c r="I1266" s="11">
        <v>24</v>
      </c>
      <c r="J1266" s="12">
        <v>279.3</v>
      </c>
      <c r="K1266" s="13">
        <v>0</v>
      </c>
      <c r="L1266" s="12">
        <v>172.36</v>
      </c>
      <c r="M1266" s="14">
        <f>ROUND(tblSprzedaz[[#This Row],[Ilość]]*tblSprzedaz[[#This Row],[Cena netto jednostkowa]]*(1-tblSprzedaz[[#This Row],[Rabat %]]),2)</f>
        <v>6703.2</v>
      </c>
      <c r="N1266" s="14">
        <f>ROUND(tblSprzedaz[[#This Row],[Ilość]]*tblSprzedaz[[#This Row],[Koszt jednostkowy netto]],2)</f>
        <v>4136.6400000000003</v>
      </c>
      <c r="O1266" s="14">
        <f>tblSprzedaz[[#This Row],[Przychód netto]]-tblSprzedaz[[#This Row],[Koszt całkowity netto]]</f>
        <v>2566.5599999999995</v>
      </c>
      <c r="P1266" s="15">
        <f>IFERROR(tblSprzedaz[[#This Row],[Marża kwotowa]]/tblSprzedaz[[#This Row],[Przychód netto]],0)</f>
        <v>0.38288578589330463</v>
      </c>
      <c r="Q1266" s="16">
        <f>YEAR(tblSprzedaz[[#This Row],[Data]])</f>
        <v>2025</v>
      </c>
      <c r="R1266" s="16">
        <f>MONTH(tblSprzedaz[[#This Row],[Data]])</f>
        <v>11</v>
      </c>
      <c r="S1266" s="9" t="str">
        <f>YEAR(tblSprzedaz[[#This Row],[Data]])&amp;"-"&amp;RIGHT("0"&amp;MONTH(tblSprzedaz[[#This Row],[Data]]),2)</f>
        <v>2025-11</v>
      </c>
    </row>
    <row r="1267" spans="1:19" x14ac:dyDescent="0.25">
      <c r="A1267" s="7" t="s">
        <v>2701</v>
      </c>
      <c r="B1267" s="10">
        <v>45988</v>
      </c>
      <c r="C1267" s="7" t="s">
        <v>2702</v>
      </c>
      <c r="D1267" s="8" t="s">
        <v>116</v>
      </c>
      <c r="E1267" s="8" t="s">
        <v>62</v>
      </c>
      <c r="F1267" s="8" t="s">
        <v>33</v>
      </c>
      <c r="G1267" s="8" t="s">
        <v>32</v>
      </c>
      <c r="H1267" s="8" t="s">
        <v>42</v>
      </c>
      <c r="I1267" s="11">
        <v>34</v>
      </c>
      <c r="J1267" s="12">
        <v>611.79999999999995</v>
      </c>
      <c r="K1267" s="13">
        <v>0</v>
      </c>
      <c r="L1267" s="12">
        <v>415.07</v>
      </c>
      <c r="M1267" s="14">
        <f>ROUND(tblSprzedaz[[#This Row],[Ilość]]*tblSprzedaz[[#This Row],[Cena netto jednostkowa]]*(1-tblSprzedaz[[#This Row],[Rabat %]]),2)</f>
        <v>20801.2</v>
      </c>
      <c r="N1267" s="14">
        <f>ROUND(tblSprzedaz[[#This Row],[Ilość]]*tblSprzedaz[[#This Row],[Koszt jednostkowy netto]],2)</f>
        <v>14112.38</v>
      </c>
      <c r="O1267" s="14">
        <f>tblSprzedaz[[#This Row],[Przychód netto]]-tblSprzedaz[[#This Row],[Koszt całkowity netto]]</f>
        <v>6688.8200000000015</v>
      </c>
      <c r="P1267" s="15">
        <f>IFERROR(tblSprzedaz[[#This Row],[Marża kwotowa]]/tblSprzedaz[[#This Row],[Przychód netto]],0)</f>
        <v>0.32155933311539725</v>
      </c>
      <c r="Q1267" s="16">
        <f>YEAR(tblSprzedaz[[#This Row],[Data]])</f>
        <v>2025</v>
      </c>
      <c r="R1267" s="16">
        <f>MONTH(tblSprzedaz[[#This Row],[Data]])</f>
        <v>11</v>
      </c>
      <c r="S1267" s="9" t="str">
        <f>YEAR(tblSprzedaz[[#This Row],[Data]])&amp;"-"&amp;RIGHT("0"&amp;MONTH(tblSprzedaz[[#This Row],[Data]]),2)</f>
        <v>2025-11</v>
      </c>
    </row>
    <row r="1268" spans="1:19" x14ac:dyDescent="0.25">
      <c r="A1268" s="7" t="s">
        <v>2703</v>
      </c>
      <c r="B1268" s="10">
        <v>45989</v>
      </c>
      <c r="C1268" s="7" t="s">
        <v>2704</v>
      </c>
      <c r="D1268" s="8" t="s">
        <v>137</v>
      </c>
      <c r="E1268" s="8" t="s">
        <v>68</v>
      </c>
      <c r="F1268" s="8" t="s">
        <v>35</v>
      </c>
      <c r="G1268" s="8" t="s">
        <v>30</v>
      </c>
      <c r="H1268" s="8" t="s">
        <v>41</v>
      </c>
      <c r="I1268" s="11">
        <v>28</v>
      </c>
      <c r="J1268" s="12">
        <v>90.44</v>
      </c>
      <c r="K1268" s="13">
        <v>0.1</v>
      </c>
      <c r="L1268" s="12">
        <v>66.319999999999993</v>
      </c>
      <c r="M1268" s="14">
        <f>ROUND(tblSprzedaz[[#This Row],[Ilość]]*tblSprzedaz[[#This Row],[Cena netto jednostkowa]]*(1-tblSprzedaz[[#This Row],[Rabat %]]),2)</f>
        <v>2279.09</v>
      </c>
      <c r="N1268" s="14">
        <f>ROUND(tblSprzedaz[[#This Row],[Ilość]]*tblSprzedaz[[#This Row],[Koszt jednostkowy netto]],2)</f>
        <v>1856.96</v>
      </c>
      <c r="O1268" s="14">
        <f>tblSprzedaz[[#This Row],[Przychód netto]]-tblSprzedaz[[#This Row],[Koszt całkowity netto]]</f>
        <v>422.13000000000011</v>
      </c>
      <c r="P1268" s="15">
        <f>IFERROR(tblSprzedaz[[#This Row],[Marża kwotowa]]/tblSprzedaz[[#This Row],[Przychód netto]],0)</f>
        <v>0.18521866183432864</v>
      </c>
      <c r="Q1268" s="16">
        <f>YEAR(tblSprzedaz[[#This Row],[Data]])</f>
        <v>2025</v>
      </c>
      <c r="R1268" s="16">
        <f>MONTH(tblSprzedaz[[#This Row],[Data]])</f>
        <v>11</v>
      </c>
      <c r="S1268" s="9" t="str">
        <f>YEAR(tblSprzedaz[[#This Row],[Data]])&amp;"-"&amp;RIGHT("0"&amp;MONTH(tblSprzedaz[[#This Row],[Data]]),2)</f>
        <v>2025-11</v>
      </c>
    </row>
    <row r="1269" spans="1:19" x14ac:dyDescent="0.25">
      <c r="A1269" s="7" t="s">
        <v>2705</v>
      </c>
      <c r="B1269" s="10">
        <v>45989</v>
      </c>
      <c r="C1269" s="7" t="s">
        <v>2706</v>
      </c>
      <c r="D1269" s="8" t="s">
        <v>89</v>
      </c>
      <c r="E1269" s="8" t="s">
        <v>60</v>
      </c>
      <c r="F1269" s="8" t="s">
        <v>33</v>
      </c>
      <c r="G1269" s="8" t="s">
        <v>32</v>
      </c>
      <c r="H1269" s="8" t="s">
        <v>42</v>
      </c>
      <c r="I1269" s="11">
        <v>34</v>
      </c>
      <c r="J1269" s="12">
        <v>455.4</v>
      </c>
      <c r="K1269" s="13">
        <v>0</v>
      </c>
      <c r="L1269" s="12">
        <v>311.77</v>
      </c>
      <c r="M1269" s="14">
        <f>ROUND(tblSprzedaz[[#This Row],[Ilość]]*tblSprzedaz[[#This Row],[Cena netto jednostkowa]]*(1-tblSprzedaz[[#This Row],[Rabat %]]),2)</f>
        <v>15483.6</v>
      </c>
      <c r="N1269" s="14">
        <f>ROUND(tblSprzedaz[[#This Row],[Ilość]]*tblSprzedaz[[#This Row],[Koszt jednostkowy netto]],2)</f>
        <v>10600.18</v>
      </c>
      <c r="O1269" s="14">
        <f>tblSprzedaz[[#This Row],[Przychód netto]]-tblSprzedaz[[#This Row],[Koszt całkowity netto]]</f>
        <v>4883.42</v>
      </c>
      <c r="P1269" s="15">
        <f>IFERROR(tblSprzedaz[[#This Row],[Marża kwotowa]]/tblSprzedaz[[#This Row],[Przychód netto]],0)</f>
        <v>0.31539306104523496</v>
      </c>
      <c r="Q1269" s="16">
        <f>YEAR(tblSprzedaz[[#This Row],[Data]])</f>
        <v>2025</v>
      </c>
      <c r="R1269" s="16">
        <f>MONTH(tblSprzedaz[[#This Row],[Data]])</f>
        <v>11</v>
      </c>
      <c r="S1269" s="9" t="str">
        <f>YEAR(tblSprzedaz[[#This Row],[Data]])&amp;"-"&amp;RIGHT("0"&amp;MONTH(tblSprzedaz[[#This Row],[Data]]),2)</f>
        <v>2025-11</v>
      </c>
    </row>
    <row r="1270" spans="1:19" x14ac:dyDescent="0.25">
      <c r="A1270" s="7" t="s">
        <v>2707</v>
      </c>
      <c r="B1270" s="10">
        <v>45989</v>
      </c>
      <c r="C1270" s="7" t="s">
        <v>2708</v>
      </c>
      <c r="D1270" s="8" t="s">
        <v>132</v>
      </c>
      <c r="E1270" s="8" t="s">
        <v>75</v>
      </c>
      <c r="F1270" s="8" t="s">
        <v>37</v>
      </c>
      <c r="G1270" s="8" t="s">
        <v>30</v>
      </c>
      <c r="H1270" s="8" t="s">
        <v>40</v>
      </c>
      <c r="I1270" s="11">
        <v>9</v>
      </c>
      <c r="J1270" s="12">
        <v>142.5</v>
      </c>
      <c r="K1270" s="13">
        <v>0.05</v>
      </c>
      <c r="L1270" s="12">
        <v>111.98</v>
      </c>
      <c r="M1270" s="14">
        <f>ROUND(tblSprzedaz[[#This Row],[Ilość]]*tblSprzedaz[[#This Row],[Cena netto jednostkowa]]*(1-tblSprzedaz[[#This Row],[Rabat %]]),2)</f>
        <v>1218.3800000000001</v>
      </c>
      <c r="N1270" s="14">
        <f>ROUND(tblSprzedaz[[#This Row],[Ilość]]*tblSprzedaz[[#This Row],[Koszt jednostkowy netto]],2)</f>
        <v>1007.82</v>
      </c>
      <c r="O1270" s="14">
        <f>tblSprzedaz[[#This Row],[Przychód netto]]-tblSprzedaz[[#This Row],[Koszt całkowity netto]]</f>
        <v>210.56000000000006</v>
      </c>
      <c r="P1270" s="15">
        <f>IFERROR(tblSprzedaz[[#This Row],[Marża kwotowa]]/tblSprzedaz[[#This Row],[Przychód netto]],0)</f>
        <v>0.17281964575912281</v>
      </c>
      <c r="Q1270" s="16">
        <f>YEAR(tblSprzedaz[[#This Row],[Data]])</f>
        <v>2025</v>
      </c>
      <c r="R1270" s="16">
        <f>MONTH(tblSprzedaz[[#This Row],[Data]])</f>
        <v>11</v>
      </c>
      <c r="S1270" s="9" t="str">
        <f>YEAR(tblSprzedaz[[#This Row],[Data]])&amp;"-"&amp;RIGHT("0"&amp;MONTH(tblSprzedaz[[#This Row],[Data]]),2)</f>
        <v>2025-11</v>
      </c>
    </row>
    <row r="1271" spans="1:19" x14ac:dyDescent="0.25">
      <c r="A1271" s="7" t="s">
        <v>2709</v>
      </c>
      <c r="B1271" s="10">
        <v>45990</v>
      </c>
      <c r="C1271" s="7" t="s">
        <v>2710</v>
      </c>
      <c r="D1271" s="8" t="s">
        <v>146</v>
      </c>
      <c r="E1271" s="8" t="s">
        <v>57</v>
      </c>
      <c r="F1271" s="8" t="s">
        <v>31</v>
      </c>
      <c r="G1271" s="8" t="s">
        <v>34</v>
      </c>
      <c r="H1271" s="8" t="s">
        <v>44</v>
      </c>
      <c r="I1271" s="11">
        <v>8</v>
      </c>
      <c r="J1271" s="12">
        <v>315</v>
      </c>
      <c r="K1271" s="13">
        <v>0</v>
      </c>
      <c r="L1271" s="12">
        <v>187.45</v>
      </c>
      <c r="M1271" s="14">
        <f>ROUND(tblSprzedaz[[#This Row],[Ilość]]*tblSprzedaz[[#This Row],[Cena netto jednostkowa]]*(1-tblSprzedaz[[#This Row],[Rabat %]]),2)</f>
        <v>2520</v>
      </c>
      <c r="N1271" s="14">
        <f>ROUND(tblSprzedaz[[#This Row],[Ilość]]*tblSprzedaz[[#This Row],[Koszt jednostkowy netto]],2)</f>
        <v>1499.6</v>
      </c>
      <c r="O1271" s="14">
        <f>tblSprzedaz[[#This Row],[Przychód netto]]-tblSprzedaz[[#This Row],[Koszt całkowity netto]]</f>
        <v>1020.4000000000001</v>
      </c>
      <c r="P1271" s="15">
        <f>IFERROR(tblSprzedaz[[#This Row],[Marża kwotowa]]/tblSprzedaz[[#This Row],[Przychód netto]],0)</f>
        <v>0.40492063492063496</v>
      </c>
      <c r="Q1271" s="16">
        <f>YEAR(tblSprzedaz[[#This Row],[Data]])</f>
        <v>2025</v>
      </c>
      <c r="R1271" s="16">
        <f>MONTH(tblSprzedaz[[#This Row],[Data]])</f>
        <v>11</v>
      </c>
      <c r="S1271" s="9" t="str">
        <f>YEAR(tblSprzedaz[[#This Row],[Data]])&amp;"-"&amp;RIGHT("0"&amp;MONTH(tblSprzedaz[[#This Row],[Data]]),2)</f>
        <v>2025-11</v>
      </c>
    </row>
    <row r="1272" spans="1:19" x14ac:dyDescent="0.25">
      <c r="A1272" s="7" t="s">
        <v>2711</v>
      </c>
      <c r="B1272" s="10">
        <v>45991</v>
      </c>
      <c r="C1272" s="7" t="s">
        <v>2712</v>
      </c>
      <c r="D1272" s="8" t="s">
        <v>129</v>
      </c>
      <c r="E1272" s="8" t="s">
        <v>57</v>
      </c>
      <c r="F1272" s="8" t="s">
        <v>31</v>
      </c>
      <c r="G1272" s="8" t="s">
        <v>32</v>
      </c>
      <c r="H1272" s="8" t="s">
        <v>43</v>
      </c>
      <c r="I1272" s="11">
        <v>31</v>
      </c>
      <c r="J1272" s="12">
        <v>315</v>
      </c>
      <c r="K1272" s="13">
        <v>0.05</v>
      </c>
      <c r="L1272" s="12">
        <v>192.95</v>
      </c>
      <c r="M1272" s="14">
        <f>ROUND(tblSprzedaz[[#This Row],[Ilość]]*tblSprzedaz[[#This Row],[Cena netto jednostkowa]]*(1-tblSprzedaz[[#This Row],[Rabat %]]),2)</f>
        <v>9276.75</v>
      </c>
      <c r="N1272" s="14">
        <f>ROUND(tblSprzedaz[[#This Row],[Ilość]]*tblSprzedaz[[#This Row],[Koszt jednostkowy netto]],2)</f>
        <v>5981.45</v>
      </c>
      <c r="O1272" s="14">
        <f>tblSprzedaz[[#This Row],[Przychód netto]]-tblSprzedaz[[#This Row],[Koszt całkowity netto]]</f>
        <v>3295.3</v>
      </c>
      <c r="P1272" s="15">
        <f>IFERROR(tblSprzedaz[[#This Row],[Marża kwotowa]]/tblSprzedaz[[#This Row],[Przychód netto]],0)</f>
        <v>0.35522138680033422</v>
      </c>
      <c r="Q1272" s="16">
        <f>YEAR(tblSprzedaz[[#This Row],[Data]])</f>
        <v>2025</v>
      </c>
      <c r="R1272" s="16">
        <f>MONTH(tblSprzedaz[[#This Row],[Data]])</f>
        <v>11</v>
      </c>
      <c r="S1272" s="9" t="str">
        <f>YEAR(tblSprzedaz[[#This Row],[Data]])&amp;"-"&amp;RIGHT("0"&amp;MONTH(tblSprzedaz[[#This Row],[Data]]),2)</f>
        <v>2025-11</v>
      </c>
    </row>
    <row r="1273" spans="1:19" x14ac:dyDescent="0.25">
      <c r="A1273" s="7" t="s">
        <v>2713</v>
      </c>
      <c r="B1273" s="10">
        <v>45992</v>
      </c>
      <c r="C1273" s="7" t="s">
        <v>2714</v>
      </c>
      <c r="D1273" s="8" t="s">
        <v>106</v>
      </c>
      <c r="E1273" s="8" t="s">
        <v>65</v>
      </c>
      <c r="F1273" s="8" t="s">
        <v>33</v>
      </c>
      <c r="G1273" s="8" t="s">
        <v>32</v>
      </c>
      <c r="H1273" s="8" t="s">
        <v>43</v>
      </c>
      <c r="I1273" s="11">
        <v>16</v>
      </c>
      <c r="J1273" s="12">
        <v>377.2</v>
      </c>
      <c r="K1273" s="13">
        <v>0</v>
      </c>
      <c r="L1273" s="12">
        <v>257.88</v>
      </c>
      <c r="M1273" s="14">
        <f>ROUND(tblSprzedaz[[#This Row],[Ilość]]*tblSprzedaz[[#This Row],[Cena netto jednostkowa]]*(1-tblSprzedaz[[#This Row],[Rabat %]]),2)</f>
        <v>6035.2</v>
      </c>
      <c r="N1273" s="14">
        <f>ROUND(tblSprzedaz[[#This Row],[Ilość]]*tblSprzedaz[[#This Row],[Koszt jednostkowy netto]],2)</f>
        <v>4126.08</v>
      </c>
      <c r="O1273" s="14">
        <f>tblSprzedaz[[#This Row],[Przychód netto]]-tblSprzedaz[[#This Row],[Koszt całkowity netto]]</f>
        <v>1909.12</v>
      </c>
      <c r="P1273" s="15">
        <f>IFERROR(tblSprzedaz[[#This Row],[Marża kwotowa]]/tblSprzedaz[[#This Row],[Przychód netto]],0)</f>
        <v>0.31633085896076352</v>
      </c>
      <c r="Q1273" s="16">
        <f>YEAR(tblSprzedaz[[#This Row],[Data]])</f>
        <v>2025</v>
      </c>
      <c r="R1273" s="16">
        <f>MONTH(tblSprzedaz[[#This Row],[Data]])</f>
        <v>12</v>
      </c>
      <c r="S1273" s="9" t="str">
        <f>YEAR(tblSprzedaz[[#This Row],[Data]])&amp;"-"&amp;RIGHT("0"&amp;MONTH(tblSprzedaz[[#This Row],[Data]]),2)</f>
        <v>2025-12</v>
      </c>
    </row>
    <row r="1274" spans="1:19" x14ac:dyDescent="0.25">
      <c r="A1274" s="7" t="s">
        <v>2715</v>
      </c>
      <c r="B1274" s="10">
        <v>45992</v>
      </c>
      <c r="C1274" s="7" t="s">
        <v>2716</v>
      </c>
      <c r="D1274" s="8" t="s">
        <v>89</v>
      </c>
      <c r="E1274" s="8" t="s">
        <v>53</v>
      </c>
      <c r="F1274" s="8" t="s">
        <v>29</v>
      </c>
      <c r="G1274" s="8" t="s">
        <v>30</v>
      </c>
      <c r="H1274" s="8" t="s">
        <v>40</v>
      </c>
      <c r="I1274" s="11">
        <v>6</v>
      </c>
      <c r="J1274" s="12">
        <v>27.88</v>
      </c>
      <c r="K1274" s="13">
        <v>0.15</v>
      </c>
      <c r="L1274" s="12">
        <v>16.420000000000002</v>
      </c>
      <c r="M1274" s="14">
        <f>ROUND(tblSprzedaz[[#This Row],[Ilość]]*tblSprzedaz[[#This Row],[Cena netto jednostkowa]]*(1-tblSprzedaz[[#This Row],[Rabat %]]),2)</f>
        <v>142.19</v>
      </c>
      <c r="N1274" s="14">
        <f>ROUND(tblSprzedaz[[#This Row],[Ilość]]*tblSprzedaz[[#This Row],[Koszt jednostkowy netto]],2)</f>
        <v>98.52</v>
      </c>
      <c r="O1274" s="14">
        <f>tblSprzedaz[[#This Row],[Przychód netto]]-tblSprzedaz[[#This Row],[Koszt całkowity netto]]</f>
        <v>43.67</v>
      </c>
      <c r="P1274" s="15">
        <f>IFERROR(tblSprzedaz[[#This Row],[Marża kwotowa]]/tblSprzedaz[[#This Row],[Przychód netto]],0)</f>
        <v>0.30712427034249951</v>
      </c>
      <c r="Q1274" s="16">
        <f>YEAR(tblSprzedaz[[#This Row],[Data]])</f>
        <v>2025</v>
      </c>
      <c r="R1274" s="16">
        <f>MONTH(tblSprzedaz[[#This Row],[Data]])</f>
        <v>12</v>
      </c>
      <c r="S1274" s="9" t="str">
        <f>YEAR(tblSprzedaz[[#This Row],[Data]])&amp;"-"&amp;RIGHT("0"&amp;MONTH(tblSprzedaz[[#This Row],[Data]]),2)</f>
        <v>2025-12</v>
      </c>
    </row>
    <row r="1275" spans="1:19" x14ac:dyDescent="0.25">
      <c r="A1275" s="7" t="s">
        <v>2717</v>
      </c>
      <c r="B1275" s="10">
        <v>45992</v>
      </c>
      <c r="C1275" s="7" t="s">
        <v>2718</v>
      </c>
      <c r="D1275" s="8" t="s">
        <v>135</v>
      </c>
      <c r="E1275" s="8" t="s">
        <v>65</v>
      </c>
      <c r="F1275" s="8" t="s">
        <v>33</v>
      </c>
      <c r="G1275" s="8" t="s">
        <v>36</v>
      </c>
      <c r="H1275" s="8" t="s">
        <v>47</v>
      </c>
      <c r="I1275" s="11">
        <v>25</v>
      </c>
      <c r="J1275" s="12">
        <v>377.2</v>
      </c>
      <c r="K1275" s="13">
        <v>0.1</v>
      </c>
      <c r="L1275" s="12">
        <v>262.02</v>
      </c>
      <c r="M1275" s="14">
        <f>ROUND(tblSprzedaz[[#This Row],[Ilość]]*tblSprzedaz[[#This Row],[Cena netto jednostkowa]]*(1-tblSprzedaz[[#This Row],[Rabat %]]),2)</f>
        <v>8487</v>
      </c>
      <c r="N1275" s="14">
        <f>ROUND(tblSprzedaz[[#This Row],[Ilość]]*tblSprzedaz[[#This Row],[Koszt jednostkowy netto]],2)</f>
        <v>6550.5</v>
      </c>
      <c r="O1275" s="14">
        <f>tblSprzedaz[[#This Row],[Przychód netto]]-tblSprzedaz[[#This Row],[Koszt całkowity netto]]</f>
        <v>1936.5</v>
      </c>
      <c r="P1275" s="15">
        <f>IFERROR(tblSprzedaz[[#This Row],[Marża kwotowa]]/tblSprzedaz[[#This Row],[Przychód netto]],0)</f>
        <v>0.2281724991162955</v>
      </c>
      <c r="Q1275" s="16">
        <f>YEAR(tblSprzedaz[[#This Row],[Data]])</f>
        <v>2025</v>
      </c>
      <c r="R1275" s="16">
        <f>MONTH(tblSprzedaz[[#This Row],[Data]])</f>
        <v>12</v>
      </c>
      <c r="S1275" s="9" t="str">
        <f>YEAR(tblSprzedaz[[#This Row],[Data]])&amp;"-"&amp;RIGHT("0"&amp;MONTH(tblSprzedaz[[#This Row],[Data]]),2)</f>
        <v>2025-12</v>
      </c>
    </row>
    <row r="1276" spans="1:19" x14ac:dyDescent="0.25">
      <c r="A1276" s="7" t="s">
        <v>2719</v>
      </c>
      <c r="B1276" s="10">
        <v>45992</v>
      </c>
      <c r="C1276" s="7" t="s">
        <v>2720</v>
      </c>
      <c r="D1276" s="8" t="s">
        <v>151</v>
      </c>
      <c r="E1276" s="8" t="s">
        <v>65</v>
      </c>
      <c r="F1276" s="8" t="s">
        <v>33</v>
      </c>
      <c r="G1276" s="8" t="s">
        <v>36</v>
      </c>
      <c r="H1276" s="8" t="s">
        <v>46</v>
      </c>
      <c r="I1276" s="11">
        <v>20</v>
      </c>
      <c r="J1276" s="12">
        <v>377.2</v>
      </c>
      <c r="K1276" s="13">
        <v>0.05</v>
      </c>
      <c r="L1276" s="12">
        <v>249.36</v>
      </c>
      <c r="M1276" s="14">
        <f>ROUND(tblSprzedaz[[#This Row],[Ilość]]*tblSprzedaz[[#This Row],[Cena netto jednostkowa]]*(1-tblSprzedaz[[#This Row],[Rabat %]]),2)</f>
        <v>7166.8</v>
      </c>
      <c r="N1276" s="14">
        <f>ROUND(tblSprzedaz[[#This Row],[Ilość]]*tblSprzedaz[[#This Row],[Koszt jednostkowy netto]],2)</f>
        <v>4987.2</v>
      </c>
      <c r="O1276" s="14">
        <f>tblSprzedaz[[#This Row],[Przychód netto]]-tblSprzedaz[[#This Row],[Koszt całkowity netto]]</f>
        <v>2179.6000000000004</v>
      </c>
      <c r="P1276" s="15">
        <f>IFERROR(tblSprzedaz[[#This Row],[Marża kwotowa]]/tblSprzedaz[[#This Row],[Przychód netto]],0)</f>
        <v>0.30412457442652235</v>
      </c>
      <c r="Q1276" s="16">
        <f>YEAR(tblSprzedaz[[#This Row],[Data]])</f>
        <v>2025</v>
      </c>
      <c r="R1276" s="16">
        <f>MONTH(tblSprzedaz[[#This Row],[Data]])</f>
        <v>12</v>
      </c>
      <c r="S1276" s="9" t="str">
        <f>YEAR(tblSprzedaz[[#This Row],[Data]])&amp;"-"&amp;RIGHT("0"&amp;MONTH(tblSprzedaz[[#This Row],[Data]]),2)</f>
        <v>2025-12</v>
      </c>
    </row>
    <row r="1277" spans="1:19" x14ac:dyDescent="0.25">
      <c r="A1277" s="7" t="s">
        <v>2721</v>
      </c>
      <c r="B1277" s="10">
        <v>45992</v>
      </c>
      <c r="C1277" s="7" t="s">
        <v>2722</v>
      </c>
      <c r="D1277" s="8" t="s">
        <v>126</v>
      </c>
      <c r="E1277" s="8" t="s">
        <v>62</v>
      </c>
      <c r="F1277" s="8" t="s">
        <v>33</v>
      </c>
      <c r="G1277" s="8" t="s">
        <v>36</v>
      </c>
      <c r="H1277" s="8" t="s">
        <v>46</v>
      </c>
      <c r="I1277" s="11">
        <v>12</v>
      </c>
      <c r="J1277" s="12">
        <v>611.79999999999995</v>
      </c>
      <c r="K1277" s="13">
        <v>0</v>
      </c>
      <c r="L1277" s="12">
        <v>430.81</v>
      </c>
      <c r="M1277" s="14">
        <f>ROUND(tblSprzedaz[[#This Row],[Ilość]]*tblSprzedaz[[#This Row],[Cena netto jednostkowa]]*(1-tblSprzedaz[[#This Row],[Rabat %]]),2)</f>
        <v>7341.6</v>
      </c>
      <c r="N1277" s="14">
        <f>ROUND(tblSprzedaz[[#This Row],[Ilość]]*tblSprzedaz[[#This Row],[Koszt jednostkowy netto]],2)</f>
        <v>5169.72</v>
      </c>
      <c r="O1277" s="14">
        <f>tblSprzedaz[[#This Row],[Przychód netto]]-tblSprzedaz[[#This Row],[Koszt całkowity netto]]</f>
        <v>2171.88</v>
      </c>
      <c r="P1277" s="15">
        <f>IFERROR(tblSprzedaz[[#This Row],[Marża kwotowa]]/tblSprzedaz[[#This Row],[Przychód netto]],0)</f>
        <v>0.29583197123242888</v>
      </c>
      <c r="Q1277" s="16">
        <f>YEAR(tblSprzedaz[[#This Row],[Data]])</f>
        <v>2025</v>
      </c>
      <c r="R1277" s="16">
        <f>MONTH(tblSprzedaz[[#This Row],[Data]])</f>
        <v>12</v>
      </c>
      <c r="S1277" s="9" t="str">
        <f>YEAR(tblSprzedaz[[#This Row],[Data]])&amp;"-"&amp;RIGHT("0"&amp;MONTH(tblSprzedaz[[#This Row],[Data]]),2)</f>
        <v>2025-12</v>
      </c>
    </row>
    <row r="1278" spans="1:19" x14ac:dyDescent="0.25">
      <c r="A1278" s="7" t="s">
        <v>2723</v>
      </c>
      <c r="B1278" s="10">
        <v>45992</v>
      </c>
      <c r="C1278" s="7" t="s">
        <v>2724</v>
      </c>
      <c r="D1278" s="8" t="s">
        <v>128</v>
      </c>
      <c r="E1278" s="8" t="s">
        <v>53</v>
      </c>
      <c r="F1278" s="8" t="s">
        <v>29</v>
      </c>
      <c r="G1278" s="8" t="s">
        <v>30</v>
      </c>
      <c r="H1278" s="8" t="s">
        <v>41</v>
      </c>
      <c r="I1278" s="11">
        <v>14</v>
      </c>
      <c r="J1278" s="12">
        <v>27.88</v>
      </c>
      <c r="K1278" s="13">
        <v>0</v>
      </c>
      <c r="L1278" s="12">
        <v>16.079999999999998</v>
      </c>
      <c r="M1278" s="14">
        <f>ROUND(tblSprzedaz[[#This Row],[Ilość]]*tblSprzedaz[[#This Row],[Cena netto jednostkowa]]*(1-tblSprzedaz[[#This Row],[Rabat %]]),2)</f>
        <v>390.32</v>
      </c>
      <c r="N1278" s="14">
        <f>ROUND(tblSprzedaz[[#This Row],[Ilość]]*tblSprzedaz[[#This Row],[Koszt jednostkowy netto]],2)</f>
        <v>225.12</v>
      </c>
      <c r="O1278" s="14">
        <f>tblSprzedaz[[#This Row],[Przychód netto]]-tblSprzedaz[[#This Row],[Koszt całkowity netto]]</f>
        <v>165.2</v>
      </c>
      <c r="P1278" s="15">
        <f>IFERROR(tblSprzedaz[[#This Row],[Marża kwotowa]]/tblSprzedaz[[#This Row],[Przychód netto]],0)</f>
        <v>0.42324246771879481</v>
      </c>
      <c r="Q1278" s="16">
        <f>YEAR(tblSprzedaz[[#This Row],[Data]])</f>
        <v>2025</v>
      </c>
      <c r="R1278" s="16">
        <f>MONTH(tblSprzedaz[[#This Row],[Data]])</f>
        <v>12</v>
      </c>
      <c r="S1278" s="9" t="str">
        <f>YEAR(tblSprzedaz[[#This Row],[Data]])&amp;"-"&amp;RIGHT("0"&amp;MONTH(tblSprzedaz[[#This Row],[Data]]),2)</f>
        <v>2025-12</v>
      </c>
    </row>
    <row r="1279" spans="1:19" x14ac:dyDescent="0.25">
      <c r="A1279" s="7" t="s">
        <v>2725</v>
      </c>
      <c r="B1279" s="10">
        <v>45992</v>
      </c>
      <c r="C1279" s="7" t="s">
        <v>2726</v>
      </c>
      <c r="D1279" s="8" t="s">
        <v>137</v>
      </c>
      <c r="E1279" s="8" t="s">
        <v>68</v>
      </c>
      <c r="F1279" s="8" t="s">
        <v>35</v>
      </c>
      <c r="G1279" s="8" t="s">
        <v>36</v>
      </c>
      <c r="H1279" s="8" t="s">
        <v>46</v>
      </c>
      <c r="I1279" s="11">
        <v>9</v>
      </c>
      <c r="J1279" s="12">
        <v>90.44</v>
      </c>
      <c r="K1279" s="13">
        <v>0.05</v>
      </c>
      <c r="L1279" s="12">
        <v>65.98</v>
      </c>
      <c r="M1279" s="14">
        <f>ROUND(tblSprzedaz[[#This Row],[Ilość]]*tblSprzedaz[[#This Row],[Cena netto jednostkowa]]*(1-tblSprzedaz[[#This Row],[Rabat %]]),2)</f>
        <v>773.26</v>
      </c>
      <c r="N1279" s="14">
        <f>ROUND(tblSprzedaz[[#This Row],[Ilość]]*tblSprzedaz[[#This Row],[Koszt jednostkowy netto]],2)</f>
        <v>593.82000000000005</v>
      </c>
      <c r="O1279" s="14">
        <f>tblSprzedaz[[#This Row],[Przychód netto]]-tblSprzedaz[[#This Row],[Koszt całkowity netto]]</f>
        <v>179.43999999999994</v>
      </c>
      <c r="P1279" s="15">
        <f>IFERROR(tblSprzedaz[[#This Row],[Marża kwotowa]]/tblSprzedaz[[#This Row],[Przychód netto]],0)</f>
        <v>0.23205648811525223</v>
      </c>
      <c r="Q1279" s="16">
        <f>YEAR(tblSprzedaz[[#This Row],[Data]])</f>
        <v>2025</v>
      </c>
      <c r="R1279" s="16">
        <f>MONTH(tblSprzedaz[[#This Row],[Data]])</f>
        <v>12</v>
      </c>
      <c r="S1279" s="9" t="str">
        <f>YEAR(tblSprzedaz[[#This Row],[Data]])&amp;"-"&amp;RIGHT("0"&amp;MONTH(tblSprzedaz[[#This Row],[Data]]),2)</f>
        <v>2025-12</v>
      </c>
    </row>
    <row r="1280" spans="1:19" x14ac:dyDescent="0.25">
      <c r="A1280" s="7" t="s">
        <v>2727</v>
      </c>
      <c r="B1280" s="10">
        <v>45993</v>
      </c>
      <c r="C1280" s="7" t="s">
        <v>2728</v>
      </c>
      <c r="D1280" s="8" t="s">
        <v>125</v>
      </c>
      <c r="E1280" s="8" t="s">
        <v>69</v>
      </c>
      <c r="F1280" s="8" t="s">
        <v>35</v>
      </c>
      <c r="G1280" s="8" t="s">
        <v>36</v>
      </c>
      <c r="H1280" s="8" t="s">
        <v>46</v>
      </c>
      <c r="I1280" s="11">
        <v>8</v>
      </c>
      <c r="J1280" s="12">
        <v>102</v>
      </c>
      <c r="K1280" s="13">
        <v>0.1</v>
      </c>
      <c r="L1280" s="12">
        <v>73.3</v>
      </c>
      <c r="M1280" s="14">
        <f>ROUND(tblSprzedaz[[#This Row],[Ilość]]*tblSprzedaz[[#This Row],[Cena netto jednostkowa]]*(1-tblSprzedaz[[#This Row],[Rabat %]]),2)</f>
        <v>734.4</v>
      </c>
      <c r="N1280" s="14">
        <f>ROUND(tblSprzedaz[[#This Row],[Ilość]]*tblSprzedaz[[#This Row],[Koszt jednostkowy netto]],2)</f>
        <v>586.4</v>
      </c>
      <c r="O1280" s="14">
        <f>tblSprzedaz[[#This Row],[Przychód netto]]-tblSprzedaz[[#This Row],[Koszt całkowity netto]]</f>
        <v>148</v>
      </c>
      <c r="P1280" s="15">
        <f>IFERROR(tblSprzedaz[[#This Row],[Marża kwotowa]]/tblSprzedaz[[#This Row],[Przychód netto]],0)</f>
        <v>0.20152505446623095</v>
      </c>
      <c r="Q1280" s="16">
        <f>YEAR(tblSprzedaz[[#This Row],[Data]])</f>
        <v>2025</v>
      </c>
      <c r="R1280" s="16">
        <f>MONTH(tblSprzedaz[[#This Row],[Data]])</f>
        <v>12</v>
      </c>
      <c r="S1280" s="9" t="str">
        <f>YEAR(tblSprzedaz[[#This Row],[Data]])&amp;"-"&amp;RIGHT("0"&amp;MONTH(tblSprzedaz[[#This Row],[Data]]),2)</f>
        <v>2025-12</v>
      </c>
    </row>
    <row r="1281" spans="1:19" x14ac:dyDescent="0.25">
      <c r="A1281" s="7" t="s">
        <v>2729</v>
      </c>
      <c r="B1281" s="10">
        <v>45993</v>
      </c>
      <c r="C1281" s="7" t="s">
        <v>2730</v>
      </c>
      <c r="D1281" s="8" t="s">
        <v>87</v>
      </c>
      <c r="E1281" s="8" t="s">
        <v>68</v>
      </c>
      <c r="F1281" s="8" t="s">
        <v>35</v>
      </c>
      <c r="G1281" s="8" t="s">
        <v>30</v>
      </c>
      <c r="H1281" s="8" t="s">
        <v>40</v>
      </c>
      <c r="I1281" s="11">
        <v>19</v>
      </c>
      <c r="J1281" s="12">
        <v>90.44</v>
      </c>
      <c r="K1281" s="13">
        <v>0</v>
      </c>
      <c r="L1281" s="12">
        <v>64.709999999999994</v>
      </c>
      <c r="M1281" s="14">
        <f>ROUND(tblSprzedaz[[#This Row],[Ilość]]*tblSprzedaz[[#This Row],[Cena netto jednostkowa]]*(1-tblSprzedaz[[#This Row],[Rabat %]]),2)</f>
        <v>1718.36</v>
      </c>
      <c r="N1281" s="14">
        <f>ROUND(tblSprzedaz[[#This Row],[Ilość]]*tblSprzedaz[[#This Row],[Koszt jednostkowy netto]],2)</f>
        <v>1229.49</v>
      </c>
      <c r="O1281" s="14">
        <f>tblSprzedaz[[#This Row],[Przychód netto]]-tblSprzedaz[[#This Row],[Koszt całkowity netto]]</f>
        <v>488.86999999999989</v>
      </c>
      <c r="P1281" s="15">
        <f>IFERROR(tblSprzedaz[[#This Row],[Marża kwotowa]]/tblSprzedaz[[#This Row],[Przychód netto]],0)</f>
        <v>0.28449800973020783</v>
      </c>
      <c r="Q1281" s="16">
        <f>YEAR(tblSprzedaz[[#This Row],[Data]])</f>
        <v>2025</v>
      </c>
      <c r="R1281" s="16">
        <f>MONTH(tblSprzedaz[[#This Row],[Data]])</f>
        <v>12</v>
      </c>
      <c r="S1281" s="9" t="str">
        <f>YEAR(tblSprzedaz[[#This Row],[Data]])&amp;"-"&amp;RIGHT("0"&amp;MONTH(tblSprzedaz[[#This Row],[Data]]),2)</f>
        <v>2025-12</v>
      </c>
    </row>
    <row r="1282" spans="1:19" x14ac:dyDescent="0.25">
      <c r="A1282" s="7" t="s">
        <v>2731</v>
      </c>
      <c r="B1282" s="10">
        <v>45993</v>
      </c>
      <c r="C1282" s="7" t="s">
        <v>2732</v>
      </c>
      <c r="D1282" s="8" t="s">
        <v>115</v>
      </c>
      <c r="E1282" s="8" t="s">
        <v>59</v>
      </c>
      <c r="F1282" s="8" t="s">
        <v>31</v>
      </c>
      <c r="G1282" s="8" t="s">
        <v>36</v>
      </c>
      <c r="H1282" s="8" t="s">
        <v>46</v>
      </c>
      <c r="I1282" s="11">
        <v>3</v>
      </c>
      <c r="J1282" s="12">
        <v>172.2</v>
      </c>
      <c r="K1282" s="13">
        <v>0</v>
      </c>
      <c r="L1282" s="12">
        <v>108.11</v>
      </c>
      <c r="M1282" s="14">
        <f>ROUND(tblSprzedaz[[#This Row],[Ilość]]*tblSprzedaz[[#This Row],[Cena netto jednostkowa]]*(1-tblSprzedaz[[#This Row],[Rabat %]]),2)</f>
        <v>516.6</v>
      </c>
      <c r="N1282" s="14">
        <f>ROUND(tblSprzedaz[[#This Row],[Ilość]]*tblSprzedaz[[#This Row],[Koszt jednostkowy netto]],2)</f>
        <v>324.33</v>
      </c>
      <c r="O1282" s="14">
        <f>tblSprzedaz[[#This Row],[Przychód netto]]-tblSprzedaz[[#This Row],[Koszt całkowity netto]]</f>
        <v>192.27000000000004</v>
      </c>
      <c r="P1282" s="15">
        <f>IFERROR(tblSprzedaz[[#This Row],[Marża kwotowa]]/tblSprzedaz[[#This Row],[Przychód netto]],0)</f>
        <v>0.37218350754936125</v>
      </c>
      <c r="Q1282" s="16">
        <f>YEAR(tblSprzedaz[[#This Row],[Data]])</f>
        <v>2025</v>
      </c>
      <c r="R1282" s="16">
        <f>MONTH(tblSprzedaz[[#This Row],[Data]])</f>
        <v>12</v>
      </c>
      <c r="S1282" s="9" t="str">
        <f>YEAR(tblSprzedaz[[#This Row],[Data]])&amp;"-"&amp;RIGHT("0"&amp;MONTH(tblSprzedaz[[#This Row],[Data]]),2)</f>
        <v>2025-12</v>
      </c>
    </row>
    <row r="1283" spans="1:19" x14ac:dyDescent="0.25">
      <c r="A1283" s="7" t="s">
        <v>2733</v>
      </c>
      <c r="B1283" s="10">
        <v>45993</v>
      </c>
      <c r="C1283" s="7" t="s">
        <v>2734</v>
      </c>
      <c r="D1283" s="8" t="s">
        <v>151</v>
      </c>
      <c r="E1283" s="8" t="s">
        <v>72</v>
      </c>
      <c r="F1283" s="8" t="s">
        <v>37</v>
      </c>
      <c r="G1283" s="8" t="s">
        <v>28</v>
      </c>
      <c r="H1283" s="8" t="s">
        <v>38</v>
      </c>
      <c r="I1283" s="11">
        <v>10</v>
      </c>
      <c r="J1283" s="12">
        <v>94.05</v>
      </c>
      <c r="K1283" s="13">
        <v>0.05</v>
      </c>
      <c r="L1283" s="12">
        <v>68.709999999999994</v>
      </c>
      <c r="M1283" s="14">
        <f>ROUND(tblSprzedaz[[#This Row],[Ilość]]*tblSprzedaz[[#This Row],[Cena netto jednostkowa]]*(1-tblSprzedaz[[#This Row],[Rabat %]]),2)</f>
        <v>893.48</v>
      </c>
      <c r="N1283" s="14">
        <f>ROUND(tblSprzedaz[[#This Row],[Ilość]]*tblSprzedaz[[#This Row],[Koszt jednostkowy netto]],2)</f>
        <v>687.1</v>
      </c>
      <c r="O1283" s="14">
        <f>tblSprzedaz[[#This Row],[Przychód netto]]-tblSprzedaz[[#This Row],[Koszt całkowity netto]]</f>
        <v>206.38</v>
      </c>
      <c r="P1283" s="15">
        <f>IFERROR(tblSprzedaz[[#This Row],[Marża kwotowa]]/tblSprzedaz[[#This Row],[Przychód netto]],0)</f>
        <v>0.23098446523705063</v>
      </c>
      <c r="Q1283" s="16">
        <f>YEAR(tblSprzedaz[[#This Row],[Data]])</f>
        <v>2025</v>
      </c>
      <c r="R1283" s="16">
        <f>MONTH(tblSprzedaz[[#This Row],[Data]])</f>
        <v>12</v>
      </c>
      <c r="S1283" s="9" t="str">
        <f>YEAR(tblSprzedaz[[#This Row],[Data]])&amp;"-"&amp;RIGHT("0"&amp;MONTH(tblSprzedaz[[#This Row],[Data]]),2)</f>
        <v>2025-12</v>
      </c>
    </row>
    <row r="1284" spans="1:19" x14ac:dyDescent="0.25">
      <c r="A1284" s="7" t="s">
        <v>2735</v>
      </c>
      <c r="B1284" s="10">
        <v>45994</v>
      </c>
      <c r="C1284" s="7" t="s">
        <v>2736</v>
      </c>
      <c r="D1284" s="8" t="s">
        <v>132</v>
      </c>
      <c r="E1284" s="8" t="s">
        <v>63</v>
      </c>
      <c r="F1284" s="8" t="s">
        <v>33</v>
      </c>
      <c r="G1284" s="8" t="s">
        <v>30</v>
      </c>
      <c r="H1284" s="8" t="s">
        <v>41</v>
      </c>
      <c r="I1284" s="11">
        <v>8</v>
      </c>
      <c r="J1284" s="12">
        <v>690</v>
      </c>
      <c r="K1284" s="13">
        <v>0</v>
      </c>
      <c r="L1284" s="12">
        <v>487.6</v>
      </c>
      <c r="M1284" s="14">
        <f>ROUND(tblSprzedaz[[#This Row],[Ilość]]*tblSprzedaz[[#This Row],[Cena netto jednostkowa]]*(1-tblSprzedaz[[#This Row],[Rabat %]]),2)</f>
        <v>5520</v>
      </c>
      <c r="N1284" s="14">
        <f>ROUND(tblSprzedaz[[#This Row],[Ilość]]*tblSprzedaz[[#This Row],[Koszt jednostkowy netto]],2)</f>
        <v>3900.8</v>
      </c>
      <c r="O1284" s="14">
        <f>tblSprzedaz[[#This Row],[Przychód netto]]-tblSprzedaz[[#This Row],[Koszt całkowity netto]]</f>
        <v>1619.1999999999998</v>
      </c>
      <c r="P1284" s="15">
        <f>IFERROR(tblSprzedaz[[#This Row],[Marża kwotowa]]/tblSprzedaz[[#This Row],[Przychód netto]],0)</f>
        <v>0.29333333333333328</v>
      </c>
      <c r="Q1284" s="16">
        <f>YEAR(tblSprzedaz[[#This Row],[Data]])</f>
        <v>2025</v>
      </c>
      <c r="R1284" s="16">
        <f>MONTH(tblSprzedaz[[#This Row],[Data]])</f>
        <v>12</v>
      </c>
      <c r="S1284" s="9" t="str">
        <f>YEAR(tblSprzedaz[[#This Row],[Data]])&amp;"-"&amp;RIGHT("0"&amp;MONTH(tblSprzedaz[[#This Row],[Data]]),2)</f>
        <v>2025-12</v>
      </c>
    </row>
    <row r="1285" spans="1:19" x14ac:dyDescent="0.25">
      <c r="A1285" s="7" t="s">
        <v>2737</v>
      </c>
      <c r="B1285" s="10">
        <v>45994</v>
      </c>
      <c r="C1285" s="7" t="s">
        <v>2738</v>
      </c>
      <c r="D1285" s="8" t="s">
        <v>83</v>
      </c>
      <c r="E1285" s="8" t="s">
        <v>76</v>
      </c>
      <c r="F1285" s="8" t="s">
        <v>37</v>
      </c>
      <c r="G1285" s="8" t="s">
        <v>30</v>
      </c>
      <c r="H1285" s="8" t="s">
        <v>41</v>
      </c>
      <c r="I1285" s="11">
        <v>7</v>
      </c>
      <c r="J1285" s="12">
        <v>158.65</v>
      </c>
      <c r="K1285" s="13">
        <v>0.05</v>
      </c>
      <c r="L1285" s="12">
        <v>123.63</v>
      </c>
      <c r="M1285" s="14">
        <f>ROUND(tblSprzedaz[[#This Row],[Ilość]]*tblSprzedaz[[#This Row],[Cena netto jednostkowa]]*(1-tblSprzedaz[[#This Row],[Rabat %]]),2)</f>
        <v>1055.02</v>
      </c>
      <c r="N1285" s="14">
        <f>ROUND(tblSprzedaz[[#This Row],[Ilość]]*tblSprzedaz[[#This Row],[Koszt jednostkowy netto]],2)</f>
        <v>865.41</v>
      </c>
      <c r="O1285" s="14">
        <f>tblSprzedaz[[#This Row],[Przychód netto]]-tblSprzedaz[[#This Row],[Koszt całkowity netto]]</f>
        <v>189.61</v>
      </c>
      <c r="P1285" s="15">
        <f>IFERROR(tblSprzedaz[[#This Row],[Marża kwotowa]]/tblSprzedaz[[#This Row],[Przychód netto]],0)</f>
        <v>0.17972171143675003</v>
      </c>
      <c r="Q1285" s="16">
        <f>YEAR(tblSprzedaz[[#This Row],[Data]])</f>
        <v>2025</v>
      </c>
      <c r="R1285" s="16">
        <f>MONTH(tblSprzedaz[[#This Row],[Data]])</f>
        <v>12</v>
      </c>
      <c r="S1285" s="9" t="str">
        <f>YEAR(tblSprzedaz[[#This Row],[Data]])&amp;"-"&amp;RIGHT("0"&amp;MONTH(tblSprzedaz[[#This Row],[Data]]),2)</f>
        <v>2025-12</v>
      </c>
    </row>
    <row r="1286" spans="1:19" x14ac:dyDescent="0.25">
      <c r="A1286" s="7" t="s">
        <v>2739</v>
      </c>
      <c r="B1286" s="10">
        <v>45994</v>
      </c>
      <c r="C1286" s="7" t="s">
        <v>2740</v>
      </c>
      <c r="D1286" s="8" t="s">
        <v>116</v>
      </c>
      <c r="E1286" s="8" t="s">
        <v>69</v>
      </c>
      <c r="F1286" s="8" t="s">
        <v>35</v>
      </c>
      <c r="G1286" s="8" t="s">
        <v>28</v>
      </c>
      <c r="H1286" s="8" t="s">
        <v>39</v>
      </c>
      <c r="I1286" s="11">
        <v>14</v>
      </c>
      <c r="J1286" s="12">
        <v>102</v>
      </c>
      <c r="K1286" s="13">
        <v>0.05</v>
      </c>
      <c r="L1286" s="12">
        <v>72.38</v>
      </c>
      <c r="M1286" s="14">
        <f>ROUND(tblSprzedaz[[#This Row],[Ilość]]*tblSprzedaz[[#This Row],[Cena netto jednostkowa]]*(1-tblSprzedaz[[#This Row],[Rabat %]]),2)</f>
        <v>1356.6</v>
      </c>
      <c r="N1286" s="14">
        <f>ROUND(tblSprzedaz[[#This Row],[Ilość]]*tblSprzedaz[[#This Row],[Koszt jednostkowy netto]],2)</f>
        <v>1013.32</v>
      </c>
      <c r="O1286" s="14">
        <f>tblSprzedaz[[#This Row],[Przychód netto]]-tblSprzedaz[[#This Row],[Koszt całkowity netto]]</f>
        <v>343.27999999999986</v>
      </c>
      <c r="P1286" s="15">
        <f>IFERROR(tblSprzedaz[[#This Row],[Marża kwotowa]]/tblSprzedaz[[#This Row],[Przychód netto]],0)</f>
        <v>0.25304437564499477</v>
      </c>
      <c r="Q1286" s="16">
        <f>YEAR(tblSprzedaz[[#This Row],[Data]])</f>
        <v>2025</v>
      </c>
      <c r="R1286" s="16">
        <f>MONTH(tblSprzedaz[[#This Row],[Data]])</f>
        <v>12</v>
      </c>
      <c r="S1286" s="9" t="str">
        <f>YEAR(tblSprzedaz[[#This Row],[Data]])&amp;"-"&amp;RIGHT("0"&amp;MONTH(tblSprzedaz[[#This Row],[Data]]),2)</f>
        <v>2025-12</v>
      </c>
    </row>
    <row r="1287" spans="1:19" x14ac:dyDescent="0.25">
      <c r="A1287" s="7" t="s">
        <v>2741</v>
      </c>
      <c r="B1287" s="10">
        <v>45994</v>
      </c>
      <c r="C1287" s="7" t="s">
        <v>2742</v>
      </c>
      <c r="D1287" s="8" t="s">
        <v>150</v>
      </c>
      <c r="E1287" s="8" t="s">
        <v>50</v>
      </c>
      <c r="F1287" s="8" t="s">
        <v>29</v>
      </c>
      <c r="G1287" s="8" t="s">
        <v>36</v>
      </c>
      <c r="H1287" s="8" t="s">
        <v>47</v>
      </c>
      <c r="I1287" s="11">
        <v>13</v>
      </c>
      <c r="J1287" s="12">
        <v>45.22</v>
      </c>
      <c r="K1287" s="13">
        <v>0.1</v>
      </c>
      <c r="L1287" s="12">
        <v>27.7</v>
      </c>
      <c r="M1287" s="14">
        <f>ROUND(tblSprzedaz[[#This Row],[Ilość]]*tblSprzedaz[[#This Row],[Cena netto jednostkowa]]*(1-tblSprzedaz[[#This Row],[Rabat %]]),2)</f>
        <v>529.07000000000005</v>
      </c>
      <c r="N1287" s="14">
        <f>ROUND(tblSprzedaz[[#This Row],[Ilość]]*tblSprzedaz[[#This Row],[Koszt jednostkowy netto]],2)</f>
        <v>360.1</v>
      </c>
      <c r="O1287" s="14">
        <f>tblSprzedaz[[#This Row],[Przychód netto]]-tblSprzedaz[[#This Row],[Koszt całkowity netto]]</f>
        <v>168.97000000000003</v>
      </c>
      <c r="P1287" s="15">
        <f>IFERROR(tblSprzedaz[[#This Row],[Marża kwotowa]]/tblSprzedaz[[#This Row],[Przychód netto]],0)</f>
        <v>0.3193717277486911</v>
      </c>
      <c r="Q1287" s="16">
        <f>YEAR(tblSprzedaz[[#This Row],[Data]])</f>
        <v>2025</v>
      </c>
      <c r="R1287" s="16">
        <f>MONTH(tblSprzedaz[[#This Row],[Data]])</f>
        <v>12</v>
      </c>
      <c r="S1287" s="9" t="str">
        <f>YEAR(tblSprzedaz[[#This Row],[Data]])&amp;"-"&amp;RIGHT("0"&amp;MONTH(tblSprzedaz[[#This Row],[Data]]),2)</f>
        <v>2025-12</v>
      </c>
    </row>
    <row r="1288" spans="1:19" x14ac:dyDescent="0.25">
      <c r="A1288" s="7" t="s">
        <v>2743</v>
      </c>
      <c r="B1288" s="10">
        <v>45994</v>
      </c>
      <c r="C1288" s="7" t="s">
        <v>2744</v>
      </c>
      <c r="D1288" s="8" t="s">
        <v>88</v>
      </c>
      <c r="E1288" s="8" t="s">
        <v>51</v>
      </c>
      <c r="F1288" s="8" t="s">
        <v>29</v>
      </c>
      <c r="G1288" s="8" t="s">
        <v>34</v>
      </c>
      <c r="H1288" s="8" t="s">
        <v>45</v>
      </c>
      <c r="I1288" s="11">
        <v>12</v>
      </c>
      <c r="J1288" s="12">
        <v>51</v>
      </c>
      <c r="K1288" s="13">
        <v>0</v>
      </c>
      <c r="L1288" s="12">
        <v>32.1</v>
      </c>
      <c r="M1288" s="14">
        <f>ROUND(tblSprzedaz[[#This Row],[Ilość]]*tblSprzedaz[[#This Row],[Cena netto jednostkowa]]*(1-tblSprzedaz[[#This Row],[Rabat %]]),2)</f>
        <v>612</v>
      </c>
      <c r="N1288" s="14">
        <f>ROUND(tblSprzedaz[[#This Row],[Ilość]]*tblSprzedaz[[#This Row],[Koszt jednostkowy netto]],2)</f>
        <v>385.2</v>
      </c>
      <c r="O1288" s="14">
        <f>tblSprzedaz[[#This Row],[Przychód netto]]-tblSprzedaz[[#This Row],[Koszt całkowity netto]]</f>
        <v>226.8</v>
      </c>
      <c r="P1288" s="15">
        <f>IFERROR(tblSprzedaz[[#This Row],[Marża kwotowa]]/tblSprzedaz[[#This Row],[Przychód netto]],0)</f>
        <v>0.37058823529411766</v>
      </c>
      <c r="Q1288" s="16">
        <f>YEAR(tblSprzedaz[[#This Row],[Data]])</f>
        <v>2025</v>
      </c>
      <c r="R1288" s="16">
        <f>MONTH(tblSprzedaz[[#This Row],[Data]])</f>
        <v>12</v>
      </c>
      <c r="S1288" s="9" t="str">
        <f>YEAR(tblSprzedaz[[#This Row],[Data]])&amp;"-"&amp;RIGHT("0"&amp;MONTH(tblSprzedaz[[#This Row],[Data]]),2)</f>
        <v>2025-12</v>
      </c>
    </row>
    <row r="1289" spans="1:19" x14ac:dyDescent="0.25">
      <c r="A1289" s="7" t="s">
        <v>2745</v>
      </c>
      <c r="B1289" s="10">
        <v>45994</v>
      </c>
      <c r="C1289" s="7" t="s">
        <v>2746</v>
      </c>
      <c r="D1289" s="8" t="s">
        <v>128</v>
      </c>
      <c r="E1289" s="8" t="s">
        <v>56</v>
      </c>
      <c r="F1289" s="8" t="s">
        <v>31</v>
      </c>
      <c r="G1289" s="8" t="s">
        <v>32</v>
      </c>
      <c r="H1289" s="8" t="s">
        <v>43</v>
      </c>
      <c r="I1289" s="11">
        <v>2</v>
      </c>
      <c r="J1289" s="12">
        <v>279.3</v>
      </c>
      <c r="K1289" s="13">
        <v>0.15</v>
      </c>
      <c r="L1289" s="12">
        <v>187.31</v>
      </c>
      <c r="M1289" s="14">
        <f>ROUND(tblSprzedaz[[#This Row],[Ilość]]*tblSprzedaz[[#This Row],[Cena netto jednostkowa]]*(1-tblSprzedaz[[#This Row],[Rabat %]]),2)</f>
        <v>474.81</v>
      </c>
      <c r="N1289" s="14">
        <f>ROUND(tblSprzedaz[[#This Row],[Ilość]]*tblSprzedaz[[#This Row],[Koszt jednostkowy netto]],2)</f>
        <v>374.62</v>
      </c>
      <c r="O1289" s="14">
        <f>tblSprzedaz[[#This Row],[Przychód netto]]-tblSprzedaz[[#This Row],[Koszt całkowity netto]]</f>
        <v>100.19</v>
      </c>
      <c r="P1289" s="15">
        <f>IFERROR(tblSprzedaz[[#This Row],[Marża kwotowa]]/tblSprzedaz[[#This Row],[Przychód netto]],0)</f>
        <v>0.21101072007750468</v>
      </c>
      <c r="Q1289" s="16">
        <f>YEAR(tblSprzedaz[[#This Row],[Data]])</f>
        <v>2025</v>
      </c>
      <c r="R1289" s="16">
        <f>MONTH(tblSprzedaz[[#This Row],[Data]])</f>
        <v>12</v>
      </c>
      <c r="S1289" s="9" t="str">
        <f>YEAR(tblSprzedaz[[#This Row],[Data]])&amp;"-"&amp;RIGHT("0"&amp;MONTH(tblSprzedaz[[#This Row],[Data]]),2)</f>
        <v>2025-12</v>
      </c>
    </row>
    <row r="1290" spans="1:19" x14ac:dyDescent="0.25">
      <c r="A1290" s="7" t="s">
        <v>2747</v>
      </c>
      <c r="B1290" s="10">
        <v>45995</v>
      </c>
      <c r="C1290" s="7" t="s">
        <v>2748</v>
      </c>
      <c r="D1290" s="8" t="s">
        <v>147</v>
      </c>
      <c r="E1290" s="8" t="s">
        <v>68</v>
      </c>
      <c r="F1290" s="8" t="s">
        <v>35</v>
      </c>
      <c r="G1290" s="8" t="s">
        <v>28</v>
      </c>
      <c r="H1290" s="8" t="s">
        <v>39</v>
      </c>
      <c r="I1290" s="11">
        <v>13</v>
      </c>
      <c r="J1290" s="12">
        <v>90.44</v>
      </c>
      <c r="K1290" s="13">
        <v>0</v>
      </c>
      <c r="L1290" s="12">
        <v>64.16</v>
      </c>
      <c r="M1290" s="14">
        <f>ROUND(tblSprzedaz[[#This Row],[Ilość]]*tblSprzedaz[[#This Row],[Cena netto jednostkowa]]*(1-tblSprzedaz[[#This Row],[Rabat %]]),2)</f>
        <v>1175.72</v>
      </c>
      <c r="N1290" s="14">
        <f>ROUND(tblSprzedaz[[#This Row],[Ilość]]*tblSprzedaz[[#This Row],[Koszt jednostkowy netto]],2)</f>
        <v>834.08</v>
      </c>
      <c r="O1290" s="14">
        <f>tblSprzedaz[[#This Row],[Przychód netto]]-tblSprzedaz[[#This Row],[Koszt całkowity netto]]</f>
        <v>341.64</v>
      </c>
      <c r="P1290" s="15">
        <f>IFERROR(tblSprzedaz[[#This Row],[Marża kwotowa]]/tblSprzedaz[[#This Row],[Przychód netto]],0)</f>
        <v>0.29057938965059704</v>
      </c>
      <c r="Q1290" s="16">
        <f>YEAR(tblSprzedaz[[#This Row],[Data]])</f>
        <v>2025</v>
      </c>
      <c r="R1290" s="16">
        <f>MONTH(tblSprzedaz[[#This Row],[Data]])</f>
        <v>12</v>
      </c>
      <c r="S1290" s="9" t="str">
        <f>YEAR(tblSprzedaz[[#This Row],[Data]])&amp;"-"&amp;RIGHT("0"&amp;MONTH(tblSprzedaz[[#This Row],[Data]]),2)</f>
        <v>2025-12</v>
      </c>
    </row>
    <row r="1291" spans="1:19" x14ac:dyDescent="0.25">
      <c r="A1291" s="7" t="s">
        <v>2749</v>
      </c>
      <c r="B1291" s="10">
        <v>45995</v>
      </c>
      <c r="C1291" s="7" t="s">
        <v>2750</v>
      </c>
      <c r="D1291" s="8" t="s">
        <v>136</v>
      </c>
      <c r="E1291" s="8" t="s">
        <v>59</v>
      </c>
      <c r="F1291" s="8" t="s">
        <v>31</v>
      </c>
      <c r="G1291" s="8" t="s">
        <v>34</v>
      </c>
      <c r="H1291" s="8" t="s">
        <v>45</v>
      </c>
      <c r="I1291" s="11">
        <v>16</v>
      </c>
      <c r="J1291" s="12">
        <v>172.2</v>
      </c>
      <c r="K1291" s="13">
        <v>0.05</v>
      </c>
      <c r="L1291" s="12">
        <v>104.3</v>
      </c>
      <c r="M1291" s="14">
        <f>ROUND(tblSprzedaz[[#This Row],[Ilość]]*tblSprzedaz[[#This Row],[Cena netto jednostkowa]]*(1-tblSprzedaz[[#This Row],[Rabat %]]),2)</f>
        <v>2617.44</v>
      </c>
      <c r="N1291" s="14">
        <f>ROUND(tblSprzedaz[[#This Row],[Ilość]]*tblSprzedaz[[#This Row],[Koszt jednostkowy netto]],2)</f>
        <v>1668.8</v>
      </c>
      <c r="O1291" s="14">
        <f>tblSprzedaz[[#This Row],[Przychód netto]]-tblSprzedaz[[#This Row],[Koszt całkowity netto]]</f>
        <v>948.6400000000001</v>
      </c>
      <c r="P1291" s="15">
        <f>IFERROR(tblSprzedaz[[#This Row],[Marża kwotowa]]/tblSprzedaz[[#This Row],[Przychód netto]],0)</f>
        <v>0.36243046640992727</v>
      </c>
      <c r="Q1291" s="16">
        <f>YEAR(tblSprzedaz[[#This Row],[Data]])</f>
        <v>2025</v>
      </c>
      <c r="R1291" s="16">
        <f>MONTH(tblSprzedaz[[#This Row],[Data]])</f>
        <v>12</v>
      </c>
      <c r="S1291" s="9" t="str">
        <f>YEAR(tblSprzedaz[[#This Row],[Data]])&amp;"-"&amp;RIGHT("0"&amp;MONTH(tblSprzedaz[[#This Row],[Data]]),2)</f>
        <v>2025-12</v>
      </c>
    </row>
    <row r="1292" spans="1:19" x14ac:dyDescent="0.25">
      <c r="A1292" s="7" t="s">
        <v>2751</v>
      </c>
      <c r="B1292" s="10">
        <v>45995</v>
      </c>
      <c r="C1292" s="7" t="s">
        <v>2752</v>
      </c>
      <c r="D1292" s="8" t="s">
        <v>143</v>
      </c>
      <c r="E1292" s="8" t="s">
        <v>63</v>
      </c>
      <c r="F1292" s="8" t="s">
        <v>33</v>
      </c>
      <c r="G1292" s="8" t="s">
        <v>36</v>
      </c>
      <c r="H1292" s="8" t="s">
        <v>46</v>
      </c>
      <c r="I1292" s="11">
        <v>24</v>
      </c>
      <c r="J1292" s="12">
        <v>690</v>
      </c>
      <c r="K1292" s="13">
        <v>0.15</v>
      </c>
      <c r="L1292" s="12">
        <v>477.73</v>
      </c>
      <c r="M1292" s="14">
        <f>ROUND(tblSprzedaz[[#This Row],[Ilość]]*tblSprzedaz[[#This Row],[Cena netto jednostkowa]]*(1-tblSprzedaz[[#This Row],[Rabat %]]),2)</f>
        <v>14076</v>
      </c>
      <c r="N1292" s="14">
        <f>ROUND(tblSprzedaz[[#This Row],[Ilość]]*tblSprzedaz[[#This Row],[Koszt jednostkowy netto]],2)</f>
        <v>11465.52</v>
      </c>
      <c r="O1292" s="14">
        <f>tblSprzedaz[[#This Row],[Przychód netto]]-tblSprzedaz[[#This Row],[Koszt całkowity netto]]</f>
        <v>2610.4799999999996</v>
      </c>
      <c r="P1292" s="15">
        <f>IFERROR(tblSprzedaz[[#This Row],[Marża kwotowa]]/tblSprzedaz[[#This Row],[Przychód netto]],0)</f>
        <v>0.18545609548167089</v>
      </c>
      <c r="Q1292" s="16">
        <f>YEAR(tblSprzedaz[[#This Row],[Data]])</f>
        <v>2025</v>
      </c>
      <c r="R1292" s="16">
        <f>MONTH(tblSprzedaz[[#This Row],[Data]])</f>
        <v>12</v>
      </c>
      <c r="S1292" s="9" t="str">
        <f>YEAR(tblSprzedaz[[#This Row],[Data]])&amp;"-"&amp;RIGHT("0"&amp;MONTH(tblSprzedaz[[#This Row],[Data]]),2)</f>
        <v>2025-12</v>
      </c>
    </row>
    <row r="1293" spans="1:19" x14ac:dyDescent="0.25">
      <c r="A1293" s="7" t="s">
        <v>2753</v>
      </c>
      <c r="B1293" s="10">
        <v>45995</v>
      </c>
      <c r="C1293" s="7" t="s">
        <v>2754</v>
      </c>
      <c r="D1293" s="8" t="s">
        <v>93</v>
      </c>
      <c r="E1293" s="8" t="s">
        <v>62</v>
      </c>
      <c r="F1293" s="8" t="s">
        <v>33</v>
      </c>
      <c r="G1293" s="8" t="s">
        <v>36</v>
      </c>
      <c r="H1293" s="8" t="s">
        <v>46</v>
      </c>
      <c r="I1293" s="11">
        <v>23</v>
      </c>
      <c r="J1293" s="12">
        <v>611.79999999999995</v>
      </c>
      <c r="K1293" s="13">
        <v>0</v>
      </c>
      <c r="L1293" s="12">
        <v>406.11</v>
      </c>
      <c r="M1293" s="14">
        <f>ROUND(tblSprzedaz[[#This Row],[Ilość]]*tblSprzedaz[[#This Row],[Cena netto jednostkowa]]*(1-tblSprzedaz[[#This Row],[Rabat %]]),2)</f>
        <v>14071.4</v>
      </c>
      <c r="N1293" s="14">
        <f>ROUND(tblSprzedaz[[#This Row],[Ilość]]*tblSprzedaz[[#This Row],[Koszt jednostkowy netto]],2)</f>
        <v>9340.5300000000007</v>
      </c>
      <c r="O1293" s="14">
        <f>tblSprzedaz[[#This Row],[Przychód netto]]-tblSprzedaz[[#This Row],[Koszt całkowity netto]]</f>
        <v>4730.869999999999</v>
      </c>
      <c r="P1293" s="15">
        <f>IFERROR(tblSprzedaz[[#This Row],[Marża kwotowa]]/tblSprzedaz[[#This Row],[Przychód netto]],0)</f>
        <v>0.33620464203988226</v>
      </c>
      <c r="Q1293" s="16">
        <f>YEAR(tblSprzedaz[[#This Row],[Data]])</f>
        <v>2025</v>
      </c>
      <c r="R1293" s="16">
        <f>MONTH(tblSprzedaz[[#This Row],[Data]])</f>
        <v>12</v>
      </c>
      <c r="S1293" s="9" t="str">
        <f>YEAR(tblSprzedaz[[#This Row],[Data]])&amp;"-"&amp;RIGHT("0"&amp;MONTH(tblSprzedaz[[#This Row],[Data]]),2)</f>
        <v>2025-12</v>
      </c>
    </row>
    <row r="1294" spans="1:19" x14ac:dyDescent="0.25">
      <c r="A1294" s="7" t="s">
        <v>2755</v>
      </c>
      <c r="B1294" s="10">
        <v>45995</v>
      </c>
      <c r="C1294" s="7" t="s">
        <v>2756</v>
      </c>
      <c r="D1294" s="8" t="s">
        <v>117</v>
      </c>
      <c r="E1294" s="8" t="s">
        <v>62</v>
      </c>
      <c r="F1294" s="8" t="s">
        <v>33</v>
      </c>
      <c r="G1294" s="8" t="s">
        <v>32</v>
      </c>
      <c r="H1294" s="8" t="s">
        <v>42</v>
      </c>
      <c r="I1294" s="11">
        <v>28</v>
      </c>
      <c r="J1294" s="12">
        <v>611.79999999999995</v>
      </c>
      <c r="K1294" s="13">
        <v>0.05</v>
      </c>
      <c r="L1294" s="12">
        <v>398.25</v>
      </c>
      <c r="M1294" s="14">
        <f>ROUND(tblSprzedaz[[#This Row],[Ilość]]*tblSprzedaz[[#This Row],[Cena netto jednostkowa]]*(1-tblSprzedaz[[#This Row],[Rabat %]]),2)</f>
        <v>16273.88</v>
      </c>
      <c r="N1294" s="14">
        <f>ROUND(tblSprzedaz[[#This Row],[Ilość]]*tblSprzedaz[[#This Row],[Koszt jednostkowy netto]],2)</f>
        <v>11151</v>
      </c>
      <c r="O1294" s="14">
        <f>tblSprzedaz[[#This Row],[Przychód netto]]-tblSprzedaz[[#This Row],[Koszt całkowity netto]]</f>
        <v>5122.8799999999992</v>
      </c>
      <c r="P1294" s="15">
        <f>IFERROR(tblSprzedaz[[#This Row],[Marża kwotowa]]/tblSprzedaz[[#This Row],[Przychód netto]],0)</f>
        <v>0.31479155554790866</v>
      </c>
      <c r="Q1294" s="16">
        <f>YEAR(tblSprzedaz[[#This Row],[Data]])</f>
        <v>2025</v>
      </c>
      <c r="R1294" s="16">
        <f>MONTH(tblSprzedaz[[#This Row],[Data]])</f>
        <v>12</v>
      </c>
      <c r="S1294" s="9" t="str">
        <f>YEAR(tblSprzedaz[[#This Row],[Data]])&amp;"-"&amp;RIGHT("0"&amp;MONTH(tblSprzedaz[[#This Row],[Data]]),2)</f>
        <v>2025-12</v>
      </c>
    </row>
    <row r="1295" spans="1:19" x14ac:dyDescent="0.25">
      <c r="A1295" s="7" t="s">
        <v>2757</v>
      </c>
      <c r="B1295" s="10">
        <v>45995</v>
      </c>
      <c r="C1295" s="7" t="s">
        <v>2758</v>
      </c>
      <c r="D1295" s="8" t="s">
        <v>141</v>
      </c>
      <c r="E1295" s="8" t="s">
        <v>68</v>
      </c>
      <c r="F1295" s="8" t="s">
        <v>35</v>
      </c>
      <c r="G1295" s="8" t="s">
        <v>28</v>
      </c>
      <c r="H1295" s="8" t="s">
        <v>39</v>
      </c>
      <c r="I1295" s="11">
        <v>18</v>
      </c>
      <c r="J1295" s="12">
        <v>90.44</v>
      </c>
      <c r="K1295" s="13">
        <v>0</v>
      </c>
      <c r="L1295" s="12">
        <v>63.78</v>
      </c>
      <c r="M1295" s="14">
        <f>ROUND(tblSprzedaz[[#This Row],[Ilość]]*tblSprzedaz[[#This Row],[Cena netto jednostkowa]]*(1-tblSprzedaz[[#This Row],[Rabat %]]),2)</f>
        <v>1627.92</v>
      </c>
      <c r="N1295" s="14">
        <f>ROUND(tblSprzedaz[[#This Row],[Ilość]]*tblSprzedaz[[#This Row],[Koszt jednostkowy netto]],2)</f>
        <v>1148.04</v>
      </c>
      <c r="O1295" s="14">
        <f>tblSprzedaz[[#This Row],[Przychód netto]]-tblSprzedaz[[#This Row],[Koszt całkowity netto]]</f>
        <v>479.88000000000011</v>
      </c>
      <c r="P1295" s="15">
        <f>IFERROR(tblSprzedaz[[#This Row],[Marża kwotowa]]/tblSprzedaz[[#This Row],[Przychód netto]],0)</f>
        <v>0.29478107032286605</v>
      </c>
      <c r="Q1295" s="16">
        <f>YEAR(tblSprzedaz[[#This Row],[Data]])</f>
        <v>2025</v>
      </c>
      <c r="R1295" s="16">
        <f>MONTH(tblSprzedaz[[#This Row],[Data]])</f>
        <v>12</v>
      </c>
      <c r="S1295" s="9" t="str">
        <f>YEAR(tblSprzedaz[[#This Row],[Data]])&amp;"-"&amp;RIGHT("0"&amp;MONTH(tblSprzedaz[[#This Row],[Data]]),2)</f>
        <v>2025-12</v>
      </c>
    </row>
    <row r="1296" spans="1:19" x14ac:dyDescent="0.25">
      <c r="A1296" s="7" t="s">
        <v>2759</v>
      </c>
      <c r="B1296" s="10">
        <v>45996</v>
      </c>
      <c r="C1296" s="7" t="s">
        <v>2760</v>
      </c>
      <c r="D1296" s="8" t="s">
        <v>113</v>
      </c>
      <c r="E1296" s="8" t="s">
        <v>69</v>
      </c>
      <c r="F1296" s="8" t="s">
        <v>35</v>
      </c>
      <c r="G1296" s="8" t="s">
        <v>28</v>
      </c>
      <c r="H1296" s="8" t="s">
        <v>38</v>
      </c>
      <c r="I1296" s="11">
        <v>7</v>
      </c>
      <c r="J1296" s="12">
        <v>102</v>
      </c>
      <c r="K1296" s="13">
        <v>0.05</v>
      </c>
      <c r="L1296" s="12">
        <v>74.12</v>
      </c>
      <c r="M1296" s="14">
        <f>ROUND(tblSprzedaz[[#This Row],[Ilość]]*tblSprzedaz[[#This Row],[Cena netto jednostkowa]]*(1-tblSprzedaz[[#This Row],[Rabat %]]),2)</f>
        <v>678.3</v>
      </c>
      <c r="N1296" s="14">
        <f>ROUND(tblSprzedaz[[#This Row],[Ilość]]*tblSprzedaz[[#This Row],[Koszt jednostkowy netto]],2)</f>
        <v>518.84</v>
      </c>
      <c r="O1296" s="14">
        <f>tblSprzedaz[[#This Row],[Przychód netto]]-tblSprzedaz[[#This Row],[Koszt całkowity netto]]</f>
        <v>159.45999999999992</v>
      </c>
      <c r="P1296" s="15">
        <f>IFERROR(tblSprzedaz[[#This Row],[Marża kwotowa]]/tblSprzedaz[[#This Row],[Przychód netto]],0)</f>
        <v>0.23508771929824551</v>
      </c>
      <c r="Q1296" s="16">
        <f>YEAR(tblSprzedaz[[#This Row],[Data]])</f>
        <v>2025</v>
      </c>
      <c r="R1296" s="16">
        <f>MONTH(tblSprzedaz[[#This Row],[Data]])</f>
        <v>12</v>
      </c>
      <c r="S1296" s="9" t="str">
        <f>YEAR(tblSprzedaz[[#This Row],[Data]])&amp;"-"&amp;RIGHT("0"&amp;MONTH(tblSprzedaz[[#This Row],[Data]]),2)</f>
        <v>2025-12</v>
      </c>
    </row>
    <row r="1297" spans="1:19" x14ac:dyDescent="0.25">
      <c r="A1297" s="7" t="s">
        <v>2761</v>
      </c>
      <c r="B1297" s="10">
        <v>45996</v>
      </c>
      <c r="C1297" s="7" t="s">
        <v>2762</v>
      </c>
      <c r="D1297" s="8" t="s">
        <v>90</v>
      </c>
      <c r="E1297" s="8" t="s">
        <v>74</v>
      </c>
      <c r="F1297" s="8" t="s">
        <v>37</v>
      </c>
      <c r="G1297" s="8" t="s">
        <v>28</v>
      </c>
      <c r="H1297" s="8" t="s">
        <v>38</v>
      </c>
      <c r="I1297" s="11">
        <v>16</v>
      </c>
      <c r="J1297" s="12">
        <v>126.35</v>
      </c>
      <c r="K1297" s="13">
        <v>0</v>
      </c>
      <c r="L1297" s="12">
        <v>94.29</v>
      </c>
      <c r="M1297" s="14">
        <f>ROUND(tblSprzedaz[[#This Row],[Ilość]]*tblSprzedaz[[#This Row],[Cena netto jednostkowa]]*(1-tblSprzedaz[[#This Row],[Rabat %]]),2)</f>
        <v>2021.6</v>
      </c>
      <c r="N1297" s="14">
        <f>ROUND(tblSprzedaz[[#This Row],[Ilość]]*tblSprzedaz[[#This Row],[Koszt jednostkowy netto]],2)</f>
        <v>1508.64</v>
      </c>
      <c r="O1297" s="14">
        <f>tblSprzedaz[[#This Row],[Przychód netto]]-tblSprzedaz[[#This Row],[Koszt całkowity netto]]</f>
        <v>512.95999999999981</v>
      </c>
      <c r="P1297" s="15">
        <f>IFERROR(tblSprzedaz[[#This Row],[Marża kwotowa]]/tblSprzedaz[[#This Row],[Przychód netto]],0)</f>
        <v>0.25373961218836555</v>
      </c>
      <c r="Q1297" s="16">
        <f>YEAR(tblSprzedaz[[#This Row],[Data]])</f>
        <v>2025</v>
      </c>
      <c r="R1297" s="16">
        <f>MONTH(tblSprzedaz[[#This Row],[Data]])</f>
        <v>12</v>
      </c>
      <c r="S1297" s="9" t="str">
        <f>YEAR(tblSprzedaz[[#This Row],[Data]])&amp;"-"&amp;RIGHT("0"&amp;MONTH(tblSprzedaz[[#This Row],[Data]]),2)</f>
        <v>2025-12</v>
      </c>
    </row>
    <row r="1298" spans="1:19" x14ac:dyDescent="0.25">
      <c r="A1298" s="7" t="s">
        <v>2763</v>
      </c>
      <c r="B1298" s="10">
        <v>45996</v>
      </c>
      <c r="C1298" s="7" t="s">
        <v>2764</v>
      </c>
      <c r="D1298" s="8" t="s">
        <v>152</v>
      </c>
      <c r="E1298" s="8" t="s">
        <v>59</v>
      </c>
      <c r="F1298" s="8" t="s">
        <v>31</v>
      </c>
      <c r="G1298" s="8" t="s">
        <v>34</v>
      </c>
      <c r="H1298" s="8" t="s">
        <v>45</v>
      </c>
      <c r="I1298" s="11">
        <v>6</v>
      </c>
      <c r="J1298" s="12">
        <v>172.2</v>
      </c>
      <c r="K1298" s="13">
        <v>0</v>
      </c>
      <c r="L1298" s="12">
        <v>107.16</v>
      </c>
      <c r="M1298" s="14">
        <f>ROUND(tblSprzedaz[[#This Row],[Ilość]]*tblSprzedaz[[#This Row],[Cena netto jednostkowa]]*(1-tblSprzedaz[[#This Row],[Rabat %]]),2)</f>
        <v>1033.2</v>
      </c>
      <c r="N1298" s="14">
        <f>ROUND(tblSprzedaz[[#This Row],[Ilość]]*tblSprzedaz[[#This Row],[Koszt jednostkowy netto]],2)</f>
        <v>642.96</v>
      </c>
      <c r="O1298" s="14">
        <f>tblSprzedaz[[#This Row],[Przychód netto]]-tblSprzedaz[[#This Row],[Koszt całkowity netto]]</f>
        <v>390.24</v>
      </c>
      <c r="P1298" s="15">
        <f>IFERROR(tblSprzedaz[[#This Row],[Marża kwotowa]]/tblSprzedaz[[#This Row],[Przychód netto]],0)</f>
        <v>0.37770034843205574</v>
      </c>
      <c r="Q1298" s="16">
        <f>YEAR(tblSprzedaz[[#This Row],[Data]])</f>
        <v>2025</v>
      </c>
      <c r="R1298" s="16">
        <f>MONTH(tblSprzedaz[[#This Row],[Data]])</f>
        <v>12</v>
      </c>
      <c r="S1298" s="9" t="str">
        <f>YEAR(tblSprzedaz[[#This Row],[Data]])&amp;"-"&amp;RIGHT("0"&amp;MONTH(tblSprzedaz[[#This Row],[Data]]),2)</f>
        <v>2025-12</v>
      </c>
    </row>
    <row r="1299" spans="1:19" x14ac:dyDescent="0.25">
      <c r="A1299" s="7" t="s">
        <v>2765</v>
      </c>
      <c r="B1299" s="10">
        <v>45997</v>
      </c>
      <c r="C1299" s="7" t="s">
        <v>2766</v>
      </c>
      <c r="D1299" s="8" t="s">
        <v>78</v>
      </c>
      <c r="E1299" s="8" t="s">
        <v>54</v>
      </c>
      <c r="F1299" s="8" t="s">
        <v>31</v>
      </c>
      <c r="G1299" s="8" t="s">
        <v>36</v>
      </c>
      <c r="H1299" s="8" t="s">
        <v>46</v>
      </c>
      <c r="I1299" s="11">
        <v>3</v>
      </c>
      <c r="J1299" s="12">
        <v>207.9</v>
      </c>
      <c r="K1299" s="13">
        <v>0.1</v>
      </c>
      <c r="L1299" s="12">
        <v>131.71</v>
      </c>
      <c r="M1299" s="14">
        <f>ROUND(tblSprzedaz[[#This Row],[Ilość]]*tblSprzedaz[[#This Row],[Cena netto jednostkowa]]*(1-tblSprzedaz[[#This Row],[Rabat %]]),2)</f>
        <v>561.33000000000004</v>
      </c>
      <c r="N1299" s="14">
        <f>ROUND(tblSprzedaz[[#This Row],[Ilość]]*tblSprzedaz[[#This Row],[Koszt jednostkowy netto]],2)</f>
        <v>395.13</v>
      </c>
      <c r="O1299" s="14">
        <f>tblSprzedaz[[#This Row],[Przychód netto]]-tblSprzedaz[[#This Row],[Koszt całkowity netto]]</f>
        <v>166.20000000000005</v>
      </c>
      <c r="P1299" s="15">
        <f>IFERROR(tblSprzedaz[[#This Row],[Marża kwotowa]]/tblSprzedaz[[#This Row],[Przychód netto]],0)</f>
        <v>0.29608251830474058</v>
      </c>
      <c r="Q1299" s="16">
        <f>YEAR(tblSprzedaz[[#This Row],[Data]])</f>
        <v>2025</v>
      </c>
      <c r="R1299" s="16">
        <f>MONTH(tblSprzedaz[[#This Row],[Data]])</f>
        <v>12</v>
      </c>
      <c r="S1299" s="9" t="str">
        <f>YEAR(tblSprzedaz[[#This Row],[Data]])&amp;"-"&amp;RIGHT("0"&amp;MONTH(tblSprzedaz[[#This Row],[Data]]),2)</f>
        <v>2025-12</v>
      </c>
    </row>
    <row r="1300" spans="1:19" x14ac:dyDescent="0.25">
      <c r="A1300" s="7" t="s">
        <v>2767</v>
      </c>
      <c r="B1300" s="10">
        <v>45998</v>
      </c>
      <c r="C1300" s="7" t="s">
        <v>2768</v>
      </c>
      <c r="D1300" s="8" t="s">
        <v>82</v>
      </c>
      <c r="E1300" s="8" t="s">
        <v>63</v>
      </c>
      <c r="F1300" s="8" t="s">
        <v>33</v>
      </c>
      <c r="G1300" s="8" t="s">
        <v>28</v>
      </c>
      <c r="H1300" s="8" t="s">
        <v>38</v>
      </c>
      <c r="I1300" s="11">
        <v>19</v>
      </c>
      <c r="J1300" s="12">
        <v>690</v>
      </c>
      <c r="K1300" s="13">
        <v>0.15</v>
      </c>
      <c r="L1300" s="12">
        <v>485.18</v>
      </c>
      <c r="M1300" s="14">
        <f>ROUND(tblSprzedaz[[#This Row],[Ilość]]*tblSprzedaz[[#This Row],[Cena netto jednostkowa]]*(1-tblSprzedaz[[#This Row],[Rabat %]]),2)</f>
        <v>11143.5</v>
      </c>
      <c r="N1300" s="14">
        <f>ROUND(tblSprzedaz[[#This Row],[Ilość]]*tblSprzedaz[[#This Row],[Koszt jednostkowy netto]],2)</f>
        <v>9218.42</v>
      </c>
      <c r="O1300" s="14">
        <f>tblSprzedaz[[#This Row],[Przychód netto]]-tblSprzedaz[[#This Row],[Koszt całkowity netto]]</f>
        <v>1925.08</v>
      </c>
      <c r="P1300" s="15">
        <f>IFERROR(tblSprzedaz[[#This Row],[Marża kwotowa]]/tblSprzedaz[[#This Row],[Przychód netto]],0)</f>
        <v>0.17275362318840579</v>
      </c>
      <c r="Q1300" s="16">
        <f>YEAR(tblSprzedaz[[#This Row],[Data]])</f>
        <v>2025</v>
      </c>
      <c r="R1300" s="16">
        <f>MONTH(tblSprzedaz[[#This Row],[Data]])</f>
        <v>12</v>
      </c>
      <c r="S1300" s="9" t="str">
        <f>YEAR(tblSprzedaz[[#This Row],[Data]])&amp;"-"&amp;RIGHT("0"&amp;MONTH(tblSprzedaz[[#This Row],[Data]]),2)</f>
        <v>2025-12</v>
      </c>
    </row>
    <row r="1301" spans="1:19" x14ac:dyDescent="0.25">
      <c r="A1301" s="7" t="s">
        <v>2769</v>
      </c>
      <c r="B1301" s="10">
        <v>45998</v>
      </c>
      <c r="C1301" s="7" t="s">
        <v>2770</v>
      </c>
      <c r="D1301" s="8" t="s">
        <v>104</v>
      </c>
      <c r="E1301" s="8" t="s">
        <v>75</v>
      </c>
      <c r="F1301" s="8" t="s">
        <v>37</v>
      </c>
      <c r="G1301" s="8" t="s">
        <v>32</v>
      </c>
      <c r="H1301" s="8" t="s">
        <v>42</v>
      </c>
      <c r="I1301" s="11">
        <v>16</v>
      </c>
      <c r="J1301" s="12">
        <v>142.5</v>
      </c>
      <c r="K1301" s="13">
        <v>0</v>
      </c>
      <c r="L1301" s="12">
        <v>105.7</v>
      </c>
      <c r="M1301" s="14">
        <f>ROUND(tblSprzedaz[[#This Row],[Ilość]]*tblSprzedaz[[#This Row],[Cena netto jednostkowa]]*(1-tblSprzedaz[[#This Row],[Rabat %]]),2)</f>
        <v>2280</v>
      </c>
      <c r="N1301" s="14">
        <f>ROUND(tblSprzedaz[[#This Row],[Ilość]]*tblSprzedaz[[#This Row],[Koszt jednostkowy netto]],2)</f>
        <v>1691.2</v>
      </c>
      <c r="O1301" s="14">
        <f>tblSprzedaz[[#This Row],[Przychód netto]]-tblSprzedaz[[#This Row],[Koszt całkowity netto]]</f>
        <v>588.79999999999995</v>
      </c>
      <c r="P1301" s="15">
        <f>IFERROR(tblSprzedaz[[#This Row],[Marża kwotowa]]/tblSprzedaz[[#This Row],[Przychód netto]],0)</f>
        <v>0.25824561403508772</v>
      </c>
      <c r="Q1301" s="16">
        <f>YEAR(tblSprzedaz[[#This Row],[Data]])</f>
        <v>2025</v>
      </c>
      <c r="R1301" s="16">
        <f>MONTH(tblSprzedaz[[#This Row],[Data]])</f>
        <v>12</v>
      </c>
      <c r="S1301" s="9" t="str">
        <f>YEAR(tblSprzedaz[[#This Row],[Data]])&amp;"-"&amp;RIGHT("0"&amp;MONTH(tblSprzedaz[[#This Row],[Data]]),2)</f>
        <v>2025-12</v>
      </c>
    </row>
    <row r="1302" spans="1:19" x14ac:dyDescent="0.25">
      <c r="A1302" s="7" t="s">
        <v>2771</v>
      </c>
      <c r="B1302" s="10">
        <v>45999</v>
      </c>
      <c r="C1302" s="7" t="s">
        <v>2772</v>
      </c>
      <c r="D1302" s="8" t="s">
        <v>113</v>
      </c>
      <c r="E1302" s="8" t="s">
        <v>51</v>
      </c>
      <c r="F1302" s="8" t="s">
        <v>29</v>
      </c>
      <c r="G1302" s="8" t="s">
        <v>32</v>
      </c>
      <c r="H1302" s="8" t="s">
        <v>43</v>
      </c>
      <c r="I1302" s="11">
        <v>1</v>
      </c>
      <c r="J1302" s="12">
        <v>51</v>
      </c>
      <c r="K1302" s="13">
        <v>0</v>
      </c>
      <c r="L1302" s="12">
        <v>31.36</v>
      </c>
      <c r="M1302" s="14">
        <f>ROUND(tblSprzedaz[[#This Row],[Ilość]]*tblSprzedaz[[#This Row],[Cena netto jednostkowa]]*(1-tblSprzedaz[[#This Row],[Rabat %]]),2)</f>
        <v>51</v>
      </c>
      <c r="N1302" s="14">
        <f>ROUND(tblSprzedaz[[#This Row],[Ilość]]*tblSprzedaz[[#This Row],[Koszt jednostkowy netto]],2)</f>
        <v>31.36</v>
      </c>
      <c r="O1302" s="14">
        <f>tblSprzedaz[[#This Row],[Przychód netto]]-tblSprzedaz[[#This Row],[Koszt całkowity netto]]</f>
        <v>19.64</v>
      </c>
      <c r="P1302" s="15">
        <f>IFERROR(tblSprzedaz[[#This Row],[Marża kwotowa]]/tblSprzedaz[[#This Row],[Przychód netto]],0)</f>
        <v>0.38509803921568631</v>
      </c>
      <c r="Q1302" s="16">
        <f>YEAR(tblSprzedaz[[#This Row],[Data]])</f>
        <v>2025</v>
      </c>
      <c r="R1302" s="16">
        <f>MONTH(tblSprzedaz[[#This Row],[Data]])</f>
        <v>12</v>
      </c>
      <c r="S1302" s="9" t="str">
        <f>YEAR(tblSprzedaz[[#This Row],[Data]])&amp;"-"&amp;RIGHT("0"&amp;MONTH(tblSprzedaz[[#This Row],[Data]]),2)</f>
        <v>2025-12</v>
      </c>
    </row>
    <row r="1303" spans="1:19" x14ac:dyDescent="0.25">
      <c r="A1303" s="7" t="s">
        <v>2773</v>
      </c>
      <c r="B1303" s="10">
        <v>45999</v>
      </c>
      <c r="C1303" s="7" t="s">
        <v>2774</v>
      </c>
      <c r="D1303" s="8" t="s">
        <v>104</v>
      </c>
      <c r="E1303" s="8" t="s">
        <v>58</v>
      </c>
      <c r="F1303" s="8" t="s">
        <v>31</v>
      </c>
      <c r="G1303" s="8" t="s">
        <v>32</v>
      </c>
      <c r="H1303" s="8" t="s">
        <v>43</v>
      </c>
      <c r="I1303" s="11">
        <v>2</v>
      </c>
      <c r="J1303" s="12">
        <v>350.7</v>
      </c>
      <c r="K1303" s="13">
        <v>0.1</v>
      </c>
      <c r="L1303" s="12">
        <v>212.92</v>
      </c>
      <c r="M1303" s="14">
        <f>ROUND(tblSprzedaz[[#This Row],[Ilość]]*tblSprzedaz[[#This Row],[Cena netto jednostkowa]]*(1-tblSprzedaz[[#This Row],[Rabat %]]),2)</f>
        <v>631.26</v>
      </c>
      <c r="N1303" s="14">
        <f>ROUND(tblSprzedaz[[#This Row],[Ilość]]*tblSprzedaz[[#This Row],[Koszt jednostkowy netto]],2)</f>
        <v>425.84</v>
      </c>
      <c r="O1303" s="14">
        <f>tblSprzedaz[[#This Row],[Przychód netto]]-tblSprzedaz[[#This Row],[Koszt całkowity netto]]</f>
        <v>205.42000000000002</v>
      </c>
      <c r="P1303" s="15">
        <f>IFERROR(tblSprzedaz[[#This Row],[Marża kwotowa]]/tblSprzedaz[[#This Row],[Przychód netto]],0)</f>
        <v>0.32541266673003205</v>
      </c>
      <c r="Q1303" s="16">
        <f>YEAR(tblSprzedaz[[#This Row],[Data]])</f>
        <v>2025</v>
      </c>
      <c r="R1303" s="16">
        <f>MONTH(tblSprzedaz[[#This Row],[Data]])</f>
        <v>12</v>
      </c>
      <c r="S1303" s="9" t="str">
        <f>YEAR(tblSprzedaz[[#This Row],[Data]])&amp;"-"&amp;RIGHT("0"&amp;MONTH(tblSprzedaz[[#This Row],[Data]]),2)</f>
        <v>2025-12</v>
      </c>
    </row>
    <row r="1304" spans="1:19" x14ac:dyDescent="0.25">
      <c r="A1304" s="7" t="s">
        <v>2775</v>
      </c>
      <c r="B1304" s="10">
        <v>45999</v>
      </c>
      <c r="C1304" s="7" t="s">
        <v>2776</v>
      </c>
      <c r="D1304" s="8" t="s">
        <v>99</v>
      </c>
      <c r="E1304" s="8" t="s">
        <v>66</v>
      </c>
      <c r="F1304" s="8" t="s">
        <v>35</v>
      </c>
      <c r="G1304" s="8" t="s">
        <v>28</v>
      </c>
      <c r="H1304" s="8" t="s">
        <v>39</v>
      </c>
      <c r="I1304" s="11">
        <v>1</v>
      </c>
      <c r="J1304" s="12">
        <v>67.319999999999993</v>
      </c>
      <c r="K1304" s="13">
        <v>0</v>
      </c>
      <c r="L1304" s="12">
        <v>47.46</v>
      </c>
      <c r="M1304" s="14">
        <f>ROUND(tblSprzedaz[[#This Row],[Ilość]]*tblSprzedaz[[#This Row],[Cena netto jednostkowa]]*(1-tblSprzedaz[[#This Row],[Rabat %]]),2)</f>
        <v>67.319999999999993</v>
      </c>
      <c r="N1304" s="14">
        <f>ROUND(tblSprzedaz[[#This Row],[Ilość]]*tblSprzedaz[[#This Row],[Koszt jednostkowy netto]],2)</f>
        <v>47.46</v>
      </c>
      <c r="O1304" s="14">
        <f>tblSprzedaz[[#This Row],[Przychód netto]]-tblSprzedaz[[#This Row],[Koszt całkowity netto]]</f>
        <v>19.859999999999992</v>
      </c>
      <c r="P1304" s="15">
        <f>IFERROR(tblSprzedaz[[#This Row],[Marża kwotowa]]/tblSprzedaz[[#This Row],[Przychód netto]],0)</f>
        <v>0.2950089126559714</v>
      </c>
      <c r="Q1304" s="16">
        <f>YEAR(tblSprzedaz[[#This Row],[Data]])</f>
        <v>2025</v>
      </c>
      <c r="R1304" s="16">
        <f>MONTH(tblSprzedaz[[#This Row],[Data]])</f>
        <v>12</v>
      </c>
      <c r="S1304" s="9" t="str">
        <f>YEAR(tblSprzedaz[[#This Row],[Data]])&amp;"-"&amp;RIGHT("0"&amp;MONTH(tblSprzedaz[[#This Row],[Data]]),2)</f>
        <v>2025-12</v>
      </c>
    </row>
    <row r="1305" spans="1:19" x14ac:dyDescent="0.25">
      <c r="A1305" s="7" t="s">
        <v>2777</v>
      </c>
      <c r="B1305" s="10">
        <v>45999</v>
      </c>
      <c r="C1305" s="7" t="s">
        <v>2778</v>
      </c>
      <c r="D1305" s="8" t="s">
        <v>107</v>
      </c>
      <c r="E1305" s="8" t="s">
        <v>61</v>
      </c>
      <c r="F1305" s="8" t="s">
        <v>33</v>
      </c>
      <c r="G1305" s="8" t="s">
        <v>28</v>
      </c>
      <c r="H1305" s="8" t="s">
        <v>39</v>
      </c>
      <c r="I1305" s="11">
        <v>1</v>
      </c>
      <c r="J1305" s="12">
        <v>533.6</v>
      </c>
      <c r="K1305" s="13">
        <v>0.15</v>
      </c>
      <c r="L1305" s="12">
        <v>379.56</v>
      </c>
      <c r="M1305" s="14">
        <f>ROUND(tblSprzedaz[[#This Row],[Ilość]]*tblSprzedaz[[#This Row],[Cena netto jednostkowa]]*(1-tblSprzedaz[[#This Row],[Rabat %]]),2)</f>
        <v>453.56</v>
      </c>
      <c r="N1305" s="14">
        <f>ROUND(tblSprzedaz[[#This Row],[Ilość]]*tblSprzedaz[[#This Row],[Koszt jednostkowy netto]],2)</f>
        <v>379.56</v>
      </c>
      <c r="O1305" s="14">
        <f>tblSprzedaz[[#This Row],[Przychód netto]]-tblSprzedaz[[#This Row],[Koszt całkowity netto]]</f>
        <v>74</v>
      </c>
      <c r="P1305" s="15">
        <f>IFERROR(tblSprzedaz[[#This Row],[Marża kwotowa]]/tblSprzedaz[[#This Row],[Przychód netto]],0)</f>
        <v>0.16315371725901756</v>
      </c>
      <c r="Q1305" s="16">
        <f>YEAR(tblSprzedaz[[#This Row],[Data]])</f>
        <v>2025</v>
      </c>
      <c r="R1305" s="16">
        <f>MONTH(tblSprzedaz[[#This Row],[Data]])</f>
        <v>12</v>
      </c>
      <c r="S1305" s="9" t="str">
        <f>YEAR(tblSprzedaz[[#This Row],[Data]])&amp;"-"&amp;RIGHT("0"&amp;MONTH(tblSprzedaz[[#This Row],[Data]]),2)</f>
        <v>2025-12</v>
      </c>
    </row>
    <row r="1306" spans="1:19" x14ac:dyDescent="0.25">
      <c r="A1306" s="7" t="s">
        <v>2779</v>
      </c>
      <c r="B1306" s="10">
        <v>45999</v>
      </c>
      <c r="C1306" s="7" t="s">
        <v>2780</v>
      </c>
      <c r="D1306" s="8" t="s">
        <v>146</v>
      </c>
      <c r="E1306" s="8" t="s">
        <v>53</v>
      </c>
      <c r="F1306" s="8" t="s">
        <v>29</v>
      </c>
      <c r="G1306" s="8" t="s">
        <v>36</v>
      </c>
      <c r="H1306" s="8" t="s">
        <v>47</v>
      </c>
      <c r="I1306" s="11">
        <v>20</v>
      </c>
      <c r="J1306" s="12">
        <v>27.88</v>
      </c>
      <c r="K1306" s="13">
        <v>0.1</v>
      </c>
      <c r="L1306" s="12">
        <v>15.71</v>
      </c>
      <c r="M1306" s="14">
        <f>ROUND(tblSprzedaz[[#This Row],[Ilość]]*tblSprzedaz[[#This Row],[Cena netto jednostkowa]]*(1-tblSprzedaz[[#This Row],[Rabat %]]),2)</f>
        <v>501.84</v>
      </c>
      <c r="N1306" s="14">
        <f>ROUND(tblSprzedaz[[#This Row],[Ilość]]*tblSprzedaz[[#This Row],[Koszt jednostkowy netto]],2)</f>
        <v>314.2</v>
      </c>
      <c r="O1306" s="14">
        <f>tblSprzedaz[[#This Row],[Przychód netto]]-tblSprzedaz[[#This Row],[Koszt całkowity netto]]</f>
        <v>187.64</v>
      </c>
      <c r="P1306" s="15">
        <f>IFERROR(tblSprzedaz[[#This Row],[Marża kwotowa]]/tblSprzedaz[[#This Row],[Przychód netto]],0)</f>
        <v>0.37390403315797865</v>
      </c>
      <c r="Q1306" s="16">
        <f>YEAR(tblSprzedaz[[#This Row],[Data]])</f>
        <v>2025</v>
      </c>
      <c r="R1306" s="16">
        <f>MONTH(tblSprzedaz[[#This Row],[Data]])</f>
        <v>12</v>
      </c>
      <c r="S1306" s="9" t="str">
        <f>YEAR(tblSprzedaz[[#This Row],[Data]])&amp;"-"&amp;RIGHT("0"&amp;MONTH(tblSprzedaz[[#This Row],[Data]]),2)</f>
        <v>2025-12</v>
      </c>
    </row>
    <row r="1307" spans="1:19" x14ac:dyDescent="0.25">
      <c r="A1307" s="7" t="s">
        <v>2781</v>
      </c>
      <c r="B1307" s="10">
        <v>46000</v>
      </c>
      <c r="C1307" s="7" t="s">
        <v>2782</v>
      </c>
      <c r="D1307" s="8" t="s">
        <v>125</v>
      </c>
      <c r="E1307" s="8" t="s">
        <v>60</v>
      </c>
      <c r="F1307" s="8" t="s">
        <v>33</v>
      </c>
      <c r="G1307" s="8" t="s">
        <v>34</v>
      </c>
      <c r="H1307" s="8" t="s">
        <v>45</v>
      </c>
      <c r="I1307" s="11">
        <v>12</v>
      </c>
      <c r="J1307" s="12">
        <v>455.4</v>
      </c>
      <c r="K1307" s="13">
        <v>0</v>
      </c>
      <c r="L1307" s="12">
        <v>315.39</v>
      </c>
      <c r="M1307" s="14">
        <f>ROUND(tblSprzedaz[[#This Row],[Ilość]]*tblSprzedaz[[#This Row],[Cena netto jednostkowa]]*(1-tblSprzedaz[[#This Row],[Rabat %]]),2)</f>
        <v>5464.8</v>
      </c>
      <c r="N1307" s="14">
        <f>ROUND(tblSprzedaz[[#This Row],[Ilość]]*tblSprzedaz[[#This Row],[Koszt jednostkowy netto]],2)</f>
        <v>3784.68</v>
      </c>
      <c r="O1307" s="14">
        <f>tblSprzedaz[[#This Row],[Przychód netto]]-tblSprzedaz[[#This Row],[Koszt całkowity netto]]</f>
        <v>1680.1200000000003</v>
      </c>
      <c r="P1307" s="15">
        <f>IFERROR(tblSprzedaz[[#This Row],[Marża kwotowa]]/tblSprzedaz[[#This Row],[Przychód netto]],0)</f>
        <v>0.3074440052700923</v>
      </c>
      <c r="Q1307" s="16">
        <f>YEAR(tblSprzedaz[[#This Row],[Data]])</f>
        <v>2025</v>
      </c>
      <c r="R1307" s="16">
        <f>MONTH(tblSprzedaz[[#This Row],[Data]])</f>
        <v>12</v>
      </c>
      <c r="S1307" s="9" t="str">
        <f>YEAR(tblSprzedaz[[#This Row],[Data]])&amp;"-"&amp;RIGHT("0"&amp;MONTH(tblSprzedaz[[#This Row],[Data]]),2)</f>
        <v>2025-12</v>
      </c>
    </row>
    <row r="1308" spans="1:19" x14ac:dyDescent="0.25">
      <c r="A1308" s="7" t="s">
        <v>2783</v>
      </c>
      <c r="B1308" s="10">
        <v>46000</v>
      </c>
      <c r="C1308" s="7" t="s">
        <v>2784</v>
      </c>
      <c r="D1308" s="8" t="s">
        <v>100</v>
      </c>
      <c r="E1308" s="8" t="s">
        <v>48</v>
      </c>
      <c r="F1308" s="8" t="s">
        <v>29</v>
      </c>
      <c r="G1308" s="8" t="s">
        <v>36</v>
      </c>
      <c r="H1308" s="8" t="s">
        <v>46</v>
      </c>
      <c r="I1308" s="11">
        <v>23</v>
      </c>
      <c r="J1308" s="12">
        <v>33.659999999999997</v>
      </c>
      <c r="K1308" s="13">
        <v>0.05</v>
      </c>
      <c r="L1308" s="12">
        <v>19.66</v>
      </c>
      <c r="M1308" s="14">
        <f>ROUND(tblSprzedaz[[#This Row],[Ilość]]*tblSprzedaz[[#This Row],[Cena netto jednostkowa]]*(1-tblSprzedaz[[#This Row],[Rabat %]]),2)</f>
        <v>735.47</v>
      </c>
      <c r="N1308" s="14">
        <f>ROUND(tblSprzedaz[[#This Row],[Ilość]]*tblSprzedaz[[#This Row],[Koszt jednostkowy netto]],2)</f>
        <v>452.18</v>
      </c>
      <c r="O1308" s="14">
        <f>tblSprzedaz[[#This Row],[Przychód netto]]-tblSprzedaz[[#This Row],[Koszt całkowity netto]]</f>
        <v>283.29000000000002</v>
      </c>
      <c r="P1308" s="15">
        <f>IFERROR(tblSprzedaz[[#This Row],[Marża kwotowa]]/tblSprzedaz[[#This Row],[Przychód netto]],0)</f>
        <v>0.38518226440235498</v>
      </c>
      <c r="Q1308" s="16">
        <f>YEAR(tblSprzedaz[[#This Row],[Data]])</f>
        <v>2025</v>
      </c>
      <c r="R1308" s="16">
        <f>MONTH(tblSprzedaz[[#This Row],[Data]])</f>
        <v>12</v>
      </c>
      <c r="S1308" s="9" t="str">
        <f>YEAR(tblSprzedaz[[#This Row],[Data]])&amp;"-"&amp;RIGHT("0"&amp;MONTH(tblSprzedaz[[#This Row],[Data]]),2)</f>
        <v>2025-12</v>
      </c>
    </row>
    <row r="1309" spans="1:19" x14ac:dyDescent="0.25">
      <c r="A1309" s="7" t="s">
        <v>2785</v>
      </c>
      <c r="B1309" s="10">
        <v>46000</v>
      </c>
      <c r="C1309" s="7" t="s">
        <v>2786</v>
      </c>
      <c r="D1309" s="8" t="s">
        <v>145</v>
      </c>
      <c r="E1309" s="8" t="s">
        <v>74</v>
      </c>
      <c r="F1309" s="8" t="s">
        <v>37</v>
      </c>
      <c r="G1309" s="8" t="s">
        <v>34</v>
      </c>
      <c r="H1309" s="8" t="s">
        <v>44</v>
      </c>
      <c r="I1309" s="11">
        <v>11</v>
      </c>
      <c r="J1309" s="12">
        <v>126.35</v>
      </c>
      <c r="K1309" s="13">
        <v>0.05</v>
      </c>
      <c r="L1309" s="12">
        <v>98.69</v>
      </c>
      <c r="M1309" s="14">
        <f>ROUND(tblSprzedaz[[#This Row],[Ilość]]*tblSprzedaz[[#This Row],[Cena netto jednostkowa]]*(1-tblSprzedaz[[#This Row],[Rabat %]]),2)</f>
        <v>1320.36</v>
      </c>
      <c r="N1309" s="14">
        <f>ROUND(tblSprzedaz[[#This Row],[Ilość]]*tblSprzedaz[[#This Row],[Koszt jednostkowy netto]],2)</f>
        <v>1085.5899999999999</v>
      </c>
      <c r="O1309" s="14">
        <f>tblSprzedaz[[#This Row],[Przychód netto]]-tblSprzedaz[[#This Row],[Koszt całkowity netto]]</f>
        <v>234.76999999999998</v>
      </c>
      <c r="P1309" s="15">
        <f>IFERROR(tblSprzedaz[[#This Row],[Marża kwotowa]]/tblSprzedaz[[#This Row],[Przychód netto]],0)</f>
        <v>0.17780756763306976</v>
      </c>
      <c r="Q1309" s="16">
        <f>YEAR(tblSprzedaz[[#This Row],[Data]])</f>
        <v>2025</v>
      </c>
      <c r="R1309" s="16">
        <f>MONTH(tblSprzedaz[[#This Row],[Data]])</f>
        <v>12</v>
      </c>
      <c r="S1309" s="9" t="str">
        <f>YEAR(tblSprzedaz[[#This Row],[Data]])&amp;"-"&amp;RIGHT("0"&amp;MONTH(tblSprzedaz[[#This Row],[Data]]),2)</f>
        <v>2025-12</v>
      </c>
    </row>
    <row r="1310" spans="1:19" x14ac:dyDescent="0.25">
      <c r="A1310" s="7" t="s">
        <v>2787</v>
      </c>
      <c r="B1310" s="10">
        <v>46000</v>
      </c>
      <c r="C1310" s="7" t="s">
        <v>2788</v>
      </c>
      <c r="D1310" s="8" t="s">
        <v>122</v>
      </c>
      <c r="E1310" s="8" t="s">
        <v>72</v>
      </c>
      <c r="F1310" s="8" t="s">
        <v>37</v>
      </c>
      <c r="G1310" s="8" t="s">
        <v>34</v>
      </c>
      <c r="H1310" s="8" t="s">
        <v>44</v>
      </c>
      <c r="I1310" s="11">
        <v>16</v>
      </c>
      <c r="J1310" s="12">
        <v>94.05</v>
      </c>
      <c r="K1310" s="13">
        <v>0.05</v>
      </c>
      <c r="L1310" s="12">
        <v>74.81</v>
      </c>
      <c r="M1310" s="14">
        <f>ROUND(tblSprzedaz[[#This Row],[Ilość]]*tblSprzedaz[[#This Row],[Cena netto jednostkowa]]*(1-tblSprzedaz[[#This Row],[Rabat %]]),2)</f>
        <v>1429.56</v>
      </c>
      <c r="N1310" s="14">
        <f>ROUND(tblSprzedaz[[#This Row],[Ilość]]*tblSprzedaz[[#This Row],[Koszt jednostkowy netto]],2)</f>
        <v>1196.96</v>
      </c>
      <c r="O1310" s="14">
        <f>tblSprzedaz[[#This Row],[Przychód netto]]-tblSprzedaz[[#This Row],[Koszt całkowity netto]]</f>
        <v>232.59999999999991</v>
      </c>
      <c r="P1310" s="15">
        <f>IFERROR(tblSprzedaz[[#This Row],[Marża kwotowa]]/tblSprzedaz[[#This Row],[Przychód netto]],0)</f>
        <v>0.16270740647471943</v>
      </c>
      <c r="Q1310" s="16">
        <f>YEAR(tblSprzedaz[[#This Row],[Data]])</f>
        <v>2025</v>
      </c>
      <c r="R1310" s="16">
        <f>MONTH(tblSprzedaz[[#This Row],[Data]])</f>
        <v>12</v>
      </c>
      <c r="S1310" s="9" t="str">
        <f>YEAR(tblSprzedaz[[#This Row],[Data]])&amp;"-"&amp;RIGHT("0"&amp;MONTH(tblSprzedaz[[#This Row],[Data]]),2)</f>
        <v>2025-12</v>
      </c>
    </row>
    <row r="1311" spans="1:19" x14ac:dyDescent="0.25">
      <c r="A1311" s="7" t="s">
        <v>2789</v>
      </c>
      <c r="B1311" s="10">
        <v>46000</v>
      </c>
      <c r="C1311" s="7" t="s">
        <v>2790</v>
      </c>
      <c r="D1311" s="8" t="s">
        <v>95</v>
      </c>
      <c r="E1311" s="8" t="s">
        <v>75</v>
      </c>
      <c r="F1311" s="8" t="s">
        <v>37</v>
      </c>
      <c r="G1311" s="8" t="s">
        <v>34</v>
      </c>
      <c r="H1311" s="8" t="s">
        <v>44</v>
      </c>
      <c r="I1311" s="11">
        <v>12</v>
      </c>
      <c r="J1311" s="12">
        <v>142.5</v>
      </c>
      <c r="K1311" s="13">
        <v>0.1</v>
      </c>
      <c r="L1311" s="12">
        <v>114.75</v>
      </c>
      <c r="M1311" s="14">
        <f>ROUND(tblSprzedaz[[#This Row],[Ilość]]*tblSprzedaz[[#This Row],[Cena netto jednostkowa]]*(1-tblSprzedaz[[#This Row],[Rabat %]]),2)</f>
        <v>1539</v>
      </c>
      <c r="N1311" s="14">
        <f>ROUND(tblSprzedaz[[#This Row],[Ilość]]*tblSprzedaz[[#This Row],[Koszt jednostkowy netto]],2)</f>
        <v>1377</v>
      </c>
      <c r="O1311" s="14">
        <f>tblSprzedaz[[#This Row],[Przychód netto]]-tblSprzedaz[[#This Row],[Koszt całkowity netto]]</f>
        <v>162</v>
      </c>
      <c r="P1311" s="15">
        <f>IFERROR(tblSprzedaz[[#This Row],[Marża kwotowa]]/tblSprzedaz[[#This Row],[Przychód netto]],0)</f>
        <v>0.10526315789473684</v>
      </c>
      <c r="Q1311" s="16">
        <f>YEAR(tblSprzedaz[[#This Row],[Data]])</f>
        <v>2025</v>
      </c>
      <c r="R1311" s="16">
        <f>MONTH(tblSprzedaz[[#This Row],[Data]])</f>
        <v>12</v>
      </c>
      <c r="S1311" s="9" t="str">
        <f>YEAR(tblSprzedaz[[#This Row],[Data]])&amp;"-"&amp;RIGHT("0"&amp;MONTH(tblSprzedaz[[#This Row],[Data]]),2)</f>
        <v>2025-12</v>
      </c>
    </row>
    <row r="1312" spans="1:19" x14ac:dyDescent="0.25">
      <c r="A1312" s="7" t="s">
        <v>2791</v>
      </c>
      <c r="B1312" s="10">
        <v>46000</v>
      </c>
      <c r="C1312" s="7" t="s">
        <v>2792</v>
      </c>
      <c r="D1312" s="8" t="s">
        <v>152</v>
      </c>
      <c r="E1312" s="8" t="s">
        <v>52</v>
      </c>
      <c r="F1312" s="8" t="s">
        <v>29</v>
      </c>
      <c r="G1312" s="8" t="s">
        <v>32</v>
      </c>
      <c r="H1312" s="8" t="s">
        <v>42</v>
      </c>
      <c r="I1312" s="11">
        <v>22</v>
      </c>
      <c r="J1312" s="12">
        <v>56.78</v>
      </c>
      <c r="K1312" s="13">
        <v>0.1</v>
      </c>
      <c r="L1312" s="12">
        <v>31.46</v>
      </c>
      <c r="M1312" s="14">
        <f>ROUND(tblSprzedaz[[#This Row],[Ilość]]*tblSprzedaz[[#This Row],[Cena netto jednostkowa]]*(1-tblSprzedaz[[#This Row],[Rabat %]]),2)</f>
        <v>1124.24</v>
      </c>
      <c r="N1312" s="14">
        <f>ROUND(tblSprzedaz[[#This Row],[Ilość]]*tblSprzedaz[[#This Row],[Koszt jednostkowy netto]],2)</f>
        <v>692.12</v>
      </c>
      <c r="O1312" s="14">
        <f>tblSprzedaz[[#This Row],[Przychód netto]]-tblSprzedaz[[#This Row],[Koszt całkowity netto]]</f>
        <v>432.12</v>
      </c>
      <c r="P1312" s="15">
        <f>IFERROR(tblSprzedaz[[#This Row],[Marża kwotowa]]/tblSprzedaz[[#This Row],[Przychód netto]],0)</f>
        <v>0.38436632747456062</v>
      </c>
      <c r="Q1312" s="16">
        <f>YEAR(tblSprzedaz[[#This Row],[Data]])</f>
        <v>2025</v>
      </c>
      <c r="R1312" s="16">
        <f>MONTH(tblSprzedaz[[#This Row],[Data]])</f>
        <v>12</v>
      </c>
      <c r="S1312" s="9" t="str">
        <f>YEAR(tblSprzedaz[[#This Row],[Data]])&amp;"-"&amp;RIGHT("0"&amp;MONTH(tblSprzedaz[[#This Row],[Data]]),2)</f>
        <v>2025-12</v>
      </c>
    </row>
    <row r="1313" spans="1:19" x14ac:dyDescent="0.25">
      <c r="A1313" s="7" t="s">
        <v>2793</v>
      </c>
      <c r="B1313" s="10">
        <v>46000</v>
      </c>
      <c r="C1313" s="7" t="s">
        <v>2794</v>
      </c>
      <c r="D1313" s="8" t="s">
        <v>116</v>
      </c>
      <c r="E1313" s="8" t="s">
        <v>48</v>
      </c>
      <c r="F1313" s="8" t="s">
        <v>29</v>
      </c>
      <c r="G1313" s="8" t="s">
        <v>30</v>
      </c>
      <c r="H1313" s="8" t="s">
        <v>40</v>
      </c>
      <c r="I1313" s="11">
        <v>24</v>
      </c>
      <c r="J1313" s="12">
        <v>33.659999999999997</v>
      </c>
      <c r="K1313" s="13">
        <v>0</v>
      </c>
      <c r="L1313" s="12">
        <v>20.64</v>
      </c>
      <c r="M1313" s="14">
        <f>ROUND(tblSprzedaz[[#This Row],[Ilość]]*tblSprzedaz[[#This Row],[Cena netto jednostkowa]]*(1-tblSprzedaz[[#This Row],[Rabat %]]),2)</f>
        <v>807.84</v>
      </c>
      <c r="N1313" s="14">
        <f>ROUND(tblSprzedaz[[#This Row],[Ilość]]*tblSprzedaz[[#This Row],[Koszt jednostkowy netto]],2)</f>
        <v>495.36</v>
      </c>
      <c r="O1313" s="14">
        <f>tblSprzedaz[[#This Row],[Przychód netto]]-tblSprzedaz[[#This Row],[Koszt całkowity netto]]</f>
        <v>312.48</v>
      </c>
      <c r="P1313" s="15">
        <f>IFERROR(tblSprzedaz[[#This Row],[Marża kwotowa]]/tblSprzedaz[[#This Row],[Przychód netto]],0)</f>
        <v>0.38680926916221037</v>
      </c>
      <c r="Q1313" s="16">
        <f>YEAR(tblSprzedaz[[#This Row],[Data]])</f>
        <v>2025</v>
      </c>
      <c r="R1313" s="16">
        <f>MONTH(tblSprzedaz[[#This Row],[Data]])</f>
        <v>12</v>
      </c>
      <c r="S1313" s="9" t="str">
        <f>YEAR(tblSprzedaz[[#This Row],[Data]])&amp;"-"&amp;RIGHT("0"&amp;MONTH(tblSprzedaz[[#This Row],[Data]]),2)</f>
        <v>2025-12</v>
      </c>
    </row>
    <row r="1314" spans="1:19" x14ac:dyDescent="0.25">
      <c r="A1314" s="7" t="s">
        <v>2795</v>
      </c>
      <c r="B1314" s="10">
        <v>46001</v>
      </c>
      <c r="C1314" s="7" t="s">
        <v>2796</v>
      </c>
      <c r="D1314" s="8" t="s">
        <v>95</v>
      </c>
      <c r="E1314" s="8" t="s">
        <v>48</v>
      </c>
      <c r="F1314" s="8" t="s">
        <v>29</v>
      </c>
      <c r="G1314" s="8" t="s">
        <v>34</v>
      </c>
      <c r="H1314" s="8" t="s">
        <v>44</v>
      </c>
      <c r="I1314" s="11">
        <v>4</v>
      </c>
      <c r="J1314" s="12">
        <v>33.659999999999997</v>
      </c>
      <c r="K1314" s="13">
        <v>0</v>
      </c>
      <c r="L1314" s="12">
        <v>20.309999999999999</v>
      </c>
      <c r="M1314" s="14">
        <f>ROUND(tblSprzedaz[[#This Row],[Ilość]]*tblSprzedaz[[#This Row],[Cena netto jednostkowa]]*(1-tblSprzedaz[[#This Row],[Rabat %]]),2)</f>
        <v>134.63999999999999</v>
      </c>
      <c r="N1314" s="14">
        <f>ROUND(tblSprzedaz[[#This Row],[Ilość]]*tblSprzedaz[[#This Row],[Koszt jednostkowy netto]],2)</f>
        <v>81.239999999999995</v>
      </c>
      <c r="O1314" s="14">
        <f>tblSprzedaz[[#This Row],[Przychód netto]]-tblSprzedaz[[#This Row],[Koszt całkowity netto]]</f>
        <v>53.399999999999991</v>
      </c>
      <c r="P1314" s="15">
        <f>IFERROR(tblSprzedaz[[#This Row],[Marża kwotowa]]/tblSprzedaz[[#This Row],[Przychód netto]],0)</f>
        <v>0.39661319073083778</v>
      </c>
      <c r="Q1314" s="16">
        <f>YEAR(tblSprzedaz[[#This Row],[Data]])</f>
        <v>2025</v>
      </c>
      <c r="R1314" s="16">
        <f>MONTH(tblSprzedaz[[#This Row],[Data]])</f>
        <v>12</v>
      </c>
      <c r="S1314" s="9" t="str">
        <f>YEAR(tblSprzedaz[[#This Row],[Data]])&amp;"-"&amp;RIGHT("0"&amp;MONTH(tblSprzedaz[[#This Row],[Data]]),2)</f>
        <v>2025-12</v>
      </c>
    </row>
    <row r="1315" spans="1:19" x14ac:dyDescent="0.25">
      <c r="A1315" s="7" t="s">
        <v>2797</v>
      </c>
      <c r="B1315" s="10">
        <v>46001</v>
      </c>
      <c r="C1315" s="7" t="s">
        <v>2798</v>
      </c>
      <c r="D1315" s="8" t="s">
        <v>88</v>
      </c>
      <c r="E1315" s="8" t="s">
        <v>50</v>
      </c>
      <c r="F1315" s="8" t="s">
        <v>29</v>
      </c>
      <c r="G1315" s="8" t="s">
        <v>28</v>
      </c>
      <c r="H1315" s="8" t="s">
        <v>39</v>
      </c>
      <c r="I1315" s="11">
        <v>17</v>
      </c>
      <c r="J1315" s="12">
        <v>45.22</v>
      </c>
      <c r="K1315" s="13">
        <v>0</v>
      </c>
      <c r="L1315" s="12">
        <v>27.01</v>
      </c>
      <c r="M1315" s="14">
        <f>ROUND(tblSprzedaz[[#This Row],[Ilość]]*tblSprzedaz[[#This Row],[Cena netto jednostkowa]]*(1-tblSprzedaz[[#This Row],[Rabat %]]),2)</f>
        <v>768.74</v>
      </c>
      <c r="N1315" s="14">
        <f>ROUND(tblSprzedaz[[#This Row],[Ilość]]*tblSprzedaz[[#This Row],[Koszt jednostkowy netto]],2)</f>
        <v>459.17</v>
      </c>
      <c r="O1315" s="14">
        <f>tblSprzedaz[[#This Row],[Przychód netto]]-tblSprzedaz[[#This Row],[Koszt całkowity netto]]</f>
        <v>309.57</v>
      </c>
      <c r="P1315" s="15">
        <f>IFERROR(tblSprzedaz[[#This Row],[Marża kwotowa]]/tblSprzedaz[[#This Row],[Przychód netto]],0)</f>
        <v>0.40269792127377263</v>
      </c>
      <c r="Q1315" s="16">
        <f>YEAR(tblSprzedaz[[#This Row],[Data]])</f>
        <v>2025</v>
      </c>
      <c r="R1315" s="16">
        <f>MONTH(tblSprzedaz[[#This Row],[Data]])</f>
        <v>12</v>
      </c>
      <c r="S1315" s="9" t="str">
        <f>YEAR(tblSprzedaz[[#This Row],[Data]])&amp;"-"&amp;RIGHT("0"&amp;MONTH(tblSprzedaz[[#This Row],[Data]]),2)</f>
        <v>2025-12</v>
      </c>
    </row>
    <row r="1316" spans="1:19" x14ac:dyDescent="0.25">
      <c r="A1316" s="7" t="s">
        <v>2799</v>
      </c>
      <c r="B1316" s="10">
        <v>46001</v>
      </c>
      <c r="C1316" s="7" t="s">
        <v>2800</v>
      </c>
      <c r="D1316" s="8" t="s">
        <v>105</v>
      </c>
      <c r="E1316" s="8" t="s">
        <v>74</v>
      </c>
      <c r="F1316" s="8" t="s">
        <v>37</v>
      </c>
      <c r="G1316" s="8" t="s">
        <v>34</v>
      </c>
      <c r="H1316" s="8" t="s">
        <v>45</v>
      </c>
      <c r="I1316" s="11">
        <v>1</v>
      </c>
      <c r="J1316" s="12">
        <v>126.35</v>
      </c>
      <c r="K1316" s="13">
        <v>0</v>
      </c>
      <c r="L1316" s="12">
        <v>99.3</v>
      </c>
      <c r="M1316" s="14">
        <f>ROUND(tblSprzedaz[[#This Row],[Ilość]]*tblSprzedaz[[#This Row],[Cena netto jednostkowa]]*(1-tblSprzedaz[[#This Row],[Rabat %]]),2)</f>
        <v>126.35</v>
      </c>
      <c r="N1316" s="14">
        <f>ROUND(tblSprzedaz[[#This Row],[Ilość]]*tblSprzedaz[[#This Row],[Koszt jednostkowy netto]],2)</f>
        <v>99.3</v>
      </c>
      <c r="O1316" s="14">
        <f>tblSprzedaz[[#This Row],[Przychód netto]]-tblSprzedaz[[#This Row],[Koszt całkowity netto]]</f>
        <v>27.049999999999997</v>
      </c>
      <c r="P1316" s="15">
        <f>IFERROR(tblSprzedaz[[#This Row],[Marża kwotowa]]/tblSprzedaz[[#This Row],[Przychód netto]],0)</f>
        <v>0.21408785120696477</v>
      </c>
      <c r="Q1316" s="16">
        <f>YEAR(tblSprzedaz[[#This Row],[Data]])</f>
        <v>2025</v>
      </c>
      <c r="R1316" s="16">
        <f>MONTH(tblSprzedaz[[#This Row],[Data]])</f>
        <v>12</v>
      </c>
      <c r="S1316" s="9" t="str">
        <f>YEAR(tblSprzedaz[[#This Row],[Data]])&amp;"-"&amp;RIGHT("0"&amp;MONTH(tblSprzedaz[[#This Row],[Data]]),2)</f>
        <v>2025-12</v>
      </c>
    </row>
    <row r="1317" spans="1:19" x14ac:dyDescent="0.25">
      <c r="A1317" s="7" t="s">
        <v>2801</v>
      </c>
      <c r="B1317" s="10">
        <v>46001</v>
      </c>
      <c r="C1317" s="7" t="s">
        <v>2802</v>
      </c>
      <c r="D1317" s="8" t="s">
        <v>152</v>
      </c>
      <c r="E1317" s="8" t="s">
        <v>70</v>
      </c>
      <c r="F1317" s="8" t="s">
        <v>35</v>
      </c>
      <c r="G1317" s="8" t="s">
        <v>36</v>
      </c>
      <c r="H1317" s="8" t="s">
        <v>46</v>
      </c>
      <c r="I1317" s="11">
        <v>23</v>
      </c>
      <c r="J1317" s="12">
        <v>113.56</v>
      </c>
      <c r="K1317" s="13">
        <v>0</v>
      </c>
      <c r="L1317" s="12">
        <v>83.66</v>
      </c>
      <c r="M1317" s="14">
        <f>ROUND(tblSprzedaz[[#This Row],[Ilość]]*tblSprzedaz[[#This Row],[Cena netto jednostkowa]]*(1-tblSprzedaz[[#This Row],[Rabat %]]),2)</f>
        <v>2611.88</v>
      </c>
      <c r="N1317" s="14">
        <f>ROUND(tblSprzedaz[[#This Row],[Ilość]]*tblSprzedaz[[#This Row],[Koszt jednostkowy netto]],2)</f>
        <v>1924.18</v>
      </c>
      <c r="O1317" s="14">
        <f>tblSprzedaz[[#This Row],[Przychód netto]]-tblSprzedaz[[#This Row],[Koszt całkowity netto]]</f>
        <v>687.7</v>
      </c>
      <c r="P1317" s="15">
        <f>IFERROR(tblSprzedaz[[#This Row],[Marża kwotowa]]/tblSprzedaz[[#This Row],[Przychód netto]],0)</f>
        <v>0.26329693554068334</v>
      </c>
      <c r="Q1317" s="16">
        <f>YEAR(tblSprzedaz[[#This Row],[Data]])</f>
        <v>2025</v>
      </c>
      <c r="R1317" s="16">
        <f>MONTH(tblSprzedaz[[#This Row],[Data]])</f>
        <v>12</v>
      </c>
      <c r="S1317" s="9" t="str">
        <f>YEAR(tblSprzedaz[[#This Row],[Data]])&amp;"-"&amp;RIGHT("0"&amp;MONTH(tblSprzedaz[[#This Row],[Data]]),2)</f>
        <v>2025-12</v>
      </c>
    </row>
    <row r="1318" spans="1:19" x14ac:dyDescent="0.25">
      <c r="A1318" s="7" t="s">
        <v>2803</v>
      </c>
      <c r="B1318" s="10">
        <v>46002</v>
      </c>
      <c r="C1318" s="7" t="s">
        <v>2804</v>
      </c>
      <c r="D1318" s="8" t="s">
        <v>97</v>
      </c>
      <c r="E1318" s="8" t="s">
        <v>63</v>
      </c>
      <c r="F1318" s="8" t="s">
        <v>33</v>
      </c>
      <c r="G1318" s="8" t="s">
        <v>34</v>
      </c>
      <c r="H1318" s="8" t="s">
        <v>44</v>
      </c>
      <c r="I1318" s="11">
        <v>2</v>
      </c>
      <c r="J1318" s="12">
        <v>690</v>
      </c>
      <c r="K1318" s="13">
        <v>0.05</v>
      </c>
      <c r="L1318" s="12">
        <v>490.81</v>
      </c>
      <c r="M1318" s="14">
        <f>ROUND(tblSprzedaz[[#This Row],[Ilość]]*tblSprzedaz[[#This Row],[Cena netto jednostkowa]]*(1-tblSprzedaz[[#This Row],[Rabat %]]),2)</f>
        <v>1311</v>
      </c>
      <c r="N1318" s="14">
        <f>ROUND(tblSprzedaz[[#This Row],[Ilość]]*tblSprzedaz[[#This Row],[Koszt jednostkowy netto]],2)</f>
        <v>981.62</v>
      </c>
      <c r="O1318" s="14">
        <f>tblSprzedaz[[#This Row],[Przychód netto]]-tblSprzedaz[[#This Row],[Koszt całkowity netto]]</f>
        <v>329.38</v>
      </c>
      <c r="P1318" s="15">
        <f>IFERROR(tblSprzedaz[[#This Row],[Marża kwotowa]]/tblSprzedaz[[#This Row],[Przychód netto]],0)</f>
        <v>0.25124332570556829</v>
      </c>
      <c r="Q1318" s="16">
        <f>YEAR(tblSprzedaz[[#This Row],[Data]])</f>
        <v>2025</v>
      </c>
      <c r="R1318" s="16">
        <f>MONTH(tblSprzedaz[[#This Row],[Data]])</f>
        <v>12</v>
      </c>
      <c r="S1318" s="9" t="str">
        <f>YEAR(tblSprzedaz[[#This Row],[Data]])&amp;"-"&amp;RIGHT("0"&amp;MONTH(tblSprzedaz[[#This Row],[Data]]),2)</f>
        <v>2025-12</v>
      </c>
    </row>
    <row r="1319" spans="1:19" x14ac:dyDescent="0.25">
      <c r="A1319" s="7" t="s">
        <v>2805</v>
      </c>
      <c r="B1319" s="10">
        <v>46002</v>
      </c>
      <c r="C1319" s="7" t="s">
        <v>2806</v>
      </c>
      <c r="D1319" s="8" t="s">
        <v>144</v>
      </c>
      <c r="E1319" s="8" t="s">
        <v>51</v>
      </c>
      <c r="F1319" s="8" t="s">
        <v>29</v>
      </c>
      <c r="G1319" s="8" t="s">
        <v>30</v>
      </c>
      <c r="H1319" s="8" t="s">
        <v>41</v>
      </c>
      <c r="I1319" s="11">
        <v>16</v>
      </c>
      <c r="J1319" s="12">
        <v>51</v>
      </c>
      <c r="K1319" s="13">
        <v>0.05</v>
      </c>
      <c r="L1319" s="12">
        <v>30.21</v>
      </c>
      <c r="M1319" s="14">
        <f>ROUND(tblSprzedaz[[#This Row],[Ilość]]*tblSprzedaz[[#This Row],[Cena netto jednostkowa]]*(1-tblSprzedaz[[#This Row],[Rabat %]]),2)</f>
        <v>775.2</v>
      </c>
      <c r="N1319" s="14">
        <f>ROUND(tblSprzedaz[[#This Row],[Ilość]]*tblSprzedaz[[#This Row],[Koszt jednostkowy netto]],2)</f>
        <v>483.36</v>
      </c>
      <c r="O1319" s="14">
        <f>tblSprzedaz[[#This Row],[Przychód netto]]-tblSprzedaz[[#This Row],[Koszt całkowity netto]]</f>
        <v>291.84000000000003</v>
      </c>
      <c r="P1319" s="15">
        <f>IFERROR(tblSprzedaz[[#This Row],[Marża kwotowa]]/tblSprzedaz[[#This Row],[Przychód netto]],0)</f>
        <v>0.37647058823529411</v>
      </c>
      <c r="Q1319" s="16">
        <f>YEAR(tblSprzedaz[[#This Row],[Data]])</f>
        <v>2025</v>
      </c>
      <c r="R1319" s="16">
        <f>MONTH(tblSprzedaz[[#This Row],[Data]])</f>
        <v>12</v>
      </c>
      <c r="S1319" s="9" t="str">
        <f>YEAR(tblSprzedaz[[#This Row],[Data]])&amp;"-"&amp;RIGHT("0"&amp;MONTH(tblSprzedaz[[#This Row],[Data]]),2)</f>
        <v>2025-12</v>
      </c>
    </row>
    <row r="1320" spans="1:19" x14ac:dyDescent="0.25">
      <c r="A1320" s="7" t="s">
        <v>2807</v>
      </c>
      <c r="B1320" s="10">
        <v>46002</v>
      </c>
      <c r="C1320" s="7" t="s">
        <v>2808</v>
      </c>
      <c r="D1320" s="8" t="s">
        <v>148</v>
      </c>
      <c r="E1320" s="8" t="s">
        <v>57</v>
      </c>
      <c r="F1320" s="8" t="s">
        <v>31</v>
      </c>
      <c r="G1320" s="8" t="s">
        <v>32</v>
      </c>
      <c r="H1320" s="8" t="s">
        <v>42</v>
      </c>
      <c r="I1320" s="11">
        <v>7</v>
      </c>
      <c r="J1320" s="12">
        <v>315</v>
      </c>
      <c r="K1320" s="13">
        <v>0</v>
      </c>
      <c r="L1320" s="12">
        <v>212.54</v>
      </c>
      <c r="M1320" s="14">
        <f>ROUND(tblSprzedaz[[#This Row],[Ilość]]*tblSprzedaz[[#This Row],[Cena netto jednostkowa]]*(1-tblSprzedaz[[#This Row],[Rabat %]]),2)</f>
        <v>2205</v>
      </c>
      <c r="N1320" s="14">
        <f>ROUND(tblSprzedaz[[#This Row],[Ilość]]*tblSprzedaz[[#This Row],[Koszt jednostkowy netto]],2)</f>
        <v>1487.78</v>
      </c>
      <c r="O1320" s="14">
        <f>tblSprzedaz[[#This Row],[Przychód netto]]-tblSprzedaz[[#This Row],[Koszt całkowity netto]]</f>
        <v>717.22</v>
      </c>
      <c r="P1320" s="15">
        <f>IFERROR(tblSprzedaz[[#This Row],[Marża kwotowa]]/tblSprzedaz[[#This Row],[Przychód netto]],0)</f>
        <v>0.32526984126984126</v>
      </c>
      <c r="Q1320" s="16">
        <f>YEAR(tblSprzedaz[[#This Row],[Data]])</f>
        <v>2025</v>
      </c>
      <c r="R1320" s="16">
        <f>MONTH(tblSprzedaz[[#This Row],[Data]])</f>
        <v>12</v>
      </c>
      <c r="S1320" s="9" t="str">
        <f>YEAR(tblSprzedaz[[#This Row],[Data]])&amp;"-"&amp;RIGHT("0"&amp;MONTH(tblSprzedaz[[#This Row],[Data]]),2)</f>
        <v>2025-12</v>
      </c>
    </row>
    <row r="1321" spans="1:19" x14ac:dyDescent="0.25">
      <c r="A1321" s="7" t="s">
        <v>2809</v>
      </c>
      <c r="B1321" s="10">
        <v>46002</v>
      </c>
      <c r="C1321" s="7" t="s">
        <v>2810</v>
      </c>
      <c r="D1321" s="8" t="s">
        <v>111</v>
      </c>
      <c r="E1321" s="8" t="s">
        <v>54</v>
      </c>
      <c r="F1321" s="8" t="s">
        <v>31</v>
      </c>
      <c r="G1321" s="8" t="s">
        <v>30</v>
      </c>
      <c r="H1321" s="8" t="s">
        <v>40</v>
      </c>
      <c r="I1321" s="11">
        <v>5</v>
      </c>
      <c r="J1321" s="12">
        <v>207.9</v>
      </c>
      <c r="K1321" s="13">
        <v>0.05</v>
      </c>
      <c r="L1321" s="12">
        <v>129.62</v>
      </c>
      <c r="M1321" s="14">
        <f>ROUND(tblSprzedaz[[#This Row],[Ilość]]*tblSprzedaz[[#This Row],[Cena netto jednostkowa]]*(1-tblSprzedaz[[#This Row],[Rabat %]]),2)</f>
        <v>987.53</v>
      </c>
      <c r="N1321" s="14">
        <f>ROUND(tblSprzedaz[[#This Row],[Ilość]]*tblSprzedaz[[#This Row],[Koszt jednostkowy netto]],2)</f>
        <v>648.1</v>
      </c>
      <c r="O1321" s="14">
        <f>tblSprzedaz[[#This Row],[Przychód netto]]-tblSprzedaz[[#This Row],[Koszt całkowity netto]]</f>
        <v>339.42999999999995</v>
      </c>
      <c r="P1321" s="15">
        <f>IFERROR(tblSprzedaz[[#This Row],[Marża kwotowa]]/tblSprzedaz[[#This Row],[Przychód netto]],0)</f>
        <v>0.34371614026915631</v>
      </c>
      <c r="Q1321" s="16">
        <f>YEAR(tblSprzedaz[[#This Row],[Data]])</f>
        <v>2025</v>
      </c>
      <c r="R1321" s="16">
        <f>MONTH(tblSprzedaz[[#This Row],[Data]])</f>
        <v>12</v>
      </c>
      <c r="S1321" s="9" t="str">
        <f>YEAR(tblSprzedaz[[#This Row],[Data]])&amp;"-"&amp;RIGHT("0"&amp;MONTH(tblSprzedaz[[#This Row],[Data]]),2)</f>
        <v>2025-12</v>
      </c>
    </row>
    <row r="1322" spans="1:19" x14ac:dyDescent="0.25">
      <c r="A1322" s="7" t="s">
        <v>2811</v>
      </c>
      <c r="B1322" s="10">
        <v>46002</v>
      </c>
      <c r="C1322" s="7" t="s">
        <v>2812</v>
      </c>
      <c r="D1322" s="8" t="s">
        <v>152</v>
      </c>
      <c r="E1322" s="8" t="s">
        <v>63</v>
      </c>
      <c r="F1322" s="8" t="s">
        <v>33</v>
      </c>
      <c r="G1322" s="8" t="s">
        <v>36</v>
      </c>
      <c r="H1322" s="8" t="s">
        <v>46</v>
      </c>
      <c r="I1322" s="11">
        <v>1</v>
      </c>
      <c r="J1322" s="12">
        <v>690</v>
      </c>
      <c r="K1322" s="13">
        <v>0.05</v>
      </c>
      <c r="L1322" s="12">
        <v>465.92</v>
      </c>
      <c r="M1322" s="14">
        <f>ROUND(tblSprzedaz[[#This Row],[Ilość]]*tblSprzedaz[[#This Row],[Cena netto jednostkowa]]*(1-tblSprzedaz[[#This Row],[Rabat %]]),2)</f>
        <v>655.5</v>
      </c>
      <c r="N1322" s="14">
        <f>ROUND(tblSprzedaz[[#This Row],[Ilość]]*tblSprzedaz[[#This Row],[Koszt jednostkowy netto]],2)</f>
        <v>465.92</v>
      </c>
      <c r="O1322" s="14">
        <f>tblSprzedaz[[#This Row],[Przychód netto]]-tblSprzedaz[[#This Row],[Koszt całkowity netto]]</f>
        <v>189.57999999999998</v>
      </c>
      <c r="P1322" s="15">
        <f>IFERROR(tblSprzedaz[[#This Row],[Marża kwotowa]]/tblSprzedaz[[#This Row],[Przychód netto]],0)</f>
        <v>0.28921434019832187</v>
      </c>
      <c r="Q1322" s="16">
        <f>YEAR(tblSprzedaz[[#This Row],[Data]])</f>
        <v>2025</v>
      </c>
      <c r="R1322" s="16">
        <f>MONTH(tblSprzedaz[[#This Row],[Data]])</f>
        <v>12</v>
      </c>
      <c r="S1322" s="9" t="str">
        <f>YEAR(tblSprzedaz[[#This Row],[Data]])&amp;"-"&amp;RIGHT("0"&amp;MONTH(tblSprzedaz[[#This Row],[Data]]),2)</f>
        <v>2025-12</v>
      </c>
    </row>
    <row r="1323" spans="1:19" x14ac:dyDescent="0.25">
      <c r="A1323" s="7" t="s">
        <v>2813</v>
      </c>
      <c r="B1323" s="10">
        <v>46003</v>
      </c>
      <c r="C1323" s="7" t="s">
        <v>2814</v>
      </c>
      <c r="D1323" s="8" t="s">
        <v>145</v>
      </c>
      <c r="E1323" s="8" t="s">
        <v>50</v>
      </c>
      <c r="F1323" s="8" t="s">
        <v>29</v>
      </c>
      <c r="G1323" s="8" t="s">
        <v>32</v>
      </c>
      <c r="H1323" s="8" t="s">
        <v>43</v>
      </c>
      <c r="I1323" s="11">
        <v>7</v>
      </c>
      <c r="J1323" s="12">
        <v>45.22</v>
      </c>
      <c r="K1323" s="13">
        <v>0.05</v>
      </c>
      <c r="L1323" s="12">
        <v>26.47</v>
      </c>
      <c r="M1323" s="14">
        <f>ROUND(tblSprzedaz[[#This Row],[Ilość]]*tblSprzedaz[[#This Row],[Cena netto jednostkowa]]*(1-tblSprzedaz[[#This Row],[Rabat %]]),2)</f>
        <v>300.70999999999998</v>
      </c>
      <c r="N1323" s="14">
        <f>ROUND(tblSprzedaz[[#This Row],[Ilość]]*tblSprzedaz[[#This Row],[Koszt jednostkowy netto]],2)</f>
        <v>185.29</v>
      </c>
      <c r="O1323" s="14">
        <f>tblSprzedaz[[#This Row],[Przychód netto]]-tblSprzedaz[[#This Row],[Koszt całkowity netto]]</f>
        <v>115.41999999999999</v>
      </c>
      <c r="P1323" s="15">
        <f>IFERROR(tblSprzedaz[[#This Row],[Marża kwotowa]]/tblSprzedaz[[#This Row],[Przychód netto]],0)</f>
        <v>0.38382494762395664</v>
      </c>
      <c r="Q1323" s="16">
        <f>YEAR(tblSprzedaz[[#This Row],[Data]])</f>
        <v>2025</v>
      </c>
      <c r="R1323" s="16">
        <f>MONTH(tblSprzedaz[[#This Row],[Data]])</f>
        <v>12</v>
      </c>
      <c r="S1323" s="9" t="str">
        <f>YEAR(tblSprzedaz[[#This Row],[Data]])&amp;"-"&amp;RIGHT("0"&amp;MONTH(tblSprzedaz[[#This Row],[Data]]),2)</f>
        <v>2025-12</v>
      </c>
    </row>
    <row r="1324" spans="1:19" x14ac:dyDescent="0.25">
      <c r="A1324" s="7" t="s">
        <v>2815</v>
      </c>
      <c r="B1324" s="10">
        <v>46003</v>
      </c>
      <c r="C1324" s="7" t="s">
        <v>2816</v>
      </c>
      <c r="D1324" s="8" t="s">
        <v>99</v>
      </c>
      <c r="E1324" s="8" t="s">
        <v>53</v>
      </c>
      <c r="F1324" s="8" t="s">
        <v>29</v>
      </c>
      <c r="G1324" s="8" t="s">
        <v>34</v>
      </c>
      <c r="H1324" s="8" t="s">
        <v>44</v>
      </c>
      <c r="I1324" s="11">
        <v>16</v>
      </c>
      <c r="J1324" s="12">
        <v>27.88</v>
      </c>
      <c r="K1324" s="13">
        <v>0</v>
      </c>
      <c r="L1324" s="12">
        <v>17.22</v>
      </c>
      <c r="M1324" s="14">
        <f>ROUND(tblSprzedaz[[#This Row],[Ilość]]*tblSprzedaz[[#This Row],[Cena netto jednostkowa]]*(1-tblSprzedaz[[#This Row],[Rabat %]]),2)</f>
        <v>446.08</v>
      </c>
      <c r="N1324" s="14">
        <f>ROUND(tblSprzedaz[[#This Row],[Ilość]]*tblSprzedaz[[#This Row],[Koszt jednostkowy netto]],2)</f>
        <v>275.52</v>
      </c>
      <c r="O1324" s="14">
        <f>tblSprzedaz[[#This Row],[Przychód netto]]-tblSprzedaz[[#This Row],[Koszt całkowity netto]]</f>
        <v>170.56</v>
      </c>
      <c r="P1324" s="15">
        <f>IFERROR(tblSprzedaz[[#This Row],[Marża kwotowa]]/tblSprzedaz[[#This Row],[Przychód netto]],0)</f>
        <v>0.38235294117647062</v>
      </c>
      <c r="Q1324" s="16">
        <f>YEAR(tblSprzedaz[[#This Row],[Data]])</f>
        <v>2025</v>
      </c>
      <c r="R1324" s="16">
        <f>MONTH(tblSprzedaz[[#This Row],[Data]])</f>
        <v>12</v>
      </c>
      <c r="S1324" s="9" t="str">
        <f>YEAR(tblSprzedaz[[#This Row],[Data]])&amp;"-"&amp;RIGHT("0"&amp;MONTH(tblSprzedaz[[#This Row],[Data]]),2)</f>
        <v>2025-12</v>
      </c>
    </row>
    <row r="1325" spans="1:19" x14ac:dyDescent="0.25">
      <c r="A1325" s="7" t="s">
        <v>2817</v>
      </c>
      <c r="B1325" s="10">
        <v>46003</v>
      </c>
      <c r="C1325" s="7" t="s">
        <v>2818</v>
      </c>
      <c r="D1325" s="8" t="s">
        <v>96</v>
      </c>
      <c r="E1325" s="8" t="s">
        <v>59</v>
      </c>
      <c r="F1325" s="8" t="s">
        <v>31</v>
      </c>
      <c r="G1325" s="8" t="s">
        <v>32</v>
      </c>
      <c r="H1325" s="8" t="s">
        <v>43</v>
      </c>
      <c r="I1325" s="11">
        <v>8</v>
      </c>
      <c r="J1325" s="12">
        <v>172.2</v>
      </c>
      <c r="K1325" s="13">
        <v>0</v>
      </c>
      <c r="L1325" s="12">
        <v>112.15</v>
      </c>
      <c r="M1325" s="14">
        <f>ROUND(tblSprzedaz[[#This Row],[Ilość]]*tblSprzedaz[[#This Row],[Cena netto jednostkowa]]*(1-tblSprzedaz[[#This Row],[Rabat %]]),2)</f>
        <v>1377.6</v>
      </c>
      <c r="N1325" s="14">
        <f>ROUND(tblSprzedaz[[#This Row],[Ilość]]*tblSprzedaz[[#This Row],[Koszt jednostkowy netto]],2)</f>
        <v>897.2</v>
      </c>
      <c r="O1325" s="14">
        <f>tblSprzedaz[[#This Row],[Przychód netto]]-tblSprzedaz[[#This Row],[Koszt całkowity netto]]</f>
        <v>480.39999999999986</v>
      </c>
      <c r="P1325" s="15">
        <f>IFERROR(tblSprzedaz[[#This Row],[Marża kwotowa]]/tblSprzedaz[[#This Row],[Przychód netto]],0)</f>
        <v>0.34872241579558644</v>
      </c>
      <c r="Q1325" s="16">
        <f>YEAR(tblSprzedaz[[#This Row],[Data]])</f>
        <v>2025</v>
      </c>
      <c r="R1325" s="16">
        <f>MONTH(tblSprzedaz[[#This Row],[Data]])</f>
        <v>12</v>
      </c>
      <c r="S1325" s="9" t="str">
        <f>YEAR(tblSprzedaz[[#This Row],[Data]])&amp;"-"&amp;RIGHT("0"&amp;MONTH(tblSprzedaz[[#This Row],[Data]]),2)</f>
        <v>2025-12</v>
      </c>
    </row>
    <row r="1326" spans="1:19" x14ac:dyDescent="0.25">
      <c r="A1326" s="7" t="s">
        <v>2819</v>
      </c>
      <c r="B1326" s="10">
        <v>46003</v>
      </c>
      <c r="C1326" s="7" t="s">
        <v>2820</v>
      </c>
      <c r="D1326" s="8" t="s">
        <v>87</v>
      </c>
      <c r="E1326" s="8" t="s">
        <v>52</v>
      </c>
      <c r="F1326" s="8" t="s">
        <v>29</v>
      </c>
      <c r="G1326" s="8" t="s">
        <v>36</v>
      </c>
      <c r="H1326" s="8" t="s">
        <v>46</v>
      </c>
      <c r="I1326" s="11">
        <v>4</v>
      </c>
      <c r="J1326" s="12">
        <v>56.78</v>
      </c>
      <c r="K1326" s="13">
        <v>0.1</v>
      </c>
      <c r="L1326" s="12">
        <v>34.51</v>
      </c>
      <c r="M1326" s="14">
        <f>ROUND(tblSprzedaz[[#This Row],[Ilość]]*tblSprzedaz[[#This Row],[Cena netto jednostkowa]]*(1-tblSprzedaz[[#This Row],[Rabat %]]),2)</f>
        <v>204.41</v>
      </c>
      <c r="N1326" s="14">
        <f>ROUND(tblSprzedaz[[#This Row],[Ilość]]*tblSprzedaz[[#This Row],[Koszt jednostkowy netto]],2)</f>
        <v>138.04</v>
      </c>
      <c r="O1326" s="14">
        <f>tblSprzedaz[[#This Row],[Przychód netto]]-tblSprzedaz[[#This Row],[Koszt całkowity netto]]</f>
        <v>66.37</v>
      </c>
      <c r="P1326" s="15">
        <f>IFERROR(tblSprzedaz[[#This Row],[Marża kwotowa]]/tblSprzedaz[[#This Row],[Przychód netto]],0)</f>
        <v>0.32469057286825498</v>
      </c>
      <c r="Q1326" s="16">
        <f>YEAR(tblSprzedaz[[#This Row],[Data]])</f>
        <v>2025</v>
      </c>
      <c r="R1326" s="16">
        <f>MONTH(tblSprzedaz[[#This Row],[Data]])</f>
        <v>12</v>
      </c>
      <c r="S1326" s="9" t="str">
        <f>YEAR(tblSprzedaz[[#This Row],[Data]])&amp;"-"&amp;RIGHT("0"&amp;MONTH(tblSprzedaz[[#This Row],[Data]]),2)</f>
        <v>2025-12</v>
      </c>
    </row>
    <row r="1327" spans="1:19" x14ac:dyDescent="0.25">
      <c r="A1327" s="7" t="s">
        <v>2821</v>
      </c>
      <c r="B1327" s="10">
        <v>46003</v>
      </c>
      <c r="C1327" s="7" t="s">
        <v>2822</v>
      </c>
      <c r="D1327" s="8" t="s">
        <v>111</v>
      </c>
      <c r="E1327" s="8" t="s">
        <v>59</v>
      </c>
      <c r="F1327" s="8" t="s">
        <v>31</v>
      </c>
      <c r="G1327" s="8" t="s">
        <v>28</v>
      </c>
      <c r="H1327" s="8" t="s">
        <v>38</v>
      </c>
      <c r="I1327" s="11">
        <v>16</v>
      </c>
      <c r="J1327" s="12">
        <v>172.2</v>
      </c>
      <c r="K1327" s="13">
        <v>0.05</v>
      </c>
      <c r="L1327" s="12">
        <v>112.12</v>
      </c>
      <c r="M1327" s="14">
        <f>ROUND(tblSprzedaz[[#This Row],[Ilość]]*tblSprzedaz[[#This Row],[Cena netto jednostkowa]]*(1-tblSprzedaz[[#This Row],[Rabat %]]),2)</f>
        <v>2617.44</v>
      </c>
      <c r="N1327" s="14">
        <f>ROUND(tblSprzedaz[[#This Row],[Ilość]]*tblSprzedaz[[#This Row],[Koszt jednostkowy netto]],2)</f>
        <v>1793.92</v>
      </c>
      <c r="O1327" s="14">
        <f>tblSprzedaz[[#This Row],[Przychód netto]]-tblSprzedaz[[#This Row],[Koszt całkowity netto]]</f>
        <v>823.52</v>
      </c>
      <c r="P1327" s="15">
        <f>IFERROR(tblSprzedaz[[#This Row],[Marża kwotowa]]/tblSprzedaz[[#This Row],[Przychód netto]],0)</f>
        <v>0.31462803349838009</v>
      </c>
      <c r="Q1327" s="16">
        <f>YEAR(tblSprzedaz[[#This Row],[Data]])</f>
        <v>2025</v>
      </c>
      <c r="R1327" s="16">
        <f>MONTH(tblSprzedaz[[#This Row],[Data]])</f>
        <v>12</v>
      </c>
      <c r="S1327" s="9" t="str">
        <f>YEAR(tblSprzedaz[[#This Row],[Data]])&amp;"-"&amp;RIGHT("0"&amp;MONTH(tblSprzedaz[[#This Row],[Data]]),2)</f>
        <v>2025-12</v>
      </c>
    </row>
    <row r="1328" spans="1:19" x14ac:dyDescent="0.25">
      <c r="A1328" s="7" t="s">
        <v>2823</v>
      </c>
      <c r="B1328" s="10">
        <v>46003</v>
      </c>
      <c r="C1328" s="7" t="s">
        <v>2824</v>
      </c>
      <c r="D1328" s="8" t="s">
        <v>104</v>
      </c>
      <c r="E1328" s="8" t="s">
        <v>56</v>
      </c>
      <c r="F1328" s="8" t="s">
        <v>31</v>
      </c>
      <c r="G1328" s="8" t="s">
        <v>34</v>
      </c>
      <c r="H1328" s="8" t="s">
        <v>45</v>
      </c>
      <c r="I1328" s="11">
        <v>5</v>
      </c>
      <c r="J1328" s="12">
        <v>279.3</v>
      </c>
      <c r="K1328" s="13">
        <v>0.05</v>
      </c>
      <c r="L1328" s="12">
        <v>170.35</v>
      </c>
      <c r="M1328" s="14">
        <f>ROUND(tblSprzedaz[[#This Row],[Ilość]]*tblSprzedaz[[#This Row],[Cena netto jednostkowa]]*(1-tblSprzedaz[[#This Row],[Rabat %]]),2)</f>
        <v>1326.68</v>
      </c>
      <c r="N1328" s="14">
        <f>ROUND(tblSprzedaz[[#This Row],[Ilość]]*tblSprzedaz[[#This Row],[Koszt jednostkowy netto]],2)</f>
        <v>851.75</v>
      </c>
      <c r="O1328" s="14">
        <f>tblSprzedaz[[#This Row],[Przychód netto]]-tblSprzedaz[[#This Row],[Koszt całkowity netto]]</f>
        <v>474.93000000000006</v>
      </c>
      <c r="P1328" s="15">
        <f>IFERROR(tblSprzedaz[[#This Row],[Marża kwotowa]]/tblSprzedaz[[#This Row],[Przychód netto]],0)</f>
        <v>0.35798383935839845</v>
      </c>
      <c r="Q1328" s="16">
        <f>YEAR(tblSprzedaz[[#This Row],[Data]])</f>
        <v>2025</v>
      </c>
      <c r="R1328" s="16">
        <f>MONTH(tblSprzedaz[[#This Row],[Data]])</f>
        <v>12</v>
      </c>
      <c r="S1328" s="9" t="str">
        <f>YEAR(tblSprzedaz[[#This Row],[Data]])&amp;"-"&amp;RIGHT("0"&amp;MONTH(tblSprzedaz[[#This Row],[Data]]),2)</f>
        <v>2025-12</v>
      </c>
    </row>
    <row r="1329" spans="1:19" x14ac:dyDescent="0.25">
      <c r="A1329" s="7" t="s">
        <v>2825</v>
      </c>
      <c r="B1329" s="10">
        <v>46003</v>
      </c>
      <c r="C1329" s="7" t="s">
        <v>2826</v>
      </c>
      <c r="D1329" s="8" t="s">
        <v>152</v>
      </c>
      <c r="E1329" s="8" t="s">
        <v>49</v>
      </c>
      <c r="F1329" s="8" t="s">
        <v>29</v>
      </c>
      <c r="G1329" s="8" t="s">
        <v>36</v>
      </c>
      <c r="H1329" s="8" t="s">
        <v>46</v>
      </c>
      <c r="I1329" s="11">
        <v>13</v>
      </c>
      <c r="J1329" s="12">
        <v>39.44</v>
      </c>
      <c r="K1329" s="13">
        <v>0</v>
      </c>
      <c r="L1329" s="12">
        <v>23.35</v>
      </c>
      <c r="M1329" s="14">
        <f>ROUND(tblSprzedaz[[#This Row],[Ilość]]*tblSprzedaz[[#This Row],[Cena netto jednostkowa]]*(1-tblSprzedaz[[#This Row],[Rabat %]]),2)</f>
        <v>512.72</v>
      </c>
      <c r="N1329" s="14">
        <f>ROUND(tblSprzedaz[[#This Row],[Ilość]]*tblSprzedaz[[#This Row],[Koszt jednostkowy netto]],2)</f>
        <v>303.55</v>
      </c>
      <c r="O1329" s="14">
        <f>tblSprzedaz[[#This Row],[Przychód netto]]-tblSprzedaz[[#This Row],[Koszt całkowity netto]]</f>
        <v>209.17000000000002</v>
      </c>
      <c r="P1329" s="15">
        <f>IFERROR(tblSprzedaz[[#This Row],[Marża kwotowa]]/tblSprzedaz[[#This Row],[Przychód netto]],0)</f>
        <v>0.40796146044624748</v>
      </c>
      <c r="Q1329" s="16">
        <f>YEAR(tblSprzedaz[[#This Row],[Data]])</f>
        <v>2025</v>
      </c>
      <c r="R1329" s="16">
        <f>MONTH(tblSprzedaz[[#This Row],[Data]])</f>
        <v>12</v>
      </c>
      <c r="S1329" s="9" t="str">
        <f>YEAR(tblSprzedaz[[#This Row],[Data]])&amp;"-"&amp;RIGHT("0"&amp;MONTH(tblSprzedaz[[#This Row],[Data]]),2)</f>
        <v>2025-12</v>
      </c>
    </row>
    <row r="1330" spans="1:19" x14ac:dyDescent="0.25">
      <c r="A1330" s="7" t="s">
        <v>2827</v>
      </c>
      <c r="B1330" s="10">
        <v>46004</v>
      </c>
      <c r="C1330" s="7" t="s">
        <v>2828</v>
      </c>
      <c r="D1330" s="8" t="s">
        <v>79</v>
      </c>
      <c r="E1330" s="8" t="s">
        <v>74</v>
      </c>
      <c r="F1330" s="8" t="s">
        <v>37</v>
      </c>
      <c r="G1330" s="8" t="s">
        <v>30</v>
      </c>
      <c r="H1330" s="8" t="s">
        <v>40</v>
      </c>
      <c r="I1330" s="11">
        <v>22</v>
      </c>
      <c r="J1330" s="12">
        <v>126.35</v>
      </c>
      <c r="K1330" s="13">
        <v>0</v>
      </c>
      <c r="L1330" s="12">
        <v>100.04</v>
      </c>
      <c r="M1330" s="14">
        <f>ROUND(tblSprzedaz[[#This Row],[Ilość]]*tblSprzedaz[[#This Row],[Cena netto jednostkowa]]*(1-tblSprzedaz[[#This Row],[Rabat %]]),2)</f>
        <v>2779.7</v>
      </c>
      <c r="N1330" s="14">
        <f>ROUND(tblSprzedaz[[#This Row],[Ilość]]*tblSprzedaz[[#This Row],[Koszt jednostkowy netto]],2)</f>
        <v>2200.88</v>
      </c>
      <c r="O1330" s="14">
        <f>tblSprzedaz[[#This Row],[Przychód netto]]-tblSprzedaz[[#This Row],[Koszt całkowity netto]]</f>
        <v>578.81999999999971</v>
      </c>
      <c r="P1330" s="15">
        <f>IFERROR(tblSprzedaz[[#This Row],[Marża kwotowa]]/tblSprzedaz[[#This Row],[Przychód netto]],0)</f>
        <v>0.20823110407597933</v>
      </c>
      <c r="Q1330" s="16">
        <f>YEAR(tblSprzedaz[[#This Row],[Data]])</f>
        <v>2025</v>
      </c>
      <c r="R1330" s="16">
        <f>MONTH(tblSprzedaz[[#This Row],[Data]])</f>
        <v>12</v>
      </c>
      <c r="S1330" s="9" t="str">
        <f>YEAR(tblSprzedaz[[#This Row],[Data]])&amp;"-"&amp;RIGHT("0"&amp;MONTH(tblSprzedaz[[#This Row],[Data]]),2)</f>
        <v>2025-12</v>
      </c>
    </row>
    <row r="1331" spans="1:19" x14ac:dyDescent="0.25">
      <c r="A1331" s="7" t="s">
        <v>2829</v>
      </c>
      <c r="B1331" s="10">
        <v>46004</v>
      </c>
      <c r="C1331" s="7" t="s">
        <v>2830</v>
      </c>
      <c r="D1331" s="8" t="s">
        <v>89</v>
      </c>
      <c r="E1331" s="8" t="s">
        <v>51</v>
      </c>
      <c r="F1331" s="8" t="s">
        <v>29</v>
      </c>
      <c r="G1331" s="8" t="s">
        <v>32</v>
      </c>
      <c r="H1331" s="8" t="s">
        <v>43</v>
      </c>
      <c r="I1331" s="11">
        <v>27</v>
      </c>
      <c r="J1331" s="12">
        <v>51</v>
      </c>
      <c r="K1331" s="13">
        <v>0.1</v>
      </c>
      <c r="L1331" s="12">
        <v>31.26</v>
      </c>
      <c r="M1331" s="14">
        <f>ROUND(tblSprzedaz[[#This Row],[Ilość]]*tblSprzedaz[[#This Row],[Cena netto jednostkowa]]*(1-tblSprzedaz[[#This Row],[Rabat %]]),2)</f>
        <v>1239.3</v>
      </c>
      <c r="N1331" s="14">
        <f>ROUND(tblSprzedaz[[#This Row],[Ilość]]*tblSprzedaz[[#This Row],[Koszt jednostkowy netto]],2)</f>
        <v>844.02</v>
      </c>
      <c r="O1331" s="14">
        <f>tblSprzedaz[[#This Row],[Przychód netto]]-tblSprzedaz[[#This Row],[Koszt całkowity netto]]</f>
        <v>395.28</v>
      </c>
      <c r="P1331" s="15">
        <f>IFERROR(tblSprzedaz[[#This Row],[Marża kwotowa]]/tblSprzedaz[[#This Row],[Przychód netto]],0)</f>
        <v>0.31895424836601305</v>
      </c>
      <c r="Q1331" s="16">
        <f>YEAR(tblSprzedaz[[#This Row],[Data]])</f>
        <v>2025</v>
      </c>
      <c r="R1331" s="16">
        <f>MONTH(tblSprzedaz[[#This Row],[Data]])</f>
        <v>12</v>
      </c>
      <c r="S1331" s="9" t="str">
        <f>YEAR(tblSprzedaz[[#This Row],[Data]])&amp;"-"&amp;RIGHT("0"&amp;MONTH(tblSprzedaz[[#This Row],[Data]]),2)</f>
        <v>2025-12</v>
      </c>
    </row>
    <row r="1332" spans="1:19" x14ac:dyDescent="0.25">
      <c r="A1332" s="7" t="s">
        <v>2831</v>
      </c>
      <c r="B1332" s="10">
        <v>46005</v>
      </c>
      <c r="C1332" s="7" t="s">
        <v>2832</v>
      </c>
      <c r="D1332" s="8" t="s">
        <v>129</v>
      </c>
      <c r="E1332" s="8" t="s">
        <v>59</v>
      </c>
      <c r="F1332" s="8" t="s">
        <v>31</v>
      </c>
      <c r="G1332" s="8" t="s">
        <v>32</v>
      </c>
      <c r="H1332" s="8" t="s">
        <v>42</v>
      </c>
      <c r="I1332" s="11">
        <v>25</v>
      </c>
      <c r="J1332" s="12">
        <v>172.2</v>
      </c>
      <c r="K1332" s="13">
        <v>0.15</v>
      </c>
      <c r="L1332" s="12">
        <v>105.53</v>
      </c>
      <c r="M1332" s="14">
        <f>ROUND(tblSprzedaz[[#This Row],[Ilość]]*tblSprzedaz[[#This Row],[Cena netto jednostkowa]]*(1-tblSprzedaz[[#This Row],[Rabat %]]),2)</f>
        <v>3659.25</v>
      </c>
      <c r="N1332" s="14">
        <f>ROUND(tblSprzedaz[[#This Row],[Ilość]]*tblSprzedaz[[#This Row],[Koszt jednostkowy netto]],2)</f>
        <v>2638.25</v>
      </c>
      <c r="O1332" s="14">
        <f>tblSprzedaz[[#This Row],[Przychód netto]]-tblSprzedaz[[#This Row],[Koszt całkowity netto]]</f>
        <v>1021</v>
      </c>
      <c r="P1332" s="15">
        <f>IFERROR(tblSprzedaz[[#This Row],[Marża kwotowa]]/tblSprzedaz[[#This Row],[Przychód netto]],0)</f>
        <v>0.27901892464302797</v>
      </c>
      <c r="Q1332" s="16">
        <f>YEAR(tblSprzedaz[[#This Row],[Data]])</f>
        <v>2025</v>
      </c>
      <c r="R1332" s="16">
        <f>MONTH(tblSprzedaz[[#This Row],[Data]])</f>
        <v>12</v>
      </c>
      <c r="S1332" s="9" t="str">
        <f>YEAR(tblSprzedaz[[#This Row],[Data]])&amp;"-"&amp;RIGHT("0"&amp;MONTH(tblSprzedaz[[#This Row],[Data]]),2)</f>
        <v>2025-12</v>
      </c>
    </row>
    <row r="1333" spans="1:19" x14ac:dyDescent="0.25">
      <c r="A1333" s="7" t="s">
        <v>2833</v>
      </c>
      <c r="B1333" s="10">
        <v>46006</v>
      </c>
      <c r="C1333" s="7" t="s">
        <v>2834</v>
      </c>
      <c r="D1333" s="8" t="s">
        <v>112</v>
      </c>
      <c r="E1333" s="8" t="s">
        <v>75</v>
      </c>
      <c r="F1333" s="8" t="s">
        <v>37</v>
      </c>
      <c r="G1333" s="8" t="s">
        <v>36</v>
      </c>
      <c r="H1333" s="8" t="s">
        <v>47</v>
      </c>
      <c r="I1333" s="11">
        <v>3</v>
      </c>
      <c r="J1333" s="12">
        <v>142.5</v>
      </c>
      <c r="K1333" s="13">
        <v>0</v>
      </c>
      <c r="L1333" s="12">
        <v>114.19</v>
      </c>
      <c r="M1333" s="14">
        <f>ROUND(tblSprzedaz[[#This Row],[Ilość]]*tblSprzedaz[[#This Row],[Cena netto jednostkowa]]*(1-tblSprzedaz[[#This Row],[Rabat %]]),2)</f>
        <v>427.5</v>
      </c>
      <c r="N1333" s="14">
        <f>ROUND(tblSprzedaz[[#This Row],[Ilość]]*tblSprzedaz[[#This Row],[Koszt jednostkowy netto]],2)</f>
        <v>342.57</v>
      </c>
      <c r="O1333" s="14">
        <f>tblSprzedaz[[#This Row],[Przychód netto]]-tblSprzedaz[[#This Row],[Koszt całkowity netto]]</f>
        <v>84.93</v>
      </c>
      <c r="P1333" s="15">
        <f>IFERROR(tblSprzedaz[[#This Row],[Marża kwotowa]]/tblSprzedaz[[#This Row],[Przychód netto]],0)</f>
        <v>0.19866666666666669</v>
      </c>
      <c r="Q1333" s="16">
        <f>YEAR(tblSprzedaz[[#This Row],[Data]])</f>
        <v>2025</v>
      </c>
      <c r="R1333" s="16">
        <f>MONTH(tblSprzedaz[[#This Row],[Data]])</f>
        <v>12</v>
      </c>
      <c r="S1333" s="9" t="str">
        <f>YEAR(tblSprzedaz[[#This Row],[Data]])&amp;"-"&amp;RIGHT("0"&amp;MONTH(tblSprzedaz[[#This Row],[Data]]),2)</f>
        <v>2025-12</v>
      </c>
    </row>
    <row r="1334" spans="1:19" x14ac:dyDescent="0.25">
      <c r="A1334" s="7" t="s">
        <v>2835</v>
      </c>
      <c r="B1334" s="10">
        <v>46006</v>
      </c>
      <c r="C1334" s="7" t="s">
        <v>2836</v>
      </c>
      <c r="D1334" s="8" t="s">
        <v>113</v>
      </c>
      <c r="E1334" s="8" t="s">
        <v>61</v>
      </c>
      <c r="F1334" s="8" t="s">
        <v>33</v>
      </c>
      <c r="G1334" s="8" t="s">
        <v>28</v>
      </c>
      <c r="H1334" s="8" t="s">
        <v>38</v>
      </c>
      <c r="I1334" s="11">
        <v>3</v>
      </c>
      <c r="J1334" s="12">
        <v>533.6</v>
      </c>
      <c r="K1334" s="13">
        <v>0.15</v>
      </c>
      <c r="L1334" s="12">
        <v>379.12</v>
      </c>
      <c r="M1334" s="14">
        <f>ROUND(tblSprzedaz[[#This Row],[Ilość]]*tblSprzedaz[[#This Row],[Cena netto jednostkowa]]*(1-tblSprzedaz[[#This Row],[Rabat %]]),2)</f>
        <v>1360.68</v>
      </c>
      <c r="N1334" s="14">
        <f>ROUND(tblSprzedaz[[#This Row],[Ilość]]*tblSprzedaz[[#This Row],[Koszt jednostkowy netto]],2)</f>
        <v>1137.3599999999999</v>
      </c>
      <c r="O1334" s="14">
        <f>tblSprzedaz[[#This Row],[Przychód netto]]-tblSprzedaz[[#This Row],[Koszt całkowity netto]]</f>
        <v>223.32000000000016</v>
      </c>
      <c r="P1334" s="15">
        <f>IFERROR(tblSprzedaz[[#This Row],[Marża kwotowa]]/tblSprzedaz[[#This Row],[Przychód netto]],0)</f>
        <v>0.16412382044271992</v>
      </c>
      <c r="Q1334" s="16">
        <f>YEAR(tblSprzedaz[[#This Row],[Data]])</f>
        <v>2025</v>
      </c>
      <c r="R1334" s="16">
        <f>MONTH(tblSprzedaz[[#This Row],[Data]])</f>
        <v>12</v>
      </c>
      <c r="S1334" s="9" t="str">
        <f>YEAR(tblSprzedaz[[#This Row],[Data]])&amp;"-"&amp;RIGHT("0"&amp;MONTH(tblSprzedaz[[#This Row],[Data]]),2)</f>
        <v>2025-12</v>
      </c>
    </row>
    <row r="1335" spans="1:19" x14ac:dyDescent="0.25">
      <c r="A1335" s="7" t="s">
        <v>2837</v>
      </c>
      <c r="B1335" s="10">
        <v>46006</v>
      </c>
      <c r="C1335" s="7" t="s">
        <v>2838</v>
      </c>
      <c r="D1335" s="8" t="s">
        <v>101</v>
      </c>
      <c r="E1335" s="8" t="s">
        <v>62</v>
      </c>
      <c r="F1335" s="8" t="s">
        <v>33</v>
      </c>
      <c r="G1335" s="8" t="s">
        <v>34</v>
      </c>
      <c r="H1335" s="8" t="s">
        <v>45</v>
      </c>
      <c r="I1335" s="11">
        <v>13</v>
      </c>
      <c r="J1335" s="12">
        <v>611.79999999999995</v>
      </c>
      <c r="K1335" s="13">
        <v>0</v>
      </c>
      <c r="L1335" s="12">
        <v>406.37</v>
      </c>
      <c r="M1335" s="14">
        <f>ROUND(tblSprzedaz[[#This Row],[Ilość]]*tblSprzedaz[[#This Row],[Cena netto jednostkowa]]*(1-tblSprzedaz[[#This Row],[Rabat %]]),2)</f>
        <v>7953.4</v>
      </c>
      <c r="N1335" s="14">
        <f>ROUND(tblSprzedaz[[#This Row],[Ilość]]*tblSprzedaz[[#This Row],[Koszt jednostkowy netto]],2)</f>
        <v>5282.81</v>
      </c>
      <c r="O1335" s="14">
        <f>tblSprzedaz[[#This Row],[Przychód netto]]-tblSprzedaz[[#This Row],[Koszt całkowity netto]]</f>
        <v>2670.5899999999992</v>
      </c>
      <c r="P1335" s="15">
        <f>IFERROR(tblSprzedaz[[#This Row],[Marża kwotowa]]/tblSprzedaz[[#This Row],[Przychód netto]],0)</f>
        <v>0.33577966655769853</v>
      </c>
      <c r="Q1335" s="16">
        <f>YEAR(tblSprzedaz[[#This Row],[Data]])</f>
        <v>2025</v>
      </c>
      <c r="R1335" s="16">
        <f>MONTH(tblSprzedaz[[#This Row],[Data]])</f>
        <v>12</v>
      </c>
      <c r="S1335" s="9" t="str">
        <f>YEAR(tblSprzedaz[[#This Row],[Data]])&amp;"-"&amp;RIGHT("0"&amp;MONTH(tblSprzedaz[[#This Row],[Data]]),2)</f>
        <v>2025-12</v>
      </c>
    </row>
    <row r="1336" spans="1:19" x14ac:dyDescent="0.25">
      <c r="A1336" s="7" t="s">
        <v>2839</v>
      </c>
      <c r="B1336" s="10">
        <v>46006</v>
      </c>
      <c r="C1336" s="7" t="s">
        <v>2840</v>
      </c>
      <c r="D1336" s="8" t="s">
        <v>111</v>
      </c>
      <c r="E1336" s="8" t="s">
        <v>55</v>
      </c>
      <c r="F1336" s="8" t="s">
        <v>31</v>
      </c>
      <c r="G1336" s="8" t="s">
        <v>34</v>
      </c>
      <c r="H1336" s="8" t="s">
        <v>45</v>
      </c>
      <c r="I1336" s="11">
        <v>8</v>
      </c>
      <c r="J1336" s="12">
        <v>243.6</v>
      </c>
      <c r="K1336" s="13">
        <v>0.15</v>
      </c>
      <c r="L1336" s="12">
        <v>150.72</v>
      </c>
      <c r="M1336" s="14">
        <f>ROUND(tblSprzedaz[[#This Row],[Ilość]]*tblSprzedaz[[#This Row],[Cena netto jednostkowa]]*(1-tblSprzedaz[[#This Row],[Rabat %]]),2)</f>
        <v>1656.48</v>
      </c>
      <c r="N1336" s="14">
        <f>ROUND(tblSprzedaz[[#This Row],[Ilość]]*tblSprzedaz[[#This Row],[Koszt jednostkowy netto]],2)</f>
        <v>1205.76</v>
      </c>
      <c r="O1336" s="14">
        <f>tblSprzedaz[[#This Row],[Przychód netto]]-tblSprzedaz[[#This Row],[Koszt całkowity netto]]</f>
        <v>450.72</v>
      </c>
      <c r="P1336" s="15">
        <f>IFERROR(tblSprzedaz[[#This Row],[Marża kwotowa]]/tblSprzedaz[[#This Row],[Przychód netto]],0)</f>
        <v>0.27209504491451753</v>
      </c>
      <c r="Q1336" s="16">
        <f>YEAR(tblSprzedaz[[#This Row],[Data]])</f>
        <v>2025</v>
      </c>
      <c r="R1336" s="16">
        <f>MONTH(tblSprzedaz[[#This Row],[Data]])</f>
        <v>12</v>
      </c>
      <c r="S1336" s="9" t="str">
        <f>YEAR(tblSprzedaz[[#This Row],[Data]])&amp;"-"&amp;RIGHT("0"&amp;MONTH(tblSprzedaz[[#This Row],[Data]]),2)</f>
        <v>2025-12</v>
      </c>
    </row>
    <row r="1337" spans="1:19" x14ac:dyDescent="0.25">
      <c r="A1337" s="7" t="s">
        <v>2841</v>
      </c>
      <c r="B1337" s="10">
        <v>46007</v>
      </c>
      <c r="C1337" s="7" t="s">
        <v>2842</v>
      </c>
      <c r="D1337" s="8" t="s">
        <v>133</v>
      </c>
      <c r="E1337" s="8" t="s">
        <v>53</v>
      </c>
      <c r="F1337" s="8" t="s">
        <v>29</v>
      </c>
      <c r="G1337" s="8" t="s">
        <v>32</v>
      </c>
      <c r="H1337" s="8" t="s">
        <v>42</v>
      </c>
      <c r="I1337" s="11">
        <v>2</v>
      </c>
      <c r="J1337" s="12">
        <v>27.88</v>
      </c>
      <c r="K1337" s="13">
        <v>0.05</v>
      </c>
      <c r="L1337" s="12">
        <v>16.149999999999999</v>
      </c>
      <c r="M1337" s="14">
        <f>ROUND(tblSprzedaz[[#This Row],[Ilość]]*tblSprzedaz[[#This Row],[Cena netto jednostkowa]]*(1-tblSprzedaz[[#This Row],[Rabat %]]),2)</f>
        <v>52.97</v>
      </c>
      <c r="N1337" s="14">
        <f>ROUND(tblSprzedaz[[#This Row],[Ilość]]*tblSprzedaz[[#This Row],[Koszt jednostkowy netto]],2)</f>
        <v>32.299999999999997</v>
      </c>
      <c r="O1337" s="14">
        <f>tblSprzedaz[[#This Row],[Przychód netto]]-tblSprzedaz[[#This Row],[Koszt całkowity netto]]</f>
        <v>20.67</v>
      </c>
      <c r="P1337" s="15">
        <f>IFERROR(tblSprzedaz[[#This Row],[Marża kwotowa]]/tblSprzedaz[[#This Row],[Przychód netto]],0)</f>
        <v>0.39022087974325093</v>
      </c>
      <c r="Q1337" s="16">
        <f>YEAR(tblSprzedaz[[#This Row],[Data]])</f>
        <v>2025</v>
      </c>
      <c r="R1337" s="16">
        <f>MONTH(tblSprzedaz[[#This Row],[Data]])</f>
        <v>12</v>
      </c>
      <c r="S1337" s="9" t="str">
        <f>YEAR(tblSprzedaz[[#This Row],[Data]])&amp;"-"&amp;RIGHT("0"&amp;MONTH(tblSprzedaz[[#This Row],[Data]]),2)</f>
        <v>2025-12</v>
      </c>
    </row>
    <row r="1338" spans="1:19" x14ac:dyDescent="0.25">
      <c r="A1338" s="7" t="s">
        <v>2843</v>
      </c>
      <c r="B1338" s="10">
        <v>46007</v>
      </c>
      <c r="C1338" s="7" t="s">
        <v>2844</v>
      </c>
      <c r="D1338" s="8" t="s">
        <v>79</v>
      </c>
      <c r="E1338" s="8" t="s">
        <v>68</v>
      </c>
      <c r="F1338" s="8" t="s">
        <v>35</v>
      </c>
      <c r="G1338" s="8" t="s">
        <v>30</v>
      </c>
      <c r="H1338" s="8" t="s">
        <v>40</v>
      </c>
      <c r="I1338" s="11">
        <v>12</v>
      </c>
      <c r="J1338" s="12">
        <v>90.44</v>
      </c>
      <c r="K1338" s="13">
        <v>0.05</v>
      </c>
      <c r="L1338" s="12">
        <v>67.739999999999995</v>
      </c>
      <c r="M1338" s="14">
        <f>ROUND(tblSprzedaz[[#This Row],[Ilość]]*tblSprzedaz[[#This Row],[Cena netto jednostkowa]]*(1-tblSprzedaz[[#This Row],[Rabat %]]),2)</f>
        <v>1031.02</v>
      </c>
      <c r="N1338" s="14">
        <f>ROUND(tblSprzedaz[[#This Row],[Ilość]]*tblSprzedaz[[#This Row],[Koszt jednostkowy netto]],2)</f>
        <v>812.88</v>
      </c>
      <c r="O1338" s="14">
        <f>tblSprzedaz[[#This Row],[Przychód netto]]-tblSprzedaz[[#This Row],[Koszt całkowity netto]]</f>
        <v>218.14</v>
      </c>
      <c r="P1338" s="15">
        <f>IFERROR(tblSprzedaz[[#This Row],[Marża kwotowa]]/tblSprzedaz[[#This Row],[Przychód netto]],0)</f>
        <v>0.21157688502647862</v>
      </c>
      <c r="Q1338" s="16">
        <f>YEAR(tblSprzedaz[[#This Row],[Data]])</f>
        <v>2025</v>
      </c>
      <c r="R1338" s="16">
        <f>MONTH(tblSprzedaz[[#This Row],[Data]])</f>
        <v>12</v>
      </c>
      <c r="S1338" s="9" t="str">
        <f>YEAR(tblSprzedaz[[#This Row],[Data]])&amp;"-"&amp;RIGHT("0"&amp;MONTH(tblSprzedaz[[#This Row],[Data]]),2)</f>
        <v>2025-12</v>
      </c>
    </row>
    <row r="1339" spans="1:19" x14ac:dyDescent="0.25">
      <c r="A1339" s="7" t="s">
        <v>2845</v>
      </c>
      <c r="B1339" s="10">
        <v>46007</v>
      </c>
      <c r="C1339" s="7" t="s">
        <v>2846</v>
      </c>
      <c r="D1339" s="8" t="s">
        <v>92</v>
      </c>
      <c r="E1339" s="8" t="s">
        <v>59</v>
      </c>
      <c r="F1339" s="8" t="s">
        <v>31</v>
      </c>
      <c r="G1339" s="8" t="s">
        <v>30</v>
      </c>
      <c r="H1339" s="8" t="s">
        <v>40</v>
      </c>
      <c r="I1339" s="11">
        <v>20</v>
      </c>
      <c r="J1339" s="12">
        <v>172.2</v>
      </c>
      <c r="K1339" s="13">
        <v>0.15</v>
      </c>
      <c r="L1339" s="12">
        <v>108.56</v>
      </c>
      <c r="M1339" s="14">
        <f>ROUND(tblSprzedaz[[#This Row],[Ilość]]*tblSprzedaz[[#This Row],[Cena netto jednostkowa]]*(1-tblSprzedaz[[#This Row],[Rabat %]]),2)</f>
        <v>2927.4</v>
      </c>
      <c r="N1339" s="14">
        <f>ROUND(tblSprzedaz[[#This Row],[Ilość]]*tblSprzedaz[[#This Row],[Koszt jednostkowy netto]],2)</f>
        <v>2171.1999999999998</v>
      </c>
      <c r="O1339" s="14">
        <f>tblSprzedaz[[#This Row],[Przychód netto]]-tblSprzedaz[[#This Row],[Koszt całkowity netto]]</f>
        <v>756.20000000000027</v>
      </c>
      <c r="P1339" s="15">
        <f>IFERROR(tblSprzedaz[[#This Row],[Marża kwotowa]]/tblSprzedaz[[#This Row],[Przychód netto]],0)</f>
        <v>0.25831796133087392</v>
      </c>
      <c r="Q1339" s="16">
        <f>YEAR(tblSprzedaz[[#This Row],[Data]])</f>
        <v>2025</v>
      </c>
      <c r="R1339" s="16">
        <f>MONTH(tblSprzedaz[[#This Row],[Data]])</f>
        <v>12</v>
      </c>
      <c r="S1339" s="9" t="str">
        <f>YEAR(tblSprzedaz[[#This Row],[Data]])&amp;"-"&amp;RIGHT("0"&amp;MONTH(tblSprzedaz[[#This Row],[Data]]),2)</f>
        <v>2025-12</v>
      </c>
    </row>
    <row r="1340" spans="1:19" x14ac:dyDescent="0.25">
      <c r="A1340" s="7" t="s">
        <v>2847</v>
      </c>
      <c r="B1340" s="10">
        <v>46007</v>
      </c>
      <c r="C1340" s="7" t="s">
        <v>2848</v>
      </c>
      <c r="D1340" s="8" t="s">
        <v>83</v>
      </c>
      <c r="E1340" s="8" t="s">
        <v>55</v>
      </c>
      <c r="F1340" s="8" t="s">
        <v>31</v>
      </c>
      <c r="G1340" s="8" t="s">
        <v>30</v>
      </c>
      <c r="H1340" s="8" t="s">
        <v>40</v>
      </c>
      <c r="I1340" s="11">
        <v>12</v>
      </c>
      <c r="J1340" s="12">
        <v>243.6</v>
      </c>
      <c r="K1340" s="13">
        <v>0</v>
      </c>
      <c r="L1340" s="12">
        <v>157.72</v>
      </c>
      <c r="M1340" s="14">
        <f>ROUND(tblSprzedaz[[#This Row],[Ilość]]*tblSprzedaz[[#This Row],[Cena netto jednostkowa]]*(1-tblSprzedaz[[#This Row],[Rabat %]]),2)</f>
        <v>2923.2</v>
      </c>
      <c r="N1340" s="14">
        <f>ROUND(tblSprzedaz[[#This Row],[Ilość]]*tblSprzedaz[[#This Row],[Koszt jednostkowy netto]],2)</f>
        <v>1892.64</v>
      </c>
      <c r="O1340" s="14">
        <f>tblSprzedaz[[#This Row],[Przychód netto]]-tblSprzedaz[[#This Row],[Koszt całkowity netto]]</f>
        <v>1030.5599999999997</v>
      </c>
      <c r="P1340" s="15">
        <f>IFERROR(tblSprzedaz[[#This Row],[Marża kwotowa]]/tblSprzedaz[[#This Row],[Przychód netto]],0)</f>
        <v>0.35254515599343178</v>
      </c>
      <c r="Q1340" s="16">
        <f>YEAR(tblSprzedaz[[#This Row],[Data]])</f>
        <v>2025</v>
      </c>
      <c r="R1340" s="16">
        <f>MONTH(tblSprzedaz[[#This Row],[Data]])</f>
        <v>12</v>
      </c>
      <c r="S1340" s="9" t="str">
        <f>YEAR(tblSprzedaz[[#This Row],[Data]])&amp;"-"&amp;RIGHT("0"&amp;MONTH(tblSprzedaz[[#This Row],[Data]]),2)</f>
        <v>2025-12</v>
      </c>
    </row>
    <row r="1341" spans="1:19" x14ac:dyDescent="0.25">
      <c r="A1341" s="7" t="s">
        <v>2849</v>
      </c>
      <c r="B1341" s="10">
        <v>46007</v>
      </c>
      <c r="C1341" s="7" t="s">
        <v>2850</v>
      </c>
      <c r="D1341" s="8" t="s">
        <v>139</v>
      </c>
      <c r="E1341" s="8" t="s">
        <v>59</v>
      </c>
      <c r="F1341" s="8" t="s">
        <v>31</v>
      </c>
      <c r="G1341" s="8" t="s">
        <v>36</v>
      </c>
      <c r="H1341" s="8" t="s">
        <v>46</v>
      </c>
      <c r="I1341" s="11">
        <v>14</v>
      </c>
      <c r="J1341" s="12">
        <v>172.2</v>
      </c>
      <c r="K1341" s="13">
        <v>0.1</v>
      </c>
      <c r="L1341" s="12">
        <v>102.92</v>
      </c>
      <c r="M1341" s="14">
        <f>ROUND(tblSprzedaz[[#This Row],[Ilość]]*tblSprzedaz[[#This Row],[Cena netto jednostkowa]]*(1-tblSprzedaz[[#This Row],[Rabat %]]),2)</f>
        <v>2169.7199999999998</v>
      </c>
      <c r="N1341" s="14">
        <f>ROUND(tblSprzedaz[[#This Row],[Ilość]]*tblSprzedaz[[#This Row],[Koszt jednostkowy netto]],2)</f>
        <v>1440.88</v>
      </c>
      <c r="O1341" s="14">
        <f>tblSprzedaz[[#This Row],[Przychód netto]]-tblSprzedaz[[#This Row],[Koszt całkowity netto]]</f>
        <v>728.83999999999969</v>
      </c>
      <c r="P1341" s="15">
        <f>IFERROR(tblSprzedaz[[#This Row],[Marża kwotowa]]/tblSprzedaz[[#This Row],[Przychód netto]],0)</f>
        <v>0.33591431152406753</v>
      </c>
      <c r="Q1341" s="16">
        <f>YEAR(tblSprzedaz[[#This Row],[Data]])</f>
        <v>2025</v>
      </c>
      <c r="R1341" s="16">
        <f>MONTH(tblSprzedaz[[#This Row],[Data]])</f>
        <v>12</v>
      </c>
      <c r="S1341" s="9" t="str">
        <f>YEAR(tblSprzedaz[[#This Row],[Data]])&amp;"-"&amp;RIGHT("0"&amp;MONTH(tblSprzedaz[[#This Row],[Data]]),2)</f>
        <v>2025-12</v>
      </c>
    </row>
    <row r="1342" spans="1:19" x14ac:dyDescent="0.25">
      <c r="A1342" s="7" t="s">
        <v>2851</v>
      </c>
      <c r="B1342" s="10">
        <v>46008</v>
      </c>
      <c r="C1342" s="7" t="s">
        <v>2852</v>
      </c>
      <c r="D1342" s="8" t="s">
        <v>130</v>
      </c>
      <c r="E1342" s="8" t="s">
        <v>77</v>
      </c>
      <c r="F1342" s="8" t="s">
        <v>37</v>
      </c>
      <c r="G1342" s="8" t="s">
        <v>34</v>
      </c>
      <c r="H1342" s="8" t="s">
        <v>44</v>
      </c>
      <c r="I1342" s="11">
        <v>7</v>
      </c>
      <c r="J1342" s="12">
        <v>77.900000000000006</v>
      </c>
      <c r="K1342" s="13">
        <v>0.05</v>
      </c>
      <c r="L1342" s="12">
        <v>60.13</v>
      </c>
      <c r="M1342" s="14">
        <f>ROUND(tblSprzedaz[[#This Row],[Ilość]]*tblSprzedaz[[#This Row],[Cena netto jednostkowa]]*(1-tblSprzedaz[[#This Row],[Rabat %]]),2)</f>
        <v>518.04</v>
      </c>
      <c r="N1342" s="14">
        <f>ROUND(tblSprzedaz[[#This Row],[Ilość]]*tblSprzedaz[[#This Row],[Koszt jednostkowy netto]],2)</f>
        <v>420.91</v>
      </c>
      <c r="O1342" s="14">
        <f>tblSprzedaz[[#This Row],[Przychód netto]]-tblSprzedaz[[#This Row],[Koszt całkowity netto]]</f>
        <v>97.129999999999939</v>
      </c>
      <c r="P1342" s="15">
        <f>IFERROR(tblSprzedaz[[#This Row],[Marża kwotowa]]/tblSprzedaz[[#This Row],[Przychód netto]],0)</f>
        <v>0.18749517411782862</v>
      </c>
      <c r="Q1342" s="16">
        <f>YEAR(tblSprzedaz[[#This Row],[Data]])</f>
        <v>2025</v>
      </c>
      <c r="R1342" s="16">
        <f>MONTH(tblSprzedaz[[#This Row],[Data]])</f>
        <v>12</v>
      </c>
      <c r="S1342" s="9" t="str">
        <f>YEAR(tblSprzedaz[[#This Row],[Data]])&amp;"-"&amp;RIGHT("0"&amp;MONTH(tblSprzedaz[[#This Row],[Data]]),2)</f>
        <v>2025-12</v>
      </c>
    </row>
    <row r="1343" spans="1:19" x14ac:dyDescent="0.25">
      <c r="A1343" s="7" t="s">
        <v>2853</v>
      </c>
      <c r="B1343" s="10">
        <v>46008</v>
      </c>
      <c r="C1343" s="7" t="s">
        <v>2854</v>
      </c>
      <c r="D1343" s="8" t="s">
        <v>142</v>
      </c>
      <c r="E1343" s="8" t="s">
        <v>66</v>
      </c>
      <c r="F1343" s="8" t="s">
        <v>35</v>
      </c>
      <c r="G1343" s="8" t="s">
        <v>36</v>
      </c>
      <c r="H1343" s="8" t="s">
        <v>46</v>
      </c>
      <c r="I1343" s="11">
        <v>4</v>
      </c>
      <c r="J1343" s="12">
        <v>67.319999999999993</v>
      </c>
      <c r="K1343" s="13">
        <v>0</v>
      </c>
      <c r="L1343" s="12">
        <v>50.83</v>
      </c>
      <c r="M1343" s="14">
        <f>ROUND(tblSprzedaz[[#This Row],[Ilość]]*tblSprzedaz[[#This Row],[Cena netto jednostkowa]]*(1-tblSprzedaz[[#This Row],[Rabat %]]),2)</f>
        <v>269.27999999999997</v>
      </c>
      <c r="N1343" s="14">
        <f>ROUND(tblSprzedaz[[#This Row],[Ilość]]*tblSprzedaz[[#This Row],[Koszt jednostkowy netto]],2)</f>
        <v>203.32</v>
      </c>
      <c r="O1343" s="14">
        <f>tblSprzedaz[[#This Row],[Przychód netto]]-tblSprzedaz[[#This Row],[Koszt całkowity netto]]</f>
        <v>65.95999999999998</v>
      </c>
      <c r="P1343" s="15">
        <f>IFERROR(tblSprzedaz[[#This Row],[Marża kwotowa]]/tblSprzedaz[[#This Row],[Przychód netto]],0)</f>
        <v>0.24494949494949489</v>
      </c>
      <c r="Q1343" s="16">
        <f>YEAR(tblSprzedaz[[#This Row],[Data]])</f>
        <v>2025</v>
      </c>
      <c r="R1343" s="16">
        <f>MONTH(tblSprzedaz[[#This Row],[Data]])</f>
        <v>12</v>
      </c>
      <c r="S1343" s="9" t="str">
        <f>YEAR(tblSprzedaz[[#This Row],[Data]])&amp;"-"&amp;RIGHT("0"&amp;MONTH(tblSprzedaz[[#This Row],[Data]]),2)</f>
        <v>2025-12</v>
      </c>
    </row>
    <row r="1344" spans="1:19" x14ac:dyDescent="0.25">
      <c r="A1344" s="7" t="s">
        <v>2855</v>
      </c>
      <c r="B1344" s="10">
        <v>46008</v>
      </c>
      <c r="C1344" s="7" t="s">
        <v>2856</v>
      </c>
      <c r="D1344" s="8" t="s">
        <v>111</v>
      </c>
      <c r="E1344" s="8" t="s">
        <v>62</v>
      </c>
      <c r="F1344" s="8" t="s">
        <v>33</v>
      </c>
      <c r="G1344" s="8" t="s">
        <v>34</v>
      </c>
      <c r="H1344" s="8" t="s">
        <v>44</v>
      </c>
      <c r="I1344" s="11">
        <v>1</v>
      </c>
      <c r="J1344" s="12">
        <v>611.79999999999995</v>
      </c>
      <c r="K1344" s="13">
        <v>0.05</v>
      </c>
      <c r="L1344" s="12">
        <v>413.55</v>
      </c>
      <c r="M1344" s="14">
        <f>ROUND(tblSprzedaz[[#This Row],[Ilość]]*tblSprzedaz[[#This Row],[Cena netto jednostkowa]]*(1-tblSprzedaz[[#This Row],[Rabat %]]),2)</f>
        <v>581.21</v>
      </c>
      <c r="N1344" s="14">
        <f>ROUND(tblSprzedaz[[#This Row],[Ilość]]*tblSprzedaz[[#This Row],[Koszt jednostkowy netto]],2)</f>
        <v>413.55</v>
      </c>
      <c r="O1344" s="14">
        <f>tblSprzedaz[[#This Row],[Przychód netto]]-tblSprzedaz[[#This Row],[Koszt całkowity netto]]</f>
        <v>167.66000000000003</v>
      </c>
      <c r="P1344" s="15">
        <f>IFERROR(tblSprzedaz[[#This Row],[Marża kwotowa]]/tblSprzedaz[[#This Row],[Przychód netto]],0)</f>
        <v>0.28846716333167016</v>
      </c>
      <c r="Q1344" s="16">
        <f>YEAR(tblSprzedaz[[#This Row],[Data]])</f>
        <v>2025</v>
      </c>
      <c r="R1344" s="16">
        <f>MONTH(tblSprzedaz[[#This Row],[Data]])</f>
        <v>12</v>
      </c>
      <c r="S1344" s="9" t="str">
        <f>YEAR(tblSprzedaz[[#This Row],[Data]])&amp;"-"&amp;RIGHT("0"&amp;MONTH(tblSprzedaz[[#This Row],[Data]]),2)</f>
        <v>2025-12</v>
      </c>
    </row>
    <row r="1345" spans="1:19" x14ac:dyDescent="0.25">
      <c r="A1345" s="7" t="s">
        <v>2857</v>
      </c>
      <c r="B1345" s="10">
        <v>46008</v>
      </c>
      <c r="C1345" s="7" t="s">
        <v>2858</v>
      </c>
      <c r="D1345" s="8" t="s">
        <v>144</v>
      </c>
      <c r="E1345" s="8" t="s">
        <v>75</v>
      </c>
      <c r="F1345" s="8" t="s">
        <v>37</v>
      </c>
      <c r="G1345" s="8" t="s">
        <v>36</v>
      </c>
      <c r="H1345" s="8" t="s">
        <v>46</v>
      </c>
      <c r="I1345" s="11">
        <v>13</v>
      </c>
      <c r="J1345" s="12">
        <v>142.5</v>
      </c>
      <c r="K1345" s="13">
        <v>0</v>
      </c>
      <c r="L1345" s="12">
        <v>106.32</v>
      </c>
      <c r="M1345" s="14">
        <f>ROUND(tblSprzedaz[[#This Row],[Ilość]]*tblSprzedaz[[#This Row],[Cena netto jednostkowa]]*(1-tblSprzedaz[[#This Row],[Rabat %]]),2)</f>
        <v>1852.5</v>
      </c>
      <c r="N1345" s="14">
        <f>ROUND(tblSprzedaz[[#This Row],[Ilość]]*tblSprzedaz[[#This Row],[Koszt jednostkowy netto]],2)</f>
        <v>1382.16</v>
      </c>
      <c r="O1345" s="14">
        <f>tblSprzedaz[[#This Row],[Przychód netto]]-tblSprzedaz[[#This Row],[Koszt całkowity netto]]</f>
        <v>470.33999999999992</v>
      </c>
      <c r="P1345" s="15">
        <f>IFERROR(tblSprzedaz[[#This Row],[Marża kwotowa]]/tblSprzedaz[[#This Row],[Przychód netto]],0)</f>
        <v>0.25389473684210523</v>
      </c>
      <c r="Q1345" s="16">
        <f>YEAR(tblSprzedaz[[#This Row],[Data]])</f>
        <v>2025</v>
      </c>
      <c r="R1345" s="16">
        <f>MONTH(tblSprzedaz[[#This Row],[Data]])</f>
        <v>12</v>
      </c>
      <c r="S1345" s="9" t="str">
        <f>YEAR(tblSprzedaz[[#This Row],[Data]])&amp;"-"&amp;RIGHT("0"&amp;MONTH(tblSprzedaz[[#This Row],[Data]]),2)</f>
        <v>2025-12</v>
      </c>
    </row>
    <row r="1346" spans="1:19" x14ac:dyDescent="0.25">
      <c r="A1346" s="7" t="s">
        <v>2859</v>
      </c>
      <c r="B1346" s="10">
        <v>46008</v>
      </c>
      <c r="C1346" s="7" t="s">
        <v>2860</v>
      </c>
      <c r="D1346" s="8" t="s">
        <v>102</v>
      </c>
      <c r="E1346" s="8" t="s">
        <v>75</v>
      </c>
      <c r="F1346" s="8" t="s">
        <v>37</v>
      </c>
      <c r="G1346" s="8" t="s">
        <v>32</v>
      </c>
      <c r="H1346" s="8" t="s">
        <v>43</v>
      </c>
      <c r="I1346" s="11">
        <v>21</v>
      </c>
      <c r="J1346" s="12">
        <v>142.5</v>
      </c>
      <c r="K1346" s="13">
        <v>0.15</v>
      </c>
      <c r="L1346" s="12">
        <v>104.87</v>
      </c>
      <c r="M1346" s="14">
        <f>ROUND(tblSprzedaz[[#This Row],[Ilość]]*tblSprzedaz[[#This Row],[Cena netto jednostkowa]]*(1-tblSprzedaz[[#This Row],[Rabat %]]),2)</f>
        <v>2543.63</v>
      </c>
      <c r="N1346" s="14">
        <f>ROUND(tblSprzedaz[[#This Row],[Ilość]]*tblSprzedaz[[#This Row],[Koszt jednostkowy netto]],2)</f>
        <v>2202.27</v>
      </c>
      <c r="O1346" s="14">
        <f>tblSprzedaz[[#This Row],[Przychód netto]]-tblSprzedaz[[#This Row],[Koszt całkowity netto]]</f>
        <v>341.36000000000013</v>
      </c>
      <c r="P1346" s="15">
        <f>IFERROR(tblSprzedaz[[#This Row],[Marża kwotowa]]/tblSprzedaz[[#This Row],[Przychód netto]],0)</f>
        <v>0.13420190829641107</v>
      </c>
      <c r="Q1346" s="16">
        <f>YEAR(tblSprzedaz[[#This Row],[Data]])</f>
        <v>2025</v>
      </c>
      <c r="R1346" s="16">
        <f>MONTH(tblSprzedaz[[#This Row],[Data]])</f>
        <v>12</v>
      </c>
      <c r="S1346" s="9" t="str">
        <f>YEAR(tblSprzedaz[[#This Row],[Data]])&amp;"-"&amp;RIGHT("0"&amp;MONTH(tblSprzedaz[[#This Row],[Data]]),2)</f>
        <v>2025-12</v>
      </c>
    </row>
    <row r="1347" spans="1:19" x14ac:dyDescent="0.25">
      <c r="A1347" s="7" t="s">
        <v>2861</v>
      </c>
      <c r="B1347" s="10">
        <v>46009</v>
      </c>
      <c r="C1347" s="7" t="s">
        <v>2862</v>
      </c>
      <c r="D1347" s="8" t="s">
        <v>126</v>
      </c>
      <c r="E1347" s="8" t="s">
        <v>49</v>
      </c>
      <c r="F1347" s="8" t="s">
        <v>29</v>
      </c>
      <c r="G1347" s="8" t="s">
        <v>36</v>
      </c>
      <c r="H1347" s="8" t="s">
        <v>46</v>
      </c>
      <c r="I1347" s="11">
        <v>17</v>
      </c>
      <c r="J1347" s="12">
        <v>39.44</v>
      </c>
      <c r="K1347" s="13">
        <v>0.15</v>
      </c>
      <c r="L1347" s="12">
        <v>24.78</v>
      </c>
      <c r="M1347" s="14">
        <f>ROUND(tblSprzedaz[[#This Row],[Ilość]]*tblSprzedaz[[#This Row],[Cena netto jednostkowa]]*(1-tblSprzedaz[[#This Row],[Rabat %]]),2)</f>
        <v>569.91</v>
      </c>
      <c r="N1347" s="14">
        <f>ROUND(tblSprzedaz[[#This Row],[Ilość]]*tblSprzedaz[[#This Row],[Koszt jednostkowy netto]],2)</f>
        <v>421.26</v>
      </c>
      <c r="O1347" s="14">
        <f>tblSprzedaz[[#This Row],[Przychód netto]]-tblSprzedaz[[#This Row],[Koszt całkowity netto]]</f>
        <v>148.64999999999998</v>
      </c>
      <c r="P1347" s="15">
        <f>IFERROR(tblSprzedaz[[#This Row],[Marża kwotowa]]/tblSprzedaz[[#This Row],[Przychód netto]],0)</f>
        <v>0.26083065747223244</v>
      </c>
      <c r="Q1347" s="16">
        <f>YEAR(tblSprzedaz[[#This Row],[Data]])</f>
        <v>2025</v>
      </c>
      <c r="R1347" s="16">
        <f>MONTH(tblSprzedaz[[#This Row],[Data]])</f>
        <v>12</v>
      </c>
      <c r="S1347" s="9" t="str">
        <f>YEAR(tblSprzedaz[[#This Row],[Data]])&amp;"-"&amp;RIGHT("0"&amp;MONTH(tblSprzedaz[[#This Row],[Data]]),2)</f>
        <v>2025-12</v>
      </c>
    </row>
    <row r="1348" spans="1:19" x14ac:dyDescent="0.25">
      <c r="A1348" s="7" t="s">
        <v>2863</v>
      </c>
      <c r="B1348" s="10">
        <v>46009</v>
      </c>
      <c r="C1348" s="7" t="s">
        <v>2864</v>
      </c>
      <c r="D1348" s="8" t="s">
        <v>96</v>
      </c>
      <c r="E1348" s="8" t="s">
        <v>73</v>
      </c>
      <c r="F1348" s="8" t="s">
        <v>37</v>
      </c>
      <c r="G1348" s="8" t="s">
        <v>34</v>
      </c>
      <c r="H1348" s="8" t="s">
        <v>44</v>
      </c>
      <c r="I1348" s="11">
        <v>3</v>
      </c>
      <c r="J1348" s="12">
        <v>110.2</v>
      </c>
      <c r="K1348" s="13">
        <v>0.05</v>
      </c>
      <c r="L1348" s="12">
        <v>80.86</v>
      </c>
      <c r="M1348" s="14">
        <f>ROUND(tblSprzedaz[[#This Row],[Ilość]]*tblSprzedaz[[#This Row],[Cena netto jednostkowa]]*(1-tblSprzedaz[[#This Row],[Rabat %]]),2)</f>
        <v>314.07</v>
      </c>
      <c r="N1348" s="14">
        <f>ROUND(tblSprzedaz[[#This Row],[Ilość]]*tblSprzedaz[[#This Row],[Koszt jednostkowy netto]],2)</f>
        <v>242.58</v>
      </c>
      <c r="O1348" s="14">
        <f>tblSprzedaz[[#This Row],[Przychód netto]]-tblSprzedaz[[#This Row],[Koszt całkowity netto]]</f>
        <v>71.489999999999981</v>
      </c>
      <c r="P1348" s="15">
        <f>IFERROR(tblSprzedaz[[#This Row],[Marża kwotowa]]/tblSprzedaz[[#This Row],[Przychód netto]],0)</f>
        <v>0.22762441493934468</v>
      </c>
      <c r="Q1348" s="16">
        <f>YEAR(tblSprzedaz[[#This Row],[Data]])</f>
        <v>2025</v>
      </c>
      <c r="R1348" s="16">
        <f>MONTH(tblSprzedaz[[#This Row],[Data]])</f>
        <v>12</v>
      </c>
      <c r="S1348" s="9" t="str">
        <f>YEAR(tblSprzedaz[[#This Row],[Data]])&amp;"-"&amp;RIGHT("0"&amp;MONTH(tblSprzedaz[[#This Row],[Data]]),2)</f>
        <v>2025-12</v>
      </c>
    </row>
    <row r="1349" spans="1:19" x14ac:dyDescent="0.25">
      <c r="A1349" s="7" t="s">
        <v>2865</v>
      </c>
      <c r="B1349" s="10">
        <v>46009</v>
      </c>
      <c r="C1349" s="7" t="s">
        <v>2866</v>
      </c>
      <c r="D1349" s="8" t="s">
        <v>80</v>
      </c>
      <c r="E1349" s="8" t="s">
        <v>54</v>
      </c>
      <c r="F1349" s="8" t="s">
        <v>31</v>
      </c>
      <c r="G1349" s="8" t="s">
        <v>32</v>
      </c>
      <c r="H1349" s="8" t="s">
        <v>42</v>
      </c>
      <c r="I1349" s="11">
        <v>20</v>
      </c>
      <c r="J1349" s="12">
        <v>207.9</v>
      </c>
      <c r="K1349" s="13">
        <v>0</v>
      </c>
      <c r="L1349" s="12">
        <v>140.22999999999999</v>
      </c>
      <c r="M1349" s="14">
        <f>ROUND(tblSprzedaz[[#This Row],[Ilość]]*tblSprzedaz[[#This Row],[Cena netto jednostkowa]]*(1-tblSprzedaz[[#This Row],[Rabat %]]),2)</f>
        <v>4158</v>
      </c>
      <c r="N1349" s="14">
        <f>ROUND(tblSprzedaz[[#This Row],[Ilość]]*tblSprzedaz[[#This Row],[Koszt jednostkowy netto]],2)</f>
        <v>2804.6</v>
      </c>
      <c r="O1349" s="14">
        <f>tblSprzedaz[[#This Row],[Przychód netto]]-tblSprzedaz[[#This Row],[Koszt całkowity netto]]</f>
        <v>1353.4</v>
      </c>
      <c r="P1349" s="15">
        <f>IFERROR(tblSprzedaz[[#This Row],[Marża kwotowa]]/tblSprzedaz[[#This Row],[Przychód netto]],0)</f>
        <v>0.3254930254930255</v>
      </c>
      <c r="Q1349" s="16">
        <f>YEAR(tblSprzedaz[[#This Row],[Data]])</f>
        <v>2025</v>
      </c>
      <c r="R1349" s="16">
        <f>MONTH(tblSprzedaz[[#This Row],[Data]])</f>
        <v>12</v>
      </c>
      <c r="S1349" s="9" t="str">
        <f>YEAR(tblSprzedaz[[#This Row],[Data]])&amp;"-"&amp;RIGHT("0"&amp;MONTH(tblSprzedaz[[#This Row],[Data]]),2)</f>
        <v>2025-12</v>
      </c>
    </row>
    <row r="1350" spans="1:19" x14ac:dyDescent="0.25">
      <c r="A1350" s="7" t="s">
        <v>2867</v>
      </c>
      <c r="B1350" s="10">
        <v>46009</v>
      </c>
      <c r="C1350" s="7" t="s">
        <v>2868</v>
      </c>
      <c r="D1350" s="8" t="s">
        <v>116</v>
      </c>
      <c r="E1350" s="8" t="s">
        <v>49</v>
      </c>
      <c r="F1350" s="8" t="s">
        <v>29</v>
      </c>
      <c r="G1350" s="8" t="s">
        <v>32</v>
      </c>
      <c r="H1350" s="8" t="s">
        <v>43</v>
      </c>
      <c r="I1350" s="11">
        <v>30</v>
      </c>
      <c r="J1350" s="12">
        <v>39.44</v>
      </c>
      <c r="K1350" s="13">
        <v>0.15</v>
      </c>
      <c r="L1350" s="12">
        <v>23.33</v>
      </c>
      <c r="M1350" s="14">
        <f>ROUND(tblSprzedaz[[#This Row],[Ilość]]*tblSprzedaz[[#This Row],[Cena netto jednostkowa]]*(1-tblSprzedaz[[#This Row],[Rabat %]]),2)</f>
        <v>1005.72</v>
      </c>
      <c r="N1350" s="14">
        <f>ROUND(tblSprzedaz[[#This Row],[Ilość]]*tblSprzedaz[[#This Row],[Koszt jednostkowy netto]],2)</f>
        <v>699.9</v>
      </c>
      <c r="O1350" s="14">
        <f>tblSprzedaz[[#This Row],[Przychód netto]]-tblSprzedaz[[#This Row],[Koszt całkowity netto]]</f>
        <v>305.82000000000005</v>
      </c>
      <c r="P1350" s="15">
        <f>IFERROR(tblSprzedaz[[#This Row],[Marża kwotowa]]/tblSprzedaz[[#This Row],[Przychód netto]],0)</f>
        <v>0.30408065863262146</v>
      </c>
      <c r="Q1350" s="16">
        <f>YEAR(tblSprzedaz[[#This Row],[Data]])</f>
        <v>2025</v>
      </c>
      <c r="R1350" s="16">
        <f>MONTH(tblSprzedaz[[#This Row],[Data]])</f>
        <v>12</v>
      </c>
      <c r="S1350" s="9" t="str">
        <f>YEAR(tblSprzedaz[[#This Row],[Data]])&amp;"-"&amp;RIGHT("0"&amp;MONTH(tblSprzedaz[[#This Row],[Data]]),2)</f>
        <v>2025-12</v>
      </c>
    </row>
    <row r="1351" spans="1:19" x14ac:dyDescent="0.25">
      <c r="A1351" s="7" t="s">
        <v>2869</v>
      </c>
      <c r="B1351" s="10">
        <v>46009</v>
      </c>
      <c r="C1351" s="7" t="s">
        <v>2870</v>
      </c>
      <c r="D1351" s="8" t="s">
        <v>148</v>
      </c>
      <c r="E1351" s="8" t="s">
        <v>64</v>
      </c>
      <c r="F1351" s="8" t="s">
        <v>33</v>
      </c>
      <c r="G1351" s="8" t="s">
        <v>30</v>
      </c>
      <c r="H1351" s="8" t="s">
        <v>41</v>
      </c>
      <c r="I1351" s="11">
        <v>7</v>
      </c>
      <c r="J1351" s="12">
        <v>768.2</v>
      </c>
      <c r="K1351" s="13">
        <v>0.05</v>
      </c>
      <c r="L1351" s="12">
        <v>528.89</v>
      </c>
      <c r="M1351" s="14">
        <f>ROUND(tblSprzedaz[[#This Row],[Ilość]]*tblSprzedaz[[#This Row],[Cena netto jednostkowa]]*(1-tblSprzedaz[[#This Row],[Rabat %]]),2)</f>
        <v>5108.53</v>
      </c>
      <c r="N1351" s="14">
        <f>ROUND(tblSprzedaz[[#This Row],[Ilość]]*tblSprzedaz[[#This Row],[Koszt jednostkowy netto]],2)</f>
        <v>3702.23</v>
      </c>
      <c r="O1351" s="14">
        <f>tblSprzedaz[[#This Row],[Przychód netto]]-tblSprzedaz[[#This Row],[Koszt całkowity netto]]</f>
        <v>1406.2999999999997</v>
      </c>
      <c r="P1351" s="15">
        <f>IFERROR(tblSprzedaz[[#This Row],[Marża kwotowa]]/tblSprzedaz[[#This Row],[Przychód netto]],0)</f>
        <v>0.27528467093273401</v>
      </c>
      <c r="Q1351" s="16">
        <f>YEAR(tblSprzedaz[[#This Row],[Data]])</f>
        <v>2025</v>
      </c>
      <c r="R1351" s="16">
        <f>MONTH(tblSprzedaz[[#This Row],[Data]])</f>
        <v>12</v>
      </c>
      <c r="S1351" s="9" t="str">
        <f>YEAR(tblSprzedaz[[#This Row],[Data]])&amp;"-"&amp;RIGHT("0"&amp;MONTH(tblSprzedaz[[#This Row],[Data]]),2)</f>
        <v>2025-12</v>
      </c>
    </row>
    <row r="1352" spans="1:19" x14ac:dyDescent="0.25">
      <c r="A1352" s="7" t="s">
        <v>2871</v>
      </c>
      <c r="B1352" s="10">
        <v>46009</v>
      </c>
      <c r="C1352" s="7" t="s">
        <v>2872</v>
      </c>
      <c r="D1352" s="8" t="s">
        <v>83</v>
      </c>
      <c r="E1352" s="8" t="s">
        <v>54</v>
      </c>
      <c r="F1352" s="8" t="s">
        <v>31</v>
      </c>
      <c r="G1352" s="8" t="s">
        <v>32</v>
      </c>
      <c r="H1352" s="8" t="s">
        <v>43</v>
      </c>
      <c r="I1352" s="11">
        <v>28</v>
      </c>
      <c r="J1352" s="12">
        <v>207.9</v>
      </c>
      <c r="K1352" s="13">
        <v>0</v>
      </c>
      <c r="L1352" s="12">
        <v>127.76</v>
      </c>
      <c r="M1352" s="14">
        <f>ROUND(tblSprzedaz[[#This Row],[Ilość]]*tblSprzedaz[[#This Row],[Cena netto jednostkowa]]*(1-tblSprzedaz[[#This Row],[Rabat %]]),2)</f>
        <v>5821.2</v>
      </c>
      <c r="N1352" s="14">
        <f>ROUND(tblSprzedaz[[#This Row],[Ilość]]*tblSprzedaz[[#This Row],[Koszt jednostkowy netto]],2)</f>
        <v>3577.28</v>
      </c>
      <c r="O1352" s="14">
        <f>tblSprzedaz[[#This Row],[Przychód netto]]-tblSprzedaz[[#This Row],[Koszt całkowity netto]]</f>
        <v>2243.9199999999996</v>
      </c>
      <c r="P1352" s="15">
        <f>IFERROR(tblSprzedaz[[#This Row],[Marża kwotowa]]/tblSprzedaz[[#This Row],[Przychód netto]],0)</f>
        <v>0.38547378547378541</v>
      </c>
      <c r="Q1352" s="16">
        <f>YEAR(tblSprzedaz[[#This Row],[Data]])</f>
        <v>2025</v>
      </c>
      <c r="R1352" s="16">
        <f>MONTH(tblSprzedaz[[#This Row],[Data]])</f>
        <v>12</v>
      </c>
      <c r="S1352" s="9" t="str">
        <f>YEAR(tblSprzedaz[[#This Row],[Data]])&amp;"-"&amp;RIGHT("0"&amp;MONTH(tblSprzedaz[[#This Row],[Data]]),2)</f>
        <v>2025-12</v>
      </c>
    </row>
    <row r="1353" spans="1:19" x14ac:dyDescent="0.25">
      <c r="A1353" s="7" t="s">
        <v>2873</v>
      </c>
      <c r="B1353" s="10">
        <v>46010</v>
      </c>
      <c r="C1353" s="7" t="s">
        <v>2874</v>
      </c>
      <c r="D1353" s="8" t="s">
        <v>137</v>
      </c>
      <c r="E1353" s="8" t="s">
        <v>51</v>
      </c>
      <c r="F1353" s="8" t="s">
        <v>29</v>
      </c>
      <c r="G1353" s="8" t="s">
        <v>28</v>
      </c>
      <c r="H1353" s="8" t="s">
        <v>38</v>
      </c>
      <c r="I1353" s="11">
        <v>13</v>
      </c>
      <c r="J1353" s="12">
        <v>51</v>
      </c>
      <c r="K1353" s="13">
        <v>0.15</v>
      </c>
      <c r="L1353" s="12">
        <v>29.96</v>
      </c>
      <c r="M1353" s="14">
        <f>ROUND(tblSprzedaz[[#This Row],[Ilość]]*tblSprzedaz[[#This Row],[Cena netto jednostkowa]]*(1-tblSprzedaz[[#This Row],[Rabat %]]),2)</f>
        <v>563.54999999999995</v>
      </c>
      <c r="N1353" s="14">
        <f>ROUND(tblSprzedaz[[#This Row],[Ilość]]*tblSprzedaz[[#This Row],[Koszt jednostkowy netto]],2)</f>
        <v>389.48</v>
      </c>
      <c r="O1353" s="14">
        <f>tblSprzedaz[[#This Row],[Przychód netto]]-tblSprzedaz[[#This Row],[Koszt całkowity netto]]</f>
        <v>174.06999999999994</v>
      </c>
      <c r="P1353" s="15">
        <f>IFERROR(tblSprzedaz[[#This Row],[Marża kwotowa]]/tblSprzedaz[[#This Row],[Przychód netto]],0)</f>
        <v>0.30888119953863891</v>
      </c>
      <c r="Q1353" s="16">
        <f>YEAR(tblSprzedaz[[#This Row],[Data]])</f>
        <v>2025</v>
      </c>
      <c r="R1353" s="16">
        <f>MONTH(tblSprzedaz[[#This Row],[Data]])</f>
        <v>12</v>
      </c>
      <c r="S1353" s="9" t="str">
        <f>YEAR(tblSprzedaz[[#This Row],[Data]])&amp;"-"&amp;RIGHT("0"&amp;MONTH(tblSprzedaz[[#This Row],[Data]]),2)</f>
        <v>2025-12</v>
      </c>
    </row>
    <row r="1354" spans="1:19" x14ac:dyDescent="0.25">
      <c r="A1354" s="7" t="s">
        <v>2875</v>
      </c>
      <c r="B1354" s="10">
        <v>46010</v>
      </c>
      <c r="C1354" s="7" t="s">
        <v>2876</v>
      </c>
      <c r="D1354" s="8" t="s">
        <v>106</v>
      </c>
      <c r="E1354" s="8" t="s">
        <v>75</v>
      </c>
      <c r="F1354" s="8" t="s">
        <v>37</v>
      </c>
      <c r="G1354" s="8" t="s">
        <v>30</v>
      </c>
      <c r="H1354" s="8" t="s">
        <v>41</v>
      </c>
      <c r="I1354" s="11">
        <v>21</v>
      </c>
      <c r="J1354" s="12">
        <v>142.5</v>
      </c>
      <c r="K1354" s="13">
        <v>0.15</v>
      </c>
      <c r="L1354" s="12">
        <v>104.76</v>
      </c>
      <c r="M1354" s="14">
        <f>ROUND(tblSprzedaz[[#This Row],[Ilość]]*tblSprzedaz[[#This Row],[Cena netto jednostkowa]]*(1-tblSprzedaz[[#This Row],[Rabat %]]),2)</f>
        <v>2543.63</v>
      </c>
      <c r="N1354" s="14">
        <f>ROUND(tblSprzedaz[[#This Row],[Ilość]]*tblSprzedaz[[#This Row],[Koszt jednostkowy netto]],2)</f>
        <v>2199.96</v>
      </c>
      <c r="O1354" s="14">
        <f>tblSprzedaz[[#This Row],[Przychód netto]]-tblSprzedaz[[#This Row],[Koszt całkowity netto]]</f>
        <v>343.67000000000007</v>
      </c>
      <c r="P1354" s="15">
        <f>IFERROR(tblSprzedaz[[#This Row],[Marża kwotowa]]/tblSprzedaz[[#This Row],[Przychód netto]],0)</f>
        <v>0.13511005924603817</v>
      </c>
      <c r="Q1354" s="16">
        <f>YEAR(tblSprzedaz[[#This Row],[Data]])</f>
        <v>2025</v>
      </c>
      <c r="R1354" s="16">
        <f>MONTH(tblSprzedaz[[#This Row],[Data]])</f>
        <v>12</v>
      </c>
      <c r="S1354" s="9" t="str">
        <f>YEAR(tblSprzedaz[[#This Row],[Data]])&amp;"-"&amp;RIGHT("0"&amp;MONTH(tblSprzedaz[[#This Row],[Data]]),2)</f>
        <v>2025-12</v>
      </c>
    </row>
    <row r="1355" spans="1:19" x14ac:dyDescent="0.25">
      <c r="A1355" s="7" t="s">
        <v>2877</v>
      </c>
      <c r="B1355" s="10">
        <v>46010</v>
      </c>
      <c r="C1355" s="7" t="s">
        <v>2878</v>
      </c>
      <c r="D1355" s="8" t="s">
        <v>141</v>
      </c>
      <c r="E1355" s="8" t="s">
        <v>60</v>
      </c>
      <c r="F1355" s="8" t="s">
        <v>33</v>
      </c>
      <c r="G1355" s="8" t="s">
        <v>30</v>
      </c>
      <c r="H1355" s="8" t="s">
        <v>40</v>
      </c>
      <c r="I1355" s="11">
        <v>7</v>
      </c>
      <c r="J1355" s="12">
        <v>455.4</v>
      </c>
      <c r="K1355" s="13">
        <v>0</v>
      </c>
      <c r="L1355" s="12">
        <v>327.5</v>
      </c>
      <c r="M1355" s="14">
        <f>ROUND(tblSprzedaz[[#This Row],[Ilość]]*tblSprzedaz[[#This Row],[Cena netto jednostkowa]]*(1-tblSprzedaz[[#This Row],[Rabat %]]),2)</f>
        <v>3187.8</v>
      </c>
      <c r="N1355" s="14">
        <f>ROUND(tblSprzedaz[[#This Row],[Ilość]]*tblSprzedaz[[#This Row],[Koszt jednostkowy netto]],2)</f>
        <v>2292.5</v>
      </c>
      <c r="O1355" s="14">
        <f>tblSprzedaz[[#This Row],[Przychód netto]]-tblSprzedaz[[#This Row],[Koszt całkowity netto]]</f>
        <v>895.30000000000018</v>
      </c>
      <c r="P1355" s="15">
        <f>IFERROR(tblSprzedaz[[#This Row],[Marża kwotowa]]/tblSprzedaz[[#This Row],[Przychód netto]],0)</f>
        <v>0.28085199824330265</v>
      </c>
      <c r="Q1355" s="16">
        <f>YEAR(tblSprzedaz[[#This Row],[Data]])</f>
        <v>2025</v>
      </c>
      <c r="R1355" s="16">
        <f>MONTH(tblSprzedaz[[#This Row],[Data]])</f>
        <v>12</v>
      </c>
      <c r="S1355" s="9" t="str">
        <f>YEAR(tblSprzedaz[[#This Row],[Data]])&amp;"-"&amp;RIGHT("0"&amp;MONTH(tblSprzedaz[[#This Row],[Data]]),2)</f>
        <v>2025-12</v>
      </c>
    </row>
    <row r="1356" spans="1:19" x14ac:dyDescent="0.25">
      <c r="A1356" s="7" t="s">
        <v>2879</v>
      </c>
      <c r="B1356" s="10">
        <v>46011</v>
      </c>
      <c r="C1356" s="7" t="s">
        <v>2880</v>
      </c>
      <c r="D1356" s="8" t="s">
        <v>121</v>
      </c>
      <c r="E1356" s="8" t="s">
        <v>55</v>
      </c>
      <c r="F1356" s="8" t="s">
        <v>31</v>
      </c>
      <c r="G1356" s="8" t="s">
        <v>36</v>
      </c>
      <c r="H1356" s="8" t="s">
        <v>46</v>
      </c>
      <c r="I1356" s="11">
        <v>5</v>
      </c>
      <c r="J1356" s="12">
        <v>243.6</v>
      </c>
      <c r="K1356" s="13">
        <v>0.1</v>
      </c>
      <c r="L1356" s="12">
        <v>159.88</v>
      </c>
      <c r="M1356" s="14">
        <f>ROUND(tblSprzedaz[[#This Row],[Ilość]]*tblSprzedaz[[#This Row],[Cena netto jednostkowa]]*(1-tblSprzedaz[[#This Row],[Rabat %]]),2)</f>
        <v>1096.2</v>
      </c>
      <c r="N1356" s="14">
        <f>ROUND(tblSprzedaz[[#This Row],[Ilość]]*tblSprzedaz[[#This Row],[Koszt jednostkowy netto]],2)</f>
        <v>799.4</v>
      </c>
      <c r="O1356" s="14">
        <f>tblSprzedaz[[#This Row],[Przychód netto]]-tblSprzedaz[[#This Row],[Koszt całkowity netto]]</f>
        <v>296.80000000000007</v>
      </c>
      <c r="P1356" s="15">
        <f>IFERROR(tblSprzedaz[[#This Row],[Marża kwotowa]]/tblSprzedaz[[#This Row],[Przychód netto]],0)</f>
        <v>0.2707535121328225</v>
      </c>
      <c r="Q1356" s="16">
        <f>YEAR(tblSprzedaz[[#This Row],[Data]])</f>
        <v>2025</v>
      </c>
      <c r="R1356" s="16">
        <f>MONTH(tblSprzedaz[[#This Row],[Data]])</f>
        <v>12</v>
      </c>
      <c r="S1356" s="9" t="str">
        <f>YEAR(tblSprzedaz[[#This Row],[Data]])&amp;"-"&amp;RIGHT("0"&amp;MONTH(tblSprzedaz[[#This Row],[Data]]),2)</f>
        <v>2025-12</v>
      </c>
    </row>
    <row r="1357" spans="1:19" x14ac:dyDescent="0.25">
      <c r="A1357" s="7" t="s">
        <v>2881</v>
      </c>
      <c r="B1357" s="10">
        <v>46011</v>
      </c>
      <c r="C1357" s="7" t="s">
        <v>2882</v>
      </c>
      <c r="D1357" s="8" t="s">
        <v>101</v>
      </c>
      <c r="E1357" s="8" t="s">
        <v>69</v>
      </c>
      <c r="F1357" s="8" t="s">
        <v>35</v>
      </c>
      <c r="G1357" s="8" t="s">
        <v>30</v>
      </c>
      <c r="H1357" s="8" t="s">
        <v>40</v>
      </c>
      <c r="I1357" s="11">
        <v>11</v>
      </c>
      <c r="J1357" s="12">
        <v>102</v>
      </c>
      <c r="K1357" s="13">
        <v>0.1</v>
      </c>
      <c r="L1357" s="12">
        <v>76.23</v>
      </c>
      <c r="M1357" s="14">
        <f>ROUND(tblSprzedaz[[#This Row],[Ilość]]*tblSprzedaz[[#This Row],[Cena netto jednostkowa]]*(1-tblSprzedaz[[#This Row],[Rabat %]]),2)</f>
        <v>1009.8</v>
      </c>
      <c r="N1357" s="14">
        <f>ROUND(tblSprzedaz[[#This Row],[Ilość]]*tblSprzedaz[[#This Row],[Koszt jednostkowy netto]],2)</f>
        <v>838.53</v>
      </c>
      <c r="O1357" s="14">
        <f>tblSprzedaz[[#This Row],[Przychód netto]]-tblSprzedaz[[#This Row],[Koszt całkowity netto]]</f>
        <v>171.26999999999998</v>
      </c>
      <c r="P1357" s="15">
        <f>IFERROR(tblSprzedaz[[#This Row],[Marża kwotowa]]/tblSprzedaz[[#This Row],[Przychód netto]],0)</f>
        <v>0.16960784313725488</v>
      </c>
      <c r="Q1357" s="16">
        <f>YEAR(tblSprzedaz[[#This Row],[Data]])</f>
        <v>2025</v>
      </c>
      <c r="R1357" s="16">
        <f>MONTH(tblSprzedaz[[#This Row],[Data]])</f>
        <v>12</v>
      </c>
      <c r="S1357" s="9" t="str">
        <f>YEAR(tblSprzedaz[[#This Row],[Data]])&amp;"-"&amp;RIGHT("0"&amp;MONTH(tblSprzedaz[[#This Row],[Data]]),2)</f>
        <v>2025-12</v>
      </c>
    </row>
    <row r="1358" spans="1:19" x14ac:dyDescent="0.25">
      <c r="A1358" s="7" t="s">
        <v>2883</v>
      </c>
      <c r="B1358" s="10">
        <v>46012</v>
      </c>
      <c r="C1358" s="7" t="s">
        <v>2884</v>
      </c>
      <c r="D1358" s="8" t="s">
        <v>87</v>
      </c>
      <c r="E1358" s="8" t="s">
        <v>58</v>
      </c>
      <c r="F1358" s="8" t="s">
        <v>31</v>
      </c>
      <c r="G1358" s="8" t="s">
        <v>32</v>
      </c>
      <c r="H1358" s="8" t="s">
        <v>42</v>
      </c>
      <c r="I1358" s="11">
        <v>20</v>
      </c>
      <c r="J1358" s="12">
        <v>350.7</v>
      </c>
      <c r="K1358" s="13">
        <v>0.1</v>
      </c>
      <c r="L1358" s="12">
        <v>209.36</v>
      </c>
      <c r="M1358" s="14">
        <f>ROUND(tblSprzedaz[[#This Row],[Ilość]]*tblSprzedaz[[#This Row],[Cena netto jednostkowa]]*(1-tblSprzedaz[[#This Row],[Rabat %]]),2)</f>
        <v>6312.6</v>
      </c>
      <c r="N1358" s="14">
        <f>ROUND(tblSprzedaz[[#This Row],[Ilość]]*tblSprzedaz[[#This Row],[Koszt jednostkowy netto]],2)</f>
        <v>4187.2</v>
      </c>
      <c r="O1358" s="14">
        <f>tblSprzedaz[[#This Row],[Przychód netto]]-tblSprzedaz[[#This Row],[Koszt całkowity netto]]</f>
        <v>2125.4000000000005</v>
      </c>
      <c r="P1358" s="15">
        <f>IFERROR(tblSprzedaz[[#This Row],[Marża kwotowa]]/tblSprzedaz[[#This Row],[Przychód netto]],0)</f>
        <v>0.33669169597313314</v>
      </c>
      <c r="Q1358" s="16">
        <f>YEAR(tblSprzedaz[[#This Row],[Data]])</f>
        <v>2025</v>
      </c>
      <c r="R1358" s="16">
        <f>MONTH(tblSprzedaz[[#This Row],[Data]])</f>
        <v>12</v>
      </c>
      <c r="S1358" s="9" t="str">
        <f>YEAR(tblSprzedaz[[#This Row],[Data]])&amp;"-"&amp;RIGHT("0"&amp;MONTH(tblSprzedaz[[#This Row],[Data]]),2)</f>
        <v>2025-12</v>
      </c>
    </row>
    <row r="1359" spans="1:19" x14ac:dyDescent="0.25">
      <c r="A1359" s="7" t="s">
        <v>2885</v>
      </c>
      <c r="B1359" s="10">
        <v>46012</v>
      </c>
      <c r="C1359" s="7" t="s">
        <v>2886</v>
      </c>
      <c r="D1359" s="8" t="s">
        <v>101</v>
      </c>
      <c r="E1359" s="8" t="s">
        <v>60</v>
      </c>
      <c r="F1359" s="8" t="s">
        <v>33</v>
      </c>
      <c r="G1359" s="8" t="s">
        <v>32</v>
      </c>
      <c r="H1359" s="8" t="s">
        <v>43</v>
      </c>
      <c r="I1359" s="11">
        <v>25</v>
      </c>
      <c r="J1359" s="12">
        <v>455.4</v>
      </c>
      <c r="K1359" s="13">
        <v>0</v>
      </c>
      <c r="L1359" s="12">
        <v>306.07</v>
      </c>
      <c r="M1359" s="14">
        <f>ROUND(tblSprzedaz[[#This Row],[Ilość]]*tblSprzedaz[[#This Row],[Cena netto jednostkowa]]*(1-tblSprzedaz[[#This Row],[Rabat %]]),2)</f>
        <v>11385</v>
      </c>
      <c r="N1359" s="14">
        <f>ROUND(tblSprzedaz[[#This Row],[Ilość]]*tblSprzedaz[[#This Row],[Koszt jednostkowy netto]],2)</f>
        <v>7651.75</v>
      </c>
      <c r="O1359" s="14">
        <f>tblSprzedaz[[#This Row],[Przychód netto]]-tblSprzedaz[[#This Row],[Koszt całkowity netto]]</f>
        <v>3733.25</v>
      </c>
      <c r="P1359" s="15">
        <f>IFERROR(tblSprzedaz[[#This Row],[Marża kwotowa]]/tblSprzedaz[[#This Row],[Przychód netto]],0)</f>
        <v>0.32790953008344315</v>
      </c>
      <c r="Q1359" s="16">
        <f>YEAR(tblSprzedaz[[#This Row],[Data]])</f>
        <v>2025</v>
      </c>
      <c r="R1359" s="16">
        <f>MONTH(tblSprzedaz[[#This Row],[Data]])</f>
        <v>12</v>
      </c>
      <c r="S1359" s="9" t="str">
        <f>YEAR(tblSprzedaz[[#This Row],[Data]])&amp;"-"&amp;RIGHT("0"&amp;MONTH(tblSprzedaz[[#This Row],[Data]]),2)</f>
        <v>2025-12</v>
      </c>
    </row>
    <row r="1360" spans="1:19" x14ac:dyDescent="0.25">
      <c r="A1360" s="7" t="s">
        <v>2887</v>
      </c>
      <c r="B1360" s="10">
        <v>46013</v>
      </c>
      <c r="C1360" s="7" t="s">
        <v>2888</v>
      </c>
      <c r="D1360" s="8" t="s">
        <v>102</v>
      </c>
      <c r="E1360" s="8" t="s">
        <v>48</v>
      </c>
      <c r="F1360" s="8" t="s">
        <v>29</v>
      </c>
      <c r="G1360" s="8" t="s">
        <v>34</v>
      </c>
      <c r="H1360" s="8" t="s">
        <v>44</v>
      </c>
      <c r="I1360" s="11">
        <v>12</v>
      </c>
      <c r="J1360" s="12">
        <v>33.659999999999997</v>
      </c>
      <c r="K1360" s="13">
        <v>0</v>
      </c>
      <c r="L1360" s="12">
        <v>20.82</v>
      </c>
      <c r="M1360" s="14">
        <f>ROUND(tblSprzedaz[[#This Row],[Ilość]]*tblSprzedaz[[#This Row],[Cena netto jednostkowa]]*(1-tblSprzedaz[[#This Row],[Rabat %]]),2)</f>
        <v>403.92</v>
      </c>
      <c r="N1360" s="14">
        <f>ROUND(tblSprzedaz[[#This Row],[Ilość]]*tblSprzedaz[[#This Row],[Koszt jednostkowy netto]],2)</f>
        <v>249.84</v>
      </c>
      <c r="O1360" s="14">
        <f>tblSprzedaz[[#This Row],[Przychód netto]]-tblSprzedaz[[#This Row],[Koszt całkowity netto]]</f>
        <v>154.08000000000001</v>
      </c>
      <c r="P1360" s="15">
        <f>IFERROR(tblSprzedaz[[#This Row],[Marża kwotowa]]/tblSprzedaz[[#This Row],[Przychód netto]],0)</f>
        <v>0.38146167557932265</v>
      </c>
      <c r="Q1360" s="16">
        <f>YEAR(tblSprzedaz[[#This Row],[Data]])</f>
        <v>2025</v>
      </c>
      <c r="R1360" s="16">
        <f>MONTH(tblSprzedaz[[#This Row],[Data]])</f>
        <v>12</v>
      </c>
      <c r="S1360" s="9" t="str">
        <f>YEAR(tblSprzedaz[[#This Row],[Data]])&amp;"-"&amp;RIGHT("0"&amp;MONTH(tblSprzedaz[[#This Row],[Data]]),2)</f>
        <v>2025-12</v>
      </c>
    </row>
    <row r="1361" spans="1:19" x14ac:dyDescent="0.25">
      <c r="A1361" s="7" t="s">
        <v>2889</v>
      </c>
      <c r="B1361" s="10">
        <v>46013</v>
      </c>
      <c r="C1361" s="7" t="s">
        <v>2890</v>
      </c>
      <c r="D1361" s="8" t="s">
        <v>106</v>
      </c>
      <c r="E1361" s="8" t="s">
        <v>68</v>
      </c>
      <c r="F1361" s="8" t="s">
        <v>35</v>
      </c>
      <c r="G1361" s="8" t="s">
        <v>30</v>
      </c>
      <c r="H1361" s="8" t="s">
        <v>40</v>
      </c>
      <c r="I1361" s="11">
        <v>11</v>
      </c>
      <c r="J1361" s="12">
        <v>90.44</v>
      </c>
      <c r="K1361" s="13">
        <v>0</v>
      </c>
      <c r="L1361" s="12">
        <v>68.459999999999994</v>
      </c>
      <c r="M1361" s="14">
        <f>ROUND(tblSprzedaz[[#This Row],[Ilość]]*tblSprzedaz[[#This Row],[Cena netto jednostkowa]]*(1-tblSprzedaz[[#This Row],[Rabat %]]),2)</f>
        <v>994.84</v>
      </c>
      <c r="N1361" s="14">
        <f>ROUND(tblSprzedaz[[#This Row],[Ilość]]*tblSprzedaz[[#This Row],[Koszt jednostkowy netto]],2)</f>
        <v>753.06</v>
      </c>
      <c r="O1361" s="14">
        <f>tblSprzedaz[[#This Row],[Przychód netto]]-tblSprzedaz[[#This Row],[Koszt całkowity netto]]</f>
        <v>241.78000000000009</v>
      </c>
      <c r="P1361" s="15">
        <f>IFERROR(tblSprzedaz[[#This Row],[Marża kwotowa]]/tblSprzedaz[[#This Row],[Przychód netto]],0)</f>
        <v>0.24303405572755427</v>
      </c>
      <c r="Q1361" s="16">
        <f>YEAR(tblSprzedaz[[#This Row],[Data]])</f>
        <v>2025</v>
      </c>
      <c r="R1361" s="16">
        <f>MONTH(tblSprzedaz[[#This Row],[Data]])</f>
        <v>12</v>
      </c>
      <c r="S1361" s="9" t="str">
        <f>YEAR(tblSprzedaz[[#This Row],[Data]])&amp;"-"&amp;RIGHT("0"&amp;MONTH(tblSprzedaz[[#This Row],[Data]]),2)</f>
        <v>2025-12</v>
      </c>
    </row>
    <row r="1362" spans="1:19" x14ac:dyDescent="0.25">
      <c r="A1362" s="7" t="s">
        <v>2891</v>
      </c>
      <c r="B1362" s="10">
        <v>46013</v>
      </c>
      <c r="C1362" s="7" t="s">
        <v>2892</v>
      </c>
      <c r="D1362" s="8" t="s">
        <v>112</v>
      </c>
      <c r="E1362" s="8" t="s">
        <v>76</v>
      </c>
      <c r="F1362" s="8" t="s">
        <v>37</v>
      </c>
      <c r="G1362" s="8" t="s">
        <v>36</v>
      </c>
      <c r="H1362" s="8" t="s">
        <v>46</v>
      </c>
      <c r="I1362" s="11">
        <v>15</v>
      </c>
      <c r="J1362" s="12">
        <v>158.65</v>
      </c>
      <c r="K1362" s="13">
        <v>0.1</v>
      </c>
      <c r="L1362" s="12">
        <v>119.96</v>
      </c>
      <c r="M1362" s="14">
        <f>ROUND(tblSprzedaz[[#This Row],[Ilość]]*tblSprzedaz[[#This Row],[Cena netto jednostkowa]]*(1-tblSprzedaz[[#This Row],[Rabat %]]),2)</f>
        <v>2141.7800000000002</v>
      </c>
      <c r="N1362" s="14">
        <f>ROUND(tblSprzedaz[[#This Row],[Ilość]]*tblSprzedaz[[#This Row],[Koszt jednostkowy netto]],2)</f>
        <v>1799.4</v>
      </c>
      <c r="O1362" s="14">
        <f>tblSprzedaz[[#This Row],[Przychód netto]]-tblSprzedaz[[#This Row],[Koszt całkowity netto]]</f>
        <v>342.38000000000011</v>
      </c>
      <c r="P1362" s="15">
        <f>IFERROR(tblSprzedaz[[#This Row],[Marża kwotowa]]/tblSprzedaz[[#This Row],[Przychód netto]],0)</f>
        <v>0.15985768846473497</v>
      </c>
      <c r="Q1362" s="16">
        <f>YEAR(tblSprzedaz[[#This Row],[Data]])</f>
        <v>2025</v>
      </c>
      <c r="R1362" s="16">
        <f>MONTH(tblSprzedaz[[#This Row],[Data]])</f>
        <v>12</v>
      </c>
      <c r="S1362" s="9" t="str">
        <f>YEAR(tblSprzedaz[[#This Row],[Data]])&amp;"-"&amp;RIGHT("0"&amp;MONTH(tblSprzedaz[[#This Row],[Data]]),2)</f>
        <v>2025-12</v>
      </c>
    </row>
    <row r="1363" spans="1:19" x14ac:dyDescent="0.25">
      <c r="A1363" s="7" t="s">
        <v>2893</v>
      </c>
      <c r="B1363" s="10">
        <v>46013</v>
      </c>
      <c r="C1363" s="7" t="s">
        <v>2894</v>
      </c>
      <c r="D1363" s="8" t="s">
        <v>138</v>
      </c>
      <c r="E1363" s="8" t="s">
        <v>76</v>
      </c>
      <c r="F1363" s="8" t="s">
        <v>37</v>
      </c>
      <c r="G1363" s="8" t="s">
        <v>30</v>
      </c>
      <c r="H1363" s="8" t="s">
        <v>40</v>
      </c>
      <c r="I1363" s="11">
        <v>10</v>
      </c>
      <c r="J1363" s="12">
        <v>158.65</v>
      </c>
      <c r="K1363" s="13">
        <v>0.1</v>
      </c>
      <c r="L1363" s="12">
        <v>119.46</v>
      </c>
      <c r="M1363" s="14">
        <f>ROUND(tblSprzedaz[[#This Row],[Ilość]]*tblSprzedaz[[#This Row],[Cena netto jednostkowa]]*(1-tblSprzedaz[[#This Row],[Rabat %]]),2)</f>
        <v>1427.85</v>
      </c>
      <c r="N1363" s="14">
        <f>ROUND(tblSprzedaz[[#This Row],[Ilość]]*tblSprzedaz[[#This Row],[Koszt jednostkowy netto]],2)</f>
        <v>1194.5999999999999</v>
      </c>
      <c r="O1363" s="14">
        <f>tblSprzedaz[[#This Row],[Przychód netto]]-tblSprzedaz[[#This Row],[Koszt całkowity netto]]</f>
        <v>233.25</v>
      </c>
      <c r="P1363" s="15">
        <f>IFERROR(tblSprzedaz[[#This Row],[Marża kwotowa]]/tblSprzedaz[[#This Row],[Przychód netto]],0)</f>
        <v>0.16335749553524531</v>
      </c>
      <c r="Q1363" s="16">
        <f>YEAR(tblSprzedaz[[#This Row],[Data]])</f>
        <v>2025</v>
      </c>
      <c r="R1363" s="16">
        <f>MONTH(tblSprzedaz[[#This Row],[Data]])</f>
        <v>12</v>
      </c>
      <c r="S1363" s="9" t="str">
        <f>YEAR(tblSprzedaz[[#This Row],[Data]])&amp;"-"&amp;RIGHT("0"&amp;MONTH(tblSprzedaz[[#This Row],[Data]]),2)</f>
        <v>2025-12</v>
      </c>
    </row>
    <row r="1364" spans="1:19" x14ac:dyDescent="0.25">
      <c r="A1364" s="7" t="s">
        <v>2895</v>
      </c>
      <c r="B1364" s="10">
        <v>46014</v>
      </c>
      <c r="C1364" s="7" t="s">
        <v>2896</v>
      </c>
      <c r="D1364" s="8" t="s">
        <v>142</v>
      </c>
      <c r="E1364" s="8" t="s">
        <v>68</v>
      </c>
      <c r="F1364" s="8" t="s">
        <v>35</v>
      </c>
      <c r="G1364" s="8" t="s">
        <v>34</v>
      </c>
      <c r="H1364" s="8" t="s">
        <v>44</v>
      </c>
      <c r="I1364" s="11">
        <v>7</v>
      </c>
      <c r="J1364" s="12">
        <v>90.44</v>
      </c>
      <c r="K1364" s="13">
        <v>0</v>
      </c>
      <c r="L1364" s="12">
        <v>67.7</v>
      </c>
      <c r="M1364" s="14">
        <f>ROUND(tblSprzedaz[[#This Row],[Ilość]]*tblSprzedaz[[#This Row],[Cena netto jednostkowa]]*(1-tblSprzedaz[[#This Row],[Rabat %]]),2)</f>
        <v>633.08000000000004</v>
      </c>
      <c r="N1364" s="14">
        <f>ROUND(tblSprzedaz[[#This Row],[Ilość]]*tblSprzedaz[[#This Row],[Koszt jednostkowy netto]],2)</f>
        <v>473.9</v>
      </c>
      <c r="O1364" s="14">
        <f>tblSprzedaz[[#This Row],[Przychód netto]]-tblSprzedaz[[#This Row],[Koszt całkowity netto]]</f>
        <v>159.18000000000006</v>
      </c>
      <c r="P1364" s="15">
        <f>IFERROR(tblSprzedaz[[#This Row],[Marża kwotowa]]/tblSprzedaz[[#This Row],[Przychód netto]],0)</f>
        <v>0.25143741707209211</v>
      </c>
      <c r="Q1364" s="16">
        <f>YEAR(tblSprzedaz[[#This Row],[Data]])</f>
        <v>2025</v>
      </c>
      <c r="R1364" s="16">
        <f>MONTH(tblSprzedaz[[#This Row],[Data]])</f>
        <v>12</v>
      </c>
      <c r="S1364" s="9" t="str">
        <f>YEAR(tblSprzedaz[[#This Row],[Data]])&amp;"-"&amp;RIGHT("0"&amp;MONTH(tblSprzedaz[[#This Row],[Data]]),2)</f>
        <v>2025-12</v>
      </c>
    </row>
    <row r="1365" spans="1:19" x14ac:dyDescent="0.25">
      <c r="A1365" s="7" t="s">
        <v>2897</v>
      </c>
      <c r="B1365" s="10">
        <v>46014</v>
      </c>
      <c r="C1365" s="7" t="s">
        <v>2898</v>
      </c>
      <c r="D1365" s="8" t="s">
        <v>123</v>
      </c>
      <c r="E1365" s="8" t="s">
        <v>74</v>
      </c>
      <c r="F1365" s="8" t="s">
        <v>37</v>
      </c>
      <c r="G1365" s="8" t="s">
        <v>36</v>
      </c>
      <c r="H1365" s="8" t="s">
        <v>47</v>
      </c>
      <c r="I1365" s="11">
        <v>15</v>
      </c>
      <c r="J1365" s="12">
        <v>126.35</v>
      </c>
      <c r="K1365" s="13">
        <v>0.15</v>
      </c>
      <c r="L1365" s="12">
        <v>92.83</v>
      </c>
      <c r="M1365" s="14">
        <f>ROUND(tblSprzedaz[[#This Row],[Ilość]]*tblSprzedaz[[#This Row],[Cena netto jednostkowa]]*(1-tblSprzedaz[[#This Row],[Rabat %]]),2)</f>
        <v>1610.96</v>
      </c>
      <c r="N1365" s="14">
        <f>ROUND(tblSprzedaz[[#This Row],[Ilość]]*tblSprzedaz[[#This Row],[Koszt jednostkowy netto]],2)</f>
        <v>1392.45</v>
      </c>
      <c r="O1365" s="14">
        <f>tblSprzedaz[[#This Row],[Przychód netto]]-tblSprzedaz[[#This Row],[Koszt całkowity netto]]</f>
        <v>218.51</v>
      </c>
      <c r="P1365" s="15">
        <f>IFERROR(tblSprzedaz[[#This Row],[Marża kwotowa]]/tblSprzedaz[[#This Row],[Przychód netto]],0)</f>
        <v>0.13563961861250434</v>
      </c>
      <c r="Q1365" s="16">
        <f>YEAR(tblSprzedaz[[#This Row],[Data]])</f>
        <v>2025</v>
      </c>
      <c r="R1365" s="16">
        <f>MONTH(tblSprzedaz[[#This Row],[Data]])</f>
        <v>12</v>
      </c>
      <c r="S1365" s="9" t="str">
        <f>YEAR(tblSprzedaz[[#This Row],[Data]])&amp;"-"&amp;RIGHT("0"&amp;MONTH(tblSprzedaz[[#This Row],[Data]]),2)</f>
        <v>2025-12</v>
      </c>
    </row>
    <row r="1366" spans="1:19" x14ac:dyDescent="0.25">
      <c r="A1366" s="7" t="s">
        <v>2899</v>
      </c>
      <c r="B1366" s="10">
        <v>46014</v>
      </c>
      <c r="C1366" s="7" t="s">
        <v>2900</v>
      </c>
      <c r="D1366" s="8" t="s">
        <v>126</v>
      </c>
      <c r="E1366" s="8" t="s">
        <v>52</v>
      </c>
      <c r="F1366" s="8" t="s">
        <v>29</v>
      </c>
      <c r="G1366" s="8" t="s">
        <v>34</v>
      </c>
      <c r="H1366" s="8" t="s">
        <v>45</v>
      </c>
      <c r="I1366" s="11">
        <v>10</v>
      </c>
      <c r="J1366" s="12">
        <v>56.78</v>
      </c>
      <c r="K1366" s="13">
        <v>0</v>
      </c>
      <c r="L1366" s="12">
        <v>32.36</v>
      </c>
      <c r="M1366" s="14">
        <f>ROUND(tblSprzedaz[[#This Row],[Ilość]]*tblSprzedaz[[#This Row],[Cena netto jednostkowa]]*(1-tblSprzedaz[[#This Row],[Rabat %]]),2)</f>
        <v>567.79999999999995</v>
      </c>
      <c r="N1366" s="14">
        <f>ROUND(tblSprzedaz[[#This Row],[Ilość]]*tblSprzedaz[[#This Row],[Koszt jednostkowy netto]],2)</f>
        <v>323.60000000000002</v>
      </c>
      <c r="O1366" s="14">
        <f>tblSprzedaz[[#This Row],[Przychód netto]]-tblSprzedaz[[#This Row],[Koszt całkowity netto]]</f>
        <v>244.19999999999993</v>
      </c>
      <c r="P1366" s="15">
        <f>IFERROR(tblSprzedaz[[#This Row],[Marża kwotowa]]/tblSprzedaz[[#This Row],[Przychód netto]],0)</f>
        <v>0.43008101444170477</v>
      </c>
      <c r="Q1366" s="16">
        <f>YEAR(tblSprzedaz[[#This Row],[Data]])</f>
        <v>2025</v>
      </c>
      <c r="R1366" s="16">
        <f>MONTH(tblSprzedaz[[#This Row],[Data]])</f>
        <v>12</v>
      </c>
      <c r="S1366" s="9" t="str">
        <f>YEAR(tblSprzedaz[[#This Row],[Data]])&amp;"-"&amp;RIGHT("0"&amp;MONTH(tblSprzedaz[[#This Row],[Data]]),2)</f>
        <v>2025-12</v>
      </c>
    </row>
    <row r="1367" spans="1:19" x14ac:dyDescent="0.25">
      <c r="A1367" s="7" t="s">
        <v>2901</v>
      </c>
      <c r="B1367" s="10">
        <v>46015</v>
      </c>
      <c r="C1367" s="7" t="s">
        <v>2902</v>
      </c>
      <c r="D1367" s="8" t="s">
        <v>87</v>
      </c>
      <c r="E1367" s="8" t="s">
        <v>76</v>
      </c>
      <c r="F1367" s="8" t="s">
        <v>37</v>
      </c>
      <c r="G1367" s="8" t="s">
        <v>30</v>
      </c>
      <c r="H1367" s="8" t="s">
        <v>40</v>
      </c>
      <c r="I1367" s="11">
        <v>10</v>
      </c>
      <c r="J1367" s="12">
        <v>158.65</v>
      </c>
      <c r="K1367" s="13">
        <v>0.1</v>
      </c>
      <c r="L1367" s="12">
        <v>120.91</v>
      </c>
      <c r="M1367" s="14">
        <f>ROUND(tblSprzedaz[[#This Row],[Ilość]]*tblSprzedaz[[#This Row],[Cena netto jednostkowa]]*(1-tblSprzedaz[[#This Row],[Rabat %]]),2)</f>
        <v>1427.85</v>
      </c>
      <c r="N1367" s="14">
        <f>ROUND(tblSprzedaz[[#This Row],[Ilość]]*tblSprzedaz[[#This Row],[Koszt jednostkowy netto]],2)</f>
        <v>1209.0999999999999</v>
      </c>
      <c r="O1367" s="14">
        <f>tblSprzedaz[[#This Row],[Przychód netto]]-tblSprzedaz[[#This Row],[Koszt całkowity netto]]</f>
        <v>218.75</v>
      </c>
      <c r="P1367" s="15">
        <f>IFERROR(tblSprzedaz[[#This Row],[Marża kwotowa]]/tblSprzedaz[[#This Row],[Przychód netto]],0)</f>
        <v>0.1532023671954337</v>
      </c>
      <c r="Q1367" s="16">
        <f>YEAR(tblSprzedaz[[#This Row],[Data]])</f>
        <v>2025</v>
      </c>
      <c r="R1367" s="16">
        <f>MONTH(tblSprzedaz[[#This Row],[Data]])</f>
        <v>12</v>
      </c>
      <c r="S1367" s="9" t="str">
        <f>YEAR(tblSprzedaz[[#This Row],[Data]])&amp;"-"&amp;RIGHT("0"&amp;MONTH(tblSprzedaz[[#This Row],[Data]]),2)</f>
        <v>2025-12</v>
      </c>
    </row>
    <row r="1368" spans="1:19" x14ac:dyDescent="0.25">
      <c r="A1368" s="7" t="s">
        <v>2903</v>
      </c>
      <c r="B1368" s="10">
        <v>46015</v>
      </c>
      <c r="C1368" s="7" t="s">
        <v>2904</v>
      </c>
      <c r="D1368" s="8" t="s">
        <v>126</v>
      </c>
      <c r="E1368" s="8" t="s">
        <v>57</v>
      </c>
      <c r="F1368" s="8" t="s">
        <v>31</v>
      </c>
      <c r="G1368" s="8" t="s">
        <v>34</v>
      </c>
      <c r="H1368" s="8" t="s">
        <v>44</v>
      </c>
      <c r="I1368" s="11">
        <v>2</v>
      </c>
      <c r="J1368" s="12">
        <v>315</v>
      </c>
      <c r="K1368" s="13">
        <v>0.15</v>
      </c>
      <c r="L1368" s="12">
        <v>193.94</v>
      </c>
      <c r="M1368" s="14">
        <f>ROUND(tblSprzedaz[[#This Row],[Ilość]]*tblSprzedaz[[#This Row],[Cena netto jednostkowa]]*(1-tblSprzedaz[[#This Row],[Rabat %]]),2)</f>
        <v>535.5</v>
      </c>
      <c r="N1368" s="14">
        <f>ROUND(tblSprzedaz[[#This Row],[Ilość]]*tblSprzedaz[[#This Row],[Koszt jednostkowy netto]],2)</f>
        <v>387.88</v>
      </c>
      <c r="O1368" s="14">
        <f>tblSprzedaz[[#This Row],[Przychód netto]]-tblSprzedaz[[#This Row],[Koszt całkowity netto]]</f>
        <v>147.62</v>
      </c>
      <c r="P1368" s="15">
        <f>IFERROR(tblSprzedaz[[#This Row],[Marża kwotowa]]/tblSprzedaz[[#This Row],[Przychód netto]],0)</f>
        <v>0.27566760037348276</v>
      </c>
      <c r="Q1368" s="16">
        <f>YEAR(tblSprzedaz[[#This Row],[Data]])</f>
        <v>2025</v>
      </c>
      <c r="R1368" s="16">
        <f>MONTH(tblSprzedaz[[#This Row],[Data]])</f>
        <v>12</v>
      </c>
      <c r="S1368" s="9" t="str">
        <f>YEAR(tblSprzedaz[[#This Row],[Data]])&amp;"-"&amp;RIGHT("0"&amp;MONTH(tblSprzedaz[[#This Row],[Data]]),2)</f>
        <v>2025-12</v>
      </c>
    </row>
    <row r="1369" spans="1:19" x14ac:dyDescent="0.25">
      <c r="A1369" s="7" t="s">
        <v>2905</v>
      </c>
      <c r="B1369" s="10">
        <v>46015</v>
      </c>
      <c r="C1369" s="7" t="s">
        <v>2906</v>
      </c>
      <c r="D1369" s="8" t="s">
        <v>104</v>
      </c>
      <c r="E1369" s="8" t="s">
        <v>51</v>
      </c>
      <c r="F1369" s="8" t="s">
        <v>29</v>
      </c>
      <c r="G1369" s="8" t="s">
        <v>28</v>
      </c>
      <c r="H1369" s="8" t="s">
        <v>39</v>
      </c>
      <c r="I1369" s="11">
        <v>1</v>
      </c>
      <c r="J1369" s="12">
        <v>51</v>
      </c>
      <c r="K1369" s="13">
        <v>0</v>
      </c>
      <c r="L1369" s="12">
        <v>31.98</v>
      </c>
      <c r="M1369" s="14">
        <f>ROUND(tblSprzedaz[[#This Row],[Ilość]]*tblSprzedaz[[#This Row],[Cena netto jednostkowa]]*(1-tblSprzedaz[[#This Row],[Rabat %]]),2)</f>
        <v>51</v>
      </c>
      <c r="N1369" s="14">
        <f>ROUND(tblSprzedaz[[#This Row],[Ilość]]*tblSprzedaz[[#This Row],[Koszt jednostkowy netto]],2)</f>
        <v>31.98</v>
      </c>
      <c r="O1369" s="14">
        <f>tblSprzedaz[[#This Row],[Przychód netto]]-tblSprzedaz[[#This Row],[Koszt całkowity netto]]</f>
        <v>19.02</v>
      </c>
      <c r="P1369" s="15">
        <f>IFERROR(tblSprzedaz[[#This Row],[Marża kwotowa]]/tblSprzedaz[[#This Row],[Przychód netto]],0)</f>
        <v>0.37294117647058822</v>
      </c>
      <c r="Q1369" s="16">
        <f>YEAR(tblSprzedaz[[#This Row],[Data]])</f>
        <v>2025</v>
      </c>
      <c r="R1369" s="16">
        <f>MONTH(tblSprzedaz[[#This Row],[Data]])</f>
        <v>12</v>
      </c>
      <c r="S1369" s="9" t="str">
        <f>YEAR(tblSprzedaz[[#This Row],[Data]])&amp;"-"&amp;RIGHT("0"&amp;MONTH(tblSprzedaz[[#This Row],[Data]]),2)</f>
        <v>2025-12</v>
      </c>
    </row>
    <row r="1370" spans="1:19" x14ac:dyDescent="0.25">
      <c r="A1370" s="7" t="s">
        <v>2907</v>
      </c>
      <c r="B1370" s="10">
        <v>46015</v>
      </c>
      <c r="C1370" s="7" t="s">
        <v>2908</v>
      </c>
      <c r="D1370" s="8" t="s">
        <v>85</v>
      </c>
      <c r="E1370" s="8" t="s">
        <v>74</v>
      </c>
      <c r="F1370" s="8" t="s">
        <v>37</v>
      </c>
      <c r="G1370" s="8" t="s">
        <v>32</v>
      </c>
      <c r="H1370" s="8" t="s">
        <v>43</v>
      </c>
      <c r="I1370" s="11">
        <v>9</v>
      </c>
      <c r="J1370" s="12">
        <v>126.35</v>
      </c>
      <c r="K1370" s="13">
        <v>0.05</v>
      </c>
      <c r="L1370" s="12">
        <v>95.41</v>
      </c>
      <c r="M1370" s="14">
        <f>ROUND(tblSprzedaz[[#This Row],[Ilość]]*tblSprzedaz[[#This Row],[Cena netto jednostkowa]]*(1-tblSprzedaz[[#This Row],[Rabat %]]),2)</f>
        <v>1080.29</v>
      </c>
      <c r="N1370" s="14">
        <f>ROUND(tblSprzedaz[[#This Row],[Ilość]]*tblSprzedaz[[#This Row],[Koszt jednostkowy netto]],2)</f>
        <v>858.69</v>
      </c>
      <c r="O1370" s="14">
        <f>tblSprzedaz[[#This Row],[Przychód netto]]-tblSprzedaz[[#This Row],[Koszt całkowity netto]]</f>
        <v>221.59999999999991</v>
      </c>
      <c r="P1370" s="15">
        <f>IFERROR(tblSprzedaz[[#This Row],[Marża kwotowa]]/tblSprzedaz[[#This Row],[Przychód netto]],0)</f>
        <v>0.20513010395356795</v>
      </c>
      <c r="Q1370" s="16">
        <f>YEAR(tblSprzedaz[[#This Row],[Data]])</f>
        <v>2025</v>
      </c>
      <c r="R1370" s="16">
        <f>MONTH(tblSprzedaz[[#This Row],[Data]])</f>
        <v>12</v>
      </c>
      <c r="S1370" s="9" t="str">
        <f>YEAR(tblSprzedaz[[#This Row],[Data]])&amp;"-"&amp;RIGHT("0"&amp;MONTH(tblSprzedaz[[#This Row],[Data]]),2)</f>
        <v>2025-12</v>
      </c>
    </row>
    <row r="1371" spans="1:19" x14ac:dyDescent="0.25">
      <c r="A1371" s="7" t="s">
        <v>2909</v>
      </c>
      <c r="B1371" s="10">
        <v>46015</v>
      </c>
      <c r="C1371" s="7" t="s">
        <v>2910</v>
      </c>
      <c r="D1371" s="8" t="s">
        <v>122</v>
      </c>
      <c r="E1371" s="8" t="s">
        <v>60</v>
      </c>
      <c r="F1371" s="8" t="s">
        <v>33</v>
      </c>
      <c r="G1371" s="8" t="s">
        <v>30</v>
      </c>
      <c r="H1371" s="8" t="s">
        <v>40</v>
      </c>
      <c r="I1371" s="11">
        <v>21</v>
      </c>
      <c r="J1371" s="12">
        <v>455.4</v>
      </c>
      <c r="K1371" s="13">
        <v>0.15</v>
      </c>
      <c r="L1371" s="12">
        <v>327.73</v>
      </c>
      <c r="M1371" s="14">
        <f>ROUND(tblSprzedaz[[#This Row],[Ilość]]*tblSprzedaz[[#This Row],[Cena netto jednostkowa]]*(1-tblSprzedaz[[#This Row],[Rabat %]]),2)</f>
        <v>8128.89</v>
      </c>
      <c r="N1371" s="14">
        <f>ROUND(tblSprzedaz[[#This Row],[Ilość]]*tblSprzedaz[[#This Row],[Koszt jednostkowy netto]],2)</f>
        <v>6882.33</v>
      </c>
      <c r="O1371" s="14">
        <f>tblSprzedaz[[#This Row],[Przychód netto]]-tblSprzedaz[[#This Row],[Koszt całkowity netto]]</f>
        <v>1246.5600000000004</v>
      </c>
      <c r="P1371" s="15">
        <f>IFERROR(tblSprzedaz[[#This Row],[Marża kwotowa]]/tblSprzedaz[[#This Row],[Przychód netto]],0)</f>
        <v>0.15334935028029661</v>
      </c>
      <c r="Q1371" s="16">
        <f>YEAR(tblSprzedaz[[#This Row],[Data]])</f>
        <v>2025</v>
      </c>
      <c r="R1371" s="16">
        <f>MONTH(tblSprzedaz[[#This Row],[Data]])</f>
        <v>12</v>
      </c>
      <c r="S1371" s="9" t="str">
        <f>YEAR(tblSprzedaz[[#This Row],[Data]])&amp;"-"&amp;RIGHT("0"&amp;MONTH(tblSprzedaz[[#This Row],[Data]]),2)</f>
        <v>2025-12</v>
      </c>
    </row>
    <row r="1372" spans="1:19" x14ac:dyDescent="0.25">
      <c r="A1372" s="7" t="s">
        <v>2911</v>
      </c>
      <c r="B1372" s="10">
        <v>46015</v>
      </c>
      <c r="C1372" s="7" t="s">
        <v>2912</v>
      </c>
      <c r="D1372" s="8" t="s">
        <v>125</v>
      </c>
      <c r="E1372" s="8" t="s">
        <v>66</v>
      </c>
      <c r="F1372" s="8" t="s">
        <v>35</v>
      </c>
      <c r="G1372" s="8" t="s">
        <v>28</v>
      </c>
      <c r="H1372" s="8" t="s">
        <v>38</v>
      </c>
      <c r="I1372" s="11">
        <v>6</v>
      </c>
      <c r="J1372" s="12">
        <v>67.319999999999993</v>
      </c>
      <c r="K1372" s="13">
        <v>0</v>
      </c>
      <c r="L1372" s="12">
        <v>50.89</v>
      </c>
      <c r="M1372" s="14">
        <f>ROUND(tblSprzedaz[[#This Row],[Ilość]]*tblSprzedaz[[#This Row],[Cena netto jednostkowa]]*(1-tblSprzedaz[[#This Row],[Rabat %]]),2)</f>
        <v>403.92</v>
      </c>
      <c r="N1372" s="14">
        <f>ROUND(tblSprzedaz[[#This Row],[Ilość]]*tblSprzedaz[[#This Row],[Koszt jednostkowy netto]],2)</f>
        <v>305.33999999999997</v>
      </c>
      <c r="O1372" s="14">
        <f>tblSprzedaz[[#This Row],[Przychód netto]]-tblSprzedaz[[#This Row],[Koszt całkowity netto]]</f>
        <v>98.580000000000041</v>
      </c>
      <c r="P1372" s="15">
        <f>IFERROR(tblSprzedaz[[#This Row],[Marża kwotowa]]/tblSprzedaz[[#This Row],[Przychód netto]],0)</f>
        <v>0.24405822935234708</v>
      </c>
      <c r="Q1372" s="16">
        <f>YEAR(tblSprzedaz[[#This Row],[Data]])</f>
        <v>2025</v>
      </c>
      <c r="R1372" s="16">
        <f>MONTH(tblSprzedaz[[#This Row],[Data]])</f>
        <v>12</v>
      </c>
      <c r="S1372" s="9" t="str">
        <f>YEAR(tblSprzedaz[[#This Row],[Data]])&amp;"-"&amp;RIGHT("0"&amp;MONTH(tblSprzedaz[[#This Row],[Data]]),2)</f>
        <v>2025-12</v>
      </c>
    </row>
    <row r="1373" spans="1:19" x14ac:dyDescent="0.25">
      <c r="A1373" s="7" t="s">
        <v>2913</v>
      </c>
      <c r="B1373" s="10">
        <v>46016</v>
      </c>
      <c r="C1373" s="7" t="s">
        <v>2914</v>
      </c>
      <c r="D1373" s="8" t="s">
        <v>108</v>
      </c>
      <c r="E1373" s="8" t="s">
        <v>74</v>
      </c>
      <c r="F1373" s="8" t="s">
        <v>37</v>
      </c>
      <c r="G1373" s="8" t="s">
        <v>34</v>
      </c>
      <c r="H1373" s="8" t="s">
        <v>45</v>
      </c>
      <c r="I1373" s="11">
        <v>1</v>
      </c>
      <c r="J1373" s="12">
        <v>126.35</v>
      </c>
      <c r="K1373" s="13">
        <v>0.1</v>
      </c>
      <c r="L1373" s="12">
        <v>95.79</v>
      </c>
      <c r="M1373" s="14">
        <f>ROUND(tblSprzedaz[[#This Row],[Ilość]]*tblSprzedaz[[#This Row],[Cena netto jednostkowa]]*(1-tblSprzedaz[[#This Row],[Rabat %]]),2)</f>
        <v>113.72</v>
      </c>
      <c r="N1373" s="14">
        <f>ROUND(tblSprzedaz[[#This Row],[Ilość]]*tblSprzedaz[[#This Row],[Koszt jednostkowy netto]],2)</f>
        <v>95.79</v>
      </c>
      <c r="O1373" s="14">
        <f>tblSprzedaz[[#This Row],[Przychód netto]]-tblSprzedaz[[#This Row],[Koszt całkowity netto]]</f>
        <v>17.929999999999993</v>
      </c>
      <c r="P1373" s="15">
        <f>IFERROR(tblSprzedaz[[#This Row],[Marża kwotowa]]/tblSprzedaz[[#This Row],[Przychód netto]],0)</f>
        <v>0.15766795638410125</v>
      </c>
      <c r="Q1373" s="16">
        <f>YEAR(tblSprzedaz[[#This Row],[Data]])</f>
        <v>2025</v>
      </c>
      <c r="R1373" s="16">
        <f>MONTH(tblSprzedaz[[#This Row],[Data]])</f>
        <v>12</v>
      </c>
      <c r="S1373" s="9" t="str">
        <f>YEAR(tblSprzedaz[[#This Row],[Data]])&amp;"-"&amp;RIGHT("0"&amp;MONTH(tblSprzedaz[[#This Row],[Data]]),2)</f>
        <v>2025-12</v>
      </c>
    </row>
    <row r="1374" spans="1:19" x14ac:dyDescent="0.25">
      <c r="A1374" s="7" t="s">
        <v>2915</v>
      </c>
      <c r="B1374" s="10">
        <v>46016</v>
      </c>
      <c r="C1374" s="7" t="s">
        <v>2916</v>
      </c>
      <c r="D1374" s="8" t="s">
        <v>138</v>
      </c>
      <c r="E1374" s="8" t="s">
        <v>65</v>
      </c>
      <c r="F1374" s="8" t="s">
        <v>33</v>
      </c>
      <c r="G1374" s="8" t="s">
        <v>36</v>
      </c>
      <c r="H1374" s="8" t="s">
        <v>46</v>
      </c>
      <c r="I1374" s="11">
        <v>13</v>
      </c>
      <c r="J1374" s="12">
        <v>377.2</v>
      </c>
      <c r="K1374" s="13">
        <v>0.05</v>
      </c>
      <c r="L1374" s="12">
        <v>243.67</v>
      </c>
      <c r="M1374" s="14">
        <f>ROUND(tblSprzedaz[[#This Row],[Ilość]]*tblSprzedaz[[#This Row],[Cena netto jednostkowa]]*(1-tblSprzedaz[[#This Row],[Rabat %]]),2)</f>
        <v>4658.42</v>
      </c>
      <c r="N1374" s="14">
        <f>ROUND(tblSprzedaz[[#This Row],[Ilość]]*tblSprzedaz[[#This Row],[Koszt jednostkowy netto]],2)</f>
        <v>3167.71</v>
      </c>
      <c r="O1374" s="14">
        <f>tblSprzedaz[[#This Row],[Przychód netto]]-tblSprzedaz[[#This Row],[Koszt całkowity netto]]</f>
        <v>1490.71</v>
      </c>
      <c r="P1374" s="15">
        <f>IFERROR(tblSprzedaz[[#This Row],[Marża kwotowa]]/tblSprzedaz[[#This Row],[Przychód netto]],0)</f>
        <v>0.32000334877490649</v>
      </c>
      <c r="Q1374" s="16">
        <f>YEAR(tblSprzedaz[[#This Row],[Data]])</f>
        <v>2025</v>
      </c>
      <c r="R1374" s="16">
        <f>MONTH(tblSprzedaz[[#This Row],[Data]])</f>
        <v>12</v>
      </c>
      <c r="S1374" s="9" t="str">
        <f>YEAR(tblSprzedaz[[#This Row],[Data]])&amp;"-"&amp;RIGHT("0"&amp;MONTH(tblSprzedaz[[#This Row],[Data]]),2)</f>
        <v>2025-12</v>
      </c>
    </row>
    <row r="1375" spans="1:19" x14ac:dyDescent="0.25">
      <c r="A1375" s="7" t="s">
        <v>2917</v>
      </c>
      <c r="B1375" s="10">
        <v>46016</v>
      </c>
      <c r="C1375" s="7" t="s">
        <v>2918</v>
      </c>
      <c r="D1375" s="8" t="s">
        <v>109</v>
      </c>
      <c r="E1375" s="8" t="s">
        <v>48</v>
      </c>
      <c r="F1375" s="8" t="s">
        <v>29</v>
      </c>
      <c r="G1375" s="8" t="s">
        <v>30</v>
      </c>
      <c r="H1375" s="8" t="s">
        <v>40</v>
      </c>
      <c r="I1375" s="11">
        <v>17</v>
      </c>
      <c r="J1375" s="12">
        <v>33.659999999999997</v>
      </c>
      <c r="K1375" s="13">
        <v>0.05</v>
      </c>
      <c r="L1375" s="12">
        <v>20.43</v>
      </c>
      <c r="M1375" s="14">
        <f>ROUND(tblSprzedaz[[#This Row],[Ilość]]*tblSprzedaz[[#This Row],[Cena netto jednostkowa]]*(1-tblSprzedaz[[#This Row],[Rabat %]]),2)</f>
        <v>543.61</v>
      </c>
      <c r="N1375" s="14">
        <f>ROUND(tblSprzedaz[[#This Row],[Ilość]]*tblSprzedaz[[#This Row],[Koszt jednostkowy netto]],2)</f>
        <v>347.31</v>
      </c>
      <c r="O1375" s="14">
        <f>tblSprzedaz[[#This Row],[Przychód netto]]-tblSprzedaz[[#This Row],[Koszt całkowity netto]]</f>
        <v>196.3</v>
      </c>
      <c r="P1375" s="15">
        <f>IFERROR(tblSprzedaz[[#This Row],[Marża kwotowa]]/tblSprzedaz[[#This Row],[Przychód netto]],0)</f>
        <v>0.36110446827688969</v>
      </c>
      <c r="Q1375" s="16">
        <f>YEAR(tblSprzedaz[[#This Row],[Data]])</f>
        <v>2025</v>
      </c>
      <c r="R1375" s="16">
        <f>MONTH(tblSprzedaz[[#This Row],[Data]])</f>
        <v>12</v>
      </c>
      <c r="S1375" s="9" t="str">
        <f>YEAR(tblSprzedaz[[#This Row],[Data]])&amp;"-"&amp;RIGHT("0"&amp;MONTH(tblSprzedaz[[#This Row],[Data]]),2)</f>
        <v>2025-12</v>
      </c>
    </row>
    <row r="1376" spans="1:19" x14ac:dyDescent="0.25">
      <c r="A1376" s="7" t="s">
        <v>2919</v>
      </c>
      <c r="B1376" s="10">
        <v>46016</v>
      </c>
      <c r="C1376" s="7" t="s">
        <v>2920</v>
      </c>
      <c r="D1376" s="8" t="s">
        <v>103</v>
      </c>
      <c r="E1376" s="8" t="s">
        <v>56</v>
      </c>
      <c r="F1376" s="8" t="s">
        <v>31</v>
      </c>
      <c r="G1376" s="8" t="s">
        <v>32</v>
      </c>
      <c r="H1376" s="8" t="s">
        <v>43</v>
      </c>
      <c r="I1376" s="11">
        <v>30</v>
      </c>
      <c r="J1376" s="12">
        <v>279.3</v>
      </c>
      <c r="K1376" s="13">
        <v>0.15</v>
      </c>
      <c r="L1376" s="12">
        <v>184.15</v>
      </c>
      <c r="M1376" s="14">
        <f>ROUND(tblSprzedaz[[#This Row],[Ilość]]*tblSprzedaz[[#This Row],[Cena netto jednostkowa]]*(1-tblSprzedaz[[#This Row],[Rabat %]]),2)</f>
        <v>7122.15</v>
      </c>
      <c r="N1376" s="14">
        <f>ROUND(tblSprzedaz[[#This Row],[Ilość]]*tblSprzedaz[[#This Row],[Koszt jednostkowy netto]],2)</f>
        <v>5524.5</v>
      </c>
      <c r="O1376" s="14">
        <f>tblSprzedaz[[#This Row],[Przychód netto]]-tblSprzedaz[[#This Row],[Koszt całkowity netto]]</f>
        <v>1597.6499999999996</v>
      </c>
      <c r="P1376" s="15">
        <f>IFERROR(tblSprzedaz[[#This Row],[Marża kwotowa]]/tblSprzedaz[[#This Row],[Przychód netto]],0)</f>
        <v>0.22432130747035653</v>
      </c>
      <c r="Q1376" s="16">
        <f>YEAR(tblSprzedaz[[#This Row],[Data]])</f>
        <v>2025</v>
      </c>
      <c r="R1376" s="16">
        <f>MONTH(tblSprzedaz[[#This Row],[Data]])</f>
        <v>12</v>
      </c>
      <c r="S1376" s="9" t="str">
        <f>YEAR(tblSprzedaz[[#This Row],[Data]])&amp;"-"&amp;RIGHT("0"&amp;MONTH(tblSprzedaz[[#This Row],[Data]]),2)</f>
        <v>2025-12</v>
      </c>
    </row>
    <row r="1377" spans="1:19" x14ac:dyDescent="0.25">
      <c r="A1377" s="7" t="s">
        <v>2921</v>
      </c>
      <c r="B1377" s="10">
        <v>46017</v>
      </c>
      <c r="C1377" s="7" t="s">
        <v>2922</v>
      </c>
      <c r="D1377" s="8" t="s">
        <v>126</v>
      </c>
      <c r="E1377" s="8" t="s">
        <v>54</v>
      </c>
      <c r="F1377" s="8" t="s">
        <v>31</v>
      </c>
      <c r="G1377" s="8" t="s">
        <v>36</v>
      </c>
      <c r="H1377" s="8" t="s">
        <v>46</v>
      </c>
      <c r="I1377" s="11">
        <v>16</v>
      </c>
      <c r="J1377" s="12">
        <v>207.9</v>
      </c>
      <c r="K1377" s="13">
        <v>0</v>
      </c>
      <c r="L1377" s="12">
        <v>133.24</v>
      </c>
      <c r="M1377" s="14">
        <f>ROUND(tblSprzedaz[[#This Row],[Ilość]]*tblSprzedaz[[#This Row],[Cena netto jednostkowa]]*(1-tblSprzedaz[[#This Row],[Rabat %]]),2)</f>
        <v>3326.4</v>
      </c>
      <c r="N1377" s="14">
        <f>ROUND(tblSprzedaz[[#This Row],[Ilość]]*tblSprzedaz[[#This Row],[Koszt jednostkowy netto]],2)</f>
        <v>2131.84</v>
      </c>
      <c r="O1377" s="14">
        <f>tblSprzedaz[[#This Row],[Przychód netto]]-tblSprzedaz[[#This Row],[Koszt całkowity netto]]</f>
        <v>1194.56</v>
      </c>
      <c r="P1377" s="15">
        <f>IFERROR(tblSprzedaz[[#This Row],[Marża kwotowa]]/tblSprzedaz[[#This Row],[Przychód netto]],0)</f>
        <v>0.35911495911495911</v>
      </c>
      <c r="Q1377" s="16">
        <f>YEAR(tblSprzedaz[[#This Row],[Data]])</f>
        <v>2025</v>
      </c>
      <c r="R1377" s="16">
        <f>MONTH(tblSprzedaz[[#This Row],[Data]])</f>
        <v>12</v>
      </c>
      <c r="S1377" s="9" t="str">
        <f>YEAR(tblSprzedaz[[#This Row],[Data]])&amp;"-"&amp;RIGHT("0"&amp;MONTH(tblSprzedaz[[#This Row],[Data]]),2)</f>
        <v>2025-12</v>
      </c>
    </row>
    <row r="1378" spans="1:19" x14ac:dyDescent="0.25">
      <c r="A1378" s="7" t="s">
        <v>2923</v>
      </c>
      <c r="B1378" s="10">
        <v>46017</v>
      </c>
      <c r="C1378" s="7" t="s">
        <v>2924</v>
      </c>
      <c r="D1378" s="8" t="s">
        <v>78</v>
      </c>
      <c r="E1378" s="8" t="s">
        <v>74</v>
      </c>
      <c r="F1378" s="8" t="s">
        <v>37</v>
      </c>
      <c r="G1378" s="8" t="s">
        <v>28</v>
      </c>
      <c r="H1378" s="8" t="s">
        <v>38</v>
      </c>
      <c r="I1378" s="11">
        <v>16</v>
      </c>
      <c r="J1378" s="12">
        <v>126.35</v>
      </c>
      <c r="K1378" s="13">
        <v>0</v>
      </c>
      <c r="L1378" s="12">
        <v>92.43</v>
      </c>
      <c r="M1378" s="14">
        <f>ROUND(tblSprzedaz[[#This Row],[Ilość]]*tblSprzedaz[[#This Row],[Cena netto jednostkowa]]*(1-tblSprzedaz[[#This Row],[Rabat %]]),2)</f>
        <v>2021.6</v>
      </c>
      <c r="N1378" s="14">
        <f>ROUND(tblSprzedaz[[#This Row],[Ilość]]*tblSprzedaz[[#This Row],[Koszt jednostkowy netto]],2)</f>
        <v>1478.88</v>
      </c>
      <c r="O1378" s="14">
        <f>tblSprzedaz[[#This Row],[Przychód netto]]-tblSprzedaz[[#This Row],[Koszt całkowity netto]]</f>
        <v>542.7199999999998</v>
      </c>
      <c r="P1378" s="15">
        <f>IFERROR(tblSprzedaz[[#This Row],[Marża kwotowa]]/tblSprzedaz[[#This Row],[Przychód netto]],0)</f>
        <v>0.26846062524732878</v>
      </c>
      <c r="Q1378" s="16">
        <f>YEAR(tblSprzedaz[[#This Row],[Data]])</f>
        <v>2025</v>
      </c>
      <c r="R1378" s="16">
        <f>MONTH(tblSprzedaz[[#This Row],[Data]])</f>
        <v>12</v>
      </c>
      <c r="S1378" s="9" t="str">
        <f>YEAR(tblSprzedaz[[#This Row],[Data]])&amp;"-"&amp;RIGHT("0"&amp;MONTH(tblSprzedaz[[#This Row],[Data]]),2)</f>
        <v>2025-12</v>
      </c>
    </row>
    <row r="1379" spans="1:19" x14ac:dyDescent="0.25">
      <c r="A1379" s="7" t="s">
        <v>2925</v>
      </c>
      <c r="B1379" s="10">
        <v>46017</v>
      </c>
      <c r="C1379" s="7" t="s">
        <v>2926</v>
      </c>
      <c r="D1379" s="8" t="s">
        <v>124</v>
      </c>
      <c r="E1379" s="8" t="s">
        <v>63</v>
      </c>
      <c r="F1379" s="8" t="s">
        <v>33</v>
      </c>
      <c r="G1379" s="8" t="s">
        <v>28</v>
      </c>
      <c r="H1379" s="8" t="s">
        <v>38</v>
      </c>
      <c r="I1379" s="11">
        <v>1</v>
      </c>
      <c r="J1379" s="12">
        <v>690</v>
      </c>
      <c r="K1379" s="13">
        <v>0.05</v>
      </c>
      <c r="L1379" s="12">
        <v>495.56</v>
      </c>
      <c r="M1379" s="14">
        <f>ROUND(tblSprzedaz[[#This Row],[Ilość]]*tblSprzedaz[[#This Row],[Cena netto jednostkowa]]*(1-tblSprzedaz[[#This Row],[Rabat %]]),2)</f>
        <v>655.5</v>
      </c>
      <c r="N1379" s="14">
        <f>ROUND(tblSprzedaz[[#This Row],[Ilość]]*tblSprzedaz[[#This Row],[Koszt jednostkowy netto]],2)</f>
        <v>495.56</v>
      </c>
      <c r="O1379" s="14">
        <f>tblSprzedaz[[#This Row],[Przychód netto]]-tblSprzedaz[[#This Row],[Koszt całkowity netto]]</f>
        <v>159.94</v>
      </c>
      <c r="P1379" s="15">
        <f>IFERROR(tblSprzedaz[[#This Row],[Marża kwotowa]]/tblSprzedaz[[#This Row],[Przychód netto]],0)</f>
        <v>0.24399694889397405</v>
      </c>
      <c r="Q1379" s="16">
        <f>YEAR(tblSprzedaz[[#This Row],[Data]])</f>
        <v>2025</v>
      </c>
      <c r="R1379" s="16">
        <f>MONTH(tblSprzedaz[[#This Row],[Data]])</f>
        <v>12</v>
      </c>
      <c r="S1379" s="9" t="str">
        <f>YEAR(tblSprzedaz[[#This Row],[Data]])&amp;"-"&amp;RIGHT("0"&amp;MONTH(tblSprzedaz[[#This Row],[Data]]),2)</f>
        <v>2025-12</v>
      </c>
    </row>
    <row r="1380" spans="1:19" x14ac:dyDescent="0.25">
      <c r="A1380" s="7" t="s">
        <v>2927</v>
      </c>
      <c r="B1380" s="10">
        <v>46017</v>
      </c>
      <c r="C1380" s="7" t="s">
        <v>2928</v>
      </c>
      <c r="D1380" s="8" t="s">
        <v>148</v>
      </c>
      <c r="E1380" s="8" t="s">
        <v>76</v>
      </c>
      <c r="F1380" s="8" t="s">
        <v>37</v>
      </c>
      <c r="G1380" s="8" t="s">
        <v>30</v>
      </c>
      <c r="H1380" s="8" t="s">
        <v>40</v>
      </c>
      <c r="I1380" s="11">
        <v>2</v>
      </c>
      <c r="J1380" s="12">
        <v>158.65</v>
      </c>
      <c r="K1380" s="13">
        <v>0.05</v>
      </c>
      <c r="L1380" s="12">
        <v>126.99</v>
      </c>
      <c r="M1380" s="14">
        <f>ROUND(tblSprzedaz[[#This Row],[Ilość]]*tblSprzedaz[[#This Row],[Cena netto jednostkowa]]*(1-tblSprzedaz[[#This Row],[Rabat %]]),2)</f>
        <v>301.44</v>
      </c>
      <c r="N1380" s="14">
        <f>ROUND(tblSprzedaz[[#This Row],[Ilość]]*tblSprzedaz[[#This Row],[Koszt jednostkowy netto]],2)</f>
        <v>253.98</v>
      </c>
      <c r="O1380" s="14">
        <f>tblSprzedaz[[#This Row],[Przychód netto]]-tblSprzedaz[[#This Row],[Koszt całkowity netto]]</f>
        <v>47.460000000000008</v>
      </c>
      <c r="P1380" s="15">
        <f>IFERROR(tblSprzedaz[[#This Row],[Marża kwotowa]]/tblSprzedaz[[#This Row],[Przychód netto]],0)</f>
        <v>0.15744426751592361</v>
      </c>
      <c r="Q1380" s="16">
        <f>YEAR(tblSprzedaz[[#This Row],[Data]])</f>
        <v>2025</v>
      </c>
      <c r="R1380" s="16">
        <f>MONTH(tblSprzedaz[[#This Row],[Data]])</f>
        <v>12</v>
      </c>
      <c r="S1380" s="9" t="str">
        <f>YEAR(tblSprzedaz[[#This Row],[Data]])&amp;"-"&amp;RIGHT("0"&amp;MONTH(tblSprzedaz[[#This Row],[Data]]),2)</f>
        <v>2025-12</v>
      </c>
    </row>
    <row r="1381" spans="1:19" x14ac:dyDescent="0.25">
      <c r="A1381" s="7" t="s">
        <v>2929</v>
      </c>
      <c r="B1381" s="10">
        <v>46017</v>
      </c>
      <c r="C1381" s="7" t="s">
        <v>2930</v>
      </c>
      <c r="D1381" s="8" t="s">
        <v>128</v>
      </c>
      <c r="E1381" s="8" t="s">
        <v>56</v>
      </c>
      <c r="F1381" s="8" t="s">
        <v>31</v>
      </c>
      <c r="G1381" s="8" t="s">
        <v>36</v>
      </c>
      <c r="H1381" s="8" t="s">
        <v>46</v>
      </c>
      <c r="I1381" s="11">
        <v>24</v>
      </c>
      <c r="J1381" s="12">
        <v>279.3</v>
      </c>
      <c r="K1381" s="13">
        <v>0</v>
      </c>
      <c r="L1381" s="12">
        <v>171.04</v>
      </c>
      <c r="M1381" s="14">
        <f>ROUND(tblSprzedaz[[#This Row],[Ilość]]*tblSprzedaz[[#This Row],[Cena netto jednostkowa]]*(1-tblSprzedaz[[#This Row],[Rabat %]]),2)</f>
        <v>6703.2</v>
      </c>
      <c r="N1381" s="14">
        <f>ROUND(tblSprzedaz[[#This Row],[Ilość]]*tblSprzedaz[[#This Row],[Koszt jednostkowy netto]],2)</f>
        <v>4104.96</v>
      </c>
      <c r="O1381" s="14">
        <f>tblSprzedaz[[#This Row],[Przychód netto]]-tblSprzedaz[[#This Row],[Koszt całkowity netto]]</f>
        <v>2598.2399999999998</v>
      </c>
      <c r="P1381" s="15">
        <f>IFERROR(tblSprzedaz[[#This Row],[Marża kwotowa]]/tblSprzedaz[[#This Row],[Przychód netto]],0)</f>
        <v>0.38761188686000714</v>
      </c>
      <c r="Q1381" s="16">
        <f>YEAR(tblSprzedaz[[#This Row],[Data]])</f>
        <v>2025</v>
      </c>
      <c r="R1381" s="16">
        <f>MONTH(tblSprzedaz[[#This Row],[Data]])</f>
        <v>12</v>
      </c>
      <c r="S1381" s="9" t="str">
        <f>YEAR(tblSprzedaz[[#This Row],[Data]])&amp;"-"&amp;RIGHT("0"&amp;MONTH(tblSprzedaz[[#This Row],[Data]]),2)</f>
        <v>2025-12</v>
      </c>
    </row>
    <row r="1382" spans="1:19" x14ac:dyDescent="0.25">
      <c r="A1382" s="7" t="s">
        <v>2931</v>
      </c>
      <c r="B1382" s="10">
        <v>46017</v>
      </c>
      <c r="C1382" s="7" t="s">
        <v>2932</v>
      </c>
      <c r="D1382" s="8" t="s">
        <v>143</v>
      </c>
      <c r="E1382" s="8" t="s">
        <v>49</v>
      </c>
      <c r="F1382" s="8" t="s">
        <v>29</v>
      </c>
      <c r="G1382" s="8" t="s">
        <v>30</v>
      </c>
      <c r="H1382" s="8" t="s">
        <v>41</v>
      </c>
      <c r="I1382" s="11">
        <v>17</v>
      </c>
      <c r="J1382" s="12">
        <v>39.44</v>
      </c>
      <c r="K1382" s="13">
        <v>0.15</v>
      </c>
      <c r="L1382" s="12">
        <v>23.71</v>
      </c>
      <c r="M1382" s="14">
        <f>ROUND(tblSprzedaz[[#This Row],[Ilość]]*tblSprzedaz[[#This Row],[Cena netto jednostkowa]]*(1-tblSprzedaz[[#This Row],[Rabat %]]),2)</f>
        <v>569.91</v>
      </c>
      <c r="N1382" s="14">
        <f>ROUND(tblSprzedaz[[#This Row],[Ilość]]*tblSprzedaz[[#This Row],[Koszt jednostkowy netto]],2)</f>
        <v>403.07</v>
      </c>
      <c r="O1382" s="14">
        <f>tblSprzedaz[[#This Row],[Przychód netto]]-tblSprzedaz[[#This Row],[Koszt całkowity netto]]</f>
        <v>166.83999999999997</v>
      </c>
      <c r="P1382" s="15">
        <f>IFERROR(tblSprzedaz[[#This Row],[Marża kwotowa]]/tblSprzedaz[[#This Row],[Przychód netto]],0)</f>
        <v>0.29274797775087291</v>
      </c>
      <c r="Q1382" s="16">
        <f>YEAR(tblSprzedaz[[#This Row],[Data]])</f>
        <v>2025</v>
      </c>
      <c r="R1382" s="16">
        <f>MONTH(tblSprzedaz[[#This Row],[Data]])</f>
        <v>12</v>
      </c>
      <c r="S1382" s="9" t="str">
        <f>YEAR(tblSprzedaz[[#This Row],[Data]])&amp;"-"&amp;RIGHT("0"&amp;MONTH(tblSprzedaz[[#This Row],[Data]]),2)</f>
        <v>2025-12</v>
      </c>
    </row>
    <row r="1383" spans="1:19" x14ac:dyDescent="0.25">
      <c r="A1383" s="7" t="s">
        <v>2933</v>
      </c>
      <c r="B1383" s="10">
        <v>46018</v>
      </c>
      <c r="C1383" s="7" t="s">
        <v>2934</v>
      </c>
      <c r="D1383" s="8" t="s">
        <v>132</v>
      </c>
      <c r="E1383" s="8" t="s">
        <v>67</v>
      </c>
      <c r="F1383" s="8" t="s">
        <v>35</v>
      </c>
      <c r="G1383" s="8" t="s">
        <v>32</v>
      </c>
      <c r="H1383" s="8" t="s">
        <v>42</v>
      </c>
      <c r="I1383" s="11">
        <v>30</v>
      </c>
      <c r="J1383" s="12">
        <v>78.88</v>
      </c>
      <c r="K1383" s="13">
        <v>0.15</v>
      </c>
      <c r="L1383" s="12">
        <v>56.67</v>
      </c>
      <c r="M1383" s="14">
        <f>ROUND(tblSprzedaz[[#This Row],[Ilość]]*tblSprzedaz[[#This Row],[Cena netto jednostkowa]]*(1-tblSprzedaz[[#This Row],[Rabat %]]),2)</f>
        <v>2011.44</v>
      </c>
      <c r="N1383" s="14">
        <f>ROUND(tblSprzedaz[[#This Row],[Ilość]]*tblSprzedaz[[#This Row],[Koszt jednostkowy netto]],2)</f>
        <v>1700.1</v>
      </c>
      <c r="O1383" s="14">
        <f>tblSprzedaz[[#This Row],[Przychód netto]]-tblSprzedaz[[#This Row],[Koszt całkowity netto]]</f>
        <v>311.34000000000015</v>
      </c>
      <c r="P1383" s="15">
        <f>IFERROR(tblSprzedaz[[#This Row],[Marża kwotowa]]/tblSprzedaz[[#This Row],[Przychód netto]],0)</f>
        <v>0.1547846319055006</v>
      </c>
      <c r="Q1383" s="16">
        <f>YEAR(tblSprzedaz[[#This Row],[Data]])</f>
        <v>2025</v>
      </c>
      <c r="R1383" s="16">
        <f>MONTH(tblSprzedaz[[#This Row],[Data]])</f>
        <v>12</v>
      </c>
      <c r="S1383" s="9" t="str">
        <f>YEAR(tblSprzedaz[[#This Row],[Data]])&amp;"-"&amp;RIGHT("0"&amp;MONTH(tblSprzedaz[[#This Row],[Data]]),2)</f>
        <v>2025-12</v>
      </c>
    </row>
    <row r="1384" spans="1:19" x14ac:dyDescent="0.25">
      <c r="A1384" s="7" t="s">
        <v>2935</v>
      </c>
      <c r="B1384" s="10">
        <v>46018</v>
      </c>
      <c r="C1384" s="7" t="s">
        <v>2936</v>
      </c>
      <c r="D1384" s="8" t="s">
        <v>125</v>
      </c>
      <c r="E1384" s="8" t="s">
        <v>52</v>
      </c>
      <c r="F1384" s="8" t="s">
        <v>29</v>
      </c>
      <c r="G1384" s="8" t="s">
        <v>36</v>
      </c>
      <c r="H1384" s="8" t="s">
        <v>46</v>
      </c>
      <c r="I1384" s="11">
        <v>4</v>
      </c>
      <c r="J1384" s="12">
        <v>56.78</v>
      </c>
      <c r="K1384" s="13">
        <v>0</v>
      </c>
      <c r="L1384" s="12">
        <v>32.24</v>
      </c>
      <c r="M1384" s="14">
        <f>ROUND(tblSprzedaz[[#This Row],[Ilość]]*tblSprzedaz[[#This Row],[Cena netto jednostkowa]]*(1-tblSprzedaz[[#This Row],[Rabat %]]),2)</f>
        <v>227.12</v>
      </c>
      <c r="N1384" s="14">
        <f>ROUND(tblSprzedaz[[#This Row],[Ilość]]*tblSprzedaz[[#This Row],[Koszt jednostkowy netto]],2)</f>
        <v>128.96</v>
      </c>
      <c r="O1384" s="14">
        <f>tblSprzedaz[[#This Row],[Przychód netto]]-tblSprzedaz[[#This Row],[Koszt całkowity netto]]</f>
        <v>98.16</v>
      </c>
      <c r="P1384" s="15">
        <f>IFERROR(tblSprzedaz[[#This Row],[Marża kwotowa]]/tblSprzedaz[[#This Row],[Przychód netto]],0)</f>
        <v>0.43219443466009155</v>
      </c>
      <c r="Q1384" s="16">
        <f>YEAR(tblSprzedaz[[#This Row],[Data]])</f>
        <v>2025</v>
      </c>
      <c r="R1384" s="16">
        <f>MONTH(tblSprzedaz[[#This Row],[Data]])</f>
        <v>12</v>
      </c>
      <c r="S1384" s="9" t="str">
        <f>YEAR(tblSprzedaz[[#This Row],[Data]])&amp;"-"&amp;RIGHT("0"&amp;MONTH(tblSprzedaz[[#This Row],[Data]]),2)</f>
        <v>2025-12</v>
      </c>
    </row>
    <row r="1385" spans="1:19" x14ac:dyDescent="0.25">
      <c r="A1385" s="7" t="s">
        <v>2937</v>
      </c>
      <c r="B1385" s="10">
        <v>46019</v>
      </c>
      <c r="C1385" s="7" t="s">
        <v>2938</v>
      </c>
      <c r="D1385" s="8" t="s">
        <v>140</v>
      </c>
      <c r="E1385" s="8" t="s">
        <v>48</v>
      </c>
      <c r="F1385" s="8" t="s">
        <v>29</v>
      </c>
      <c r="G1385" s="8" t="s">
        <v>36</v>
      </c>
      <c r="H1385" s="8" t="s">
        <v>46</v>
      </c>
      <c r="I1385" s="11">
        <v>6</v>
      </c>
      <c r="J1385" s="12">
        <v>33.659999999999997</v>
      </c>
      <c r="K1385" s="13">
        <v>0.05</v>
      </c>
      <c r="L1385" s="12">
        <v>20.25</v>
      </c>
      <c r="M1385" s="14">
        <f>ROUND(tblSprzedaz[[#This Row],[Ilość]]*tblSprzedaz[[#This Row],[Cena netto jednostkowa]]*(1-tblSprzedaz[[#This Row],[Rabat %]]),2)</f>
        <v>191.86</v>
      </c>
      <c r="N1385" s="14">
        <f>ROUND(tblSprzedaz[[#This Row],[Ilość]]*tblSprzedaz[[#This Row],[Koszt jednostkowy netto]],2)</f>
        <v>121.5</v>
      </c>
      <c r="O1385" s="14">
        <f>tblSprzedaz[[#This Row],[Przychód netto]]-tblSprzedaz[[#This Row],[Koszt całkowity netto]]</f>
        <v>70.360000000000014</v>
      </c>
      <c r="P1385" s="15">
        <f>IFERROR(tblSprzedaz[[#This Row],[Marża kwotowa]]/tblSprzedaz[[#This Row],[Przychód netto]],0)</f>
        <v>0.36672573751693949</v>
      </c>
      <c r="Q1385" s="16">
        <f>YEAR(tblSprzedaz[[#This Row],[Data]])</f>
        <v>2025</v>
      </c>
      <c r="R1385" s="16">
        <f>MONTH(tblSprzedaz[[#This Row],[Data]])</f>
        <v>12</v>
      </c>
      <c r="S1385" s="9" t="str">
        <f>YEAR(tblSprzedaz[[#This Row],[Data]])&amp;"-"&amp;RIGHT("0"&amp;MONTH(tblSprzedaz[[#This Row],[Data]]),2)</f>
        <v>2025-12</v>
      </c>
    </row>
    <row r="1386" spans="1:19" x14ac:dyDescent="0.25">
      <c r="A1386" s="7" t="s">
        <v>2939</v>
      </c>
      <c r="B1386" s="10">
        <v>46020</v>
      </c>
      <c r="C1386" s="7" t="s">
        <v>2940</v>
      </c>
      <c r="D1386" s="8" t="s">
        <v>141</v>
      </c>
      <c r="E1386" s="8" t="s">
        <v>73</v>
      </c>
      <c r="F1386" s="8" t="s">
        <v>37</v>
      </c>
      <c r="G1386" s="8" t="s">
        <v>32</v>
      </c>
      <c r="H1386" s="8" t="s">
        <v>43</v>
      </c>
      <c r="I1386" s="11">
        <v>3</v>
      </c>
      <c r="J1386" s="12">
        <v>110.2</v>
      </c>
      <c r="K1386" s="13">
        <v>0.15</v>
      </c>
      <c r="L1386" s="12">
        <v>84.68</v>
      </c>
      <c r="M1386" s="14">
        <f>ROUND(tblSprzedaz[[#This Row],[Ilość]]*tblSprzedaz[[#This Row],[Cena netto jednostkowa]]*(1-tblSprzedaz[[#This Row],[Rabat %]]),2)</f>
        <v>281.01</v>
      </c>
      <c r="N1386" s="14">
        <f>ROUND(tblSprzedaz[[#This Row],[Ilość]]*tblSprzedaz[[#This Row],[Koszt jednostkowy netto]],2)</f>
        <v>254.04</v>
      </c>
      <c r="O1386" s="14">
        <f>tblSprzedaz[[#This Row],[Przychód netto]]-tblSprzedaz[[#This Row],[Koszt całkowity netto]]</f>
        <v>26.97</v>
      </c>
      <c r="P1386" s="15">
        <f>IFERROR(tblSprzedaz[[#This Row],[Marża kwotowa]]/tblSprzedaz[[#This Row],[Przychód netto]],0)</f>
        <v>9.5975232198142413E-2</v>
      </c>
      <c r="Q1386" s="16">
        <f>YEAR(tblSprzedaz[[#This Row],[Data]])</f>
        <v>2025</v>
      </c>
      <c r="R1386" s="16">
        <f>MONTH(tblSprzedaz[[#This Row],[Data]])</f>
        <v>12</v>
      </c>
      <c r="S1386" s="9" t="str">
        <f>YEAR(tblSprzedaz[[#This Row],[Data]])&amp;"-"&amp;RIGHT("0"&amp;MONTH(tblSprzedaz[[#This Row],[Data]]),2)</f>
        <v>2025-12</v>
      </c>
    </row>
    <row r="1387" spans="1:19" x14ac:dyDescent="0.25">
      <c r="A1387" s="7" t="s">
        <v>2941</v>
      </c>
      <c r="B1387" s="10">
        <v>46020</v>
      </c>
      <c r="C1387" s="7" t="s">
        <v>2942</v>
      </c>
      <c r="D1387" s="8" t="s">
        <v>141</v>
      </c>
      <c r="E1387" s="8" t="s">
        <v>76</v>
      </c>
      <c r="F1387" s="8" t="s">
        <v>37</v>
      </c>
      <c r="G1387" s="8" t="s">
        <v>32</v>
      </c>
      <c r="H1387" s="8" t="s">
        <v>43</v>
      </c>
      <c r="I1387" s="11">
        <v>5</v>
      </c>
      <c r="J1387" s="12">
        <v>158.65</v>
      </c>
      <c r="K1387" s="13">
        <v>0</v>
      </c>
      <c r="L1387" s="12">
        <v>127.89</v>
      </c>
      <c r="M1387" s="14">
        <f>ROUND(tblSprzedaz[[#This Row],[Ilość]]*tblSprzedaz[[#This Row],[Cena netto jednostkowa]]*(1-tblSprzedaz[[#This Row],[Rabat %]]),2)</f>
        <v>793.25</v>
      </c>
      <c r="N1387" s="14">
        <f>ROUND(tblSprzedaz[[#This Row],[Ilość]]*tblSprzedaz[[#This Row],[Koszt jednostkowy netto]],2)</f>
        <v>639.45000000000005</v>
      </c>
      <c r="O1387" s="14">
        <f>tblSprzedaz[[#This Row],[Przychód netto]]-tblSprzedaz[[#This Row],[Koszt całkowity netto]]</f>
        <v>153.79999999999995</v>
      </c>
      <c r="P1387" s="15">
        <f>IFERROR(tblSprzedaz[[#This Row],[Marża kwotowa]]/tblSprzedaz[[#This Row],[Przychód netto]],0)</f>
        <v>0.19388591238575476</v>
      </c>
      <c r="Q1387" s="16">
        <f>YEAR(tblSprzedaz[[#This Row],[Data]])</f>
        <v>2025</v>
      </c>
      <c r="R1387" s="16">
        <f>MONTH(tblSprzedaz[[#This Row],[Data]])</f>
        <v>12</v>
      </c>
      <c r="S1387" s="9" t="str">
        <f>YEAR(tblSprzedaz[[#This Row],[Data]])&amp;"-"&amp;RIGHT("0"&amp;MONTH(tblSprzedaz[[#This Row],[Data]]),2)</f>
        <v>2025-12</v>
      </c>
    </row>
    <row r="1388" spans="1:19" x14ac:dyDescent="0.25">
      <c r="A1388" s="7" t="s">
        <v>2943</v>
      </c>
      <c r="B1388" s="10">
        <v>46020</v>
      </c>
      <c r="C1388" s="7" t="s">
        <v>2944</v>
      </c>
      <c r="D1388" s="8" t="s">
        <v>144</v>
      </c>
      <c r="E1388" s="8" t="s">
        <v>75</v>
      </c>
      <c r="F1388" s="8" t="s">
        <v>37</v>
      </c>
      <c r="G1388" s="8" t="s">
        <v>28</v>
      </c>
      <c r="H1388" s="8" t="s">
        <v>38</v>
      </c>
      <c r="I1388" s="11">
        <v>21</v>
      </c>
      <c r="J1388" s="12">
        <v>142.5</v>
      </c>
      <c r="K1388" s="13">
        <v>0.15</v>
      </c>
      <c r="L1388" s="12">
        <v>106.38</v>
      </c>
      <c r="M1388" s="14">
        <f>ROUND(tblSprzedaz[[#This Row],[Ilość]]*tblSprzedaz[[#This Row],[Cena netto jednostkowa]]*(1-tblSprzedaz[[#This Row],[Rabat %]]),2)</f>
        <v>2543.63</v>
      </c>
      <c r="N1388" s="14">
        <f>ROUND(tblSprzedaz[[#This Row],[Ilość]]*tblSprzedaz[[#This Row],[Koszt jednostkowy netto]],2)</f>
        <v>2233.98</v>
      </c>
      <c r="O1388" s="14">
        <f>tblSprzedaz[[#This Row],[Przychód netto]]-tblSprzedaz[[#This Row],[Koszt całkowity netto]]</f>
        <v>309.65000000000009</v>
      </c>
      <c r="P1388" s="15">
        <f>IFERROR(tblSprzedaz[[#This Row],[Marża kwotowa]]/tblSprzedaz[[#This Row],[Przychód netto]],0)</f>
        <v>0.12173547253334804</v>
      </c>
      <c r="Q1388" s="16">
        <f>YEAR(tblSprzedaz[[#This Row],[Data]])</f>
        <v>2025</v>
      </c>
      <c r="R1388" s="16">
        <f>MONTH(tblSprzedaz[[#This Row],[Data]])</f>
        <v>12</v>
      </c>
      <c r="S1388" s="9" t="str">
        <f>YEAR(tblSprzedaz[[#This Row],[Data]])&amp;"-"&amp;RIGHT("0"&amp;MONTH(tblSprzedaz[[#This Row],[Data]]),2)</f>
        <v>2025-12</v>
      </c>
    </row>
    <row r="1389" spans="1:19" x14ac:dyDescent="0.25">
      <c r="A1389" s="7" t="s">
        <v>2945</v>
      </c>
      <c r="B1389" s="10">
        <v>46020</v>
      </c>
      <c r="C1389" s="7" t="s">
        <v>2946</v>
      </c>
      <c r="D1389" s="8" t="s">
        <v>122</v>
      </c>
      <c r="E1389" s="8" t="s">
        <v>74</v>
      </c>
      <c r="F1389" s="8" t="s">
        <v>37</v>
      </c>
      <c r="G1389" s="8" t="s">
        <v>34</v>
      </c>
      <c r="H1389" s="8" t="s">
        <v>44</v>
      </c>
      <c r="I1389" s="11">
        <v>8</v>
      </c>
      <c r="J1389" s="12">
        <v>126.35</v>
      </c>
      <c r="K1389" s="13">
        <v>0</v>
      </c>
      <c r="L1389" s="12">
        <v>94.47</v>
      </c>
      <c r="M1389" s="14">
        <f>ROUND(tblSprzedaz[[#This Row],[Ilość]]*tblSprzedaz[[#This Row],[Cena netto jednostkowa]]*(1-tblSprzedaz[[#This Row],[Rabat %]]),2)</f>
        <v>1010.8</v>
      </c>
      <c r="N1389" s="14">
        <f>ROUND(tblSprzedaz[[#This Row],[Ilość]]*tblSprzedaz[[#This Row],[Koszt jednostkowy netto]],2)</f>
        <v>755.76</v>
      </c>
      <c r="O1389" s="14">
        <f>tblSprzedaz[[#This Row],[Przychód netto]]-tblSprzedaz[[#This Row],[Koszt całkowity netto]]</f>
        <v>255.03999999999996</v>
      </c>
      <c r="P1389" s="15">
        <f>IFERROR(tblSprzedaz[[#This Row],[Marża kwotowa]]/tblSprzedaz[[#This Row],[Przychód netto]],0)</f>
        <v>0.2523149980213692</v>
      </c>
      <c r="Q1389" s="16">
        <f>YEAR(tblSprzedaz[[#This Row],[Data]])</f>
        <v>2025</v>
      </c>
      <c r="R1389" s="16">
        <f>MONTH(tblSprzedaz[[#This Row],[Data]])</f>
        <v>12</v>
      </c>
      <c r="S1389" s="9" t="str">
        <f>YEAR(tblSprzedaz[[#This Row],[Data]])&amp;"-"&amp;RIGHT("0"&amp;MONTH(tblSprzedaz[[#This Row],[Data]]),2)</f>
        <v>2025-12</v>
      </c>
    </row>
    <row r="1390" spans="1:19" x14ac:dyDescent="0.25">
      <c r="A1390" s="7" t="s">
        <v>2947</v>
      </c>
      <c r="B1390" s="10">
        <v>46020</v>
      </c>
      <c r="C1390" s="7" t="s">
        <v>2948</v>
      </c>
      <c r="D1390" s="8" t="s">
        <v>101</v>
      </c>
      <c r="E1390" s="8" t="s">
        <v>55</v>
      </c>
      <c r="F1390" s="8" t="s">
        <v>31</v>
      </c>
      <c r="G1390" s="8" t="s">
        <v>32</v>
      </c>
      <c r="H1390" s="8" t="s">
        <v>42</v>
      </c>
      <c r="I1390" s="11">
        <v>21</v>
      </c>
      <c r="J1390" s="12">
        <v>243.6</v>
      </c>
      <c r="K1390" s="13">
        <v>0.1</v>
      </c>
      <c r="L1390" s="12">
        <v>148.06</v>
      </c>
      <c r="M1390" s="14">
        <f>ROUND(tblSprzedaz[[#This Row],[Ilość]]*tblSprzedaz[[#This Row],[Cena netto jednostkowa]]*(1-tblSprzedaz[[#This Row],[Rabat %]]),2)</f>
        <v>4604.04</v>
      </c>
      <c r="N1390" s="14">
        <f>ROUND(tblSprzedaz[[#This Row],[Ilość]]*tblSprzedaz[[#This Row],[Koszt jednostkowy netto]],2)</f>
        <v>3109.26</v>
      </c>
      <c r="O1390" s="14">
        <f>tblSprzedaz[[#This Row],[Przychód netto]]-tblSprzedaz[[#This Row],[Koszt całkowity netto]]</f>
        <v>1494.7799999999997</v>
      </c>
      <c r="P1390" s="15">
        <f>IFERROR(tblSprzedaz[[#This Row],[Marża kwotowa]]/tblSprzedaz[[#This Row],[Przychód netto]],0)</f>
        <v>0.32466703156358323</v>
      </c>
      <c r="Q1390" s="16">
        <f>YEAR(tblSprzedaz[[#This Row],[Data]])</f>
        <v>2025</v>
      </c>
      <c r="R1390" s="16">
        <f>MONTH(tblSprzedaz[[#This Row],[Data]])</f>
        <v>12</v>
      </c>
      <c r="S1390" s="9" t="str">
        <f>YEAR(tblSprzedaz[[#This Row],[Data]])&amp;"-"&amp;RIGHT("0"&amp;MONTH(tblSprzedaz[[#This Row],[Data]]),2)</f>
        <v>2025-12</v>
      </c>
    </row>
    <row r="1391" spans="1:19" x14ac:dyDescent="0.25">
      <c r="A1391" s="7" t="s">
        <v>2949</v>
      </c>
      <c r="B1391" s="10">
        <v>46021</v>
      </c>
      <c r="C1391" s="7" t="s">
        <v>2950</v>
      </c>
      <c r="D1391" s="8" t="s">
        <v>144</v>
      </c>
      <c r="E1391" s="8" t="s">
        <v>49</v>
      </c>
      <c r="F1391" s="8" t="s">
        <v>29</v>
      </c>
      <c r="G1391" s="8" t="s">
        <v>30</v>
      </c>
      <c r="H1391" s="8" t="s">
        <v>41</v>
      </c>
      <c r="I1391" s="11">
        <v>8</v>
      </c>
      <c r="J1391" s="12">
        <v>39.44</v>
      </c>
      <c r="K1391" s="13">
        <v>0.05</v>
      </c>
      <c r="L1391" s="12">
        <v>23.74</v>
      </c>
      <c r="M1391" s="14">
        <f>ROUND(tblSprzedaz[[#This Row],[Ilość]]*tblSprzedaz[[#This Row],[Cena netto jednostkowa]]*(1-tblSprzedaz[[#This Row],[Rabat %]]),2)</f>
        <v>299.74</v>
      </c>
      <c r="N1391" s="14">
        <f>ROUND(tblSprzedaz[[#This Row],[Ilość]]*tblSprzedaz[[#This Row],[Koszt jednostkowy netto]],2)</f>
        <v>189.92</v>
      </c>
      <c r="O1391" s="14">
        <f>tblSprzedaz[[#This Row],[Przychód netto]]-tblSprzedaz[[#This Row],[Koszt całkowity netto]]</f>
        <v>109.82000000000002</v>
      </c>
      <c r="P1391" s="15">
        <f>IFERROR(tblSprzedaz[[#This Row],[Marża kwotowa]]/tblSprzedaz[[#This Row],[Przychód netto]],0)</f>
        <v>0.36638419963968777</v>
      </c>
      <c r="Q1391" s="16">
        <f>YEAR(tblSprzedaz[[#This Row],[Data]])</f>
        <v>2025</v>
      </c>
      <c r="R1391" s="16">
        <f>MONTH(tblSprzedaz[[#This Row],[Data]])</f>
        <v>12</v>
      </c>
      <c r="S1391" s="9" t="str">
        <f>YEAR(tblSprzedaz[[#This Row],[Data]])&amp;"-"&amp;RIGHT("0"&amp;MONTH(tblSprzedaz[[#This Row],[Data]]),2)</f>
        <v>2025-12</v>
      </c>
    </row>
    <row r="1392" spans="1:19" x14ac:dyDescent="0.25">
      <c r="A1392" s="7" t="s">
        <v>2951</v>
      </c>
      <c r="B1392" s="10">
        <v>46021</v>
      </c>
      <c r="C1392" s="7" t="s">
        <v>2952</v>
      </c>
      <c r="D1392" s="8" t="s">
        <v>81</v>
      </c>
      <c r="E1392" s="8" t="s">
        <v>62</v>
      </c>
      <c r="F1392" s="8" t="s">
        <v>33</v>
      </c>
      <c r="G1392" s="8" t="s">
        <v>34</v>
      </c>
      <c r="H1392" s="8" t="s">
        <v>44</v>
      </c>
      <c r="I1392" s="11">
        <v>5</v>
      </c>
      <c r="J1392" s="12">
        <v>611.79999999999995</v>
      </c>
      <c r="K1392" s="13">
        <v>0</v>
      </c>
      <c r="L1392" s="12">
        <v>409.21</v>
      </c>
      <c r="M1392" s="14">
        <f>ROUND(tblSprzedaz[[#This Row],[Ilość]]*tblSprzedaz[[#This Row],[Cena netto jednostkowa]]*(1-tblSprzedaz[[#This Row],[Rabat %]]),2)</f>
        <v>3059</v>
      </c>
      <c r="N1392" s="14">
        <f>ROUND(tblSprzedaz[[#This Row],[Ilość]]*tblSprzedaz[[#This Row],[Koszt jednostkowy netto]],2)</f>
        <v>2046.05</v>
      </c>
      <c r="O1392" s="14">
        <f>tblSprzedaz[[#This Row],[Przychód netto]]-tblSprzedaz[[#This Row],[Koszt całkowity netto]]</f>
        <v>1012.95</v>
      </c>
      <c r="P1392" s="15">
        <f>IFERROR(tblSprzedaz[[#This Row],[Marża kwotowa]]/tblSprzedaz[[#This Row],[Przychód netto]],0)</f>
        <v>0.3311376266753841</v>
      </c>
      <c r="Q1392" s="16">
        <f>YEAR(tblSprzedaz[[#This Row],[Data]])</f>
        <v>2025</v>
      </c>
      <c r="R1392" s="16">
        <f>MONTH(tblSprzedaz[[#This Row],[Data]])</f>
        <v>12</v>
      </c>
      <c r="S1392" s="9" t="str">
        <f>YEAR(tblSprzedaz[[#This Row],[Data]])&amp;"-"&amp;RIGHT("0"&amp;MONTH(tblSprzedaz[[#This Row],[Data]]),2)</f>
        <v>2025-12</v>
      </c>
    </row>
    <row r="1393" spans="1:19" x14ac:dyDescent="0.25">
      <c r="A1393" s="7" t="s">
        <v>2953</v>
      </c>
      <c r="B1393" s="10">
        <v>46021</v>
      </c>
      <c r="C1393" s="7" t="s">
        <v>2954</v>
      </c>
      <c r="D1393" s="8" t="s">
        <v>83</v>
      </c>
      <c r="E1393" s="8" t="s">
        <v>76</v>
      </c>
      <c r="F1393" s="8" t="s">
        <v>37</v>
      </c>
      <c r="G1393" s="8" t="s">
        <v>28</v>
      </c>
      <c r="H1393" s="8" t="s">
        <v>38</v>
      </c>
      <c r="I1393" s="11">
        <v>6</v>
      </c>
      <c r="J1393" s="12">
        <v>158.65</v>
      </c>
      <c r="K1393" s="13">
        <v>0.1</v>
      </c>
      <c r="L1393" s="12">
        <v>127.42</v>
      </c>
      <c r="M1393" s="14">
        <f>ROUND(tblSprzedaz[[#This Row],[Ilość]]*tblSprzedaz[[#This Row],[Cena netto jednostkowa]]*(1-tblSprzedaz[[#This Row],[Rabat %]]),2)</f>
        <v>856.71</v>
      </c>
      <c r="N1393" s="14">
        <f>ROUND(tblSprzedaz[[#This Row],[Ilość]]*tblSprzedaz[[#This Row],[Koszt jednostkowy netto]],2)</f>
        <v>764.52</v>
      </c>
      <c r="O1393" s="14">
        <f>tblSprzedaz[[#This Row],[Przychód netto]]-tblSprzedaz[[#This Row],[Koszt całkowity netto]]</f>
        <v>92.190000000000055</v>
      </c>
      <c r="P1393" s="15">
        <f>IFERROR(tblSprzedaz[[#This Row],[Marża kwotowa]]/tblSprzedaz[[#This Row],[Przychód netto]],0)</f>
        <v>0.10760934271807268</v>
      </c>
      <c r="Q1393" s="16">
        <f>YEAR(tblSprzedaz[[#This Row],[Data]])</f>
        <v>2025</v>
      </c>
      <c r="R1393" s="16">
        <f>MONTH(tblSprzedaz[[#This Row],[Data]])</f>
        <v>12</v>
      </c>
      <c r="S1393" s="9" t="str">
        <f>YEAR(tblSprzedaz[[#This Row],[Data]])&amp;"-"&amp;RIGHT("0"&amp;MONTH(tblSprzedaz[[#This Row],[Data]]),2)</f>
        <v>2025-12</v>
      </c>
    </row>
    <row r="1394" spans="1:19" x14ac:dyDescent="0.25">
      <c r="A1394" s="7" t="s">
        <v>2955</v>
      </c>
      <c r="B1394" s="10">
        <v>46022</v>
      </c>
      <c r="C1394" s="7" t="s">
        <v>2956</v>
      </c>
      <c r="D1394" s="8" t="s">
        <v>89</v>
      </c>
      <c r="E1394" s="8" t="s">
        <v>62</v>
      </c>
      <c r="F1394" s="8" t="s">
        <v>33</v>
      </c>
      <c r="G1394" s="8" t="s">
        <v>36</v>
      </c>
      <c r="H1394" s="8" t="s">
        <v>46</v>
      </c>
      <c r="I1394" s="11">
        <v>3</v>
      </c>
      <c r="J1394" s="12">
        <v>611.79999999999995</v>
      </c>
      <c r="K1394" s="13">
        <v>0.05</v>
      </c>
      <c r="L1394" s="12">
        <v>419.36</v>
      </c>
      <c r="M1394" s="14">
        <f>ROUND(tblSprzedaz[[#This Row],[Ilość]]*tblSprzedaz[[#This Row],[Cena netto jednostkowa]]*(1-tblSprzedaz[[#This Row],[Rabat %]]),2)</f>
        <v>1743.63</v>
      </c>
      <c r="N1394" s="14">
        <f>ROUND(tblSprzedaz[[#This Row],[Ilość]]*tblSprzedaz[[#This Row],[Koszt jednostkowy netto]],2)</f>
        <v>1258.08</v>
      </c>
      <c r="O1394" s="14">
        <f>tblSprzedaz[[#This Row],[Przychód netto]]-tblSprzedaz[[#This Row],[Koszt całkowity netto]]</f>
        <v>485.55000000000018</v>
      </c>
      <c r="P1394" s="15">
        <f>IFERROR(tblSprzedaz[[#This Row],[Marża kwotowa]]/tblSprzedaz[[#This Row],[Przychód netto]],0)</f>
        <v>0.27847077648354301</v>
      </c>
      <c r="Q1394" s="16">
        <f>YEAR(tblSprzedaz[[#This Row],[Data]])</f>
        <v>2025</v>
      </c>
      <c r="R1394" s="16">
        <f>MONTH(tblSprzedaz[[#This Row],[Data]])</f>
        <v>12</v>
      </c>
      <c r="S1394" s="9" t="str">
        <f>YEAR(tblSprzedaz[[#This Row],[Data]])&amp;"-"&amp;RIGHT("0"&amp;MONTH(tblSprzedaz[[#This Row],[Data]]),2)</f>
        <v>2025-12</v>
      </c>
    </row>
    <row r="1395" spans="1:19" x14ac:dyDescent="0.25">
      <c r="A1395" s="7" t="s">
        <v>2957</v>
      </c>
      <c r="B1395" s="10">
        <v>46022</v>
      </c>
      <c r="C1395" s="7" t="s">
        <v>2958</v>
      </c>
      <c r="D1395" s="8" t="s">
        <v>148</v>
      </c>
      <c r="E1395" s="8" t="s">
        <v>63</v>
      </c>
      <c r="F1395" s="8" t="s">
        <v>33</v>
      </c>
      <c r="G1395" s="8" t="s">
        <v>32</v>
      </c>
      <c r="H1395" s="8" t="s">
        <v>43</v>
      </c>
      <c r="I1395" s="11">
        <v>6</v>
      </c>
      <c r="J1395" s="12">
        <v>690</v>
      </c>
      <c r="K1395" s="13">
        <v>0.1</v>
      </c>
      <c r="L1395" s="12">
        <v>481.29</v>
      </c>
      <c r="M1395" s="14">
        <f>ROUND(tblSprzedaz[[#This Row],[Ilość]]*tblSprzedaz[[#This Row],[Cena netto jednostkowa]]*(1-tblSprzedaz[[#This Row],[Rabat %]]),2)</f>
        <v>3726</v>
      </c>
      <c r="N1395" s="14">
        <f>ROUND(tblSprzedaz[[#This Row],[Ilość]]*tblSprzedaz[[#This Row],[Koszt jednostkowy netto]],2)</f>
        <v>2887.74</v>
      </c>
      <c r="O1395" s="14">
        <f>tblSprzedaz[[#This Row],[Przychód netto]]-tblSprzedaz[[#This Row],[Koszt całkowity netto]]</f>
        <v>838.26000000000022</v>
      </c>
      <c r="P1395" s="15">
        <f>IFERROR(tblSprzedaz[[#This Row],[Marża kwotowa]]/tblSprzedaz[[#This Row],[Przychód netto]],0)</f>
        <v>0.22497584541062807</v>
      </c>
      <c r="Q1395" s="16">
        <f>YEAR(tblSprzedaz[[#This Row],[Data]])</f>
        <v>2025</v>
      </c>
      <c r="R1395" s="16">
        <f>MONTH(tblSprzedaz[[#This Row],[Data]])</f>
        <v>12</v>
      </c>
      <c r="S1395" s="9" t="str">
        <f>YEAR(tblSprzedaz[[#This Row],[Data]])&amp;"-"&amp;RIGHT("0"&amp;MONTH(tblSprzedaz[[#This Row],[Data]]),2)</f>
        <v>2025-12</v>
      </c>
    </row>
    <row r="1396" spans="1:19" x14ac:dyDescent="0.25">
      <c r="A1396" s="7" t="s">
        <v>2959</v>
      </c>
      <c r="B1396" s="10">
        <v>46022</v>
      </c>
      <c r="C1396" s="7" t="s">
        <v>2960</v>
      </c>
      <c r="D1396" s="8" t="s">
        <v>96</v>
      </c>
      <c r="E1396" s="8" t="s">
        <v>73</v>
      </c>
      <c r="F1396" s="8" t="s">
        <v>37</v>
      </c>
      <c r="G1396" s="8" t="s">
        <v>28</v>
      </c>
      <c r="H1396" s="8" t="s">
        <v>38</v>
      </c>
      <c r="I1396" s="11">
        <v>5</v>
      </c>
      <c r="J1396" s="12">
        <v>110.2</v>
      </c>
      <c r="K1396" s="13">
        <v>0.15</v>
      </c>
      <c r="L1396" s="12">
        <v>88.57</v>
      </c>
      <c r="M1396" s="14">
        <f>ROUND(tblSprzedaz[[#This Row],[Ilość]]*tblSprzedaz[[#This Row],[Cena netto jednostkowa]]*(1-tblSprzedaz[[#This Row],[Rabat %]]),2)</f>
        <v>468.35</v>
      </c>
      <c r="N1396" s="14">
        <f>ROUND(tblSprzedaz[[#This Row],[Ilość]]*tblSprzedaz[[#This Row],[Koszt jednostkowy netto]],2)</f>
        <v>442.85</v>
      </c>
      <c r="O1396" s="14">
        <f>tblSprzedaz[[#This Row],[Przychód netto]]-tblSprzedaz[[#This Row],[Koszt całkowity netto]]</f>
        <v>25.5</v>
      </c>
      <c r="P1396" s="15">
        <f>IFERROR(tblSprzedaz[[#This Row],[Marża kwotowa]]/tblSprzedaz[[#This Row],[Przychód netto]],0)</f>
        <v>5.4446460980036297E-2</v>
      </c>
      <c r="Q1396" s="16">
        <f>YEAR(tblSprzedaz[[#This Row],[Data]])</f>
        <v>2025</v>
      </c>
      <c r="R1396" s="16">
        <f>MONTH(tblSprzedaz[[#This Row],[Data]])</f>
        <v>12</v>
      </c>
      <c r="S1396" s="9" t="str">
        <f>YEAR(tblSprzedaz[[#This Row],[Data]])&amp;"-"&amp;RIGHT("0"&amp;MONTH(tblSprzedaz[[#This Row],[Data]]),2)</f>
        <v>2025-12</v>
      </c>
    </row>
    <row r="1397" spans="1:19" x14ac:dyDescent="0.25">
      <c r="A1397" s="7" t="s">
        <v>2961</v>
      </c>
      <c r="B1397" s="10">
        <v>46022</v>
      </c>
      <c r="C1397" s="7" t="s">
        <v>2962</v>
      </c>
      <c r="D1397" s="8" t="s">
        <v>79</v>
      </c>
      <c r="E1397" s="8" t="s">
        <v>58</v>
      </c>
      <c r="F1397" s="8" t="s">
        <v>31</v>
      </c>
      <c r="G1397" s="8" t="s">
        <v>32</v>
      </c>
      <c r="H1397" s="8" t="s">
        <v>42</v>
      </c>
      <c r="I1397" s="11">
        <v>5</v>
      </c>
      <c r="J1397" s="12">
        <v>350.7</v>
      </c>
      <c r="K1397" s="13">
        <v>0.1</v>
      </c>
      <c r="L1397" s="12">
        <v>226.68</v>
      </c>
      <c r="M1397" s="14">
        <f>ROUND(tblSprzedaz[[#This Row],[Ilość]]*tblSprzedaz[[#This Row],[Cena netto jednostkowa]]*(1-tblSprzedaz[[#This Row],[Rabat %]]),2)</f>
        <v>1578.15</v>
      </c>
      <c r="N1397" s="14">
        <f>ROUND(tblSprzedaz[[#This Row],[Ilość]]*tblSprzedaz[[#This Row],[Koszt jednostkowy netto]],2)</f>
        <v>1133.4000000000001</v>
      </c>
      <c r="O1397" s="14">
        <f>tblSprzedaz[[#This Row],[Przychód netto]]-tblSprzedaz[[#This Row],[Koszt całkowity netto]]</f>
        <v>444.75</v>
      </c>
      <c r="P1397" s="15">
        <f>IFERROR(tblSprzedaz[[#This Row],[Marża kwotowa]]/tblSprzedaz[[#This Row],[Przychód netto]],0)</f>
        <v>0.28181731774546143</v>
      </c>
      <c r="Q1397" s="16">
        <f>YEAR(tblSprzedaz[[#This Row],[Data]])</f>
        <v>2025</v>
      </c>
      <c r="R1397" s="16">
        <f>MONTH(tblSprzedaz[[#This Row],[Data]])</f>
        <v>12</v>
      </c>
      <c r="S1397" s="9" t="str">
        <f>YEAR(tblSprzedaz[[#This Row],[Data]])&amp;"-"&amp;RIGHT("0"&amp;MONTH(tblSprzedaz[[#This Row],[Data]]),2)</f>
        <v>2025-12</v>
      </c>
    </row>
    <row r="1398" spans="1:19" x14ac:dyDescent="0.25">
      <c r="A1398" s="7" t="s">
        <v>2963</v>
      </c>
      <c r="B1398" s="10">
        <v>46022</v>
      </c>
      <c r="C1398" s="7" t="s">
        <v>2964</v>
      </c>
      <c r="D1398" s="8" t="s">
        <v>91</v>
      </c>
      <c r="E1398" s="8" t="s">
        <v>53</v>
      </c>
      <c r="F1398" s="8" t="s">
        <v>29</v>
      </c>
      <c r="G1398" s="8" t="s">
        <v>32</v>
      </c>
      <c r="H1398" s="8" t="s">
        <v>43</v>
      </c>
      <c r="I1398" s="11">
        <v>9</v>
      </c>
      <c r="J1398" s="12">
        <v>27.88</v>
      </c>
      <c r="K1398" s="13">
        <v>0.1</v>
      </c>
      <c r="L1398" s="12">
        <v>16.739999999999998</v>
      </c>
      <c r="M1398" s="14">
        <f>ROUND(tblSprzedaz[[#This Row],[Ilość]]*tblSprzedaz[[#This Row],[Cena netto jednostkowa]]*(1-tblSprzedaz[[#This Row],[Rabat %]]),2)</f>
        <v>225.83</v>
      </c>
      <c r="N1398" s="14">
        <f>ROUND(tblSprzedaz[[#This Row],[Ilość]]*tblSprzedaz[[#This Row],[Koszt jednostkowy netto]],2)</f>
        <v>150.66</v>
      </c>
      <c r="O1398" s="14">
        <f>tblSprzedaz[[#This Row],[Przychód netto]]-tblSprzedaz[[#This Row],[Koszt całkowity netto]]</f>
        <v>75.170000000000016</v>
      </c>
      <c r="P1398" s="15">
        <f>IFERROR(tblSprzedaz[[#This Row],[Marża kwotowa]]/tblSprzedaz[[#This Row],[Przychód netto]],0)</f>
        <v>0.3328610016384006</v>
      </c>
      <c r="Q1398" s="16">
        <f>YEAR(tblSprzedaz[[#This Row],[Data]])</f>
        <v>2025</v>
      </c>
      <c r="R1398" s="16">
        <f>MONTH(tblSprzedaz[[#This Row],[Data]])</f>
        <v>12</v>
      </c>
      <c r="S1398" s="9" t="str">
        <f>YEAR(tblSprzedaz[[#This Row],[Data]])&amp;"-"&amp;RIGHT("0"&amp;MONTH(tblSprzedaz[[#This Row],[Data]]),2)</f>
        <v>2025-12</v>
      </c>
    </row>
    <row r="1399" spans="1:19" x14ac:dyDescent="0.25">
      <c r="A1399" s="7" t="s">
        <v>2965</v>
      </c>
      <c r="B1399" s="10">
        <v>46023</v>
      </c>
      <c r="C1399" s="7" t="s">
        <v>2966</v>
      </c>
      <c r="D1399" s="8" t="s">
        <v>93</v>
      </c>
      <c r="E1399" s="8" t="s">
        <v>55</v>
      </c>
      <c r="F1399" s="8" t="s">
        <v>31</v>
      </c>
      <c r="G1399" s="8" t="s">
        <v>36</v>
      </c>
      <c r="H1399" s="8" t="s">
        <v>46</v>
      </c>
      <c r="I1399" s="11">
        <v>17</v>
      </c>
      <c r="J1399" s="12">
        <v>243.6</v>
      </c>
      <c r="K1399" s="13">
        <v>0</v>
      </c>
      <c r="L1399" s="12">
        <v>155.31</v>
      </c>
      <c r="M1399" s="14">
        <f>ROUND(tblSprzedaz[[#This Row],[Ilość]]*tblSprzedaz[[#This Row],[Cena netto jednostkowa]]*(1-tblSprzedaz[[#This Row],[Rabat %]]),2)</f>
        <v>4141.2</v>
      </c>
      <c r="N1399" s="14">
        <f>ROUND(tblSprzedaz[[#This Row],[Ilość]]*tblSprzedaz[[#This Row],[Koszt jednostkowy netto]],2)</f>
        <v>2640.27</v>
      </c>
      <c r="O1399" s="14">
        <f>tblSprzedaz[[#This Row],[Przychód netto]]-tblSprzedaz[[#This Row],[Koszt całkowity netto]]</f>
        <v>1500.9299999999998</v>
      </c>
      <c r="P1399" s="15">
        <f>IFERROR(tblSprzedaz[[#This Row],[Marża kwotowa]]/tblSprzedaz[[#This Row],[Przychód netto]],0)</f>
        <v>0.3624384236453202</v>
      </c>
      <c r="Q1399" s="16">
        <f>YEAR(tblSprzedaz[[#This Row],[Data]])</f>
        <v>2026</v>
      </c>
      <c r="R1399" s="16">
        <f>MONTH(tblSprzedaz[[#This Row],[Data]])</f>
        <v>1</v>
      </c>
      <c r="S1399" s="9" t="str">
        <f>YEAR(tblSprzedaz[[#This Row],[Data]])&amp;"-"&amp;RIGHT("0"&amp;MONTH(tblSprzedaz[[#This Row],[Data]]),2)</f>
        <v>2026-01</v>
      </c>
    </row>
    <row r="1400" spans="1:19" x14ac:dyDescent="0.25">
      <c r="A1400" s="7" t="s">
        <v>2967</v>
      </c>
      <c r="B1400" s="10">
        <v>46023</v>
      </c>
      <c r="C1400" s="7" t="s">
        <v>2968</v>
      </c>
      <c r="D1400" s="8" t="s">
        <v>79</v>
      </c>
      <c r="E1400" s="8" t="s">
        <v>56</v>
      </c>
      <c r="F1400" s="8" t="s">
        <v>31</v>
      </c>
      <c r="G1400" s="8" t="s">
        <v>36</v>
      </c>
      <c r="H1400" s="8" t="s">
        <v>47</v>
      </c>
      <c r="I1400" s="11">
        <v>3</v>
      </c>
      <c r="J1400" s="12">
        <v>279.3</v>
      </c>
      <c r="K1400" s="13">
        <v>0.1</v>
      </c>
      <c r="L1400" s="12">
        <v>180.53</v>
      </c>
      <c r="M1400" s="14">
        <f>ROUND(tblSprzedaz[[#This Row],[Ilość]]*tblSprzedaz[[#This Row],[Cena netto jednostkowa]]*(1-tblSprzedaz[[#This Row],[Rabat %]]),2)</f>
        <v>754.11</v>
      </c>
      <c r="N1400" s="14">
        <f>ROUND(tblSprzedaz[[#This Row],[Ilość]]*tblSprzedaz[[#This Row],[Koszt jednostkowy netto]],2)</f>
        <v>541.59</v>
      </c>
      <c r="O1400" s="14">
        <f>tblSprzedaz[[#This Row],[Przychód netto]]-tblSprzedaz[[#This Row],[Koszt całkowity netto]]</f>
        <v>212.51999999999998</v>
      </c>
      <c r="P1400" s="15">
        <f>IFERROR(tblSprzedaz[[#This Row],[Marża kwotowa]]/tblSprzedaz[[#This Row],[Przychód netto]],0)</f>
        <v>0.28181565023670285</v>
      </c>
      <c r="Q1400" s="16">
        <f>YEAR(tblSprzedaz[[#This Row],[Data]])</f>
        <v>2026</v>
      </c>
      <c r="R1400" s="16">
        <f>MONTH(tblSprzedaz[[#This Row],[Data]])</f>
        <v>1</v>
      </c>
      <c r="S1400" s="9" t="str">
        <f>YEAR(tblSprzedaz[[#This Row],[Data]])&amp;"-"&amp;RIGHT("0"&amp;MONTH(tblSprzedaz[[#This Row],[Data]]),2)</f>
        <v>2026-01</v>
      </c>
    </row>
    <row r="1401" spans="1:19" x14ac:dyDescent="0.25">
      <c r="A1401" s="7" t="s">
        <v>2969</v>
      </c>
      <c r="B1401" s="10">
        <v>46023</v>
      </c>
      <c r="C1401" s="7" t="s">
        <v>2970</v>
      </c>
      <c r="D1401" s="8" t="s">
        <v>81</v>
      </c>
      <c r="E1401" s="8" t="s">
        <v>54</v>
      </c>
      <c r="F1401" s="8" t="s">
        <v>31</v>
      </c>
      <c r="G1401" s="8" t="s">
        <v>36</v>
      </c>
      <c r="H1401" s="8" t="s">
        <v>47</v>
      </c>
      <c r="I1401" s="11">
        <v>11</v>
      </c>
      <c r="J1401" s="12">
        <v>207.9</v>
      </c>
      <c r="K1401" s="13">
        <v>0.05</v>
      </c>
      <c r="L1401" s="12">
        <v>128.38999999999999</v>
      </c>
      <c r="M1401" s="14">
        <f>ROUND(tblSprzedaz[[#This Row],[Ilość]]*tblSprzedaz[[#This Row],[Cena netto jednostkowa]]*(1-tblSprzedaz[[#This Row],[Rabat %]]),2)</f>
        <v>2172.56</v>
      </c>
      <c r="N1401" s="14">
        <f>ROUND(tblSprzedaz[[#This Row],[Ilość]]*tblSprzedaz[[#This Row],[Koszt jednostkowy netto]],2)</f>
        <v>1412.29</v>
      </c>
      <c r="O1401" s="14">
        <f>tblSprzedaz[[#This Row],[Przychód netto]]-tblSprzedaz[[#This Row],[Koszt całkowity netto]]</f>
        <v>760.27</v>
      </c>
      <c r="P1401" s="15">
        <f>IFERROR(tblSprzedaz[[#This Row],[Marża kwotowa]]/tblSprzedaz[[#This Row],[Przychód netto]],0)</f>
        <v>0.34994200390322938</v>
      </c>
      <c r="Q1401" s="16">
        <f>YEAR(tblSprzedaz[[#This Row],[Data]])</f>
        <v>2026</v>
      </c>
      <c r="R1401" s="16">
        <f>MONTH(tblSprzedaz[[#This Row],[Data]])</f>
        <v>1</v>
      </c>
      <c r="S1401" s="9" t="str">
        <f>YEAR(tblSprzedaz[[#This Row],[Data]])&amp;"-"&amp;RIGHT("0"&amp;MONTH(tblSprzedaz[[#This Row],[Data]]),2)</f>
        <v>2026-01</v>
      </c>
    </row>
    <row r="1402" spans="1:19" x14ac:dyDescent="0.25">
      <c r="A1402" s="7" t="s">
        <v>2971</v>
      </c>
      <c r="B1402" s="10">
        <v>46023</v>
      </c>
      <c r="C1402" s="7" t="s">
        <v>2972</v>
      </c>
      <c r="D1402" s="8" t="s">
        <v>80</v>
      </c>
      <c r="E1402" s="8" t="s">
        <v>76</v>
      </c>
      <c r="F1402" s="8" t="s">
        <v>37</v>
      </c>
      <c r="G1402" s="8" t="s">
        <v>30</v>
      </c>
      <c r="H1402" s="8" t="s">
        <v>40</v>
      </c>
      <c r="I1402" s="11">
        <v>6</v>
      </c>
      <c r="J1402" s="12">
        <v>158.65</v>
      </c>
      <c r="K1402" s="13">
        <v>0.15</v>
      </c>
      <c r="L1402" s="12">
        <v>121.56</v>
      </c>
      <c r="M1402" s="14">
        <f>ROUND(tblSprzedaz[[#This Row],[Ilość]]*tblSprzedaz[[#This Row],[Cena netto jednostkowa]]*(1-tblSprzedaz[[#This Row],[Rabat %]]),2)</f>
        <v>809.12</v>
      </c>
      <c r="N1402" s="14">
        <f>ROUND(tblSprzedaz[[#This Row],[Ilość]]*tblSprzedaz[[#This Row],[Koszt jednostkowy netto]],2)</f>
        <v>729.36</v>
      </c>
      <c r="O1402" s="14">
        <f>tblSprzedaz[[#This Row],[Przychód netto]]-tblSprzedaz[[#This Row],[Koszt całkowity netto]]</f>
        <v>79.759999999999991</v>
      </c>
      <c r="P1402" s="15">
        <f>IFERROR(tblSprzedaz[[#This Row],[Marża kwotowa]]/tblSprzedaz[[#This Row],[Przychód netto]],0)</f>
        <v>9.8576230966976458E-2</v>
      </c>
      <c r="Q1402" s="16">
        <f>YEAR(tblSprzedaz[[#This Row],[Data]])</f>
        <v>2026</v>
      </c>
      <c r="R1402" s="16">
        <f>MONTH(tblSprzedaz[[#This Row],[Data]])</f>
        <v>1</v>
      </c>
      <c r="S1402" s="9" t="str">
        <f>YEAR(tblSprzedaz[[#This Row],[Data]])&amp;"-"&amp;RIGHT("0"&amp;MONTH(tblSprzedaz[[#This Row],[Data]]),2)</f>
        <v>2026-01</v>
      </c>
    </row>
    <row r="1403" spans="1:19" x14ac:dyDescent="0.25">
      <c r="A1403" s="7" t="s">
        <v>2973</v>
      </c>
      <c r="B1403" s="10">
        <v>46024</v>
      </c>
      <c r="C1403" s="7" t="s">
        <v>2974</v>
      </c>
      <c r="D1403" s="8" t="s">
        <v>131</v>
      </c>
      <c r="E1403" s="8" t="s">
        <v>69</v>
      </c>
      <c r="F1403" s="8" t="s">
        <v>35</v>
      </c>
      <c r="G1403" s="8" t="s">
        <v>36</v>
      </c>
      <c r="H1403" s="8" t="s">
        <v>46</v>
      </c>
      <c r="I1403" s="11">
        <v>9</v>
      </c>
      <c r="J1403" s="12">
        <v>102</v>
      </c>
      <c r="K1403" s="13">
        <v>0.15</v>
      </c>
      <c r="L1403" s="12">
        <v>71.08</v>
      </c>
      <c r="M1403" s="14">
        <f>ROUND(tblSprzedaz[[#This Row],[Ilość]]*tblSprzedaz[[#This Row],[Cena netto jednostkowa]]*(1-tblSprzedaz[[#This Row],[Rabat %]]),2)</f>
        <v>780.3</v>
      </c>
      <c r="N1403" s="14">
        <f>ROUND(tblSprzedaz[[#This Row],[Ilość]]*tblSprzedaz[[#This Row],[Koszt jednostkowy netto]],2)</f>
        <v>639.72</v>
      </c>
      <c r="O1403" s="14">
        <f>tblSprzedaz[[#This Row],[Przychód netto]]-tblSprzedaz[[#This Row],[Koszt całkowity netto]]</f>
        <v>140.57999999999993</v>
      </c>
      <c r="P1403" s="15">
        <f>IFERROR(tblSprzedaz[[#This Row],[Marża kwotowa]]/tblSprzedaz[[#This Row],[Przychód netto]],0)</f>
        <v>0.1801614763552479</v>
      </c>
      <c r="Q1403" s="16">
        <f>YEAR(tblSprzedaz[[#This Row],[Data]])</f>
        <v>2026</v>
      </c>
      <c r="R1403" s="16">
        <f>MONTH(tblSprzedaz[[#This Row],[Data]])</f>
        <v>1</v>
      </c>
      <c r="S1403" s="9" t="str">
        <f>YEAR(tblSprzedaz[[#This Row],[Data]])&amp;"-"&amp;RIGHT("0"&amp;MONTH(tblSprzedaz[[#This Row],[Data]]),2)</f>
        <v>2026-01</v>
      </c>
    </row>
    <row r="1404" spans="1:19" x14ac:dyDescent="0.25">
      <c r="A1404" s="7" t="s">
        <v>2975</v>
      </c>
      <c r="B1404" s="10">
        <v>46024</v>
      </c>
      <c r="C1404" s="7" t="s">
        <v>2976</v>
      </c>
      <c r="D1404" s="8" t="s">
        <v>105</v>
      </c>
      <c r="E1404" s="8" t="s">
        <v>58</v>
      </c>
      <c r="F1404" s="8" t="s">
        <v>31</v>
      </c>
      <c r="G1404" s="8" t="s">
        <v>36</v>
      </c>
      <c r="H1404" s="8" t="s">
        <v>47</v>
      </c>
      <c r="I1404" s="11">
        <v>4</v>
      </c>
      <c r="J1404" s="12">
        <v>350.7</v>
      </c>
      <c r="K1404" s="13">
        <v>0.1</v>
      </c>
      <c r="L1404" s="12">
        <v>235.25</v>
      </c>
      <c r="M1404" s="14">
        <f>ROUND(tblSprzedaz[[#This Row],[Ilość]]*tblSprzedaz[[#This Row],[Cena netto jednostkowa]]*(1-tblSprzedaz[[#This Row],[Rabat %]]),2)</f>
        <v>1262.52</v>
      </c>
      <c r="N1404" s="14">
        <f>ROUND(tblSprzedaz[[#This Row],[Ilość]]*tblSprzedaz[[#This Row],[Koszt jednostkowy netto]],2)</f>
        <v>941</v>
      </c>
      <c r="O1404" s="14">
        <f>tblSprzedaz[[#This Row],[Przychód netto]]-tblSprzedaz[[#This Row],[Koszt całkowity netto]]</f>
        <v>321.52</v>
      </c>
      <c r="P1404" s="15">
        <f>IFERROR(tblSprzedaz[[#This Row],[Marża kwotowa]]/tblSprzedaz[[#This Row],[Przychód netto]],0)</f>
        <v>0.25466527262934446</v>
      </c>
      <c r="Q1404" s="16">
        <f>YEAR(tblSprzedaz[[#This Row],[Data]])</f>
        <v>2026</v>
      </c>
      <c r="R1404" s="16">
        <f>MONTH(tblSprzedaz[[#This Row],[Data]])</f>
        <v>1</v>
      </c>
      <c r="S1404" s="9" t="str">
        <f>YEAR(tblSprzedaz[[#This Row],[Data]])&amp;"-"&amp;RIGHT("0"&amp;MONTH(tblSprzedaz[[#This Row],[Data]]),2)</f>
        <v>2026-01</v>
      </c>
    </row>
    <row r="1405" spans="1:19" x14ac:dyDescent="0.25">
      <c r="A1405" s="7" t="s">
        <v>2977</v>
      </c>
      <c r="B1405" s="10">
        <v>46024</v>
      </c>
      <c r="C1405" s="7" t="s">
        <v>2978</v>
      </c>
      <c r="D1405" s="8" t="s">
        <v>131</v>
      </c>
      <c r="E1405" s="8" t="s">
        <v>69</v>
      </c>
      <c r="F1405" s="8" t="s">
        <v>35</v>
      </c>
      <c r="G1405" s="8" t="s">
        <v>30</v>
      </c>
      <c r="H1405" s="8" t="s">
        <v>40</v>
      </c>
      <c r="I1405" s="11">
        <v>3</v>
      </c>
      <c r="J1405" s="12">
        <v>102</v>
      </c>
      <c r="K1405" s="13">
        <v>0</v>
      </c>
      <c r="L1405" s="12">
        <v>76.19</v>
      </c>
      <c r="M1405" s="14">
        <f>ROUND(tblSprzedaz[[#This Row],[Ilość]]*tblSprzedaz[[#This Row],[Cena netto jednostkowa]]*(1-tblSprzedaz[[#This Row],[Rabat %]]),2)</f>
        <v>306</v>
      </c>
      <c r="N1405" s="14">
        <f>ROUND(tblSprzedaz[[#This Row],[Ilość]]*tblSprzedaz[[#This Row],[Koszt jednostkowy netto]],2)</f>
        <v>228.57</v>
      </c>
      <c r="O1405" s="14">
        <f>tblSprzedaz[[#This Row],[Przychód netto]]-tblSprzedaz[[#This Row],[Koszt całkowity netto]]</f>
        <v>77.430000000000007</v>
      </c>
      <c r="P1405" s="15">
        <f>IFERROR(tblSprzedaz[[#This Row],[Marża kwotowa]]/tblSprzedaz[[#This Row],[Przychód netto]],0)</f>
        <v>0.25303921568627452</v>
      </c>
      <c r="Q1405" s="16">
        <f>YEAR(tblSprzedaz[[#This Row],[Data]])</f>
        <v>2026</v>
      </c>
      <c r="R1405" s="16">
        <f>MONTH(tblSprzedaz[[#This Row],[Data]])</f>
        <v>1</v>
      </c>
      <c r="S1405" s="9" t="str">
        <f>YEAR(tblSprzedaz[[#This Row],[Data]])&amp;"-"&amp;RIGHT("0"&amp;MONTH(tblSprzedaz[[#This Row],[Data]]),2)</f>
        <v>2026-01</v>
      </c>
    </row>
    <row r="1406" spans="1:19" x14ac:dyDescent="0.25">
      <c r="A1406" s="7" t="s">
        <v>2979</v>
      </c>
      <c r="B1406" s="10">
        <v>46025</v>
      </c>
      <c r="C1406" s="7" t="s">
        <v>2980</v>
      </c>
      <c r="D1406" s="8" t="s">
        <v>139</v>
      </c>
      <c r="E1406" s="8" t="s">
        <v>63</v>
      </c>
      <c r="F1406" s="8" t="s">
        <v>33</v>
      </c>
      <c r="G1406" s="8" t="s">
        <v>36</v>
      </c>
      <c r="H1406" s="8" t="s">
        <v>46</v>
      </c>
      <c r="I1406" s="11">
        <v>8</v>
      </c>
      <c r="J1406" s="12">
        <v>690</v>
      </c>
      <c r="K1406" s="13">
        <v>0</v>
      </c>
      <c r="L1406" s="12">
        <v>494.82</v>
      </c>
      <c r="M1406" s="14">
        <f>ROUND(tblSprzedaz[[#This Row],[Ilość]]*tblSprzedaz[[#This Row],[Cena netto jednostkowa]]*(1-tblSprzedaz[[#This Row],[Rabat %]]),2)</f>
        <v>5520</v>
      </c>
      <c r="N1406" s="14">
        <f>ROUND(tblSprzedaz[[#This Row],[Ilość]]*tblSprzedaz[[#This Row],[Koszt jednostkowy netto]],2)</f>
        <v>3958.56</v>
      </c>
      <c r="O1406" s="14">
        <f>tblSprzedaz[[#This Row],[Przychód netto]]-tblSprzedaz[[#This Row],[Koszt całkowity netto]]</f>
        <v>1561.44</v>
      </c>
      <c r="P1406" s="15">
        <f>IFERROR(tblSprzedaz[[#This Row],[Marża kwotowa]]/tblSprzedaz[[#This Row],[Przychód netto]],0)</f>
        <v>0.28286956521739132</v>
      </c>
      <c r="Q1406" s="16">
        <f>YEAR(tblSprzedaz[[#This Row],[Data]])</f>
        <v>2026</v>
      </c>
      <c r="R1406" s="16">
        <f>MONTH(tblSprzedaz[[#This Row],[Data]])</f>
        <v>1</v>
      </c>
      <c r="S1406" s="9" t="str">
        <f>YEAR(tblSprzedaz[[#This Row],[Data]])&amp;"-"&amp;RIGHT("0"&amp;MONTH(tblSprzedaz[[#This Row],[Data]]),2)</f>
        <v>2026-01</v>
      </c>
    </row>
    <row r="1407" spans="1:19" x14ac:dyDescent="0.25">
      <c r="A1407" s="7" t="s">
        <v>2981</v>
      </c>
      <c r="B1407" s="10">
        <v>46025</v>
      </c>
      <c r="C1407" s="7" t="s">
        <v>2982</v>
      </c>
      <c r="D1407" s="8" t="s">
        <v>125</v>
      </c>
      <c r="E1407" s="8" t="s">
        <v>68</v>
      </c>
      <c r="F1407" s="8" t="s">
        <v>35</v>
      </c>
      <c r="G1407" s="8" t="s">
        <v>32</v>
      </c>
      <c r="H1407" s="8" t="s">
        <v>42</v>
      </c>
      <c r="I1407" s="11">
        <v>3</v>
      </c>
      <c r="J1407" s="12">
        <v>90.44</v>
      </c>
      <c r="K1407" s="13">
        <v>0.1</v>
      </c>
      <c r="L1407" s="12">
        <v>63.42</v>
      </c>
      <c r="M1407" s="14">
        <f>ROUND(tblSprzedaz[[#This Row],[Ilość]]*tblSprzedaz[[#This Row],[Cena netto jednostkowa]]*(1-tblSprzedaz[[#This Row],[Rabat %]]),2)</f>
        <v>244.19</v>
      </c>
      <c r="N1407" s="14">
        <f>ROUND(tblSprzedaz[[#This Row],[Ilość]]*tblSprzedaz[[#This Row],[Koszt jednostkowy netto]],2)</f>
        <v>190.26</v>
      </c>
      <c r="O1407" s="14">
        <f>tblSprzedaz[[#This Row],[Przychód netto]]-tblSprzedaz[[#This Row],[Koszt całkowity netto]]</f>
        <v>53.930000000000007</v>
      </c>
      <c r="P1407" s="15">
        <f>IFERROR(tblSprzedaz[[#This Row],[Marża kwotowa]]/tblSprzedaz[[#This Row],[Przychód netto]],0)</f>
        <v>0.22085261476718951</v>
      </c>
      <c r="Q1407" s="16">
        <f>YEAR(tblSprzedaz[[#This Row],[Data]])</f>
        <v>2026</v>
      </c>
      <c r="R1407" s="16">
        <f>MONTH(tblSprzedaz[[#This Row],[Data]])</f>
        <v>1</v>
      </c>
      <c r="S1407" s="9" t="str">
        <f>YEAR(tblSprzedaz[[#This Row],[Data]])&amp;"-"&amp;RIGHT("0"&amp;MONTH(tblSprzedaz[[#This Row],[Data]]),2)</f>
        <v>2026-01</v>
      </c>
    </row>
    <row r="1408" spans="1:19" x14ac:dyDescent="0.25">
      <c r="A1408" s="7" t="s">
        <v>2983</v>
      </c>
      <c r="B1408" s="10">
        <v>46026</v>
      </c>
      <c r="C1408" s="7" t="s">
        <v>2984</v>
      </c>
      <c r="D1408" s="8" t="s">
        <v>138</v>
      </c>
      <c r="E1408" s="8" t="s">
        <v>61</v>
      </c>
      <c r="F1408" s="8" t="s">
        <v>33</v>
      </c>
      <c r="G1408" s="8" t="s">
        <v>36</v>
      </c>
      <c r="H1408" s="8" t="s">
        <v>47</v>
      </c>
      <c r="I1408" s="11">
        <v>11</v>
      </c>
      <c r="J1408" s="12">
        <v>533.6</v>
      </c>
      <c r="K1408" s="13">
        <v>0.05</v>
      </c>
      <c r="L1408" s="12">
        <v>361.2</v>
      </c>
      <c r="M1408" s="14">
        <f>ROUND(tblSprzedaz[[#This Row],[Ilość]]*tblSprzedaz[[#This Row],[Cena netto jednostkowa]]*(1-tblSprzedaz[[#This Row],[Rabat %]]),2)</f>
        <v>5576.12</v>
      </c>
      <c r="N1408" s="14">
        <f>ROUND(tblSprzedaz[[#This Row],[Ilość]]*tblSprzedaz[[#This Row],[Koszt jednostkowy netto]],2)</f>
        <v>3973.2</v>
      </c>
      <c r="O1408" s="14">
        <f>tblSprzedaz[[#This Row],[Przychód netto]]-tblSprzedaz[[#This Row],[Koszt całkowity netto]]</f>
        <v>1602.92</v>
      </c>
      <c r="P1408" s="15">
        <f>IFERROR(tblSprzedaz[[#This Row],[Marża kwotowa]]/tblSprzedaz[[#This Row],[Przychód netto]],0)</f>
        <v>0.28746153239169892</v>
      </c>
      <c r="Q1408" s="16">
        <f>YEAR(tblSprzedaz[[#This Row],[Data]])</f>
        <v>2026</v>
      </c>
      <c r="R1408" s="16">
        <f>MONTH(tblSprzedaz[[#This Row],[Data]])</f>
        <v>1</v>
      </c>
      <c r="S1408" s="9" t="str">
        <f>YEAR(tblSprzedaz[[#This Row],[Data]])&amp;"-"&amp;RIGHT("0"&amp;MONTH(tblSprzedaz[[#This Row],[Data]]),2)</f>
        <v>2026-01</v>
      </c>
    </row>
    <row r="1409" spans="1:19" x14ac:dyDescent="0.25">
      <c r="A1409" s="7" t="s">
        <v>2985</v>
      </c>
      <c r="B1409" s="10">
        <v>46026</v>
      </c>
      <c r="C1409" s="7" t="s">
        <v>2986</v>
      </c>
      <c r="D1409" s="8" t="s">
        <v>147</v>
      </c>
      <c r="E1409" s="8" t="s">
        <v>60</v>
      </c>
      <c r="F1409" s="8" t="s">
        <v>33</v>
      </c>
      <c r="G1409" s="8" t="s">
        <v>34</v>
      </c>
      <c r="H1409" s="8" t="s">
        <v>44</v>
      </c>
      <c r="I1409" s="11">
        <v>4</v>
      </c>
      <c r="J1409" s="12">
        <v>455.4</v>
      </c>
      <c r="K1409" s="13">
        <v>0.1</v>
      </c>
      <c r="L1409" s="12">
        <v>315.81</v>
      </c>
      <c r="M1409" s="14">
        <f>ROUND(tblSprzedaz[[#This Row],[Ilość]]*tblSprzedaz[[#This Row],[Cena netto jednostkowa]]*(1-tblSprzedaz[[#This Row],[Rabat %]]),2)</f>
        <v>1639.44</v>
      </c>
      <c r="N1409" s="14">
        <f>ROUND(tblSprzedaz[[#This Row],[Ilość]]*tblSprzedaz[[#This Row],[Koszt jednostkowy netto]],2)</f>
        <v>1263.24</v>
      </c>
      <c r="O1409" s="14">
        <f>tblSprzedaz[[#This Row],[Przychód netto]]-tblSprzedaz[[#This Row],[Koszt całkowity netto]]</f>
        <v>376.20000000000005</v>
      </c>
      <c r="P1409" s="15">
        <f>IFERROR(tblSprzedaz[[#This Row],[Marża kwotowa]]/tblSprzedaz[[#This Row],[Przychód netto]],0)</f>
        <v>0.22946859903381644</v>
      </c>
      <c r="Q1409" s="16">
        <f>YEAR(tblSprzedaz[[#This Row],[Data]])</f>
        <v>2026</v>
      </c>
      <c r="R1409" s="16">
        <f>MONTH(tblSprzedaz[[#This Row],[Data]])</f>
        <v>1</v>
      </c>
      <c r="S1409" s="9" t="str">
        <f>YEAR(tblSprzedaz[[#This Row],[Data]])&amp;"-"&amp;RIGHT("0"&amp;MONTH(tblSprzedaz[[#This Row],[Data]]),2)</f>
        <v>2026-01</v>
      </c>
    </row>
    <row r="1410" spans="1:19" x14ac:dyDescent="0.25">
      <c r="A1410" s="7" t="s">
        <v>2987</v>
      </c>
      <c r="B1410" s="10">
        <v>46027</v>
      </c>
      <c r="C1410" s="7" t="s">
        <v>2988</v>
      </c>
      <c r="D1410" s="8" t="s">
        <v>150</v>
      </c>
      <c r="E1410" s="8" t="s">
        <v>55</v>
      </c>
      <c r="F1410" s="8" t="s">
        <v>31</v>
      </c>
      <c r="G1410" s="8" t="s">
        <v>30</v>
      </c>
      <c r="H1410" s="8" t="s">
        <v>40</v>
      </c>
      <c r="I1410" s="11">
        <v>7</v>
      </c>
      <c r="J1410" s="12">
        <v>243.6</v>
      </c>
      <c r="K1410" s="13">
        <v>0.1</v>
      </c>
      <c r="L1410" s="12">
        <v>163.19999999999999</v>
      </c>
      <c r="M1410" s="14">
        <f>ROUND(tblSprzedaz[[#This Row],[Ilość]]*tblSprzedaz[[#This Row],[Cena netto jednostkowa]]*(1-tblSprzedaz[[#This Row],[Rabat %]]),2)</f>
        <v>1534.68</v>
      </c>
      <c r="N1410" s="14">
        <f>ROUND(tblSprzedaz[[#This Row],[Ilość]]*tblSprzedaz[[#This Row],[Koszt jednostkowy netto]],2)</f>
        <v>1142.4000000000001</v>
      </c>
      <c r="O1410" s="14">
        <f>tblSprzedaz[[#This Row],[Przychód netto]]-tblSprzedaz[[#This Row],[Koszt całkowity netto]]</f>
        <v>392.28</v>
      </c>
      <c r="P1410" s="15">
        <f>IFERROR(tblSprzedaz[[#This Row],[Marża kwotowa]]/tblSprzedaz[[#This Row],[Przychód netto]],0)</f>
        <v>0.2556102900930487</v>
      </c>
      <c r="Q1410" s="16">
        <f>YEAR(tblSprzedaz[[#This Row],[Data]])</f>
        <v>2026</v>
      </c>
      <c r="R1410" s="16">
        <f>MONTH(tblSprzedaz[[#This Row],[Data]])</f>
        <v>1</v>
      </c>
      <c r="S1410" s="9" t="str">
        <f>YEAR(tblSprzedaz[[#This Row],[Data]])&amp;"-"&amp;RIGHT("0"&amp;MONTH(tblSprzedaz[[#This Row],[Data]]),2)</f>
        <v>2026-01</v>
      </c>
    </row>
    <row r="1411" spans="1:19" x14ac:dyDescent="0.25">
      <c r="A1411" s="7" t="s">
        <v>2989</v>
      </c>
      <c r="B1411" s="10">
        <v>46027</v>
      </c>
      <c r="C1411" s="7" t="s">
        <v>2990</v>
      </c>
      <c r="D1411" s="8" t="s">
        <v>130</v>
      </c>
      <c r="E1411" s="8" t="s">
        <v>52</v>
      </c>
      <c r="F1411" s="8" t="s">
        <v>29</v>
      </c>
      <c r="G1411" s="8" t="s">
        <v>36</v>
      </c>
      <c r="H1411" s="8" t="s">
        <v>46</v>
      </c>
      <c r="I1411" s="11">
        <v>3</v>
      </c>
      <c r="J1411" s="12">
        <v>56.78</v>
      </c>
      <c r="K1411" s="13">
        <v>0.15</v>
      </c>
      <c r="L1411" s="12">
        <v>32.26</v>
      </c>
      <c r="M1411" s="14">
        <f>ROUND(tblSprzedaz[[#This Row],[Ilość]]*tblSprzedaz[[#This Row],[Cena netto jednostkowa]]*(1-tblSprzedaz[[#This Row],[Rabat %]]),2)</f>
        <v>144.79</v>
      </c>
      <c r="N1411" s="14">
        <f>ROUND(tblSprzedaz[[#This Row],[Ilość]]*tblSprzedaz[[#This Row],[Koszt jednostkowy netto]],2)</f>
        <v>96.78</v>
      </c>
      <c r="O1411" s="14">
        <f>tblSprzedaz[[#This Row],[Przychód netto]]-tblSprzedaz[[#This Row],[Koszt całkowity netto]]</f>
        <v>48.009999999999991</v>
      </c>
      <c r="P1411" s="15">
        <f>IFERROR(tblSprzedaz[[#This Row],[Marża kwotowa]]/tblSprzedaz[[#This Row],[Przychód netto]],0)</f>
        <v>0.33158367290558738</v>
      </c>
      <c r="Q1411" s="16">
        <f>YEAR(tblSprzedaz[[#This Row],[Data]])</f>
        <v>2026</v>
      </c>
      <c r="R1411" s="16">
        <f>MONTH(tblSprzedaz[[#This Row],[Data]])</f>
        <v>1</v>
      </c>
      <c r="S1411" s="9" t="str">
        <f>YEAR(tblSprzedaz[[#This Row],[Data]])&amp;"-"&amp;RIGHT("0"&amp;MONTH(tblSprzedaz[[#This Row],[Data]]),2)</f>
        <v>2026-01</v>
      </c>
    </row>
    <row r="1412" spans="1:19" x14ac:dyDescent="0.25">
      <c r="A1412" s="7" t="s">
        <v>2991</v>
      </c>
      <c r="B1412" s="10">
        <v>46027</v>
      </c>
      <c r="C1412" s="7" t="s">
        <v>2992</v>
      </c>
      <c r="D1412" s="8" t="s">
        <v>116</v>
      </c>
      <c r="E1412" s="8" t="s">
        <v>69</v>
      </c>
      <c r="F1412" s="8" t="s">
        <v>35</v>
      </c>
      <c r="G1412" s="8" t="s">
        <v>32</v>
      </c>
      <c r="H1412" s="8" t="s">
        <v>42</v>
      </c>
      <c r="I1412" s="11">
        <v>4</v>
      </c>
      <c r="J1412" s="12">
        <v>102</v>
      </c>
      <c r="K1412" s="13">
        <v>0.15</v>
      </c>
      <c r="L1412" s="12">
        <v>75.16</v>
      </c>
      <c r="M1412" s="14">
        <f>ROUND(tblSprzedaz[[#This Row],[Ilość]]*tblSprzedaz[[#This Row],[Cena netto jednostkowa]]*(1-tblSprzedaz[[#This Row],[Rabat %]]),2)</f>
        <v>346.8</v>
      </c>
      <c r="N1412" s="14">
        <f>ROUND(tblSprzedaz[[#This Row],[Ilość]]*tblSprzedaz[[#This Row],[Koszt jednostkowy netto]],2)</f>
        <v>300.64</v>
      </c>
      <c r="O1412" s="14">
        <f>tblSprzedaz[[#This Row],[Przychód netto]]-tblSprzedaz[[#This Row],[Koszt całkowity netto]]</f>
        <v>46.160000000000025</v>
      </c>
      <c r="P1412" s="15">
        <f>IFERROR(tblSprzedaz[[#This Row],[Marża kwotowa]]/tblSprzedaz[[#This Row],[Przychód netto]],0)</f>
        <v>0.13310265282583628</v>
      </c>
      <c r="Q1412" s="16">
        <f>YEAR(tblSprzedaz[[#This Row],[Data]])</f>
        <v>2026</v>
      </c>
      <c r="R1412" s="16">
        <f>MONTH(tblSprzedaz[[#This Row],[Data]])</f>
        <v>1</v>
      </c>
      <c r="S1412" s="9" t="str">
        <f>YEAR(tblSprzedaz[[#This Row],[Data]])&amp;"-"&amp;RIGHT("0"&amp;MONTH(tblSprzedaz[[#This Row],[Data]]),2)</f>
        <v>2026-01</v>
      </c>
    </row>
    <row r="1413" spans="1:19" x14ac:dyDescent="0.25">
      <c r="A1413" s="7" t="s">
        <v>2993</v>
      </c>
      <c r="B1413" s="10">
        <v>46027</v>
      </c>
      <c r="C1413" s="7" t="s">
        <v>2994</v>
      </c>
      <c r="D1413" s="8" t="s">
        <v>127</v>
      </c>
      <c r="E1413" s="8" t="s">
        <v>57</v>
      </c>
      <c r="F1413" s="8" t="s">
        <v>31</v>
      </c>
      <c r="G1413" s="8" t="s">
        <v>30</v>
      </c>
      <c r="H1413" s="8" t="s">
        <v>41</v>
      </c>
      <c r="I1413" s="11">
        <v>6</v>
      </c>
      <c r="J1413" s="12">
        <v>315</v>
      </c>
      <c r="K1413" s="13">
        <v>0.15</v>
      </c>
      <c r="L1413" s="12">
        <v>205.4</v>
      </c>
      <c r="M1413" s="14">
        <f>ROUND(tblSprzedaz[[#This Row],[Ilość]]*tblSprzedaz[[#This Row],[Cena netto jednostkowa]]*(1-tblSprzedaz[[#This Row],[Rabat %]]),2)</f>
        <v>1606.5</v>
      </c>
      <c r="N1413" s="14">
        <f>ROUND(tblSprzedaz[[#This Row],[Ilość]]*tblSprzedaz[[#This Row],[Koszt jednostkowy netto]],2)</f>
        <v>1232.4000000000001</v>
      </c>
      <c r="O1413" s="14">
        <f>tblSprzedaz[[#This Row],[Przychód netto]]-tblSprzedaz[[#This Row],[Koszt całkowity netto]]</f>
        <v>374.09999999999991</v>
      </c>
      <c r="P1413" s="15">
        <f>IFERROR(tblSprzedaz[[#This Row],[Marża kwotowa]]/tblSprzedaz[[#This Row],[Przychód netto]],0)</f>
        <v>0.2328664799253034</v>
      </c>
      <c r="Q1413" s="16">
        <f>YEAR(tblSprzedaz[[#This Row],[Data]])</f>
        <v>2026</v>
      </c>
      <c r="R1413" s="16">
        <f>MONTH(tblSprzedaz[[#This Row],[Data]])</f>
        <v>1</v>
      </c>
      <c r="S1413" s="9" t="str">
        <f>YEAR(tblSprzedaz[[#This Row],[Data]])&amp;"-"&amp;RIGHT("0"&amp;MONTH(tblSprzedaz[[#This Row],[Data]]),2)</f>
        <v>2026-01</v>
      </c>
    </row>
    <row r="1414" spans="1:19" x14ac:dyDescent="0.25">
      <c r="A1414" s="7" t="s">
        <v>2995</v>
      </c>
      <c r="B1414" s="10">
        <v>46028</v>
      </c>
      <c r="C1414" s="7" t="s">
        <v>2996</v>
      </c>
      <c r="D1414" s="8" t="s">
        <v>147</v>
      </c>
      <c r="E1414" s="8" t="s">
        <v>73</v>
      </c>
      <c r="F1414" s="8" t="s">
        <v>37</v>
      </c>
      <c r="G1414" s="8" t="s">
        <v>36</v>
      </c>
      <c r="H1414" s="8" t="s">
        <v>46</v>
      </c>
      <c r="I1414" s="11">
        <v>12</v>
      </c>
      <c r="J1414" s="12">
        <v>110.2</v>
      </c>
      <c r="K1414" s="13">
        <v>0.05</v>
      </c>
      <c r="L1414" s="12">
        <v>80.53</v>
      </c>
      <c r="M1414" s="14">
        <f>ROUND(tblSprzedaz[[#This Row],[Ilość]]*tblSprzedaz[[#This Row],[Cena netto jednostkowa]]*(1-tblSprzedaz[[#This Row],[Rabat %]]),2)</f>
        <v>1256.28</v>
      </c>
      <c r="N1414" s="14">
        <f>ROUND(tblSprzedaz[[#This Row],[Ilość]]*tblSprzedaz[[#This Row],[Koszt jednostkowy netto]],2)</f>
        <v>966.36</v>
      </c>
      <c r="O1414" s="14">
        <f>tblSprzedaz[[#This Row],[Przychód netto]]-tblSprzedaz[[#This Row],[Koszt całkowity netto]]</f>
        <v>289.91999999999996</v>
      </c>
      <c r="P1414" s="15">
        <f>IFERROR(tblSprzedaz[[#This Row],[Marża kwotowa]]/tblSprzedaz[[#This Row],[Przychód netto]],0)</f>
        <v>0.23077657846976785</v>
      </c>
      <c r="Q1414" s="16">
        <f>YEAR(tblSprzedaz[[#This Row],[Data]])</f>
        <v>2026</v>
      </c>
      <c r="R1414" s="16">
        <f>MONTH(tblSprzedaz[[#This Row],[Data]])</f>
        <v>1</v>
      </c>
      <c r="S1414" s="9" t="str">
        <f>YEAR(tblSprzedaz[[#This Row],[Data]])&amp;"-"&amp;RIGHT("0"&amp;MONTH(tblSprzedaz[[#This Row],[Data]]),2)</f>
        <v>2026-01</v>
      </c>
    </row>
    <row r="1415" spans="1:19" x14ac:dyDescent="0.25">
      <c r="A1415" s="7" t="s">
        <v>2997</v>
      </c>
      <c r="B1415" s="10">
        <v>46028</v>
      </c>
      <c r="C1415" s="7" t="s">
        <v>2998</v>
      </c>
      <c r="D1415" s="8" t="s">
        <v>142</v>
      </c>
      <c r="E1415" s="8" t="s">
        <v>61</v>
      </c>
      <c r="F1415" s="8" t="s">
        <v>33</v>
      </c>
      <c r="G1415" s="8" t="s">
        <v>28</v>
      </c>
      <c r="H1415" s="8" t="s">
        <v>38</v>
      </c>
      <c r="I1415" s="11">
        <v>12</v>
      </c>
      <c r="J1415" s="12">
        <v>533.6</v>
      </c>
      <c r="K1415" s="13">
        <v>0</v>
      </c>
      <c r="L1415" s="12">
        <v>381.72</v>
      </c>
      <c r="M1415" s="14">
        <f>ROUND(tblSprzedaz[[#This Row],[Ilość]]*tblSprzedaz[[#This Row],[Cena netto jednostkowa]]*(1-tblSprzedaz[[#This Row],[Rabat %]]),2)</f>
        <v>6403.2</v>
      </c>
      <c r="N1415" s="14">
        <f>ROUND(tblSprzedaz[[#This Row],[Ilość]]*tblSprzedaz[[#This Row],[Koszt jednostkowy netto]],2)</f>
        <v>4580.6400000000003</v>
      </c>
      <c r="O1415" s="14">
        <f>tblSprzedaz[[#This Row],[Przychód netto]]-tblSprzedaz[[#This Row],[Koszt całkowity netto]]</f>
        <v>1822.5599999999995</v>
      </c>
      <c r="P1415" s="15">
        <f>IFERROR(tblSprzedaz[[#This Row],[Marża kwotowa]]/tblSprzedaz[[#This Row],[Przychód netto]],0)</f>
        <v>0.28463268365817085</v>
      </c>
      <c r="Q1415" s="16">
        <f>YEAR(tblSprzedaz[[#This Row],[Data]])</f>
        <v>2026</v>
      </c>
      <c r="R1415" s="16">
        <f>MONTH(tblSprzedaz[[#This Row],[Data]])</f>
        <v>1</v>
      </c>
      <c r="S1415" s="9" t="str">
        <f>YEAR(tblSprzedaz[[#This Row],[Data]])&amp;"-"&amp;RIGHT("0"&amp;MONTH(tblSprzedaz[[#This Row],[Data]]),2)</f>
        <v>2026-01</v>
      </c>
    </row>
    <row r="1416" spans="1:19" x14ac:dyDescent="0.25">
      <c r="A1416" s="7" t="s">
        <v>2999</v>
      </c>
      <c r="B1416" s="10">
        <v>46028</v>
      </c>
      <c r="C1416" s="7" t="s">
        <v>3000</v>
      </c>
      <c r="D1416" s="8" t="s">
        <v>132</v>
      </c>
      <c r="E1416" s="8" t="s">
        <v>67</v>
      </c>
      <c r="F1416" s="8" t="s">
        <v>35</v>
      </c>
      <c r="G1416" s="8" t="s">
        <v>28</v>
      </c>
      <c r="H1416" s="8" t="s">
        <v>38</v>
      </c>
      <c r="I1416" s="11">
        <v>5</v>
      </c>
      <c r="J1416" s="12">
        <v>78.88</v>
      </c>
      <c r="K1416" s="13">
        <v>0</v>
      </c>
      <c r="L1416" s="12">
        <v>54.19</v>
      </c>
      <c r="M1416" s="14">
        <f>ROUND(tblSprzedaz[[#This Row],[Ilość]]*tblSprzedaz[[#This Row],[Cena netto jednostkowa]]*(1-tblSprzedaz[[#This Row],[Rabat %]]),2)</f>
        <v>394.4</v>
      </c>
      <c r="N1416" s="14">
        <f>ROUND(tblSprzedaz[[#This Row],[Ilość]]*tblSprzedaz[[#This Row],[Koszt jednostkowy netto]],2)</f>
        <v>270.95</v>
      </c>
      <c r="O1416" s="14">
        <f>tblSprzedaz[[#This Row],[Przychód netto]]-tblSprzedaz[[#This Row],[Koszt całkowity netto]]</f>
        <v>123.44999999999999</v>
      </c>
      <c r="P1416" s="15">
        <f>IFERROR(tblSprzedaz[[#This Row],[Marża kwotowa]]/tblSprzedaz[[#This Row],[Przychód netto]],0)</f>
        <v>0.31300709939148069</v>
      </c>
      <c r="Q1416" s="16">
        <f>YEAR(tblSprzedaz[[#This Row],[Data]])</f>
        <v>2026</v>
      </c>
      <c r="R1416" s="16">
        <f>MONTH(tblSprzedaz[[#This Row],[Data]])</f>
        <v>1</v>
      </c>
      <c r="S1416" s="9" t="str">
        <f>YEAR(tblSprzedaz[[#This Row],[Data]])&amp;"-"&amp;RIGHT("0"&amp;MONTH(tblSprzedaz[[#This Row],[Data]]),2)</f>
        <v>2026-01</v>
      </c>
    </row>
    <row r="1417" spans="1:19" x14ac:dyDescent="0.25">
      <c r="A1417" s="7" t="s">
        <v>3001</v>
      </c>
      <c r="B1417" s="10">
        <v>46028</v>
      </c>
      <c r="C1417" s="7" t="s">
        <v>3002</v>
      </c>
      <c r="D1417" s="8" t="s">
        <v>115</v>
      </c>
      <c r="E1417" s="8" t="s">
        <v>71</v>
      </c>
      <c r="F1417" s="8" t="s">
        <v>35</v>
      </c>
      <c r="G1417" s="8" t="s">
        <v>32</v>
      </c>
      <c r="H1417" s="8" t="s">
        <v>43</v>
      </c>
      <c r="I1417" s="11">
        <v>4</v>
      </c>
      <c r="J1417" s="12">
        <v>55.76</v>
      </c>
      <c r="K1417" s="13">
        <v>0</v>
      </c>
      <c r="L1417" s="12">
        <v>40.97</v>
      </c>
      <c r="M1417" s="14">
        <f>ROUND(tblSprzedaz[[#This Row],[Ilość]]*tblSprzedaz[[#This Row],[Cena netto jednostkowa]]*(1-tblSprzedaz[[#This Row],[Rabat %]]),2)</f>
        <v>223.04</v>
      </c>
      <c r="N1417" s="14">
        <f>ROUND(tblSprzedaz[[#This Row],[Ilość]]*tblSprzedaz[[#This Row],[Koszt jednostkowy netto]],2)</f>
        <v>163.88</v>
      </c>
      <c r="O1417" s="14">
        <f>tblSprzedaz[[#This Row],[Przychód netto]]-tblSprzedaz[[#This Row],[Koszt całkowity netto]]</f>
        <v>59.16</v>
      </c>
      <c r="P1417" s="15">
        <f>IFERROR(tblSprzedaz[[#This Row],[Marża kwotowa]]/tblSprzedaz[[#This Row],[Przychód netto]],0)</f>
        <v>0.2652439024390244</v>
      </c>
      <c r="Q1417" s="16">
        <f>YEAR(tblSprzedaz[[#This Row],[Data]])</f>
        <v>2026</v>
      </c>
      <c r="R1417" s="16">
        <f>MONTH(tblSprzedaz[[#This Row],[Data]])</f>
        <v>1</v>
      </c>
      <c r="S1417" s="9" t="str">
        <f>YEAR(tblSprzedaz[[#This Row],[Data]])&amp;"-"&amp;RIGHT("0"&amp;MONTH(tblSprzedaz[[#This Row],[Data]]),2)</f>
        <v>2026-01</v>
      </c>
    </row>
    <row r="1418" spans="1:19" x14ac:dyDescent="0.25">
      <c r="A1418" s="7" t="s">
        <v>3003</v>
      </c>
      <c r="B1418" s="10">
        <v>46028</v>
      </c>
      <c r="C1418" s="7" t="s">
        <v>3004</v>
      </c>
      <c r="D1418" s="8" t="s">
        <v>136</v>
      </c>
      <c r="E1418" s="8" t="s">
        <v>56</v>
      </c>
      <c r="F1418" s="8" t="s">
        <v>31</v>
      </c>
      <c r="G1418" s="8" t="s">
        <v>36</v>
      </c>
      <c r="H1418" s="8" t="s">
        <v>46</v>
      </c>
      <c r="I1418" s="11">
        <v>17</v>
      </c>
      <c r="J1418" s="12">
        <v>279.3</v>
      </c>
      <c r="K1418" s="13">
        <v>0</v>
      </c>
      <c r="L1418" s="12">
        <v>187.23</v>
      </c>
      <c r="M1418" s="14">
        <f>ROUND(tblSprzedaz[[#This Row],[Ilość]]*tblSprzedaz[[#This Row],[Cena netto jednostkowa]]*(1-tblSprzedaz[[#This Row],[Rabat %]]),2)</f>
        <v>4748.1000000000004</v>
      </c>
      <c r="N1418" s="14">
        <f>ROUND(tblSprzedaz[[#This Row],[Ilość]]*tblSprzedaz[[#This Row],[Koszt jednostkowy netto]],2)</f>
        <v>3182.91</v>
      </c>
      <c r="O1418" s="14">
        <f>tblSprzedaz[[#This Row],[Przychód netto]]-tblSprzedaz[[#This Row],[Koszt całkowity netto]]</f>
        <v>1565.1900000000005</v>
      </c>
      <c r="P1418" s="15">
        <f>IFERROR(tblSprzedaz[[#This Row],[Marża kwotowa]]/tblSprzedaz[[#This Row],[Przychód netto]],0)</f>
        <v>0.32964554242749738</v>
      </c>
      <c r="Q1418" s="16">
        <f>YEAR(tblSprzedaz[[#This Row],[Data]])</f>
        <v>2026</v>
      </c>
      <c r="R1418" s="16">
        <f>MONTH(tblSprzedaz[[#This Row],[Data]])</f>
        <v>1</v>
      </c>
      <c r="S1418" s="9" t="str">
        <f>YEAR(tblSprzedaz[[#This Row],[Data]])&amp;"-"&amp;RIGHT("0"&amp;MONTH(tblSprzedaz[[#This Row],[Data]]),2)</f>
        <v>2026-01</v>
      </c>
    </row>
    <row r="1419" spans="1:19" x14ac:dyDescent="0.25">
      <c r="A1419" s="7" t="s">
        <v>3005</v>
      </c>
      <c r="B1419" s="10">
        <v>46029</v>
      </c>
      <c r="C1419" s="7" t="s">
        <v>3006</v>
      </c>
      <c r="D1419" s="8" t="s">
        <v>116</v>
      </c>
      <c r="E1419" s="8" t="s">
        <v>60</v>
      </c>
      <c r="F1419" s="8" t="s">
        <v>33</v>
      </c>
      <c r="G1419" s="8" t="s">
        <v>34</v>
      </c>
      <c r="H1419" s="8" t="s">
        <v>44</v>
      </c>
      <c r="I1419" s="11">
        <v>4</v>
      </c>
      <c r="J1419" s="12">
        <v>455.4</v>
      </c>
      <c r="K1419" s="13">
        <v>0.05</v>
      </c>
      <c r="L1419" s="12">
        <v>303.64</v>
      </c>
      <c r="M1419" s="14">
        <f>ROUND(tblSprzedaz[[#This Row],[Ilość]]*tblSprzedaz[[#This Row],[Cena netto jednostkowa]]*(1-tblSprzedaz[[#This Row],[Rabat %]]),2)</f>
        <v>1730.52</v>
      </c>
      <c r="N1419" s="14">
        <f>ROUND(tblSprzedaz[[#This Row],[Ilość]]*tblSprzedaz[[#This Row],[Koszt jednostkowy netto]],2)</f>
        <v>1214.56</v>
      </c>
      <c r="O1419" s="14">
        <f>tblSprzedaz[[#This Row],[Przychód netto]]-tblSprzedaz[[#This Row],[Koszt całkowity netto]]</f>
        <v>515.96</v>
      </c>
      <c r="P1419" s="15">
        <f>IFERROR(tblSprzedaz[[#This Row],[Marża kwotowa]]/tblSprzedaz[[#This Row],[Przychód netto]],0)</f>
        <v>0.29815315627672612</v>
      </c>
      <c r="Q1419" s="16">
        <f>YEAR(tblSprzedaz[[#This Row],[Data]])</f>
        <v>2026</v>
      </c>
      <c r="R1419" s="16">
        <f>MONTH(tblSprzedaz[[#This Row],[Data]])</f>
        <v>1</v>
      </c>
      <c r="S1419" s="9" t="str">
        <f>YEAR(tblSprzedaz[[#This Row],[Data]])&amp;"-"&amp;RIGHT("0"&amp;MONTH(tblSprzedaz[[#This Row],[Data]]),2)</f>
        <v>2026-01</v>
      </c>
    </row>
    <row r="1420" spans="1:19" x14ac:dyDescent="0.25">
      <c r="A1420" s="7" t="s">
        <v>3007</v>
      </c>
      <c r="B1420" s="10">
        <v>46029</v>
      </c>
      <c r="C1420" s="7" t="s">
        <v>3008</v>
      </c>
      <c r="D1420" s="8" t="s">
        <v>85</v>
      </c>
      <c r="E1420" s="8" t="s">
        <v>65</v>
      </c>
      <c r="F1420" s="8" t="s">
        <v>33</v>
      </c>
      <c r="G1420" s="8" t="s">
        <v>32</v>
      </c>
      <c r="H1420" s="8" t="s">
        <v>42</v>
      </c>
      <c r="I1420" s="11">
        <v>3</v>
      </c>
      <c r="J1420" s="12">
        <v>377.2</v>
      </c>
      <c r="K1420" s="13">
        <v>0.1</v>
      </c>
      <c r="L1420" s="12">
        <v>256.8</v>
      </c>
      <c r="M1420" s="14">
        <f>ROUND(tblSprzedaz[[#This Row],[Ilość]]*tblSprzedaz[[#This Row],[Cena netto jednostkowa]]*(1-tblSprzedaz[[#This Row],[Rabat %]]),2)</f>
        <v>1018.44</v>
      </c>
      <c r="N1420" s="14">
        <f>ROUND(tblSprzedaz[[#This Row],[Ilość]]*tblSprzedaz[[#This Row],[Koszt jednostkowy netto]],2)</f>
        <v>770.4</v>
      </c>
      <c r="O1420" s="14">
        <f>tblSprzedaz[[#This Row],[Przychód netto]]-tblSprzedaz[[#This Row],[Koszt całkowity netto]]</f>
        <v>248.04000000000008</v>
      </c>
      <c r="P1420" s="15">
        <f>IFERROR(tblSprzedaz[[#This Row],[Marża kwotowa]]/tblSprzedaz[[#This Row],[Przychód netto]],0)</f>
        <v>0.24354895722870279</v>
      </c>
      <c r="Q1420" s="16">
        <f>YEAR(tblSprzedaz[[#This Row],[Data]])</f>
        <v>2026</v>
      </c>
      <c r="R1420" s="16">
        <f>MONTH(tblSprzedaz[[#This Row],[Data]])</f>
        <v>1</v>
      </c>
      <c r="S1420" s="9" t="str">
        <f>YEAR(tblSprzedaz[[#This Row],[Data]])&amp;"-"&amp;RIGHT("0"&amp;MONTH(tblSprzedaz[[#This Row],[Data]]),2)</f>
        <v>2026-01</v>
      </c>
    </row>
    <row r="1421" spans="1:19" x14ac:dyDescent="0.25">
      <c r="A1421" s="7" t="s">
        <v>3009</v>
      </c>
      <c r="B1421" s="10">
        <v>46029</v>
      </c>
      <c r="C1421" s="7" t="s">
        <v>3010</v>
      </c>
      <c r="D1421" s="8" t="s">
        <v>99</v>
      </c>
      <c r="E1421" s="8" t="s">
        <v>63</v>
      </c>
      <c r="F1421" s="8" t="s">
        <v>33</v>
      </c>
      <c r="G1421" s="8" t="s">
        <v>28</v>
      </c>
      <c r="H1421" s="8" t="s">
        <v>38</v>
      </c>
      <c r="I1421" s="11">
        <v>9</v>
      </c>
      <c r="J1421" s="12">
        <v>690</v>
      </c>
      <c r="K1421" s="13">
        <v>0</v>
      </c>
      <c r="L1421" s="12">
        <v>455.18</v>
      </c>
      <c r="M1421" s="14">
        <f>ROUND(tblSprzedaz[[#This Row],[Ilość]]*tblSprzedaz[[#This Row],[Cena netto jednostkowa]]*(1-tblSprzedaz[[#This Row],[Rabat %]]),2)</f>
        <v>6210</v>
      </c>
      <c r="N1421" s="14">
        <f>ROUND(tblSprzedaz[[#This Row],[Ilość]]*tblSprzedaz[[#This Row],[Koszt jednostkowy netto]],2)</f>
        <v>4096.62</v>
      </c>
      <c r="O1421" s="14">
        <f>tblSprzedaz[[#This Row],[Przychód netto]]-tblSprzedaz[[#This Row],[Koszt całkowity netto]]</f>
        <v>2113.38</v>
      </c>
      <c r="P1421" s="15">
        <f>IFERROR(tblSprzedaz[[#This Row],[Marża kwotowa]]/tblSprzedaz[[#This Row],[Przychód netto]],0)</f>
        <v>0.34031884057971018</v>
      </c>
      <c r="Q1421" s="16">
        <f>YEAR(tblSprzedaz[[#This Row],[Data]])</f>
        <v>2026</v>
      </c>
      <c r="R1421" s="16">
        <f>MONTH(tblSprzedaz[[#This Row],[Data]])</f>
        <v>1</v>
      </c>
      <c r="S1421" s="9" t="str">
        <f>YEAR(tblSprzedaz[[#This Row],[Data]])&amp;"-"&amp;RIGHT("0"&amp;MONTH(tblSprzedaz[[#This Row],[Data]]),2)</f>
        <v>2026-01</v>
      </c>
    </row>
    <row r="1422" spans="1:19" x14ac:dyDescent="0.25">
      <c r="A1422" s="7" t="s">
        <v>3011</v>
      </c>
      <c r="B1422" s="10">
        <v>46029</v>
      </c>
      <c r="C1422" s="7" t="s">
        <v>3012</v>
      </c>
      <c r="D1422" s="8" t="s">
        <v>85</v>
      </c>
      <c r="E1422" s="8" t="s">
        <v>76</v>
      </c>
      <c r="F1422" s="8" t="s">
        <v>37</v>
      </c>
      <c r="G1422" s="8" t="s">
        <v>28</v>
      </c>
      <c r="H1422" s="8" t="s">
        <v>39</v>
      </c>
      <c r="I1422" s="11">
        <v>8</v>
      </c>
      <c r="J1422" s="12">
        <v>158.65</v>
      </c>
      <c r="K1422" s="13">
        <v>0</v>
      </c>
      <c r="L1422" s="12">
        <v>119.73</v>
      </c>
      <c r="M1422" s="14">
        <f>ROUND(tblSprzedaz[[#This Row],[Ilość]]*tblSprzedaz[[#This Row],[Cena netto jednostkowa]]*(1-tblSprzedaz[[#This Row],[Rabat %]]),2)</f>
        <v>1269.2</v>
      </c>
      <c r="N1422" s="14">
        <f>ROUND(tblSprzedaz[[#This Row],[Ilość]]*tblSprzedaz[[#This Row],[Koszt jednostkowy netto]],2)</f>
        <v>957.84</v>
      </c>
      <c r="O1422" s="14">
        <f>tblSprzedaz[[#This Row],[Przychód netto]]-tblSprzedaz[[#This Row],[Koszt całkowity netto]]</f>
        <v>311.36</v>
      </c>
      <c r="P1422" s="15">
        <f>IFERROR(tblSprzedaz[[#This Row],[Marża kwotowa]]/tblSprzedaz[[#This Row],[Przychód netto]],0)</f>
        <v>0.24531988654270406</v>
      </c>
      <c r="Q1422" s="16">
        <f>YEAR(tblSprzedaz[[#This Row],[Data]])</f>
        <v>2026</v>
      </c>
      <c r="R1422" s="16">
        <f>MONTH(tblSprzedaz[[#This Row],[Data]])</f>
        <v>1</v>
      </c>
      <c r="S1422" s="9" t="str">
        <f>YEAR(tblSprzedaz[[#This Row],[Data]])&amp;"-"&amp;RIGHT("0"&amp;MONTH(tblSprzedaz[[#This Row],[Data]]),2)</f>
        <v>2026-01</v>
      </c>
    </row>
    <row r="1423" spans="1:19" x14ac:dyDescent="0.25">
      <c r="A1423" s="7" t="s">
        <v>3013</v>
      </c>
      <c r="B1423" s="10">
        <v>46029</v>
      </c>
      <c r="C1423" s="7" t="s">
        <v>3014</v>
      </c>
      <c r="D1423" s="8" t="s">
        <v>115</v>
      </c>
      <c r="E1423" s="8" t="s">
        <v>62</v>
      </c>
      <c r="F1423" s="8" t="s">
        <v>33</v>
      </c>
      <c r="G1423" s="8" t="s">
        <v>36</v>
      </c>
      <c r="H1423" s="8" t="s">
        <v>47</v>
      </c>
      <c r="I1423" s="11">
        <v>9</v>
      </c>
      <c r="J1423" s="12">
        <v>611.79999999999995</v>
      </c>
      <c r="K1423" s="13">
        <v>0.1</v>
      </c>
      <c r="L1423" s="12">
        <v>395.32</v>
      </c>
      <c r="M1423" s="14">
        <f>ROUND(tblSprzedaz[[#This Row],[Ilość]]*tblSprzedaz[[#This Row],[Cena netto jednostkowa]]*(1-tblSprzedaz[[#This Row],[Rabat %]]),2)</f>
        <v>4955.58</v>
      </c>
      <c r="N1423" s="14">
        <f>ROUND(tblSprzedaz[[#This Row],[Ilość]]*tblSprzedaz[[#This Row],[Koszt jednostkowy netto]],2)</f>
        <v>3557.88</v>
      </c>
      <c r="O1423" s="14">
        <f>tblSprzedaz[[#This Row],[Przychód netto]]-tblSprzedaz[[#This Row],[Koszt całkowity netto]]</f>
        <v>1397.6999999999998</v>
      </c>
      <c r="P1423" s="15">
        <f>IFERROR(tblSprzedaz[[#This Row],[Marża kwotowa]]/tblSprzedaz[[#This Row],[Przychód netto]],0)</f>
        <v>0.28204569394500739</v>
      </c>
      <c r="Q1423" s="16">
        <f>YEAR(tblSprzedaz[[#This Row],[Data]])</f>
        <v>2026</v>
      </c>
      <c r="R1423" s="16">
        <f>MONTH(tblSprzedaz[[#This Row],[Data]])</f>
        <v>1</v>
      </c>
      <c r="S1423" s="9" t="str">
        <f>YEAR(tblSprzedaz[[#This Row],[Data]])&amp;"-"&amp;RIGHT("0"&amp;MONTH(tblSprzedaz[[#This Row],[Data]]),2)</f>
        <v>2026-01</v>
      </c>
    </row>
    <row r="1424" spans="1:19" x14ac:dyDescent="0.25">
      <c r="A1424" s="7" t="s">
        <v>3015</v>
      </c>
      <c r="B1424" s="10">
        <v>46030</v>
      </c>
      <c r="C1424" s="7" t="s">
        <v>3016</v>
      </c>
      <c r="D1424" s="8" t="s">
        <v>140</v>
      </c>
      <c r="E1424" s="8" t="s">
        <v>66</v>
      </c>
      <c r="F1424" s="8" t="s">
        <v>35</v>
      </c>
      <c r="G1424" s="8" t="s">
        <v>34</v>
      </c>
      <c r="H1424" s="8" t="s">
        <v>44</v>
      </c>
      <c r="I1424" s="11">
        <v>2</v>
      </c>
      <c r="J1424" s="12">
        <v>67.319999999999993</v>
      </c>
      <c r="K1424" s="13">
        <v>0.15</v>
      </c>
      <c r="L1424" s="12">
        <v>49.4</v>
      </c>
      <c r="M1424" s="14">
        <f>ROUND(tblSprzedaz[[#This Row],[Ilość]]*tblSprzedaz[[#This Row],[Cena netto jednostkowa]]*(1-tblSprzedaz[[#This Row],[Rabat %]]),2)</f>
        <v>114.44</v>
      </c>
      <c r="N1424" s="14">
        <f>ROUND(tblSprzedaz[[#This Row],[Ilość]]*tblSprzedaz[[#This Row],[Koszt jednostkowy netto]],2)</f>
        <v>98.8</v>
      </c>
      <c r="O1424" s="14">
        <f>tblSprzedaz[[#This Row],[Przychód netto]]-tblSprzedaz[[#This Row],[Koszt całkowity netto]]</f>
        <v>15.64</v>
      </c>
      <c r="P1424" s="15">
        <f>IFERROR(tblSprzedaz[[#This Row],[Marża kwotowa]]/tblSprzedaz[[#This Row],[Przychód netto]],0)</f>
        <v>0.13666550157287663</v>
      </c>
      <c r="Q1424" s="16">
        <f>YEAR(tblSprzedaz[[#This Row],[Data]])</f>
        <v>2026</v>
      </c>
      <c r="R1424" s="16">
        <f>MONTH(tblSprzedaz[[#This Row],[Data]])</f>
        <v>1</v>
      </c>
      <c r="S1424" s="9" t="str">
        <f>YEAR(tblSprzedaz[[#This Row],[Data]])&amp;"-"&amp;RIGHT("0"&amp;MONTH(tblSprzedaz[[#This Row],[Data]]),2)</f>
        <v>2026-01</v>
      </c>
    </row>
    <row r="1425" spans="1:19" x14ac:dyDescent="0.25">
      <c r="A1425" s="7" t="s">
        <v>3017</v>
      </c>
      <c r="B1425" s="10">
        <v>46030</v>
      </c>
      <c r="C1425" s="7" t="s">
        <v>3018</v>
      </c>
      <c r="D1425" s="8" t="s">
        <v>105</v>
      </c>
      <c r="E1425" s="8" t="s">
        <v>64</v>
      </c>
      <c r="F1425" s="8" t="s">
        <v>33</v>
      </c>
      <c r="G1425" s="8" t="s">
        <v>30</v>
      </c>
      <c r="H1425" s="8" t="s">
        <v>40</v>
      </c>
      <c r="I1425" s="11">
        <v>17</v>
      </c>
      <c r="J1425" s="12">
        <v>768.2</v>
      </c>
      <c r="K1425" s="13">
        <v>0.1</v>
      </c>
      <c r="L1425" s="12">
        <v>543.39</v>
      </c>
      <c r="M1425" s="14">
        <f>ROUND(tblSprzedaz[[#This Row],[Ilość]]*tblSprzedaz[[#This Row],[Cena netto jednostkowa]]*(1-tblSprzedaz[[#This Row],[Rabat %]]),2)</f>
        <v>11753.46</v>
      </c>
      <c r="N1425" s="14">
        <f>ROUND(tblSprzedaz[[#This Row],[Ilość]]*tblSprzedaz[[#This Row],[Koszt jednostkowy netto]],2)</f>
        <v>9237.6299999999992</v>
      </c>
      <c r="O1425" s="14">
        <f>tblSprzedaz[[#This Row],[Przychód netto]]-tblSprzedaz[[#This Row],[Koszt całkowity netto]]</f>
        <v>2515.83</v>
      </c>
      <c r="P1425" s="15">
        <f>IFERROR(tblSprzedaz[[#This Row],[Marża kwotowa]]/tblSprzedaz[[#This Row],[Przychód netto]],0)</f>
        <v>0.21405016054846829</v>
      </c>
      <c r="Q1425" s="16">
        <f>YEAR(tblSprzedaz[[#This Row],[Data]])</f>
        <v>2026</v>
      </c>
      <c r="R1425" s="16">
        <f>MONTH(tblSprzedaz[[#This Row],[Data]])</f>
        <v>1</v>
      </c>
      <c r="S1425" s="9" t="str">
        <f>YEAR(tblSprzedaz[[#This Row],[Data]])&amp;"-"&amp;RIGHT("0"&amp;MONTH(tblSprzedaz[[#This Row],[Data]]),2)</f>
        <v>2026-01</v>
      </c>
    </row>
    <row r="1426" spans="1:19" x14ac:dyDescent="0.25">
      <c r="A1426" s="7" t="s">
        <v>3019</v>
      </c>
      <c r="B1426" s="10">
        <v>46030</v>
      </c>
      <c r="C1426" s="7" t="s">
        <v>3020</v>
      </c>
      <c r="D1426" s="8" t="s">
        <v>147</v>
      </c>
      <c r="E1426" s="8" t="s">
        <v>51</v>
      </c>
      <c r="F1426" s="8" t="s">
        <v>29</v>
      </c>
      <c r="G1426" s="8" t="s">
        <v>32</v>
      </c>
      <c r="H1426" s="8" t="s">
        <v>42</v>
      </c>
      <c r="I1426" s="11">
        <v>3</v>
      </c>
      <c r="J1426" s="12">
        <v>51</v>
      </c>
      <c r="K1426" s="13">
        <v>0.15</v>
      </c>
      <c r="L1426" s="12">
        <v>31.98</v>
      </c>
      <c r="M1426" s="14">
        <f>ROUND(tblSprzedaz[[#This Row],[Ilość]]*tblSprzedaz[[#This Row],[Cena netto jednostkowa]]*(1-tblSprzedaz[[#This Row],[Rabat %]]),2)</f>
        <v>130.05000000000001</v>
      </c>
      <c r="N1426" s="14">
        <f>ROUND(tblSprzedaz[[#This Row],[Ilość]]*tblSprzedaz[[#This Row],[Koszt jednostkowy netto]],2)</f>
        <v>95.94</v>
      </c>
      <c r="O1426" s="14">
        <f>tblSprzedaz[[#This Row],[Przychód netto]]-tblSprzedaz[[#This Row],[Koszt całkowity netto]]</f>
        <v>34.110000000000014</v>
      </c>
      <c r="P1426" s="15">
        <f>IFERROR(tblSprzedaz[[#This Row],[Marża kwotowa]]/tblSprzedaz[[#This Row],[Przychód netto]],0)</f>
        <v>0.26228373702422153</v>
      </c>
      <c r="Q1426" s="16">
        <f>YEAR(tblSprzedaz[[#This Row],[Data]])</f>
        <v>2026</v>
      </c>
      <c r="R1426" s="16">
        <f>MONTH(tblSprzedaz[[#This Row],[Data]])</f>
        <v>1</v>
      </c>
      <c r="S1426" s="9" t="str">
        <f>YEAR(tblSprzedaz[[#This Row],[Data]])&amp;"-"&amp;RIGHT("0"&amp;MONTH(tblSprzedaz[[#This Row],[Data]]),2)</f>
        <v>2026-01</v>
      </c>
    </row>
    <row r="1427" spans="1:19" x14ac:dyDescent="0.25">
      <c r="A1427" s="7" t="s">
        <v>3021</v>
      </c>
      <c r="B1427" s="10">
        <v>46030</v>
      </c>
      <c r="C1427" s="7" t="s">
        <v>3022</v>
      </c>
      <c r="D1427" s="8" t="s">
        <v>149</v>
      </c>
      <c r="E1427" s="8" t="s">
        <v>77</v>
      </c>
      <c r="F1427" s="8" t="s">
        <v>37</v>
      </c>
      <c r="G1427" s="8" t="s">
        <v>36</v>
      </c>
      <c r="H1427" s="8" t="s">
        <v>47</v>
      </c>
      <c r="I1427" s="11">
        <v>11</v>
      </c>
      <c r="J1427" s="12">
        <v>77.900000000000006</v>
      </c>
      <c r="K1427" s="13">
        <v>0.1</v>
      </c>
      <c r="L1427" s="12">
        <v>59.47</v>
      </c>
      <c r="M1427" s="14">
        <f>ROUND(tblSprzedaz[[#This Row],[Ilość]]*tblSprzedaz[[#This Row],[Cena netto jednostkowa]]*(1-tblSprzedaz[[#This Row],[Rabat %]]),2)</f>
        <v>771.21</v>
      </c>
      <c r="N1427" s="14">
        <f>ROUND(tblSprzedaz[[#This Row],[Ilość]]*tblSprzedaz[[#This Row],[Koszt jednostkowy netto]],2)</f>
        <v>654.16999999999996</v>
      </c>
      <c r="O1427" s="14">
        <f>tblSprzedaz[[#This Row],[Przychód netto]]-tblSprzedaz[[#This Row],[Koszt całkowity netto]]</f>
        <v>117.04000000000008</v>
      </c>
      <c r="P1427" s="15">
        <f>IFERROR(tblSprzedaz[[#This Row],[Marża kwotowa]]/tblSprzedaz[[#This Row],[Przychód netto]],0)</f>
        <v>0.15176151761517626</v>
      </c>
      <c r="Q1427" s="16">
        <f>YEAR(tblSprzedaz[[#This Row],[Data]])</f>
        <v>2026</v>
      </c>
      <c r="R1427" s="16">
        <f>MONTH(tblSprzedaz[[#This Row],[Data]])</f>
        <v>1</v>
      </c>
      <c r="S1427" s="9" t="str">
        <f>YEAR(tblSprzedaz[[#This Row],[Data]])&amp;"-"&amp;RIGHT("0"&amp;MONTH(tblSprzedaz[[#This Row],[Data]]),2)</f>
        <v>2026-01</v>
      </c>
    </row>
    <row r="1428" spans="1:19" x14ac:dyDescent="0.25">
      <c r="A1428" s="7" t="s">
        <v>3023</v>
      </c>
      <c r="B1428" s="10">
        <v>46031</v>
      </c>
      <c r="C1428" s="7" t="s">
        <v>3024</v>
      </c>
      <c r="D1428" s="8" t="s">
        <v>146</v>
      </c>
      <c r="E1428" s="8" t="s">
        <v>72</v>
      </c>
      <c r="F1428" s="8" t="s">
        <v>37</v>
      </c>
      <c r="G1428" s="8" t="s">
        <v>34</v>
      </c>
      <c r="H1428" s="8" t="s">
        <v>44</v>
      </c>
      <c r="I1428" s="11">
        <v>4</v>
      </c>
      <c r="J1428" s="12">
        <v>94.05</v>
      </c>
      <c r="K1428" s="13">
        <v>0</v>
      </c>
      <c r="L1428" s="12">
        <v>71.040000000000006</v>
      </c>
      <c r="M1428" s="14">
        <f>ROUND(tblSprzedaz[[#This Row],[Ilość]]*tblSprzedaz[[#This Row],[Cena netto jednostkowa]]*(1-tblSprzedaz[[#This Row],[Rabat %]]),2)</f>
        <v>376.2</v>
      </c>
      <c r="N1428" s="14">
        <f>ROUND(tblSprzedaz[[#This Row],[Ilość]]*tblSprzedaz[[#This Row],[Koszt jednostkowy netto]],2)</f>
        <v>284.16000000000003</v>
      </c>
      <c r="O1428" s="14">
        <f>tblSprzedaz[[#This Row],[Przychód netto]]-tblSprzedaz[[#This Row],[Koszt całkowity netto]]</f>
        <v>92.039999999999964</v>
      </c>
      <c r="P1428" s="15">
        <f>IFERROR(tblSprzedaz[[#This Row],[Marża kwotowa]]/tblSprzedaz[[#This Row],[Przychód netto]],0)</f>
        <v>0.24465709728867616</v>
      </c>
      <c r="Q1428" s="16">
        <f>YEAR(tblSprzedaz[[#This Row],[Data]])</f>
        <v>2026</v>
      </c>
      <c r="R1428" s="16">
        <f>MONTH(tblSprzedaz[[#This Row],[Data]])</f>
        <v>1</v>
      </c>
      <c r="S1428" s="9" t="str">
        <f>YEAR(tblSprzedaz[[#This Row],[Data]])&amp;"-"&amp;RIGHT("0"&amp;MONTH(tblSprzedaz[[#This Row],[Data]]),2)</f>
        <v>2026-01</v>
      </c>
    </row>
    <row r="1429" spans="1:19" x14ac:dyDescent="0.25">
      <c r="A1429" s="7" t="s">
        <v>3025</v>
      </c>
      <c r="B1429" s="10">
        <v>46031</v>
      </c>
      <c r="C1429" s="7" t="s">
        <v>3026</v>
      </c>
      <c r="D1429" s="8" t="s">
        <v>92</v>
      </c>
      <c r="E1429" s="8" t="s">
        <v>61</v>
      </c>
      <c r="F1429" s="8" t="s">
        <v>33</v>
      </c>
      <c r="G1429" s="8" t="s">
        <v>30</v>
      </c>
      <c r="H1429" s="8" t="s">
        <v>40</v>
      </c>
      <c r="I1429" s="11">
        <v>6</v>
      </c>
      <c r="J1429" s="12">
        <v>533.6</v>
      </c>
      <c r="K1429" s="13">
        <v>0.05</v>
      </c>
      <c r="L1429" s="12">
        <v>378.02</v>
      </c>
      <c r="M1429" s="14">
        <f>ROUND(tblSprzedaz[[#This Row],[Ilość]]*tblSprzedaz[[#This Row],[Cena netto jednostkowa]]*(1-tblSprzedaz[[#This Row],[Rabat %]]),2)</f>
        <v>3041.52</v>
      </c>
      <c r="N1429" s="14">
        <f>ROUND(tblSprzedaz[[#This Row],[Ilość]]*tblSprzedaz[[#This Row],[Koszt jednostkowy netto]],2)</f>
        <v>2268.12</v>
      </c>
      <c r="O1429" s="14">
        <f>tblSprzedaz[[#This Row],[Przychód netto]]-tblSprzedaz[[#This Row],[Koszt całkowity netto]]</f>
        <v>773.40000000000009</v>
      </c>
      <c r="P1429" s="15">
        <f>IFERROR(tblSprzedaz[[#This Row],[Marża kwotowa]]/tblSprzedaz[[#This Row],[Przychód netto]],0)</f>
        <v>0.2542807543596623</v>
      </c>
      <c r="Q1429" s="16">
        <f>YEAR(tblSprzedaz[[#This Row],[Data]])</f>
        <v>2026</v>
      </c>
      <c r="R1429" s="16">
        <f>MONTH(tblSprzedaz[[#This Row],[Data]])</f>
        <v>1</v>
      </c>
      <c r="S1429" s="9" t="str">
        <f>YEAR(tblSprzedaz[[#This Row],[Data]])&amp;"-"&amp;RIGHT("0"&amp;MONTH(tblSprzedaz[[#This Row],[Data]]),2)</f>
        <v>2026-01</v>
      </c>
    </row>
    <row r="1430" spans="1:19" x14ac:dyDescent="0.25">
      <c r="A1430" s="7" t="s">
        <v>3027</v>
      </c>
      <c r="B1430" s="10">
        <v>46031</v>
      </c>
      <c r="C1430" s="7" t="s">
        <v>3028</v>
      </c>
      <c r="D1430" s="8" t="s">
        <v>141</v>
      </c>
      <c r="E1430" s="8" t="s">
        <v>50</v>
      </c>
      <c r="F1430" s="8" t="s">
        <v>29</v>
      </c>
      <c r="G1430" s="8" t="s">
        <v>36</v>
      </c>
      <c r="H1430" s="8" t="s">
        <v>47</v>
      </c>
      <c r="I1430" s="11">
        <v>13</v>
      </c>
      <c r="J1430" s="12">
        <v>45.22</v>
      </c>
      <c r="K1430" s="13">
        <v>0.1</v>
      </c>
      <c r="L1430" s="12">
        <v>26.28</v>
      </c>
      <c r="M1430" s="14">
        <f>ROUND(tblSprzedaz[[#This Row],[Ilość]]*tblSprzedaz[[#This Row],[Cena netto jednostkowa]]*(1-tblSprzedaz[[#This Row],[Rabat %]]),2)</f>
        <v>529.07000000000005</v>
      </c>
      <c r="N1430" s="14">
        <f>ROUND(tblSprzedaz[[#This Row],[Ilość]]*tblSprzedaz[[#This Row],[Koszt jednostkowy netto]],2)</f>
        <v>341.64</v>
      </c>
      <c r="O1430" s="14">
        <f>tblSprzedaz[[#This Row],[Przychód netto]]-tblSprzedaz[[#This Row],[Koszt całkowity netto]]</f>
        <v>187.43000000000006</v>
      </c>
      <c r="P1430" s="15">
        <f>IFERROR(tblSprzedaz[[#This Row],[Marża kwotowa]]/tblSprzedaz[[#This Row],[Przychód netto]],0)</f>
        <v>0.3542631409832348</v>
      </c>
      <c r="Q1430" s="16">
        <f>YEAR(tblSprzedaz[[#This Row],[Data]])</f>
        <v>2026</v>
      </c>
      <c r="R1430" s="16">
        <f>MONTH(tblSprzedaz[[#This Row],[Data]])</f>
        <v>1</v>
      </c>
      <c r="S1430" s="9" t="str">
        <f>YEAR(tblSprzedaz[[#This Row],[Data]])&amp;"-"&amp;RIGHT("0"&amp;MONTH(tblSprzedaz[[#This Row],[Data]]),2)</f>
        <v>2026-01</v>
      </c>
    </row>
    <row r="1431" spans="1:19" x14ac:dyDescent="0.25">
      <c r="A1431" s="7" t="s">
        <v>3029</v>
      </c>
      <c r="B1431" s="10">
        <v>46032</v>
      </c>
      <c r="C1431" s="7" t="s">
        <v>3030</v>
      </c>
      <c r="D1431" s="8" t="s">
        <v>108</v>
      </c>
      <c r="E1431" s="8" t="s">
        <v>57</v>
      </c>
      <c r="F1431" s="8" t="s">
        <v>31</v>
      </c>
      <c r="G1431" s="8" t="s">
        <v>32</v>
      </c>
      <c r="H1431" s="8" t="s">
        <v>42</v>
      </c>
      <c r="I1431" s="11">
        <v>9</v>
      </c>
      <c r="J1431" s="12">
        <v>315</v>
      </c>
      <c r="K1431" s="13">
        <v>0</v>
      </c>
      <c r="L1431" s="12">
        <v>200.91</v>
      </c>
      <c r="M1431" s="14">
        <f>ROUND(tblSprzedaz[[#This Row],[Ilość]]*tblSprzedaz[[#This Row],[Cena netto jednostkowa]]*(1-tblSprzedaz[[#This Row],[Rabat %]]),2)</f>
        <v>2835</v>
      </c>
      <c r="N1431" s="14">
        <f>ROUND(tblSprzedaz[[#This Row],[Ilość]]*tblSprzedaz[[#This Row],[Koszt jednostkowy netto]],2)</f>
        <v>1808.19</v>
      </c>
      <c r="O1431" s="14">
        <f>tblSprzedaz[[#This Row],[Przychód netto]]-tblSprzedaz[[#This Row],[Koszt całkowity netto]]</f>
        <v>1026.81</v>
      </c>
      <c r="P1431" s="15">
        <f>IFERROR(tblSprzedaz[[#This Row],[Marża kwotowa]]/tblSprzedaz[[#This Row],[Przychód netto]],0)</f>
        <v>0.36219047619047617</v>
      </c>
      <c r="Q1431" s="16">
        <f>YEAR(tblSprzedaz[[#This Row],[Data]])</f>
        <v>2026</v>
      </c>
      <c r="R1431" s="16">
        <f>MONTH(tblSprzedaz[[#This Row],[Data]])</f>
        <v>1</v>
      </c>
      <c r="S1431" s="9" t="str">
        <f>YEAR(tblSprzedaz[[#This Row],[Data]])&amp;"-"&amp;RIGHT("0"&amp;MONTH(tblSprzedaz[[#This Row],[Data]]),2)</f>
        <v>2026-01</v>
      </c>
    </row>
    <row r="1432" spans="1:19" x14ac:dyDescent="0.25">
      <c r="A1432" s="7" t="s">
        <v>3031</v>
      </c>
      <c r="B1432" s="10">
        <v>46032</v>
      </c>
      <c r="C1432" s="7" t="s">
        <v>3032</v>
      </c>
      <c r="D1432" s="8" t="s">
        <v>133</v>
      </c>
      <c r="E1432" s="8" t="s">
        <v>54</v>
      </c>
      <c r="F1432" s="8" t="s">
        <v>31</v>
      </c>
      <c r="G1432" s="8" t="s">
        <v>32</v>
      </c>
      <c r="H1432" s="8" t="s">
        <v>43</v>
      </c>
      <c r="I1432" s="11">
        <v>7</v>
      </c>
      <c r="J1432" s="12">
        <v>207.9</v>
      </c>
      <c r="K1432" s="13">
        <v>0.15</v>
      </c>
      <c r="L1432" s="12">
        <v>139.76</v>
      </c>
      <c r="M1432" s="14">
        <f>ROUND(tblSprzedaz[[#This Row],[Ilość]]*tblSprzedaz[[#This Row],[Cena netto jednostkowa]]*(1-tblSprzedaz[[#This Row],[Rabat %]]),2)</f>
        <v>1237.01</v>
      </c>
      <c r="N1432" s="14">
        <f>ROUND(tblSprzedaz[[#This Row],[Ilość]]*tblSprzedaz[[#This Row],[Koszt jednostkowy netto]],2)</f>
        <v>978.32</v>
      </c>
      <c r="O1432" s="14">
        <f>tblSprzedaz[[#This Row],[Przychód netto]]-tblSprzedaz[[#This Row],[Koszt całkowity netto]]</f>
        <v>258.68999999999994</v>
      </c>
      <c r="P1432" s="15">
        <f>IFERROR(tblSprzedaz[[#This Row],[Marża kwotowa]]/tblSprzedaz[[#This Row],[Przychód netto]],0)</f>
        <v>0.20912522938375594</v>
      </c>
      <c r="Q1432" s="16">
        <f>YEAR(tblSprzedaz[[#This Row],[Data]])</f>
        <v>2026</v>
      </c>
      <c r="R1432" s="16">
        <f>MONTH(tblSprzedaz[[#This Row],[Data]])</f>
        <v>1</v>
      </c>
      <c r="S1432" s="9" t="str">
        <f>YEAR(tblSprzedaz[[#This Row],[Data]])&amp;"-"&amp;RIGHT("0"&amp;MONTH(tblSprzedaz[[#This Row],[Data]]),2)</f>
        <v>2026-01</v>
      </c>
    </row>
    <row r="1433" spans="1:19" x14ac:dyDescent="0.25">
      <c r="A1433" s="7" t="s">
        <v>3033</v>
      </c>
      <c r="B1433" s="10">
        <v>46033</v>
      </c>
      <c r="C1433" s="7" t="s">
        <v>3034</v>
      </c>
      <c r="D1433" s="8" t="s">
        <v>118</v>
      </c>
      <c r="E1433" s="8" t="s">
        <v>49</v>
      </c>
      <c r="F1433" s="8" t="s">
        <v>29</v>
      </c>
      <c r="G1433" s="8" t="s">
        <v>32</v>
      </c>
      <c r="H1433" s="8" t="s">
        <v>42</v>
      </c>
      <c r="I1433" s="11">
        <v>5</v>
      </c>
      <c r="J1433" s="12">
        <v>39.44</v>
      </c>
      <c r="K1433" s="13">
        <v>0.05</v>
      </c>
      <c r="L1433" s="12">
        <v>24.76</v>
      </c>
      <c r="M1433" s="14">
        <f>ROUND(tblSprzedaz[[#This Row],[Ilość]]*tblSprzedaz[[#This Row],[Cena netto jednostkowa]]*(1-tblSprzedaz[[#This Row],[Rabat %]]),2)</f>
        <v>187.34</v>
      </c>
      <c r="N1433" s="14">
        <f>ROUND(tblSprzedaz[[#This Row],[Ilość]]*tblSprzedaz[[#This Row],[Koszt jednostkowy netto]],2)</f>
        <v>123.8</v>
      </c>
      <c r="O1433" s="14">
        <f>tblSprzedaz[[#This Row],[Przychód netto]]-tblSprzedaz[[#This Row],[Koszt całkowity netto]]</f>
        <v>63.540000000000006</v>
      </c>
      <c r="P1433" s="15">
        <f>IFERROR(tblSprzedaz[[#This Row],[Marża kwotowa]]/tblSprzedaz[[#This Row],[Przychód netto]],0)</f>
        <v>0.33916942457563792</v>
      </c>
      <c r="Q1433" s="16">
        <f>YEAR(tblSprzedaz[[#This Row],[Data]])</f>
        <v>2026</v>
      </c>
      <c r="R1433" s="16">
        <f>MONTH(tblSprzedaz[[#This Row],[Data]])</f>
        <v>1</v>
      </c>
      <c r="S1433" s="9" t="str">
        <f>YEAR(tblSprzedaz[[#This Row],[Data]])&amp;"-"&amp;RIGHT("0"&amp;MONTH(tblSprzedaz[[#This Row],[Data]]),2)</f>
        <v>2026-01</v>
      </c>
    </row>
    <row r="1434" spans="1:19" x14ac:dyDescent="0.25">
      <c r="A1434" s="7" t="s">
        <v>3035</v>
      </c>
      <c r="B1434" s="10">
        <v>46033</v>
      </c>
      <c r="C1434" s="7" t="s">
        <v>3036</v>
      </c>
      <c r="D1434" s="8" t="s">
        <v>126</v>
      </c>
      <c r="E1434" s="8" t="s">
        <v>56</v>
      </c>
      <c r="F1434" s="8" t="s">
        <v>31</v>
      </c>
      <c r="G1434" s="8" t="s">
        <v>32</v>
      </c>
      <c r="H1434" s="8" t="s">
        <v>42</v>
      </c>
      <c r="I1434" s="11">
        <v>20</v>
      </c>
      <c r="J1434" s="12">
        <v>279.3</v>
      </c>
      <c r="K1434" s="13">
        <v>0</v>
      </c>
      <c r="L1434" s="12">
        <v>185.89</v>
      </c>
      <c r="M1434" s="14">
        <f>ROUND(tblSprzedaz[[#This Row],[Ilość]]*tblSprzedaz[[#This Row],[Cena netto jednostkowa]]*(1-tblSprzedaz[[#This Row],[Rabat %]]),2)</f>
        <v>5586</v>
      </c>
      <c r="N1434" s="14">
        <f>ROUND(tblSprzedaz[[#This Row],[Ilość]]*tblSprzedaz[[#This Row],[Koszt jednostkowy netto]],2)</f>
        <v>3717.8</v>
      </c>
      <c r="O1434" s="14">
        <f>tblSprzedaz[[#This Row],[Przychód netto]]-tblSprzedaz[[#This Row],[Koszt całkowity netto]]</f>
        <v>1868.1999999999998</v>
      </c>
      <c r="P1434" s="15">
        <f>IFERROR(tblSprzedaz[[#This Row],[Marża kwotowa]]/tblSprzedaz[[#This Row],[Przychód netto]],0)</f>
        <v>0.33444325098460431</v>
      </c>
      <c r="Q1434" s="16">
        <f>YEAR(tblSprzedaz[[#This Row],[Data]])</f>
        <v>2026</v>
      </c>
      <c r="R1434" s="16">
        <f>MONTH(tblSprzedaz[[#This Row],[Data]])</f>
        <v>1</v>
      </c>
      <c r="S1434" s="9" t="str">
        <f>YEAR(tblSprzedaz[[#This Row],[Data]])&amp;"-"&amp;RIGHT("0"&amp;MONTH(tblSprzedaz[[#This Row],[Data]]),2)</f>
        <v>2026-01</v>
      </c>
    </row>
    <row r="1435" spans="1:19" x14ac:dyDescent="0.25">
      <c r="A1435" s="7" t="s">
        <v>3037</v>
      </c>
      <c r="B1435" s="10">
        <v>46034</v>
      </c>
      <c r="C1435" s="7" t="s">
        <v>3038</v>
      </c>
      <c r="D1435" s="8" t="s">
        <v>100</v>
      </c>
      <c r="E1435" s="8" t="s">
        <v>52</v>
      </c>
      <c r="F1435" s="8" t="s">
        <v>29</v>
      </c>
      <c r="G1435" s="8" t="s">
        <v>36</v>
      </c>
      <c r="H1435" s="8" t="s">
        <v>46</v>
      </c>
      <c r="I1435" s="11">
        <v>3</v>
      </c>
      <c r="J1435" s="12">
        <v>56.78</v>
      </c>
      <c r="K1435" s="13">
        <v>0.15</v>
      </c>
      <c r="L1435" s="12">
        <v>31.34</v>
      </c>
      <c r="M1435" s="14">
        <f>ROUND(tblSprzedaz[[#This Row],[Ilość]]*tblSprzedaz[[#This Row],[Cena netto jednostkowa]]*(1-tblSprzedaz[[#This Row],[Rabat %]]),2)</f>
        <v>144.79</v>
      </c>
      <c r="N1435" s="14">
        <f>ROUND(tblSprzedaz[[#This Row],[Ilość]]*tblSprzedaz[[#This Row],[Koszt jednostkowy netto]],2)</f>
        <v>94.02</v>
      </c>
      <c r="O1435" s="14">
        <f>tblSprzedaz[[#This Row],[Przychód netto]]-tblSprzedaz[[#This Row],[Koszt całkowity netto]]</f>
        <v>50.769999999999996</v>
      </c>
      <c r="P1435" s="15">
        <f>IFERROR(tblSprzedaz[[#This Row],[Marża kwotowa]]/tblSprzedaz[[#This Row],[Przychód netto]],0)</f>
        <v>0.35064576282892462</v>
      </c>
      <c r="Q1435" s="16">
        <f>YEAR(tblSprzedaz[[#This Row],[Data]])</f>
        <v>2026</v>
      </c>
      <c r="R1435" s="16">
        <f>MONTH(tblSprzedaz[[#This Row],[Data]])</f>
        <v>1</v>
      </c>
      <c r="S1435" s="9" t="str">
        <f>YEAR(tblSprzedaz[[#This Row],[Data]])&amp;"-"&amp;RIGHT("0"&amp;MONTH(tblSprzedaz[[#This Row],[Data]]),2)</f>
        <v>2026-01</v>
      </c>
    </row>
    <row r="1436" spans="1:19" x14ac:dyDescent="0.25">
      <c r="A1436" s="7" t="s">
        <v>3039</v>
      </c>
      <c r="B1436" s="10">
        <v>46034</v>
      </c>
      <c r="C1436" s="7" t="s">
        <v>3040</v>
      </c>
      <c r="D1436" s="8" t="s">
        <v>146</v>
      </c>
      <c r="E1436" s="8" t="s">
        <v>74</v>
      </c>
      <c r="F1436" s="8" t="s">
        <v>37</v>
      </c>
      <c r="G1436" s="8" t="s">
        <v>32</v>
      </c>
      <c r="H1436" s="8" t="s">
        <v>42</v>
      </c>
      <c r="I1436" s="11">
        <v>9</v>
      </c>
      <c r="J1436" s="12">
        <v>126.35</v>
      </c>
      <c r="K1436" s="13">
        <v>0</v>
      </c>
      <c r="L1436" s="12">
        <v>93.39</v>
      </c>
      <c r="M1436" s="14">
        <f>ROUND(tblSprzedaz[[#This Row],[Ilość]]*tblSprzedaz[[#This Row],[Cena netto jednostkowa]]*(1-tblSprzedaz[[#This Row],[Rabat %]]),2)</f>
        <v>1137.1500000000001</v>
      </c>
      <c r="N1436" s="14">
        <f>ROUND(tblSprzedaz[[#This Row],[Ilość]]*tblSprzedaz[[#This Row],[Koszt jednostkowy netto]],2)</f>
        <v>840.51</v>
      </c>
      <c r="O1436" s="14">
        <f>tblSprzedaz[[#This Row],[Przychód netto]]-tblSprzedaz[[#This Row],[Koszt całkowity netto]]</f>
        <v>296.6400000000001</v>
      </c>
      <c r="P1436" s="15">
        <f>IFERROR(tblSprzedaz[[#This Row],[Marża kwotowa]]/tblSprzedaz[[#This Row],[Przychód netto]],0)</f>
        <v>0.26086268302334792</v>
      </c>
      <c r="Q1436" s="16">
        <f>YEAR(tblSprzedaz[[#This Row],[Data]])</f>
        <v>2026</v>
      </c>
      <c r="R1436" s="16">
        <f>MONTH(tblSprzedaz[[#This Row],[Data]])</f>
        <v>1</v>
      </c>
      <c r="S1436" s="9" t="str">
        <f>YEAR(tblSprzedaz[[#This Row],[Data]])&amp;"-"&amp;RIGHT("0"&amp;MONTH(tblSprzedaz[[#This Row],[Data]]),2)</f>
        <v>2026-01</v>
      </c>
    </row>
    <row r="1437" spans="1:19" x14ac:dyDescent="0.25">
      <c r="A1437" s="7" t="s">
        <v>3041</v>
      </c>
      <c r="B1437" s="10">
        <v>46034</v>
      </c>
      <c r="C1437" s="7" t="s">
        <v>3042</v>
      </c>
      <c r="D1437" s="8" t="s">
        <v>116</v>
      </c>
      <c r="E1437" s="8" t="s">
        <v>57</v>
      </c>
      <c r="F1437" s="8" t="s">
        <v>31</v>
      </c>
      <c r="G1437" s="8" t="s">
        <v>32</v>
      </c>
      <c r="H1437" s="8" t="s">
        <v>42</v>
      </c>
      <c r="I1437" s="11">
        <v>3</v>
      </c>
      <c r="J1437" s="12">
        <v>315</v>
      </c>
      <c r="K1437" s="13">
        <v>0.05</v>
      </c>
      <c r="L1437" s="12">
        <v>188.39</v>
      </c>
      <c r="M1437" s="14">
        <f>ROUND(tblSprzedaz[[#This Row],[Ilość]]*tblSprzedaz[[#This Row],[Cena netto jednostkowa]]*(1-tblSprzedaz[[#This Row],[Rabat %]]),2)</f>
        <v>897.75</v>
      </c>
      <c r="N1437" s="14">
        <f>ROUND(tblSprzedaz[[#This Row],[Ilość]]*tblSprzedaz[[#This Row],[Koszt jednostkowy netto]],2)</f>
        <v>565.16999999999996</v>
      </c>
      <c r="O1437" s="14">
        <f>tblSprzedaz[[#This Row],[Przychód netto]]-tblSprzedaz[[#This Row],[Koszt całkowity netto]]</f>
        <v>332.58000000000004</v>
      </c>
      <c r="P1437" s="15">
        <f>IFERROR(tblSprzedaz[[#This Row],[Marża kwotowa]]/tblSprzedaz[[#This Row],[Przychód netto]],0)</f>
        <v>0.37045948203842943</v>
      </c>
      <c r="Q1437" s="16">
        <f>YEAR(tblSprzedaz[[#This Row],[Data]])</f>
        <v>2026</v>
      </c>
      <c r="R1437" s="16">
        <f>MONTH(tblSprzedaz[[#This Row],[Data]])</f>
        <v>1</v>
      </c>
      <c r="S1437" s="9" t="str">
        <f>YEAR(tblSprzedaz[[#This Row],[Data]])&amp;"-"&amp;RIGHT("0"&amp;MONTH(tblSprzedaz[[#This Row],[Data]]),2)</f>
        <v>2026-01</v>
      </c>
    </row>
    <row r="1438" spans="1:19" x14ac:dyDescent="0.25">
      <c r="A1438" s="7" t="s">
        <v>3043</v>
      </c>
      <c r="B1438" s="10">
        <v>46035</v>
      </c>
      <c r="C1438" s="7" t="s">
        <v>3044</v>
      </c>
      <c r="D1438" s="8" t="s">
        <v>97</v>
      </c>
      <c r="E1438" s="8" t="s">
        <v>71</v>
      </c>
      <c r="F1438" s="8" t="s">
        <v>35</v>
      </c>
      <c r="G1438" s="8" t="s">
        <v>34</v>
      </c>
      <c r="H1438" s="8" t="s">
        <v>45</v>
      </c>
      <c r="I1438" s="11">
        <v>1</v>
      </c>
      <c r="J1438" s="12">
        <v>55.76</v>
      </c>
      <c r="K1438" s="13">
        <v>0.15</v>
      </c>
      <c r="L1438" s="12">
        <v>42.44</v>
      </c>
      <c r="M1438" s="14">
        <f>ROUND(tblSprzedaz[[#This Row],[Ilość]]*tblSprzedaz[[#This Row],[Cena netto jednostkowa]]*(1-tblSprzedaz[[#This Row],[Rabat %]]),2)</f>
        <v>47.4</v>
      </c>
      <c r="N1438" s="14">
        <f>ROUND(tblSprzedaz[[#This Row],[Ilość]]*tblSprzedaz[[#This Row],[Koszt jednostkowy netto]],2)</f>
        <v>42.44</v>
      </c>
      <c r="O1438" s="14">
        <f>tblSprzedaz[[#This Row],[Przychód netto]]-tblSprzedaz[[#This Row],[Koszt całkowity netto]]</f>
        <v>4.9600000000000009</v>
      </c>
      <c r="P1438" s="15">
        <f>IFERROR(tblSprzedaz[[#This Row],[Marża kwotowa]]/tblSprzedaz[[#This Row],[Przychód netto]],0)</f>
        <v>0.10464135021097049</v>
      </c>
      <c r="Q1438" s="16">
        <f>YEAR(tblSprzedaz[[#This Row],[Data]])</f>
        <v>2026</v>
      </c>
      <c r="R1438" s="16">
        <f>MONTH(tblSprzedaz[[#This Row],[Data]])</f>
        <v>1</v>
      </c>
      <c r="S1438" s="9" t="str">
        <f>YEAR(tblSprzedaz[[#This Row],[Data]])&amp;"-"&amp;RIGHT("0"&amp;MONTH(tblSprzedaz[[#This Row],[Data]]),2)</f>
        <v>2026-01</v>
      </c>
    </row>
    <row r="1439" spans="1:19" x14ac:dyDescent="0.25">
      <c r="A1439" s="7" t="s">
        <v>3045</v>
      </c>
      <c r="B1439" s="10">
        <v>46035</v>
      </c>
      <c r="C1439" s="7" t="s">
        <v>3046</v>
      </c>
      <c r="D1439" s="8" t="s">
        <v>147</v>
      </c>
      <c r="E1439" s="8" t="s">
        <v>67</v>
      </c>
      <c r="F1439" s="8" t="s">
        <v>35</v>
      </c>
      <c r="G1439" s="8" t="s">
        <v>34</v>
      </c>
      <c r="H1439" s="8" t="s">
        <v>44</v>
      </c>
      <c r="I1439" s="11">
        <v>1</v>
      </c>
      <c r="J1439" s="12">
        <v>78.88</v>
      </c>
      <c r="K1439" s="13">
        <v>0.05</v>
      </c>
      <c r="L1439" s="12">
        <v>59.92</v>
      </c>
      <c r="M1439" s="14">
        <f>ROUND(tblSprzedaz[[#This Row],[Ilość]]*tblSprzedaz[[#This Row],[Cena netto jednostkowa]]*(1-tblSprzedaz[[#This Row],[Rabat %]]),2)</f>
        <v>74.94</v>
      </c>
      <c r="N1439" s="14">
        <f>ROUND(tblSprzedaz[[#This Row],[Ilość]]*tblSprzedaz[[#This Row],[Koszt jednostkowy netto]],2)</f>
        <v>59.92</v>
      </c>
      <c r="O1439" s="14">
        <f>tblSprzedaz[[#This Row],[Przychód netto]]-tblSprzedaz[[#This Row],[Koszt całkowity netto]]</f>
        <v>15.019999999999996</v>
      </c>
      <c r="P1439" s="15">
        <f>IFERROR(tblSprzedaz[[#This Row],[Marża kwotowa]]/tblSprzedaz[[#This Row],[Przychód netto]],0)</f>
        <v>0.20042700827328525</v>
      </c>
      <c r="Q1439" s="16">
        <f>YEAR(tblSprzedaz[[#This Row],[Data]])</f>
        <v>2026</v>
      </c>
      <c r="R1439" s="16">
        <f>MONTH(tblSprzedaz[[#This Row],[Data]])</f>
        <v>1</v>
      </c>
      <c r="S1439" s="9" t="str">
        <f>YEAR(tblSprzedaz[[#This Row],[Data]])&amp;"-"&amp;RIGHT("0"&amp;MONTH(tblSprzedaz[[#This Row],[Data]]),2)</f>
        <v>2026-01</v>
      </c>
    </row>
    <row r="1440" spans="1:19" x14ac:dyDescent="0.25">
      <c r="A1440" s="7" t="s">
        <v>3047</v>
      </c>
      <c r="B1440" s="10">
        <v>46035</v>
      </c>
      <c r="C1440" s="7" t="s">
        <v>3048</v>
      </c>
      <c r="D1440" s="8" t="s">
        <v>90</v>
      </c>
      <c r="E1440" s="8" t="s">
        <v>68</v>
      </c>
      <c r="F1440" s="8" t="s">
        <v>35</v>
      </c>
      <c r="G1440" s="8" t="s">
        <v>28</v>
      </c>
      <c r="H1440" s="8" t="s">
        <v>39</v>
      </c>
      <c r="I1440" s="11">
        <v>13</v>
      </c>
      <c r="J1440" s="12">
        <v>90.44</v>
      </c>
      <c r="K1440" s="13">
        <v>0.1</v>
      </c>
      <c r="L1440" s="12">
        <v>64.290000000000006</v>
      </c>
      <c r="M1440" s="14">
        <f>ROUND(tblSprzedaz[[#This Row],[Ilość]]*tblSprzedaz[[#This Row],[Cena netto jednostkowa]]*(1-tblSprzedaz[[#This Row],[Rabat %]]),2)</f>
        <v>1058.1500000000001</v>
      </c>
      <c r="N1440" s="14">
        <f>ROUND(tblSprzedaz[[#This Row],[Ilość]]*tblSprzedaz[[#This Row],[Koszt jednostkowy netto]],2)</f>
        <v>835.77</v>
      </c>
      <c r="O1440" s="14">
        <f>tblSprzedaz[[#This Row],[Przychód netto]]-tblSprzedaz[[#This Row],[Koszt całkowity netto]]</f>
        <v>222.38000000000011</v>
      </c>
      <c r="P1440" s="15">
        <f>IFERROR(tblSprzedaz[[#This Row],[Marża kwotowa]]/tblSprzedaz[[#This Row],[Przychód netto]],0)</f>
        <v>0.21015924018333892</v>
      </c>
      <c r="Q1440" s="16">
        <f>YEAR(tblSprzedaz[[#This Row],[Data]])</f>
        <v>2026</v>
      </c>
      <c r="R1440" s="16">
        <f>MONTH(tblSprzedaz[[#This Row],[Data]])</f>
        <v>1</v>
      </c>
      <c r="S1440" s="9" t="str">
        <f>YEAR(tblSprzedaz[[#This Row],[Data]])&amp;"-"&amp;RIGHT("0"&amp;MONTH(tblSprzedaz[[#This Row],[Data]]),2)</f>
        <v>2026-01</v>
      </c>
    </row>
    <row r="1441" spans="1:19" x14ac:dyDescent="0.25">
      <c r="A1441" s="7" t="s">
        <v>3049</v>
      </c>
      <c r="B1441" s="10">
        <v>46036</v>
      </c>
      <c r="C1441" s="7" t="s">
        <v>3050</v>
      </c>
      <c r="D1441" s="8" t="s">
        <v>111</v>
      </c>
      <c r="E1441" s="8" t="s">
        <v>74</v>
      </c>
      <c r="F1441" s="8" t="s">
        <v>37</v>
      </c>
      <c r="G1441" s="8" t="s">
        <v>36</v>
      </c>
      <c r="H1441" s="8" t="s">
        <v>47</v>
      </c>
      <c r="I1441" s="11">
        <v>7</v>
      </c>
      <c r="J1441" s="12">
        <v>126.35</v>
      </c>
      <c r="K1441" s="13">
        <v>0.15</v>
      </c>
      <c r="L1441" s="12">
        <v>97.93</v>
      </c>
      <c r="M1441" s="14">
        <f>ROUND(tblSprzedaz[[#This Row],[Ilość]]*tblSprzedaz[[#This Row],[Cena netto jednostkowa]]*(1-tblSprzedaz[[#This Row],[Rabat %]]),2)</f>
        <v>751.78</v>
      </c>
      <c r="N1441" s="14">
        <f>ROUND(tblSprzedaz[[#This Row],[Ilość]]*tblSprzedaz[[#This Row],[Koszt jednostkowy netto]],2)</f>
        <v>685.51</v>
      </c>
      <c r="O1441" s="14">
        <f>tblSprzedaz[[#This Row],[Przychód netto]]-tblSprzedaz[[#This Row],[Koszt całkowity netto]]</f>
        <v>66.269999999999982</v>
      </c>
      <c r="P1441" s="15">
        <f>IFERROR(tblSprzedaz[[#This Row],[Marża kwotowa]]/tblSprzedaz[[#This Row],[Przychód netto]],0)</f>
        <v>8.8150788794594148E-2</v>
      </c>
      <c r="Q1441" s="16">
        <f>YEAR(tblSprzedaz[[#This Row],[Data]])</f>
        <v>2026</v>
      </c>
      <c r="R1441" s="16">
        <f>MONTH(tblSprzedaz[[#This Row],[Data]])</f>
        <v>1</v>
      </c>
      <c r="S1441" s="9" t="str">
        <f>YEAR(tblSprzedaz[[#This Row],[Data]])&amp;"-"&amp;RIGHT("0"&amp;MONTH(tblSprzedaz[[#This Row],[Data]]),2)</f>
        <v>2026-01</v>
      </c>
    </row>
    <row r="1442" spans="1:19" x14ac:dyDescent="0.25">
      <c r="A1442" s="7" t="s">
        <v>3051</v>
      </c>
      <c r="B1442" s="10">
        <v>46036</v>
      </c>
      <c r="C1442" s="7" t="s">
        <v>3052</v>
      </c>
      <c r="D1442" s="8" t="s">
        <v>102</v>
      </c>
      <c r="E1442" s="8" t="s">
        <v>74</v>
      </c>
      <c r="F1442" s="8" t="s">
        <v>37</v>
      </c>
      <c r="G1442" s="8" t="s">
        <v>36</v>
      </c>
      <c r="H1442" s="8" t="s">
        <v>46</v>
      </c>
      <c r="I1442" s="11">
        <v>5</v>
      </c>
      <c r="J1442" s="12">
        <v>126.35</v>
      </c>
      <c r="K1442" s="13">
        <v>0.15</v>
      </c>
      <c r="L1442" s="12">
        <v>95.02</v>
      </c>
      <c r="M1442" s="14">
        <f>ROUND(tblSprzedaz[[#This Row],[Ilość]]*tblSprzedaz[[#This Row],[Cena netto jednostkowa]]*(1-tblSprzedaz[[#This Row],[Rabat %]]),2)</f>
        <v>536.99</v>
      </c>
      <c r="N1442" s="14">
        <f>ROUND(tblSprzedaz[[#This Row],[Ilość]]*tblSprzedaz[[#This Row],[Koszt jednostkowy netto]],2)</f>
        <v>475.1</v>
      </c>
      <c r="O1442" s="14">
        <f>tblSprzedaz[[#This Row],[Przychód netto]]-tblSprzedaz[[#This Row],[Koszt całkowity netto]]</f>
        <v>61.889999999999986</v>
      </c>
      <c r="P1442" s="15">
        <f>IFERROR(tblSprzedaz[[#This Row],[Marża kwotowa]]/tblSprzedaz[[#This Row],[Przychód netto]],0)</f>
        <v>0.11525354289651574</v>
      </c>
      <c r="Q1442" s="16">
        <f>YEAR(tblSprzedaz[[#This Row],[Data]])</f>
        <v>2026</v>
      </c>
      <c r="R1442" s="16">
        <f>MONTH(tblSprzedaz[[#This Row],[Data]])</f>
        <v>1</v>
      </c>
      <c r="S1442" s="9" t="str">
        <f>YEAR(tblSprzedaz[[#This Row],[Data]])&amp;"-"&amp;RIGHT("0"&amp;MONTH(tblSprzedaz[[#This Row],[Data]]),2)</f>
        <v>2026-01</v>
      </c>
    </row>
    <row r="1443" spans="1:19" x14ac:dyDescent="0.25">
      <c r="A1443" s="7" t="s">
        <v>3053</v>
      </c>
      <c r="B1443" s="10">
        <v>46036</v>
      </c>
      <c r="C1443" s="7" t="s">
        <v>3054</v>
      </c>
      <c r="D1443" s="8" t="s">
        <v>91</v>
      </c>
      <c r="E1443" s="8" t="s">
        <v>68</v>
      </c>
      <c r="F1443" s="8" t="s">
        <v>35</v>
      </c>
      <c r="G1443" s="8" t="s">
        <v>28</v>
      </c>
      <c r="H1443" s="8" t="s">
        <v>38</v>
      </c>
      <c r="I1443" s="11">
        <v>2</v>
      </c>
      <c r="J1443" s="12">
        <v>90.44</v>
      </c>
      <c r="K1443" s="13">
        <v>0</v>
      </c>
      <c r="L1443" s="12">
        <v>67.47</v>
      </c>
      <c r="M1443" s="14">
        <f>ROUND(tblSprzedaz[[#This Row],[Ilość]]*tblSprzedaz[[#This Row],[Cena netto jednostkowa]]*(1-tblSprzedaz[[#This Row],[Rabat %]]),2)</f>
        <v>180.88</v>
      </c>
      <c r="N1443" s="14">
        <f>ROUND(tblSprzedaz[[#This Row],[Ilość]]*tblSprzedaz[[#This Row],[Koszt jednostkowy netto]],2)</f>
        <v>134.94</v>
      </c>
      <c r="O1443" s="14">
        <f>tblSprzedaz[[#This Row],[Przychód netto]]-tblSprzedaz[[#This Row],[Koszt całkowity netto]]</f>
        <v>45.94</v>
      </c>
      <c r="P1443" s="15">
        <f>IFERROR(tblSprzedaz[[#This Row],[Marża kwotowa]]/tblSprzedaz[[#This Row],[Przychód netto]],0)</f>
        <v>0.25398053958425476</v>
      </c>
      <c r="Q1443" s="16">
        <f>YEAR(tblSprzedaz[[#This Row],[Data]])</f>
        <v>2026</v>
      </c>
      <c r="R1443" s="16">
        <f>MONTH(tblSprzedaz[[#This Row],[Data]])</f>
        <v>1</v>
      </c>
      <c r="S1443" s="9" t="str">
        <f>YEAR(tblSprzedaz[[#This Row],[Data]])&amp;"-"&amp;RIGHT("0"&amp;MONTH(tblSprzedaz[[#This Row],[Data]]),2)</f>
        <v>2026-01</v>
      </c>
    </row>
    <row r="1444" spans="1:19" x14ac:dyDescent="0.25">
      <c r="A1444" s="7" t="s">
        <v>3055</v>
      </c>
      <c r="B1444" s="10">
        <v>46037</v>
      </c>
      <c r="C1444" s="7" t="s">
        <v>3056</v>
      </c>
      <c r="D1444" s="8" t="s">
        <v>135</v>
      </c>
      <c r="E1444" s="8" t="s">
        <v>49</v>
      </c>
      <c r="F1444" s="8" t="s">
        <v>29</v>
      </c>
      <c r="G1444" s="8" t="s">
        <v>32</v>
      </c>
      <c r="H1444" s="8" t="s">
        <v>42</v>
      </c>
      <c r="I1444" s="11">
        <v>21</v>
      </c>
      <c r="J1444" s="12">
        <v>39.44</v>
      </c>
      <c r="K1444" s="13">
        <v>0.05</v>
      </c>
      <c r="L1444" s="12">
        <v>23.65</v>
      </c>
      <c r="M1444" s="14">
        <f>ROUND(tblSprzedaz[[#This Row],[Ilość]]*tblSprzedaz[[#This Row],[Cena netto jednostkowa]]*(1-tblSprzedaz[[#This Row],[Rabat %]]),2)</f>
        <v>786.83</v>
      </c>
      <c r="N1444" s="14">
        <f>ROUND(tblSprzedaz[[#This Row],[Ilość]]*tblSprzedaz[[#This Row],[Koszt jednostkowy netto]],2)</f>
        <v>496.65</v>
      </c>
      <c r="O1444" s="14">
        <f>tblSprzedaz[[#This Row],[Przychód netto]]-tblSprzedaz[[#This Row],[Koszt całkowity netto]]</f>
        <v>290.18000000000006</v>
      </c>
      <c r="P1444" s="15">
        <f>IFERROR(tblSprzedaz[[#This Row],[Marża kwotowa]]/tblSprzedaz[[#This Row],[Przychód netto]],0)</f>
        <v>0.36879630924087803</v>
      </c>
      <c r="Q1444" s="16">
        <f>YEAR(tblSprzedaz[[#This Row],[Data]])</f>
        <v>2026</v>
      </c>
      <c r="R1444" s="16">
        <f>MONTH(tblSprzedaz[[#This Row],[Data]])</f>
        <v>1</v>
      </c>
      <c r="S1444" s="9" t="str">
        <f>YEAR(tblSprzedaz[[#This Row],[Data]])&amp;"-"&amp;RIGHT("0"&amp;MONTH(tblSprzedaz[[#This Row],[Data]]),2)</f>
        <v>2026-01</v>
      </c>
    </row>
    <row r="1445" spans="1:19" x14ac:dyDescent="0.25">
      <c r="A1445" s="7" t="s">
        <v>3057</v>
      </c>
      <c r="B1445" s="10">
        <v>46037</v>
      </c>
      <c r="C1445" s="7" t="s">
        <v>3058</v>
      </c>
      <c r="D1445" s="8" t="s">
        <v>128</v>
      </c>
      <c r="E1445" s="8" t="s">
        <v>74</v>
      </c>
      <c r="F1445" s="8" t="s">
        <v>37</v>
      </c>
      <c r="G1445" s="8" t="s">
        <v>36</v>
      </c>
      <c r="H1445" s="8" t="s">
        <v>46</v>
      </c>
      <c r="I1445" s="11">
        <v>12</v>
      </c>
      <c r="J1445" s="12">
        <v>126.35</v>
      </c>
      <c r="K1445" s="13">
        <v>0.1</v>
      </c>
      <c r="L1445" s="12">
        <v>98.51</v>
      </c>
      <c r="M1445" s="14">
        <f>ROUND(tblSprzedaz[[#This Row],[Ilość]]*tblSprzedaz[[#This Row],[Cena netto jednostkowa]]*(1-tblSprzedaz[[#This Row],[Rabat %]]),2)</f>
        <v>1364.58</v>
      </c>
      <c r="N1445" s="14">
        <f>ROUND(tblSprzedaz[[#This Row],[Ilość]]*tblSprzedaz[[#This Row],[Koszt jednostkowy netto]],2)</f>
        <v>1182.1199999999999</v>
      </c>
      <c r="O1445" s="14">
        <f>tblSprzedaz[[#This Row],[Przychód netto]]-tblSprzedaz[[#This Row],[Koszt całkowity netto]]</f>
        <v>182.46000000000004</v>
      </c>
      <c r="P1445" s="15">
        <f>IFERROR(tblSprzedaz[[#This Row],[Marża kwotowa]]/tblSprzedaz[[#This Row],[Przychód netto]],0)</f>
        <v>0.13371147166161021</v>
      </c>
      <c r="Q1445" s="16">
        <f>YEAR(tblSprzedaz[[#This Row],[Data]])</f>
        <v>2026</v>
      </c>
      <c r="R1445" s="16">
        <f>MONTH(tblSprzedaz[[#This Row],[Data]])</f>
        <v>1</v>
      </c>
      <c r="S1445" s="9" t="str">
        <f>YEAR(tblSprzedaz[[#This Row],[Data]])&amp;"-"&amp;RIGHT("0"&amp;MONTH(tblSprzedaz[[#This Row],[Data]]),2)</f>
        <v>2026-01</v>
      </c>
    </row>
    <row r="1446" spans="1:19" x14ac:dyDescent="0.25">
      <c r="A1446" s="7" t="s">
        <v>3059</v>
      </c>
      <c r="B1446" s="10">
        <v>46037</v>
      </c>
      <c r="C1446" s="7" t="s">
        <v>3060</v>
      </c>
      <c r="D1446" s="8" t="s">
        <v>85</v>
      </c>
      <c r="E1446" s="8" t="s">
        <v>73</v>
      </c>
      <c r="F1446" s="8" t="s">
        <v>37</v>
      </c>
      <c r="G1446" s="8" t="s">
        <v>30</v>
      </c>
      <c r="H1446" s="8" t="s">
        <v>40</v>
      </c>
      <c r="I1446" s="11">
        <v>9</v>
      </c>
      <c r="J1446" s="12">
        <v>110.2</v>
      </c>
      <c r="K1446" s="13">
        <v>0.1</v>
      </c>
      <c r="L1446" s="12">
        <v>81.69</v>
      </c>
      <c r="M1446" s="14">
        <f>ROUND(tblSprzedaz[[#This Row],[Ilość]]*tblSprzedaz[[#This Row],[Cena netto jednostkowa]]*(1-tblSprzedaz[[#This Row],[Rabat %]]),2)</f>
        <v>892.62</v>
      </c>
      <c r="N1446" s="14">
        <f>ROUND(tblSprzedaz[[#This Row],[Ilość]]*tblSprzedaz[[#This Row],[Koszt jednostkowy netto]],2)</f>
        <v>735.21</v>
      </c>
      <c r="O1446" s="14">
        <f>tblSprzedaz[[#This Row],[Przychód netto]]-tblSprzedaz[[#This Row],[Koszt całkowity netto]]</f>
        <v>157.40999999999997</v>
      </c>
      <c r="P1446" s="15">
        <f>IFERROR(tblSprzedaz[[#This Row],[Marża kwotowa]]/tblSprzedaz[[#This Row],[Przychód netto]],0)</f>
        <v>0.17634603750756198</v>
      </c>
      <c r="Q1446" s="16">
        <f>YEAR(tblSprzedaz[[#This Row],[Data]])</f>
        <v>2026</v>
      </c>
      <c r="R1446" s="16">
        <f>MONTH(tblSprzedaz[[#This Row],[Data]])</f>
        <v>1</v>
      </c>
      <c r="S1446" s="9" t="str">
        <f>YEAR(tblSprzedaz[[#This Row],[Data]])&amp;"-"&amp;RIGHT("0"&amp;MONTH(tblSprzedaz[[#This Row],[Data]]),2)</f>
        <v>2026-01</v>
      </c>
    </row>
    <row r="1447" spans="1:19" x14ac:dyDescent="0.25">
      <c r="A1447" s="7" t="s">
        <v>3061</v>
      </c>
      <c r="B1447" s="10">
        <v>46038</v>
      </c>
      <c r="C1447" s="7" t="s">
        <v>3062</v>
      </c>
      <c r="D1447" s="8" t="s">
        <v>100</v>
      </c>
      <c r="E1447" s="8" t="s">
        <v>70</v>
      </c>
      <c r="F1447" s="8" t="s">
        <v>35</v>
      </c>
      <c r="G1447" s="8" t="s">
        <v>36</v>
      </c>
      <c r="H1447" s="8" t="s">
        <v>46</v>
      </c>
      <c r="I1447" s="11">
        <v>5</v>
      </c>
      <c r="J1447" s="12">
        <v>113.56</v>
      </c>
      <c r="K1447" s="13">
        <v>0</v>
      </c>
      <c r="L1447" s="12">
        <v>84.6</v>
      </c>
      <c r="M1447" s="14">
        <f>ROUND(tblSprzedaz[[#This Row],[Ilość]]*tblSprzedaz[[#This Row],[Cena netto jednostkowa]]*(1-tblSprzedaz[[#This Row],[Rabat %]]),2)</f>
        <v>567.79999999999995</v>
      </c>
      <c r="N1447" s="14">
        <f>ROUND(tblSprzedaz[[#This Row],[Ilość]]*tblSprzedaz[[#This Row],[Koszt jednostkowy netto]],2)</f>
        <v>423</v>
      </c>
      <c r="O1447" s="14">
        <f>tblSprzedaz[[#This Row],[Przychód netto]]-tblSprzedaz[[#This Row],[Koszt całkowity netto]]</f>
        <v>144.79999999999995</v>
      </c>
      <c r="P1447" s="15">
        <f>IFERROR(tblSprzedaz[[#This Row],[Marża kwotowa]]/tblSprzedaz[[#This Row],[Przychód netto]],0)</f>
        <v>0.2550193730186685</v>
      </c>
      <c r="Q1447" s="16">
        <f>YEAR(tblSprzedaz[[#This Row],[Data]])</f>
        <v>2026</v>
      </c>
      <c r="R1447" s="16">
        <f>MONTH(tblSprzedaz[[#This Row],[Data]])</f>
        <v>1</v>
      </c>
      <c r="S1447" s="9" t="str">
        <f>YEAR(tblSprzedaz[[#This Row],[Data]])&amp;"-"&amp;RIGHT("0"&amp;MONTH(tblSprzedaz[[#This Row],[Data]]),2)</f>
        <v>2026-01</v>
      </c>
    </row>
    <row r="1448" spans="1:19" x14ac:dyDescent="0.25">
      <c r="A1448" s="7" t="s">
        <v>3063</v>
      </c>
      <c r="B1448" s="10">
        <v>46038</v>
      </c>
      <c r="C1448" s="7" t="s">
        <v>3064</v>
      </c>
      <c r="D1448" s="8" t="s">
        <v>120</v>
      </c>
      <c r="E1448" s="8" t="s">
        <v>65</v>
      </c>
      <c r="F1448" s="8" t="s">
        <v>33</v>
      </c>
      <c r="G1448" s="8" t="s">
        <v>30</v>
      </c>
      <c r="H1448" s="8" t="s">
        <v>41</v>
      </c>
      <c r="I1448" s="11">
        <v>2</v>
      </c>
      <c r="J1448" s="12">
        <v>377.2</v>
      </c>
      <c r="K1448" s="13">
        <v>0</v>
      </c>
      <c r="L1448" s="12">
        <v>265.13</v>
      </c>
      <c r="M1448" s="14">
        <f>ROUND(tblSprzedaz[[#This Row],[Ilość]]*tblSprzedaz[[#This Row],[Cena netto jednostkowa]]*(1-tblSprzedaz[[#This Row],[Rabat %]]),2)</f>
        <v>754.4</v>
      </c>
      <c r="N1448" s="14">
        <f>ROUND(tblSprzedaz[[#This Row],[Ilość]]*tblSprzedaz[[#This Row],[Koszt jednostkowy netto]],2)</f>
        <v>530.26</v>
      </c>
      <c r="O1448" s="14">
        <f>tblSprzedaz[[#This Row],[Przychód netto]]-tblSprzedaz[[#This Row],[Koszt całkowity netto]]</f>
        <v>224.14</v>
      </c>
      <c r="P1448" s="15">
        <f>IFERROR(tblSprzedaz[[#This Row],[Marża kwotowa]]/tblSprzedaz[[#This Row],[Przychód netto]],0)</f>
        <v>0.29711028632025449</v>
      </c>
      <c r="Q1448" s="16">
        <f>YEAR(tblSprzedaz[[#This Row],[Data]])</f>
        <v>2026</v>
      </c>
      <c r="R1448" s="16">
        <f>MONTH(tblSprzedaz[[#This Row],[Data]])</f>
        <v>1</v>
      </c>
      <c r="S1448" s="9" t="str">
        <f>YEAR(tblSprzedaz[[#This Row],[Data]])&amp;"-"&amp;RIGHT("0"&amp;MONTH(tblSprzedaz[[#This Row],[Data]]),2)</f>
        <v>2026-01</v>
      </c>
    </row>
    <row r="1449" spans="1:19" x14ac:dyDescent="0.25">
      <c r="A1449" s="7" t="s">
        <v>3065</v>
      </c>
      <c r="B1449" s="10">
        <v>46038</v>
      </c>
      <c r="C1449" s="7" t="s">
        <v>3066</v>
      </c>
      <c r="D1449" s="8" t="s">
        <v>121</v>
      </c>
      <c r="E1449" s="8" t="s">
        <v>52</v>
      </c>
      <c r="F1449" s="8" t="s">
        <v>29</v>
      </c>
      <c r="G1449" s="8" t="s">
        <v>28</v>
      </c>
      <c r="H1449" s="8" t="s">
        <v>39</v>
      </c>
      <c r="I1449" s="11">
        <v>8</v>
      </c>
      <c r="J1449" s="12">
        <v>56.78</v>
      </c>
      <c r="K1449" s="13">
        <v>0.15</v>
      </c>
      <c r="L1449" s="12">
        <v>32.9</v>
      </c>
      <c r="M1449" s="14">
        <f>ROUND(tblSprzedaz[[#This Row],[Ilość]]*tblSprzedaz[[#This Row],[Cena netto jednostkowa]]*(1-tblSprzedaz[[#This Row],[Rabat %]]),2)</f>
        <v>386.1</v>
      </c>
      <c r="N1449" s="14">
        <f>ROUND(tblSprzedaz[[#This Row],[Ilość]]*tblSprzedaz[[#This Row],[Koszt jednostkowy netto]],2)</f>
        <v>263.2</v>
      </c>
      <c r="O1449" s="14">
        <f>tblSprzedaz[[#This Row],[Przychód netto]]-tblSprzedaz[[#This Row],[Koszt całkowity netto]]</f>
        <v>122.90000000000003</v>
      </c>
      <c r="P1449" s="15">
        <f>IFERROR(tblSprzedaz[[#This Row],[Marża kwotowa]]/tblSprzedaz[[#This Row],[Przychód netto]],0)</f>
        <v>0.31831131831131837</v>
      </c>
      <c r="Q1449" s="16">
        <f>YEAR(tblSprzedaz[[#This Row],[Data]])</f>
        <v>2026</v>
      </c>
      <c r="R1449" s="16">
        <f>MONTH(tblSprzedaz[[#This Row],[Data]])</f>
        <v>1</v>
      </c>
      <c r="S1449" s="9" t="str">
        <f>YEAR(tblSprzedaz[[#This Row],[Data]])&amp;"-"&amp;RIGHT("0"&amp;MONTH(tblSprzedaz[[#This Row],[Data]]),2)</f>
        <v>2026-01</v>
      </c>
    </row>
    <row r="1450" spans="1:19" x14ac:dyDescent="0.25">
      <c r="A1450" s="7" t="s">
        <v>3067</v>
      </c>
      <c r="B1450" s="10">
        <v>46038</v>
      </c>
      <c r="C1450" s="7" t="s">
        <v>3068</v>
      </c>
      <c r="D1450" s="8" t="s">
        <v>129</v>
      </c>
      <c r="E1450" s="8" t="s">
        <v>66</v>
      </c>
      <c r="F1450" s="8" t="s">
        <v>35</v>
      </c>
      <c r="G1450" s="8" t="s">
        <v>32</v>
      </c>
      <c r="H1450" s="8" t="s">
        <v>42</v>
      </c>
      <c r="I1450" s="11">
        <v>20</v>
      </c>
      <c r="J1450" s="12">
        <v>67.319999999999993</v>
      </c>
      <c r="K1450" s="13">
        <v>0.1</v>
      </c>
      <c r="L1450" s="12">
        <v>49.73</v>
      </c>
      <c r="M1450" s="14">
        <f>ROUND(tblSprzedaz[[#This Row],[Ilość]]*tblSprzedaz[[#This Row],[Cena netto jednostkowa]]*(1-tblSprzedaz[[#This Row],[Rabat %]]),2)</f>
        <v>1211.76</v>
      </c>
      <c r="N1450" s="14">
        <f>ROUND(tblSprzedaz[[#This Row],[Ilość]]*tblSprzedaz[[#This Row],[Koszt jednostkowy netto]],2)</f>
        <v>994.6</v>
      </c>
      <c r="O1450" s="14">
        <f>tblSprzedaz[[#This Row],[Przychód netto]]-tblSprzedaz[[#This Row],[Koszt całkowity netto]]</f>
        <v>217.15999999999997</v>
      </c>
      <c r="P1450" s="15">
        <f>IFERROR(tblSprzedaz[[#This Row],[Marża kwotowa]]/tblSprzedaz[[#This Row],[Przychód netto]],0)</f>
        <v>0.17921040470060076</v>
      </c>
      <c r="Q1450" s="16">
        <f>YEAR(tblSprzedaz[[#This Row],[Data]])</f>
        <v>2026</v>
      </c>
      <c r="R1450" s="16">
        <f>MONTH(tblSprzedaz[[#This Row],[Data]])</f>
        <v>1</v>
      </c>
      <c r="S1450" s="9" t="str">
        <f>YEAR(tblSprzedaz[[#This Row],[Data]])&amp;"-"&amp;RIGHT("0"&amp;MONTH(tblSprzedaz[[#This Row],[Data]]),2)</f>
        <v>2026-01</v>
      </c>
    </row>
    <row r="1451" spans="1:19" x14ac:dyDescent="0.25">
      <c r="A1451" s="7" t="s">
        <v>3069</v>
      </c>
      <c r="B1451" s="10">
        <v>46038</v>
      </c>
      <c r="C1451" s="7" t="s">
        <v>3070</v>
      </c>
      <c r="D1451" s="8" t="s">
        <v>119</v>
      </c>
      <c r="E1451" s="8" t="s">
        <v>49</v>
      </c>
      <c r="F1451" s="8" t="s">
        <v>29</v>
      </c>
      <c r="G1451" s="8" t="s">
        <v>28</v>
      </c>
      <c r="H1451" s="8" t="s">
        <v>39</v>
      </c>
      <c r="I1451" s="11">
        <v>13</v>
      </c>
      <c r="J1451" s="12">
        <v>39.44</v>
      </c>
      <c r="K1451" s="13">
        <v>0.1</v>
      </c>
      <c r="L1451" s="12">
        <v>21.73</v>
      </c>
      <c r="M1451" s="14">
        <f>ROUND(tblSprzedaz[[#This Row],[Ilość]]*tblSprzedaz[[#This Row],[Cena netto jednostkowa]]*(1-tblSprzedaz[[#This Row],[Rabat %]]),2)</f>
        <v>461.45</v>
      </c>
      <c r="N1451" s="14">
        <f>ROUND(tblSprzedaz[[#This Row],[Ilość]]*tblSprzedaz[[#This Row],[Koszt jednostkowy netto]],2)</f>
        <v>282.49</v>
      </c>
      <c r="O1451" s="14">
        <f>tblSprzedaz[[#This Row],[Przychód netto]]-tblSprzedaz[[#This Row],[Koszt całkowity netto]]</f>
        <v>178.95999999999998</v>
      </c>
      <c r="P1451" s="15">
        <f>IFERROR(tblSprzedaz[[#This Row],[Marża kwotowa]]/tblSprzedaz[[#This Row],[Przychód netto]],0)</f>
        <v>0.38782099902481304</v>
      </c>
      <c r="Q1451" s="16">
        <f>YEAR(tblSprzedaz[[#This Row],[Data]])</f>
        <v>2026</v>
      </c>
      <c r="R1451" s="16">
        <f>MONTH(tblSprzedaz[[#This Row],[Data]])</f>
        <v>1</v>
      </c>
      <c r="S1451" s="9" t="str">
        <f>YEAR(tblSprzedaz[[#This Row],[Data]])&amp;"-"&amp;RIGHT("0"&amp;MONTH(tblSprzedaz[[#This Row],[Data]]),2)</f>
        <v>2026-01</v>
      </c>
    </row>
    <row r="1452" spans="1:19" x14ac:dyDescent="0.25">
      <c r="A1452" s="7" t="s">
        <v>3071</v>
      </c>
      <c r="B1452" s="10">
        <v>46039</v>
      </c>
      <c r="C1452" s="7" t="s">
        <v>3072</v>
      </c>
      <c r="D1452" s="8" t="s">
        <v>102</v>
      </c>
      <c r="E1452" s="8" t="s">
        <v>57</v>
      </c>
      <c r="F1452" s="8" t="s">
        <v>31</v>
      </c>
      <c r="G1452" s="8" t="s">
        <v>28</v>
      </c>
      <c r="H1452" s="8" t="s">
        <v>38</v>
      </c>
      <c r="I1452" s="11">
        <v>4</v>
      </c>
      <c r="J1452" s="12">
        <v>315</v>
      </c>
      <c r="K1452" s="13">
        <v>0.1</v>
      </c>
      <c r="L1452" s="12">
        <v>194.9</v>
      </c>
      <c r="M1452" s="14">
        <f>ROUND(tblSprzedaz[[#This Row],[Ilość]]*tblSprzedaz[[#This Row],[Cena netto jednostkowa]]*(1-tblSprzedaz[[#This Row],[Rabat %]]),2)</f>
        <v>1134</v>
      </c>
      <c r="N1452" s="14">
        <f>ROUND(tblSprzedaz[[#This Row],[Ilość]]*tblSprzedaz[[#This Row],[Koszt jednostkowy netto]],2)</f>
        <v>779.6</v>
      </c>
      <c r="O1452" s="14">
        <f>tblSprzedaz[[#This Row],[Przychód netto]]-tblSprzedaz[[#This Row],[Koszt całkowity netto]]</f>
        <v>354.4</v>
      </c>
      <c r="P1452" s="15">
        <f>IFERROR(tblSprzedaz[[#This Row],[Marża kwotowa]]/tblSprzedaz[[#This Row],[Przychód netto]],0)</f>
        <v>0.31252204585537918</v>
      </c>
      <c r="Q1452" s="16">
        <f>YEAR(tblSprzedaz[[#This Row],[Data]])</f>
        <v>2026</v>
      </c>
      <c r="R1452" s="16">
        <f>MONTH(tblSprzedaz[[#This Row],[Data]])</f>
        <v>1</v>
      </c>
      <c r="S1452" s="9" t="str">
        <f>YEAR(tblSprzedaz[[#This Row],[Data]])&amp;"-"&amp;RIGHT("0"&amp;MONTH(tblSprzedaz[[#This Row],[Data]]),2)</f>
        <v>2026-01</v>
      </c>
    </row>
    <row r="1453" spans="1:19" x14ac:dyDescent="0.25">
      <c r="A1453" s="7" t="s">
        <v>3073</v>
      </c>
      <c r="B1453" s="10">
        <v>46040</v>
      </c>
      <c r="C1453" s="7" t="s">
        <v>3074</v>
      </c>
      <c r="D1453" s="8" t="s">
        <v>95</v>
      </c>
      <c r="E1453" s="8" t="s">
        <v>63</v>
      </c>
      <c r="F1453" s="8" t="s">
        <v>33</v>
      </c>
      <c r="G1453" s="8" t="s">
        <v>36</v>
      </c>
      <c r="H1453" s="8" t="s">
        <v>46</v>
      </c>
      <c r="I1453" s="11">
        <v>4</v>
      </c>
      <c r="J1453" s="12">
        <v>690</v>
      </c>
      <c r="K1453" s="13">
        <v>0.05</v>
      </c>
      <c r="L1453" s="12">
        <v>463.78</v>
      </c>
      <c r="M1453" s="14">
        <f>ROUND(tblSprzedaz[[#This Row],[Ilość]]*tblSprzedaz[[#This Row],[Cena netto jednostkowa]]*(1-tblSprzedaz[[#This Row],[Rabat %]]),2)</f>
        <v>2622</v>
      </c>
      <c r="N1453" s="14">
        <f>ROUND(tblSprzedaz[[#This Row],[Ilość]]*tblSprzedaz[[#This Row],[Koszt jednostkowy netto]],2)</f>
        <v>1855.12</v>
      </c>
      <c r="O1453" s="14">
        <f>tblSprzedaz[[#This Row],[Przychód netto]]-tblSprzedaz[[#This Row],[Koszt całkowity netto]]</f>
        <v>766.88000000000011</v>
      </c>
      <c r="P1453" s="15">
        <f>IFERROR(tblSprzedaz[[#This Row],[Marża kwotowa]]/tblSprzedaz[[#This Row],[Przychód netto]],0)</f>
        <v>0.29247902364607176</v>
      </c>
      <c r="Q1453" s="16">
        <f>YEAR(tblSprzedaz[[#This Row],[Data]])</f>
        <v>2026</v>
      </c>
      <c r="R1453" s="16">
        <f>MONTH(tblSprzedaz[[#This Row],[Data]])</f>
        <v>1</v>
      </c>
      <c r="S1453" s="9" t="str">
        <f>YEAR(tblSprzedaz[[#This Row],[Data]])&amp;"-"&amp;RIGHT("0"&amp;MONTH(tblSprzedaz[[#This Row],[Data]]),2)</f>
        <v>2026-01</v>
      </c>
    </row>
    <row r="1454" spans="1:19" x14ac:dyDescent="0.25">
      <c r="A1454" s="7" t="s">
        <v>3075</v>
      </c>
      <c r="B1454" s="10">
        <v>46041</v>
      </c>
      <c r="C1454" s="7" t="s">
        <v>3076</v>
      </c>
      <c r="D1454" s="8" t="s">
        <v>105</v>
      </c>
      <c r="E1454" s="8" t="s">
        <v>69</v>
      </c>
      <c r="F1454" s="8" t="s">
        <v>35</v>
      </c>
      <c r="G1454" s="8" t="s">
        <v>34</v>
      </c>
      <c r="H1454" s="8" t="s">
        <v>45</v>
      </c>
      <c r="I1454" s="11">
        <v>4</v>
      </c>
      <c r="J1454" s="12">
        <v>102</v>
      </c>
      <c r="K1454" s="13">
        <v>0.1</v>
      </c>
      <c r="L1454" s="12">
        <v>73.849999999999994</v>
      </c>
      <c r="M1454" s="14">
        <f>ROUND(tblSprzedaz[[#This Row],[Ilość]]*tblSprzedaz[[#This Row],[Cena netto jednostkowa]]*(1-tblSprzedaz[[#This Row],[Rabat %]]),2)</f>
        <v>367.2</v>
      </c>
      <c r="N1454" s="14">
        <f>ROUND(tblSprzedaz[[#This Row],[Ilość]]*tblSprzedaz[[#This Row],[Koszt jednostkowy netto]],2)</f>
        <v>295.39999999999998</v>
      </c>
      <c r="O1454" s="14">
        <f>tblSprzedaz[[#This Row],[Przychód netto]]-tblSprzedaz[[#This Row],[Koszt całkowity netto]]</f>
        <v>71.800000000000011</v>
      </c>
      <c r="P1454" s="15">
        <f>IFERROR(tblSprzedaz[[#This Row],[Marża kwotowa]]/tblSprzedaz[[#This Row],[Przychód netto]],0)</f>
        <v>0.19553376906318087</v>
      </c>
      <c r="Q1454" s="16">
        <f>YEAR(tblSprzedaz[[#This Row],[Data]])</f>
        <v>2026</v>
      </c>
      <c r="R1454" s="16">
        <f>MONTH(tblSprzedaz[[#This Row],[Data]])</f>
        <v>1</v>
      </c>
      <c r="S1454" s="9" t="str">
        <f>YEAR(tblSprzedaz[[#This Row],[Data]])&amp;"-"&amp;RIGHT("0"&amp;MONTH(tblSprzedaz[[#This Row],[Data]]),2)</f>
        <v>2026-01</v>
      </c>
    </row>
    <row r="1455" spans="1:19" x14ac:dyDescent="0.25">
      <c r="A1455" s="7" t="s">
        <v>3077</v>
      </c>
      <c r="B1455" s="10">
        <v>46041</v>
      </c>
      <c r="C1455" s="7" t="s">
        <v>3078</v>
      </c>
      <c r="D1455" s="8" t="s">
        <v>130</v>
      </c>
      <c r="E1455" s="8" t="s">
        <v>67</v>
      </c>
      <c r="F1455" s="8" t="s">
        <v>35</v>
      </c>
      <c r="G1455" s="8" t="s">
        <v>32</v>
      </c>
      <c r="H1455" s="8" t="s">
        <v>42</v>
      </c>
      <c r="I1455" s="11">
        <v>16</v>
      </c>
      <c r="J1455" s="12">
        <v>78.88</v>
      </c>
      <c r="K1455" s="13">
        <v>0</v>
      </c>
      <c r="L1455" s="12">
        <v>54.91</v>
      </c>
      <c r="M1455" s="14">
        <f>ROUND(tblSprzedaz[[#This Row],[Ilość]]*tblSprzedaz[[#This Row],[Cena netto jednostkowa]]*(1-tblSprzedaz[[#This Row],[Rabat %]]),2)</f>
        <v>1262.08</v>
      </c>
      <c r="N1455" s="14">
        <f>ROUND(tblSprzedaz[[#This Row],[Ilość]]*tblSprzedaz[[#This Row],[Koszt jednostkowy netto]],2)</f>
        <v>878.56</v>
      </c>
      <c r="O1455" s="14">
        <f>tblSprzedaz[[#This Row],[Przychód netto]]-tblSprzedaz[[#This Row],[Koszt całkowity netto]]</f>
        <v>383.52</v>
      </c>
      <c r="P1455" s="15">
        <f>IFERROR(tblSprzedaz[[#This Row],[Marża kwotowa]]/tblSprzedaz[[#This Row],[Przychód netto]],0)</f>
        <v>0.30387931034482757</v>
      </c>
      <c r="Q1455" s="16">
        <f>YEAR(tblSprzedaz[[#This Row],[Data]])</f>
        <v>2026</v>
      </c>
      <c r="R1455" s="16">
        <f>MONTH(tblSprzedaz[[#This Row],[Data]])</f>
        <v>1</v>
      </c>
      <c r="S1455" s="9" t="str">
        <f>YEAR(tblSprzedaz[[#This Row],[Data]])&amp;"-"&amp;RIGHT("0"&amp;MONTH(tblSprzedaz[[#This Row],[Data]]),2)</f>
        <v>2026-01</v>
      </c>
    </row>
    <row r="1456" spans="1:19" x14ac:dyDescent="0.25">
      <c r="A1456" s="7" t="s">
        <v>3079</v>
      </c>
      <c r="B1456" s="10">
        <v>46041</v>
      </c>
      <c r="C1456" s="7" t="s">
        <v>3080</v>
      </c>
      <c r="D1456" s="8" t="s">
        <v>87</v>
      </c>
      <c r="E1456" s="8" t="s">
        <v>74</v>
      </c>
      <c r="F1456" s="8" t="s">
        <v>37</v>
      </c>
      <c r="G1456" s="8" t="s">
        <v>36</v>
      </c>
      <c r="H1456" s="8" t="s">
        <v>46</v>
      </c>
      <c r="I1456" s="11">
        <v>16</v>
      </c>
      <c r="J1456" s="12">
        <v>126.35</v>
      </c>
      <c r="K1456" s="13">
        <v>0</v>
      </c>
      <c r="L1456" s="12">
        <v>99.5</v>
      </c>
      <c r="M1456" s="14">
        <f>ROUND(tblSprzedaz[[#This Row],[Ilość]]*tblSprzedaz[[#This Row],[Cena netto jednostkowa]]*(1-tblSprzedaz[[#This Row],[Rabat %]]),2)</f>
        <v>2021.6</v>
      </c>
      <c r="N1456" s="14">
        <f>ROUND(tblSprzedaz[[#This Row],[Ilość]]*tblSprzedaz[[#This Row],[Koszt jednostkowy netto]],2)</f>
        <v>1592</v>
      </c>
      <c r="O1456" s="14">
        <f>tblSprzedaz[[#This Row],[Przychód netto]]-tblSprzedaz[[#This Row],[Koszt całkowity netto]]</f>
        <v>429.59999999999991</v>
      </c>
      <c r="P1456" s="15">
        <f>IFERROR(tblSprzedaz[[#This Row],[Marża kwotowa]]/tblSprzedaz[[#This Row],[Przychód netto]],0)</f>
        <v>0.2125049465769687</v>
      </c>
      <c r="Q1456" s="16">
        <f>YEAR(tblSprzedaz[[#This Row],[Data]])</f>
        <v>2026</v>
      </c>
      <c r="R1456" s="16">
        <f>MONTH(tblSprzedaz[[#This Row],[Data]])</f>
        <v>1</v>
      </c>
      <c r="S1456" s="9" t="str">
        <f>YEAR(tblSprzedaz[[#This Row],[Data]])&amp;"-"&amp;RIGHT("0"&amp;MONTH(tblSprzedaz[[#This Row],[Data]]),2)</f>
        <v>2026-01</v>
      </c>
    </row>
    <row r="1457" spans="1:19" x14ac:dyDescent="0.25">
      <c r="A1457" s="7" t="s">
        <v>3081</v>
      </c>
      <c r="B1457" s="10">
        <v>46041</v>
      </c>
      <c r="C1457" s="7" t="s">
        <v>3082</v>
      </c>
      <c r="D1457" s="8" t="s">
        <v>78</v>
      </c>
      <c r="E1457" s="8" t="s">
        <v>58</v>
      </c>
      <c r="F1457" s="8" t="s">
        <v>31</v>
      </c>
      <c r="G1457" s="8" t="s">
        <v>36</v>
      </c>
      <c r="H1457" s="8" t="s">
        <v>46</v>
      </c>
      <c r="I1457" s="11">
        <v>6</v>
      </c>
      <c r="J1457" s="12">
        <v>350.7</v>
      </c>
      <c r="K1457" s="13">
        <v>0.1</v>
      </c>
      <c r="L1457" s="12">
        <v>214.63</v>
      </c>
      <c r="M1457" s="14">
        <f>ROUND(tblSprzedaz[[#This Row],[Ilość]]*tblSprzedaz[[#This Row],[Cena netto jednostkowa]]*(1-tblSprzedaz[[#This Row],[Rabat %]]),2)</f>
        <v>1893.78</v>
      </c>
      <c r="N1457" s="14">
        <f>ROUND(tblSprzedaz[[#This Row],[Ilość]]*tblSprzedaz[[#This Row],[Koszt jednostkowy netto]],2)</f>
        <v>1287.78</v>
      </c>
      <c r="O1457" s="14">
        <f>tblSprzedaz[[#This Row],[Przychód netto]]-tblSprzedaz[[#This Row],[Koszt całkowity netto]]</f>
        <v>606</v>
      </c>
      <c r="P1457" s="15">
        <f>IFERROR(tblSprzedaz[[#This Row],[Marża kwotowa]]/tblSprzedaz[[#This Row],[Przychód netto]],0)</f>
        <v>0.31999493077337388</v>
      </c>
      <c r="Q1457" s="16">
        <f>YEAR(tblSprzedaz[[#This Row],[Data]])</f>
        <v>2026</v>
      </c>
      <c r="R1457" s="16">
        <f>MONTH(tblSprzedaz[[#This Row],[Data]])</f>
        <v>1</v>
      </c>
      <c r="S1457" s="9" t="str">
        <f>YEAR(tblSprzedaz[[#This Row],[Data]])&amp;"-"&amp;RIGHT("0"&amp;MONTH(tblSprzedaz[[#This Row],[Data]]),2)</f>
        <v>2026-01</v>
      </c>
    </row>
    <row r="1458" spans="1:19" x14ac:dyDescent="0.25">
      <c r="A1458" s="7" t="s">
        <v>3083</v>
      </c>
      <c r="B1458" s="10">
        <v>46041</v>
      </c>
      <c r="C1458" s="7" t="s">
        <v>3084</v>
      </c>
      <c r="D1458" s="8" t="s">
        <v>140</v>
      </c>
      <c r="E1458" s="8" t="s">
        <v>64</v>
      </c>
      <c r="F1458" s="8" t="s">
        <v>33</v>
      </c>
      <c r="G1458" s="8" t="s">
        <v>30</v>
      </c>
      <c r="H1458" s="8" t="s">
        <v>40</v>
      </c>
      <c r="I1458" s="11">
        <v>13</v>
      </c>
      <c r="J1458" s="12">
        <v>768.2</v>
      </c>
      <c r="K1458" s="13">
        <v>0</v>
      </c>
      <c r="L1458" s="12">
        <v>543.41</v>
      </c>
      <c r="M1458" s="14">
        <f>ROUND(tblSprzedaz[[#This Row],[Ilość]]*tblSprzedaz[[#This Row],[Cena netto jednostkowa]]*(1-tblSprzedaz[[#This Row],[Rabat %]]),2)</f>
        <v>9986.6</v>
      </c>
      <c r="N1458" s="14">
        <f>ROUND(tblSprzedaz[[#This Row],[Ilość]]*tblSprzedaz[[#This Row],[Koszt jednostkowy netto]],2)</f>
        <v>7064.33</v>
      </c>
      <c r="O1458" s="14">
        <f>tblSprzedaz[[#This Row],[Przychód netto]]-tblSprzedaz[[#This Row],[Koszt całkowity netto]]</f>
        <v>2922.2700000000004</v>
      </c>
      <c r="P1458" s="15">
        <f>IFERROR(tblSprzedaz[[#This Row],[Marża kwotowa]]/tblSprzedaz[[#This Row],[Przychód netto]],0)</f>
        <v>0.29261910960687326</v>
      </c>
      <c r="Q1458" s="16">
        <f>YEAR(tblSprzedaz[[#This Row],[Data]])</f>
        <v>2026</v>
      </c>
      <c r="R1458" s="16">
        <f>MONTH(tblSprzedaz[[#This Row],[Data]])</f>
        <v>1</v>
      </c>
      <c r="S1458" s="9" t="str">
        <f>YEAR(tblSprzedaz[[#This Row],[Data]])&amp;"-"&amp;RIGHT("0"&amp;MONTH(tblSprzedaz[[#This Row],[Data]]),2)</f>
        <v>2026-01</v>
      </c>
    </row>
    <row r="1459" spans="1:19" x14ac:dyDescent="0.25">
      <c r="A1459" s="7" t="s">
        <v>3085</v>
      </c>
      <c r="B1459" s="10">
        <v>46042</v>
      </c>
      <c r="C1459" s="7" t="s">
        <v>3086</v>
      </c>
      <c r="D1459" s="8" t="s">
        <v>132</v>
      </c>
      <c r="E1459" s="8" t="s">
        <v>74</v>
      </c>
      <c r="F1459" s="8" t="s">
        <v>37</v>
      </c>
      <c r="G1459" s="8" t="s">
        <v>28</v>
      </c>
      <c r="H1459" s="8" t="s">
        <v>39</v>
      </c>
      <c r="I1459" s="11">
        <v>13</v>
      </c>
      <c r="J1459" s="12">
        <v>126.35</v>
      </c>
      <c r="K1459" s="13">
        <v>0</v>
      </c>
      <c r="L1459" s="12">
        <v>100.8</v>
      </c>
      <c r="M1459" s="14">
        <f>ROUND(tblSprzedaz[[#This Row],[Ilość]]*tblSprzedaz[[#This Row],[Cena netto jednostkowa]]*(1-tblSprzedaz[[#This Row],[Rabat %]]),2)</f>
        <v>1642.55</v>
      </c>
      <c r="N1459" s="14">
        <f>ROUND(tblSprzedaz[[#This Row],[Ilość]]*tblSprzedaz[[#This Row],[Koszt jednostkowy netto]],2)</f>
        <v>1310.4000000000001</v>
      </c>
      <c r="O1459" s="14">
        <f>tblSprzedaz[[#This Row],[Przychód netto]]-tblSprzedaz[[#This Row],[Koszt całkowity netto]]</f>
        <v>332.14999999999986</v>
      </c>
      <c r="P1459" s="15">
        <f>IFERROR(tblSprzedaz[[#This Row],[Marża kwotowa]]/tblSprzedaz[[#This Row],[Przychód netto]],0)</f>
        <v>0.20221606648199439</v>
      </c>
      <c r="Q1459" s="16">
        <f>YEAR(tblSprzedaz[[#This Row],[Data]])</f>
        <v>2026</v>
      </c>
      <c r="R1459" s="16">
        <f>MONTH(tblSprzedaz[[#This Row],[Data]])</f>
        <v>1</v>
      </c>
      <c r="S1459" s="9" t="str">
        <f>YEAR(tblSprzedaz[[#This Row],[Data]])&amp;"-"&amp;RIGHT("0"&amp;MONTH(tblSprzedaz[[#This Row],[Data]]),2)</f>
        <v>2026-01</v>
      </c>
    </row>
    <row r="1460" spans="1:19" x14ac:dyDescent="0.25">
      <c r="A1460" s="7" t="s">
        <v>3087</v>
      </c>
      <c r="B1460" s="10">
        <v>46042</v>
      </c>
      <c r="C1460" s="7" t="s">
        <v>3088</v>
      </c>
      <c r="D1460" s="8" t="s">
        <v>91</v>
      </c>
      <c r="E1460" s="8" t="s">
        <v>68</v>
      </c>
      <c r="F1460" s="8" t="s">
        <v>35</v>
      </c>
      <c r="G1460" s="8" t="s">
        <v>34</v>
      </c>
      <c r="H1460" s="8" t="s">
        <v>45</v>
      </c>
      <c r="I1460" s="11">
        <v>1</v>
      </c>
      <c r="J1460" s="12">
        <v>90.44</v>
      </c>
      <c r="K1460" s="13">
        <v>0.15</v>
      </c>
      <c r="L1460" s="12">
        <v>65.56</v>
      </c>
      <c r="M1460" s="14">
        <f>ROUND(tblSprzedaz[[#This Row],[Ilość]]*tblSprzedaz[[#This Row],[Cena netto jednostkowa]]*(1-tblSprzedaz[[#This Row],[Rabat %]]),2)</f>
        <v>76.87</v>
      </c>
      <c r="N1460" s="14">
        <f>ROUND(tblSprzedaz[[#This Row],[Ilość]]*tblSprzedaz[[#This Row],[Koszt jednostkowy netto]],2)</f>
        <v>65.56</v>
      </c>
      <c r="O1460" s="14">
        <f>tblSprzedaz[[#This Row],[Przychód netto]]-tblSprzedaz[[#This Row],[Koszt całkowity netto]]</f>
        <v>11.310000000000002</v>
      </c>
      <c r="P1460" s="15">
        <f>IFERROR(tblSprzedaz[[#This Row],[Marża kwotowa]]/tblSprzedaz[[#This Row],[Przychód netto]],0)</f>
        <v>0.14713152074931704</v>
      </c>
      <c r="Q1460" s="16">
        <f>YEAR(tblSprzedaz[[#This Row],[Data]])</f>
        <v>2026</v>
      </c>
      <c r="R1460" s="16">
        <f>MONTH(tblSprzedaz[[#This Row],[Data]])</f>
        <v>1</v>
      </c>
      <c r="S1460" s="9" t="str">
        <f>YEAR(tblSprzedaz[[#This Row],[Data]])&amp;"-"&amp;RIGHT("0"&amp;MONTH(tblSprzedaz[[#This Row],[Data]]),2)</f>
        <v>2026-01</v>
      </c>
    </row>
    <row r="1461" spans="1:19" x14ac:dyDescent="0.25">
      <c r="A1461" s="7" t="s">
        <v>3089</v>
      </c>
      <c r="B1461" s="10">
        <v>46042</v>
      </c>
      <c r="C1461" s="7" t="s">
        <v>3090</v>
      </c>
      <c r="D1461" s="8" t="s">
        <v>109</v>
      </c>
      <c r="E1461" s="8" t="s">
        <v>50</v>
      </c>
      <c r="F1461" s="8" t="s">
        <v>29</v>
      </c>
      <c r="G1461" s="8" t="s">
        <v>32</v>
      </c>
      <c r="H1461" s="8" t="s">
        <v>42</v>
      </c>
      <c r="I1461" s="11">
        <v>21</v>
      </c>
      <c r="J1461" s="12">
        <v>45.22</v>
      </c>
      <c r="K1461" s="13">
        <v>0.1</v>
      </c>
      <c r="L1461" s="12">
        <v>27.38</v>
      </c>
      <c r="M1461" s="14">
        <f>ROUND(tblSprzedaz[[#This Row],[Ilość]]*tblSprzedaz[[#This Row],[Cena netto jednostkowa]]*(1-tblSprzedaz[[#This Row],[Rabat %]]),2)</f>
        <v>854.66</v>
      </c>
      <c r="N1461" s="14">
        <f>ROUND(tblSprzedaz[[#This Row],[Ilość]]*tblSprzedaz[[#This Row],[Koszt jednostkowy netto]],2)</f>
        <v>574.98</v>
      </c>
      <c r="O1461" s="14">
        <f>tblSprzedaz[[#This Row],[Przychód netto]]-tblSprzedaz[[#This Row],[Koszt całkowity netto]]</f>
        <v>279.67999999999995</v>
      </c>
      <c r="P1461" s="15">
        <f>IFERROR(tblSprzedaz[[#This Row],[Marża kwotowa]]/tblSprzedaz[[#This Row],[Przychód netto]],0)</f>
        <v>0.32724124213137384</v>
      </c>
      <c r="Q1461" s="16">
        <f>YEAR(tblSprzedaz[[#This Row],[Data]])</f>
        <v>2026</v>
      </c>
      <c r="R1461" s="16">
        <f>MONTH(tblSprzedaz[[#This Row],[Data]])</f>
        <v>1</v>
      </c>
      <c r="S1461" s="9" t="str">
        <f>YEAR(tblSprzedaz[[#This Row],[Data]])&amp;"-"&amp;RIGHT("0"&amp;MONTH(tblSprzedaz[[#This Row],[Data]]),2)</f>
        <v>2026-01</v>
      </c>
    </row>
    <row r="1462" spans="1:19" x14ac:dyDescent="0.25">
      <c r="A1462" s="7" t="s">
        <v>3091</v>
      </c>
      <c r="B1462" s="10">
        <v>46043</v>
      </c>
      <c r="C1462" s="7" t="s">
        <v>3092</v>
      </c>
      <c r="D1462" s="8" t="s">
        <v>143</v>
      </c>
      <c r="E1462" s="8" t="s">
        <v>52</v>
      </c>
      <c r="F1462" s="8" t="s">
        <v>29</v>
      </c>
      <c r="G1462" s="8" t="s">
        <v>32</v>
      </c>
      <c r="H1462" s="8" t="s">
        <v>43</v>
      </c>
      <c r="I1462" s="11">
        <v>3</v>
      </c>
      <c r="J1462" s="12">
        <v>56.78</v>
      </c>
      <c r="K1462" s="13">
        <v>0.05</v>
      </c>
      <c r="L1462" s="12">
        <v>34.35</v>
      </c>
      <c r="M1462" s="14">
        <f>ROUND(tblSprzedaz[[#This Row],[Ilość]]*tblSprzedaz[[#This Row],[Cena netto jednostkowa]]*(1-tblSprzedaz[[#This Row],[Rabat %]]),2)</f>
        <v>161.82</v>
      </c>
      <c r="N1462" s="14">
        <f>ROUND(tblSprzedaz[[#This Row],[Ilość]]*tblSprzedaz[[#This Row],[Koszt jednostkowy netto]],2)</f>
        <v>103.05</v>
      </c>
      <c r="O1462" s="14">
        <f>tblSprzedaz[[#This Row],[Przychód netto]]-tblSprzedaz[[#This Row],[Koszt całkowity netto]]</f>
        <v>58.769999999999996</v>
      </c>
      <c r="P1462" s="15">
        <f>IFERROR(tblSprzedaz[[#This Row],[Marża kwotowa]]/tblSprzedaz[[#This Row],[Przychód netto]],0)</f>
        <v>0.36318131256952169</v>
      </c>
      <c r="Q1462" s="16">
        <f>YEAR(tblSprzedaz[[#This Row],[Data]])</f>
        <v>2026</v>
      </c>
      <c r="R1462" s="16">
        <f>MONTH(tblSprzedaz[[#This Row],[Data]])</f>
        <v>1</v>
      </c>
      <c r="S1462" s="9" t="str">
        <f>YEAR(tblSprzedaz[[#This Row],[Data]])&amp;"-"&amp;RIGHT("0"&amp;MONTH(tblSprzedaz[[#This Row],[Data]]),2)</f>
        <v>2026-01</v>
      </c>
    </row>
    <row r="1463" spans="1:19" x14ac:dyDescent="0.25">
      <c r="A1463" s="7" t="s">
        <v>3093</v>
      </c>
      <c r="B1463" s="10">
        <v>46043</v>
      </c>
      <c r="C1463" s="7" t="s">
        <v>3094</v>
      </c>
      <c r="D1463" s="8" t="s">
        <v>118</v>
      </c>
      <c r="E1463" s="8" t="s">
        <v>70</v>
      </c>
      <c r="F1463" s="8" t="s">
        <v>35</v>
      </c>
      <c r="G1463" s="8" t="s">
        <v>30</v>
      </c>
      <c r="H1463" s="8" t="s">
        <v>40</v>
      </c>
      <c r="I1463" s="11">
        <v>9</v>
      </c>
      <c r="J1463" s="12">
        <v>113.56</v>
      </c>
      <c r="K1463" s="13">
        <v>0</v>
      </c>
      <c r="L1463" s="12">
        <v>83.88</v>
      </c>
      <c r="M1463" s="14">
        <f>ROUND(tblSprzedaz[[#This Row],[Ilość]]*tblSprzedaz[[#This Row],[Cena netto jednostkowa]]*(1-tblSprzedaz[[#This Row],[Rabat %]]),2)</f>
        <v>1022.04</v>
      </c>
      <c r="N1463" s="14">
        <f>ROUND(tblSprzedaz[[#This Row],[Ilość]]*tblSprzedaz[[#This Row],[Koszt jednostkowy netto]],2)</f>
        <v>754.92</v>
      </c>
      <c r="O1463" s="14">
        <f>tblSprzedaz[[#This Row],[Przychód netto]]-tblSprzedaz[[#This Row],[Koszt całkowity netto]]</f>
        <v>267.12</v>
      </c>
      <c r="P1463" s="15">
        <f>IFERROR(tblSprzedaz[[#This Row],[Marża kwotowa]]/tblSprzedaz[[#This Row],[Przychód netto]],0)</f>
        <v>0.26135963367382881</v>
      </c>
      <c r="Q1463" s="16">
        <f>YEAR(tblSprzedaz[[#This Row],[Data]])</f>
        <v>2026</v>
      </c>
      <c r="R1463" s="16">
        <f>MONTH(tblSprzedaz[[#This Row],[Data]])</f>
        <v>1</v>
      </c>
      <c r="S1463" s="9" t="str">
        <f>YEAR(tblSprzedaz[[#This Row],[Data]])&amp;"-"&amp;RIGHT("0"&amp;MONTH(tblSprzedaz[[#This Row],[Data]]),2)</f>
        <v>2026-01</v>
      </c>
    </row>
    <row r="1464" spans="1:19" x14ac:dyDescent="0.25">
      <c r="A1464" s="7" t="s">
        <v>3095</v>
      </c>
      <c r="B1464" s="10">
        <v>46043</v>
      </c>
      <c r="C1464" s="7" t="s">
        <v>3096</v>
      </c>
      <c r="D1464" s="8" t="s">
        <v>152</v>
      </c>
      <c r="E1464" s="8" t="s">
        <v>72</v>
      </c>
      <c r="F1464" s="8" t="s">
        <v>37</v>
      </c>
      <c r="G1464" s="8" t="s">
        <v>32</v>
      </c>
      <c r="H1464" s="8" t="s">
        <v>42</v>
      </c>
      <c r="I1464" s="11">
        <v>5</v>
      </c>
      <c r="J1464" s="12">
        <v>94.05</v>
      </c>
      <c r="K1464" s="13">
        <v>0</v>
      </c>
      <c r="L1464" s="12">
        <v>71.510000000000005</v>
      </c>
      <c r="M1464" s="14">
        <f>ROUND(tblSprzedaz[[#This Row],[Ilość]]*tblSprzedaz[[#This Row],[Cena netto jednostkowa]]*(1-tblSprzedaz[[#This Row],[Rabat %]]),2)</f>
        <v>470.25</v>
      </c>
      <c r="N1464" s="14">
        <f>ROUND(tblSprzedaz[[#This Row],[Ilość]]*tblSprzedaz[[#This Row],[Koszt jednostkowy netto]],2)</f>
        <v>357.55</v>
      </c>
      <c r="O1464" s="14">
        <f>tblSprzedaz[[#This Row],[Przychód netto]]-tblSprzedaz[[#This Row],[Koszt całkowity netto]]</f>
        <v>112.69999999999999</v>
      </c>
      <c r="P1464" s="15">
        <f>IFERROR(tblSprzedaz[[#This Row],[Marża kwotowa]]/tblSprzedaz[[#This Row],[Przychód netto]],0)</f>
        <v>0.2396597554492291</v>
      </c>
      <c r="Q1464" s="16">
        <f>YEAR(tblSprzedaz[[#This Row],[Data]])</f>
        <v>2026</v>
      </c>
      <c r="R1464" s="16">
        <f>MONTH(tblSprzedaz[[#This Row],[Data]])</f>
        <v>1</v>
      </c>
      <c r="S1464" s="9" t="str">
        <f>YEAR(tblSprzedaz[[#This Row],[Data]])&amp;"-"&amp;RIGHT("0"&amp;MONTH(tblSprzedaz[[#This Row],[Data]]),2)</f>
        <v>2026-01</v>
      </c>
    </row>
    <row r="1465" spans="1:19" x14ac:dyDescent="0.25">
      <c r="A1465" s="7" t="s">
        <v>3097</v>
      </c>
      <c r="B1465" s="10">
        <v>46043</v>
      </c>
      <c r="C1465" s="7" t="s">
        <v>3098</v>
      </c>
      <c r="D1465" s="8" t="s">
        <v>126</v>
      </c>
      <c r="E1465" s="8" t="s">
        <v>70</v>
      </c>
      <c r="F1465" s="8" t="s">
        <v>35</v>
      </c>
      <c r="G1465" s="8" t="s">
        <v>30</v>
      </c>
      <c r="H1465" s="8" t="s">
        <v>41</v>
      </c>
      <c r="I1465" s="11">
        <v>12</v>
      </c>
      <c r="J1465" s="12">
        <v>113.56</v>
      </c>
      <c r="K1465" s="13">
        <v>0</v>
      </c>
      <c r="L1465" s="12">
        <v>79.63</v>
      </c>
      <c r="M1465" s="14">
        <f>ROUND(tblSprzedaz[[#This Row],[Ilość]]*tblSprzedaz[[#This Row],[Cena netto jednostkowa]]*(1-tblSprzedaz[[#This Row],[Rabat %]]),2)</f>
        <v>1362.72</v>
      </c>
      <c r="N1465" s="14">
        <f>ROUND(tblSprzedaz[[#This Row],[Ilość]]*tblSprzedaz[[#This Row],[Koszt jednostkowy netto]],2)</f>
        <v>955.56</v>
      </c>
      <c r="O1465" s="14">
        <f>tblSprzedaz[[#This Row],[Przychód netto]]-tblSprzedaz[[#This Row],[Koszt całkowity netto]]</f>
        <v>407.16000000000008</v>
      </c>
      <c r="P1465" s="15">
        <f>IFERROR(tblSprzedaz[[#This Row],[Marża kwotowa]]/tblSprzedaz[[#This Row],[Przychód netto]],0)</f>
        <v>0.29878478337442765</v>
      </c>
      <c r="Q1465" s="16">
        <f>YEAR(tblSprzedaz[[#This Row],[Data]])</f>
        <v>2026</v>
      </c>
      <c r="R1465" s="16">
        <f>MONTH(tblSprzedaz[[#This Row],[Data]])</f>
        <v>1</v>
      </c>
      <c r="S1465" s="9" t="str">
        <f>YEAR(tblSprzedaz[[#This Row],[Data]])&amp;"-"&amp;RIGHT("0"&amp;MONTH(tblSprzedaz[[#This Row],[Data]]),2)</f>
        <v>2026-01</v>
      </c>
    </row>
    <row r="1466" spans="1:19" x14ac:dyDescent="0.25">
      <c r="A1466" s="7" t="s">
        <v>3099</v>
      </c>
      <c r="B1466" s="10">
        <v>46044</v>
      </c>
      <c r="C1466" s="7" t="s">
        <v>3100</v>
      </c>
      <c r="D1466" s="8" t="s">
        <v>97</v>
      </c>
      <c r="E1466" s="8" t="s">
        <v>58</v>
      </c>
      <c r="F1466" s="8" t="s">
        <v>31</v>
      </c>
      <c r="G1466" s="8" t="s">
        <v>36</v>
      </c>
      <c r="H1466" s="8" t="s">
        <v>47</v>
      </c>
      <c r="I1466" s="11">
        <v>6</v>
      </c>
      <c r="J1466" s="12">
        <v>350.7</v>
      </c>
      <c r="K1466" s="13">
        <v>0.15</v>
      </c>
      <c r="L1466" s="12">
        <v>230.18</v>
      </c>
      <c r="M1466" s="14">
        <f>ROUND(tblSprzedaz[[#This Row],[Ilość]]*tblSprzedaz[[#This Row],[Cena netto jednostkowa]]*(1-tblSprzedaz[[#This Row],[Rabat %]]),2)</f>
        <v>1788.57</v>
      </c>
      <c r="N1466" s="14">
        <f>ROUND(tblSprzedaz[[#This Row],[Ilość]]*tblSprzedaz[[#This Row],[Koszt jednostkowy netto]],2)</f>
        <v>1381.08</v>
      </c>
      <c r="O1466" s="14">
        <f>tblSprzedaz[[#This Row],[Przychód netto]]-tblSprzedaz[[#This Row],[Koszt całkowity netto]]</f>
        <v>407.49</v>
      </c>
      <c r="P1466" s="15">
        <f>IFERROR(tblSprzedaz[[#This Row],[Marża kwotowa]]/tblSprzedaz[[#This Row],[Przychód netto]],0)</f>
        <v>0.22783005417735958</v>
      </c>
      <c r="Q1466" s="16">
        <f>YEAR(tblSprzedaz[[#This Row],[Data]])</f>
        <v>2026</v>
      </c>
      <c r="R1466" s="16">
        <f>MONTH(tblSprzedaz[[#This Row],[Data]])</f>
        <v>1</v>
      </c>
      <c r="S1466" s="9" t="str">
        <f>YEAR(tblSprzedaz[[#This Row],[Data]])&amp;"-"&amp;RIGHT("0"&amp;MONTH(tblSprzedaz[[#This Row],[Data]]),2)</f>
        <v>2026-01</v>
      </c>
    </row>
    <row r="1467" spans="1:19" x14ac:dyDescent="0.25">
      <c r="A1467" s="7" t="s">
        <v>3101</v>
      </c>
      <c r="B1467" s="10">
        <v>46044</v>
      </c>
      <c r="C1467" s="7" t="s">
        <v>3102</v>
      </c>
      <c r="D1467" s="8" t="s">
        <v>151</v>
      </c>
      <c r="E1467" s="8" t="s">
        <v>74</v>
      </c>
      <c r="F1467" s="8" t="s">
        <v>37</v>
      </c>
      <c r="G1467" s="8" t="s">
        <v>36</v>
      </c>
      <c r="H1467" s="8" t="s">
        <v>47</v>
      </c>
      <c r="I1467" s="11">
        <v>9</v>
      </c>
      <c r="J1467" s="12">
        <v>126.35</v>
      </c>
      <c r="K1467" s="13">
        <v>0</v>
      </c>
      <c r="L1467" s="12">
        <v>98.95</v>
      </c>
      <c r="M1467" s="14">
        <f>ROUND(tblSprzedaz[[#This Row],[Ilość]]*tblSprzedaz[[#This Row],[Cena netto jednostkowa]]*(1-tblSprzedaz[[#This Row],[Rabat %]]),2)</f>
        <v>1137.1500000000001</v>
      </c>
      <c r="N1467" s="14">
        <f>ROUND(tblSprzedaz[[#This Row],[Ilość]]*tblSprzedaz[[#This Row],[Koszt jednostkowy netto]],2)</f>
        <v>890.55</v>
      </c>
      <c r="O1467" s="14">
        <f>tblSprzedaz[[#This Row],[Przychód netto]]-tblSprzedaz[[#This Row],[Koszt całkowity netto]]</f>
        <v>246.60000000000014</v>
      </c>
      <c r="P1467" s="15">
        <f>IFERROR(tblSprzedaz[[#This Row],[Marża kwotowa]]/tblSprzedaz[[#This Row],[Przychód netto]],0)</f>
        <v>0.21685793430945796</v>
      </c>
      <c r="Q1467" s="16">
        <f>YEAR(tblSprzedaz[[#This Row],[Data]])</f>
        <v>2026</v>
      </c>
      <c r="R1467" s="16">
        <f>MONTH(tblSprzedaz[[#This Row],[Data]])</f>
        <v>1</v>
      </c>
      <c r="S1467" s="9" t="str">
        <f>YEAR(tblSprzedaz[[#This Row],[Data]])&amp;"-"&amp;RIGHT("0"&amp;MONTH(tblSprzedaz[[#This Row],[Data]]),2)</f>
        <v>2026-01</v>
      </c>
    </row>
    <row r="1468" spans="1:19" x14ac:dyDescent="0.25">
      <c r="A1468" s="7" t="s">
        <v>3103</v>
      </c>
      <c r="B1468" s="10">
        <v>46044</v>
      </c>
      <c r="C1468" s="7" t="s">
        <v>3104</v>
      </c>
      <c r="D1468" s="8" t="s">
        <v>79</v>
      </c>
      <c r="E1468" s="8" t="s">
        <v>58</v>
      </c>
      <c r="F1468" s="8" t="s">
        <v>31</v>
      </c>
      <c r="G1468" s="8" t="s">
        <v>32</v>
      </c>
      <c r="H1468" s="8" t="s">
        <v>43</v>
      </c>
      <c r="I1468" s="11">
        <v>22</v>
      </c>
      <c r="J1468" s="12">
        <v>350.7</v>
      </c>
      <c r="K1468" s="13">
        <v>0.05</v>
      </c>
      <c r="L1468" s="12">
        <v>213.21</v>
      </c>
      <c r="M1468" s="14">
        <f>ROUND(tblSprzedaz[[#This Row],[Ilość]]*tblSprzedaz[[#This Row],[Cena netto jednostkowa]]*(1-tblSprzedaz[[#This Row],[Rabat %]]),2)</f>
        <v>7329.63</v>
      </c>
      <c r="N1468" s="14">
        <f>ROUND(tblSprzedaz[[#This Row],[Ilość]]*tblSprzedaz[[#This Row],[Koszt jednostkowy netto]],2)</f>
        <v>4690.62</v>
      </c>
      <c r="O1468" s="14">
        <f>tblSprzedaz[[#This Row],[Przychód netto]]-tblSprzedaz[[#This Row],[Koszt całkowity netto]]</f>
        <v>2639.01</v>
      </c>
      <c r="P1468" s="15">
        <f>IFERROR(tblSprzedaz[[#This Row],[Marża kwotowa]]/tblSprzedaz[[#This Row],[Przychód netto]],0)</f>
        <v>0.36004682364594121</v>
      </c>
      <c r="Q1468" s="16">
        <f>YEAR(tblSprzedaz[[#This Row],[Data]])</f>
        <v>2026</v>
      </c>
      <c r="R1468" s="16">
        <f>MONTH(tblSprzedaz[[#This Row],[Data]])</f>
        <v>1</v>
      </c>
      <c r="S1468" s="9" t="str">
        <f>YEAR(tblSprzedaz[[#This Row],[Data]])&amp;"-"&amp;RIGHT("0"&amp;MONTH(tblSprzedaz[[#This Row],[Data]]),2)</f>
        <v>2026-01</v>
      </c>
    </row>
    <row r="1469" spans="1:19" x14ac:dyDescent="0.25">
      <c r="A1469" s="7" t="s">
        <v>3105</v>
      </c>
      <c r="B1469" s="10">
        <v>46045</v>
      </c>
      <c r="C1469" s="7" t="s">
        <v>3106</v>
      </c>
      <c r="D1469" s="8" t="s">
        <v>145</v>
      </c>
      <c r="E1469" s="8" t="s">
        <v>67</v>
      </c>
      <c r="F1469" s="8" t="s">
        <v>35</v>
      </c>
      <c r="G1469" s="8" t="s">
        <v>32</v>
      </c>
      <c r="H1469" s="8" t="s">
        <v>42</v>
      </c>
      <c r="I1469" s="11">
        <v>20</v>
      </c>
      <c r="J1469" s="12">
        <v>78.88</v>
      </c>
      <c r="K1469" s="13">
        <v>0.05</v>
      </c>
      <c r="L1469" s="12">
        <v>58.76</v>
      </c>
      <c r="M1469" s="14">
        <f>ROUND(tblSprzedaz[[#This Row],[Ilość]]*tblSprzedaz[[#This Row],[Cena netto jednostkowa]]*(1-tblSprzedaz[[#This Row],[Rabat %]]),2)</f>
        <v>1498.72</v>
      </c>
      <c r="N1469" s="14">
        <f>ROUND(tblSprzedaz[[#This Row],[Ilość]]*tblSprzedaz[[#This Row],[Koszt jednostkowy netto]],2)</f>
        <v>1175.2</v>
      </c>
      <c r="O1469" s="14">
        <f>tblSprzedaz[[#This Row],[Przychód netto]]-tblSprzedaz[[#This Row],[Koszt całkowity netto]]</f>
        <v>323.52</v>
      </c>
      <c r="P1469" s="15">
        <f>IFERROR(tblSprzedaz[[#This Row],[Marża kwotowa]]/tblSprzedaz[[#This Row],[Przychód netto]],0)</f>
        <v>0.21586420412084978</v>
      </c>
      <c r="Q1469" s="16">
        <f>YEAR(tblSprzedaz[[#This Row],[Data]])</f>
        <v>2026</v>
      </c>
      <c r="R1469" s="16">
        <f>MONTH(tblSprzedaz[[#This Row],[Data]])</f>
        <v>1</v>
      </c>
      <c r="S1469" s="9" t="str">
        <f>YEAR(tblSprzedaz[[#This Row],[Data]])&amp;"-"&amp;RIGHT("0"&amp;MONTH(tblSprzedaz[[#This Row],[Data]]),2)</f>
        <v>2026-01</v>
      </c>
    </row>
    <row r="1470" spans="1:19" x14ac:dyDescent="0.25">
      <c r="A1470" s="7" t="s">
        <v>3107</v>
      </c>
      <c r="B1470" s="10">
        <v>46045</v>
      </c>
      <c r="C1470" s="7" t="s">
        <v>3108</v>
      </c>
      <c r="D1470" s="8" t="s">
        <v>115</v>
      </c>
      <c r="E1470" s="8" t="s">
        <v>62</v>
      </c>
      <c r="F1470" s="8" t="s">
        <v>33</v>
      </c>
      <c r="G1470" s="8" t="s">
        <v>34</v>
      </c>
      <c r="H1470" s="8" t="s">
        <v>44</v>
      </c>
      <c r="I1470" s="11">
        <v>7</v>
      </c>
      <c r="J1470" s="12">
        <v>611.79999999999995</v>
      </c>
      <c r="K1470" s="13">
        <v>0.15</v>
      </c>
      <c r="L1470" s="12">
        <v>433.75</v>
      </c>
      <c r="M1470" s="14">
        <f>ROUND(tblSprzedaz[[#This Row],[Ilość]]*tblSprzedaz[[#This Row],[Cena netto jednostkowa]]*(1-tblSprzedaz[[#This Row],[Rabat %]]),2)</f>
        <v>3640.21</v>
      </c>
      <c r="N1470" s="14">
        <f>ROUND(tblSprzedaz[[#This Row],[Ilość]]*tblSprzedaz[[#This Row],[Koszt jednostkowy netto]],2)</f>
        <v>3036.25</v>
      </c>
      <c r="O1470" s="14">
        <f>tblSprzedaz[[#This Row],[Przychód netto]]-tblSprzedaz[[#This Row],[Koszt całkowity netto]]</f>
        <v>603.96</v>
      </c>
      <c r="P1470" s="15">
        <f>IFERROR(tblSprzedaz[[#This Row],[Marża kwotowa]]/tblSprzedaz[[#This Row],[Przychód netto]],0)</f>
        <v>0.16591350499009674</v>
      </c>
      <c r="Q1470" s="16">
        <f>YEAR(tblSprzedaz[[#This Row],[Data]])</f>
        <v>2026</v>
      </c>
      <c r="R1470" s="16">
        <f>MONTH(tblSprzedaz[[#This Row],[Data]])</f>
        <v>1</v>
      </c>
      <c r="S1470" s="9" t="str">
        <f>YEAR(tblSprzedaz[[#This Row],[Data]])&amp;"-"&amp;RIGHT("0"&amp;MONTH(tblSprzedaz[[#This Row],[Data]]),2)</f>
        <v>2026-01</v>
      </c>
    </row>
    <row r="1471" spans="1:19" x14ac:dyDescent="0.25">
      <c r="A1471" s="7" t="s">
        <v>3109</v>
      </c>
      <c r="B1471" s="10">
        <v>46045</v>
      </c>
      <c r="C1471" s="7" t="s">
        <v>3110</v>
      </c>
      <c r="D1471" s="8" t="s">
        <v>109</v>
      </c>
      <c r="E1471" s="8" t="s">
        <v>50</v>
      </c>
      <c r="F1471" s="8" t="s">
        <v>29</v>
      </c>
      <c r="G1471" s="8" t="s">
        <v>32</v>
      </c>
      <c r="H1471" s="8" t="s">
        <v>42</v>
      </c>
      <c r="I1471" s="11">
        <v>7</v>
      </c>
      <c r="J1471" s="12">
        <v>45.22</v>
      </c>
      <c r="K1471" s="13">
        <v>0.05</v>
      </c>
      <c r="L1471" s="12">
        <v>27.57</v>
      </c>
      <c r="M1471" s="14">
        <f>ROUND(tblSprzedaz[[#This Row],[Ilość]]*tblSprzedaz[[#This Row],[Cena netto jednostkowa]]*(1-tblSprzedaz[[#This Row],[Rabat %]]),2)</f>
        <v>300.70999999999998</v>
      </c>
      <c r="N1471" s="14">
        <f>ROUND(tblSprzedaz[[#This Row],[Ilość]]*tblSprzedaz[[#This Row],[Koszt jednostkowy netto]],2)</f>
        <v>192.99</v>
      </c>
      <c r="O1471" s="14">
        <f>tblSprzedaz[[#This Row],[Przychód netto]]-tblSprzedaz[[#This Row],[Koszt całkowity netto]]</f>
        <v>107.71999999999997</v>
      </c>
      <c r="P1471" s="15">
        <f>IFERROR(tblSprzedaz[[#This Row],[Marża kwotowa]]/tblSprzedaz[[#This Row],[Przychód netto]],0)</f>
        <v>0.35821888197931556</v>
      </c>
      <c r="Q1471" s="16">
        <f>YEAR(tblSprzedaz[[#This Row],[Data]])</f>
        <v>2026</v>
      </c>
      <c r="R1471" s="16">
        <f>MONTH(tblSprzedaz[[#This Row],[Data]])</f>
        <v>1</v>
      </c>
      <c r="S1471" s="9" t="str">
        <f>YEAR(tblSprzedaz[[#This Row],[Data]])&amp;"-"&amp;RIGHT("0"&amp;MONTH(tblSprzedaz[[#This Row],[Data]]),2)</f>
        <v>2026-01</v>
      </c>
    </row>
    <row r="1472" spans="1:19" x14ac:dyDescent="0.25">
      <c r="A1472" s="7" t="s">
        <v>3111</v>
      </c>
      <c r="B1472" s="10">
        <v>46045</v>
      </c>
      <c r="C1472" s="7" t="s">
        <v>3112</v>
      </c>
      <c r="D1472" s="8" t="s">
        <v>97</v>
      </c>
      <c r="E1472" s="8" t="s">
        <v>62</v>
      </c>
      <c r="F1472" s="8" t="s">
        <v>33</v>
      </c>
      <c r="G1472" s="8" t="s">
        <v>32</v>
      </c>
      <c r="H1472" s="8" t="s">
        <v>43</v>
      </c>
      <c r="I1472" s="11">
        <v>20</v>
      </c>
      <c r="J1472" s="12">
        <v>611.79999999999995</v>
      </c>
      <c r="K1472" s="13">
        <v>0</v>
      </c>
      <c r="L1472" s="12">
        <v>415.85</v>
      </c>
      <c r="M1472" s="14">
        <f>ROUND(tblSprzedaz[[#This Row],[Ilość]]*tblSprzedaz[[#This Row],[Cena netto jednostkowa]]*(1-tblSprzedaz[[#This Row],[Rabat %]]),2)</f>
        <v>12236</v>
      </c>
      <c r="N1472" s="14">
        <f>ROUND(tblSprzedaz[[#This Row],[Ilość]]*tblSprzedaz[[#This Row],[Koszt jednostkowy netto]],2)</f>
        <v>8317</v>
      </c>
      <c r="O1472" s="14">
        <f>tblSprzedaz[[#This Row],[Przychód netto]]-tblSprzedaz[[#This Row],[Koszt całkowity netto]]</f>
        <v>3919</v>
      </c>
      <c r="P1472" s="15">
        <f>IFERROR(tblSprzedaz[[#This Row],[Marża kwotowa]]/tblSprzedaz[[#This Row],[Przychód netto]],0)</f>
        <v>0.32028440666884606</v>
      </c>
      <c r="Q1472" s="16">
        <f>YEAR(tblSprzedaz[[#This Row],[Data]])</f>
        <v>2026</v>
      </c>
      <c r="R1472" s="16">
        <f>MONTH(tblSprzedaz[[#This Row],[Data]])</f>
        <v>1</v>
      </c>
      <c r="S1472" s="9" t="str">
        <f>YEAR(tblSprzedaz[[#This Row],[Data]])&amp;"-"&amp;RIGHT("0"&amp;MONTH(tblSprzedaz[[#This Row],[Data]]),2)</f>
        <v>2026-01</v>
      </c>
    </row>
    <row r="1473" spans="1:19" x14ac:dyDescent="0.25">
      <c r="A1473" s="7" t="s">
        <v>3113</v>
      </c>
      <c r="B1473" s="10">
        <v>46045</v>
      </c>
      <c r="C1473" s="7" t="s">
        <v>3114</v>
      </c>
      <c r="D1473" s="8" t="s">
        <v>147</v>
      </c>
      <c r="E1473" s="8" t="s">
        <v>51</v>
      </c>
      <c r="F1473" s="8" t="s">
        <v>29</v>
      </c>
      <c r="G1473" s="8" t="s">
        <v>30</v>
      </c>
      <c r="H1473" s="8" t="s">
        <v>40</v>
      </c>
      <c r="I1473" s="11">
        <v>11</v>
      </c>
      <c r="J1473" s="12">
        <v>51</v>
      </c>
      <c r="K1473" s="13">
        <v>0.1</v>
      </c>
      <c r="L1473" s="12">
        <v>28.24</v>
      </c>
      <c r="M1473" s="14">
        <f>ROUND(tblSprzedaz[[#This Row],[Ilość]]*tblSprzedaz[[#This Row],[Cena netto jednostkowa]]*(1-tblSprzedaz[[#This Row],[Rabat %]]),2)</f>
        <v>504.9</v>
      </c>
      <c r="N1473" s="14">
        <f>ROUND(tblSprzedaz[[#This Row],[Ilość]]*tblSprzedaz[[#This Row],[Koszt jednostkowy netto]],2)</f>
        <v>310.64</v>
      </c>
      <c r="O1473" s="14">
        <f>tblSprzedaz[[#This Row],[Przychód netto]]-tblSprzedaz[[#This Row],[Koszt całkowity netto]]</f>
        <v>194.26</v>
      </c>
      <c r="P1473" s="15">
        <f>IFERROR(tblSprzedaz[[#This Row],[Marża kwotowa]]/tblSprzedaz[[#This Row],[Przychód netto]],0)</f>
        <v>0.38474945533769062</v>
      </c>
      <c r="Q1473" s="16">
        <f>YEAR(tblSprzedaz[[#This Row],[Data]])</f>
        <v>2026</v>
      </c>
      <c r="R1473" s="16">
        <f>MONTH(tblSprzedaz[[#This Row],[Data]])</f>
        <v>1</v>
      </c>
      <c r="S1473" s="9" t="str">
        <f>YEAR(tblSprzedaz[[#This Row],[Data]])&amp;"-"&amp;RIGHT("0"&amp;MONTH(tblSprzedaz[[#This Row],[Data]]),2)</f>
        <v>2026-01</v>
      </c>
    </row>
    <row r="1474" spans="1:19" x14ac:dyDescent="0.25">
      <c r="A1474" s="7" t="s">
        <v>3115</v>
      </c>
      <c r="B1474" s="10">
        <v>46046</v>
      </c>
      <c r="C1474" s="7" t="s">
        <v>3116</v>
      </c>
      <c r="D1474" s="8" t="s">
        <v>132</v>
      </c>
      <c r="E1474" s="8" t="s">
        <v>65</v>
      </c>
      <c r="F1474" s="8" t="s">
        <v>33</v>
      </c>
      <c r="G1474" s="8" t="s">
        <v>32</v>
      </c>
      <c r="H1474" s="8" t="s">
        <v>43</v>
      </c>
      <c r="I1474" s="11">
        <v>2</v>
      </c>
      <c r="J1474" s="12">
        <v>377.2</v>
      </c>
      <c r="K1474" s="13">
        <v>0</v>
      </c>
      <c r="L1474" s="12">
        <v>259.38</v>
      </c>
      <c r="M1474" s="14">
        <f>ROUND(tblSprzedaz[[#This Row],[Ilość]]*tblSprzedaz[[#This Row],[Cena netto jednostkowa]]*(1-tblSprzedaz[[#This Row],[Rabat %]]),2)</f>
        <v>754.4</v>
      </c>
      <c r="N1474" s="14">
        <f>ROUND(tblSprzedaz[[#This Row],[Ilość]]*tblSprzedaz[[#This Row],[Koszt jednostkowy netto]],2)</f>
        <v>518.76</v>
      </c>
      <c r="O1474" s="14">
        <f>tblSprzedaz[[#This Row],[Przychód netto]]-tblSprzedaz[[#This Row],[Koszt całkowity netto]]</f>
        <v>235.64</v>
      </c>
      <c r="P1474" s="15">
        <f>IFERROR(tblSprzedaz[[#This Row],[Marża kwotowa]]/tblSprzedaz[[#This Row],[Przychód netto]],0)</f>
        <v>0.31235418875927889</v>
      </c>
      <c r="Q1474" s="16">
        <f>YEAR(tblSprzedaz[[#This Row],[Data]])</f>
        <v>2026</v>
      </c>
      <c r="R1474" s="16">
        <f>MONTH(tblSprzedaz[[#This Row],[Data]])</f>
        <v>1</v>
      </c>
      <c r="S1474" s="9" t="str">
        <f>YEAR(tblSprzedaz[[#This Row],[Data]])&amp;"-"&amp;RIGHT("0"&amp;MONTH(tblSprzedaz[[#This Row],[Data]]),2)</f>
        <v>2026-01</v>
      </c>
    </row>
    <row r="1475" spans="1:19" x14ac:dyDescent="0.25">
      <c r="A1475" s="7" t="s">
        <v>3117</v>
      </c>
      <c r="B1475" s="10">
        <v>46047</v>
      </c>
      <c r="C1475" s="7" t="s">
        <v>3118</v>
      </c>
      <c r="D1475" s="8" t="s">
        <v>124</v>
      </c>
      <c r="E1475" s="8" t="s">
        <v>59</v>
      </c>
      <c r="F1475" s="8" t="s">
        <v>31</v>
      </c>
      <c r="G1475" s="8" t="s">
        <v>34</v>
      </c>
      <c r="H1475" s="8" t="s">
        <v>45</v>
      </c>
      <c r="I1475" s="11">
        <v>8</v>
      </c>
      <c r="J1475" s="12">
        <v>172.2</v>
      </c>
      <c r="K1475" s="13">
        <v>0</v>
      </c>
      <c r="L1475" s="12">
        <v>114.57</v>
      </c>
      <c r="M1475" s="14">
        <f>ROUND(tblSprzedaz[[#This Row],[Ilość]]*tblSprzedaz[[#This Row],[Cena netto jednostkowa]]*(1-tblSprzedaz[[#This Row],[Rabat %]]),2)</f>
        <v>1377.6</v>
      </c>
      <c r="N1475" s="14">
        <f>ROUND(tblSprzedaz[[#This Row],[Ilość]]*tblSprzedaz[[#This Row],[Koszt jednostkowy netto]],2)</f>
        <v>916.56</v>
      </c>
      <c r="O1475" s="14">
        <f>tblSprzedaz[[#This Row],[Przychód netto]]-tblSprzedaz[[#This Row],[Koszt całkowity netto]]</f>
        <v>461.03999999999996</v>
      </c>
      <c r="P1475" s="15">
        <f>IFERROR(tblSprzedaz[[#This Row],[Marża kwotowa]]/tblSprzedaz[[#This Row],[Przychód netto]],0)</f>
        <v>0.33466898954703833</v>
      </c>
      <c r="Q1475" s="16">
        <f>YEAR(tblSprzedaz[[#This Row],[Data]])</f>
        <v>2026</v>
      </c>
      <c r="R1475" s="16">
        <f>MONTH(tblSprzedaz[[#This Row],[Data]])</f>
        <v>1</v>
      </c>
      <c r="S1475" s="9" t="str">
        <f>YEAR(tblSprzedaz[[#This Row],[Data]])&amp;"-"&amp;RIGHT("0"&amp;MONTH(tblSprzedaz[[#This Row],[Data]]),2)</f>
        <v>2026-01</v>
      </c>
    </row>
    <row r="1476" spans="1:19" x14ac:dyDescent="0.25">
      <c r="A1476" s="7" t="s">
        <v>3119</v>
      </c>
      <c r="B1476" s="10">
        <v>46047</v>
      </c>
      <c r="C1476" s="7" t="s">
        <v>3120</v>
      </c>
      <c r="D1476" s="8" t="s">
        <v>124</v>
      </c>
      <c r="E1476" s="8" t="s">
        <v>52</v>
      </c>
      <c r="F1476" s="8" t="s">
        <v>29</v>
      </c>
      <c r="G1476" s="8" t="s">
        <v>36</v>
      </c>
      <c r="H1476" s="8" t="s">
        <v>46</v>
      </c>
      <c r="I1476" s="11">
        <v>8</v>
      </c>
      <c r="J1476" s="12">
        <v>56.78</v>
      </c>
      <c r="K1476" s="13">
        <v>0.05</v>
      </c>
      <c r="L1476" s="12">
        <v>34.31</v>
      </c>
      <c r="M1476" s="14">
        <f>ROUND(tblSprzedaz[[#This Row],[Ilość]]*tblSprzedaz[[#This Row],[Cena netto jednostkowa]]*(1-tblSprzedaz[[#This Row],[Rabat %]]),2)</f>
        <v>431.53</v>
      </c>
      <c r="N1476" s="14">
        <f>ROUND(tblSprzedaz[[#This Row],[Ilość]]*tblSprzedaz[[#This Row],[Koszt jednostkowy netto]],2)</f>
        <v>274.48</v>
      </c>
      <c r="O1476" s="14">
        <f>tblSprzedaz[[#This Row],[Przychód netto]]-tblSprzedaz[[#This Row],[Koszt całkowity netto]]</f>
        <v>157.04999999999995</v>
      </c>
      <c r="P1476" s="15">
        <f>IFERROR(tblSprzedaz[[#This Row],[Marża kwotowa]]/tblSprzedaz[[#This Row],[Przychód netto]],0)</f>
        <v>0.36393761731513447</v>
      </c>
      <c r="Q1476" s="16">
        <f>YEAR(tblSprzedaz[[#This Row],[Data]])</f>
        <v>2026</v>
      </c>
      <c r="R1476" s="16">
        <f>MONTH(tblSprzedaz[[#This Row],[Data]])</f>
        <v>1</v>
      </c>
      <c r="S1476" s="9" t="str">
        <f>YEAR(tblSprzedaz[[#This Row],[Data]])&amp;"-"&amp;RIGHT("0"&amp;MONTH(tblSprzedaz[[#This Row],[Data]]),2)</f>
        <v>2026-01</v>
      </c>
    </row>
    <row r="1477" spans="1:19" x14ac:dyDescent="0.25">
      <c r="A1477" s="7" t="s">
        <v>3121</v>
      </c>
      <c r="B1477" s="10">
        <v>46048</v>
      </c>
      <c r="C1477" s="7" t="s">
        <v>3122</v>
      </c>
      <c r="D1477" s="8" t="s">
        <v>90</v>
      </c>
      <c r="E1477" s="8" t="s">
        <v>50</v>
      </c>
      <c r="F1477" s="8" t="s">
        <v>29</v>
      </c>
      <c r="G1477" s="8" t="s">
        <v>32</v>
      </c>
      <c r="H1477" s="8" t="s">
        <v>43</v>
      </c>
      <c r="I1477" s="11">
        <v>13</v>
      </c>
      <c r="J1477" s="12">
        <v>45.22</v>
      </c>
      <c r="K1477" s="13">
        <v>0.1</v>
      </c>
      <c r="L1477" s="12">
        <v>26.58</v>
      </c>
      <c r="M1477" s="14">
        <f>ROUND(tblSprzedaz[[#This Row],[Ilość]]*tblSprzedaz[[#This Row],[Cena netto jednostkowa]]*(1-tblSprzedaz[[#This Row],[Rabat %]]),2)</f>
        <v>529.07000000000005</v>
      </c>
      <c r="N1477" s="14">
        <f>ROUND(tblSprzedaz[[#This Row],[Ilość]]*tblSprzedaz[[#This Row],[Koszt jednostkowy netto]],2)</f>
        <v>345.54</v>
      </c>
      <c r="O1477" s="14">
        <f>tblSprzedaz[[#This Row],[Przychód netto]]-tblSprzedaz[[#This Row],[Koszt całkowity netto]]</f>
        <v>183.53000000000003</v>
      </c>
      <c r="P1477" s="15">
        <f>IFERROR(tblSprzedaz[[#This Row],[Marża kwotowa]]/tblSprzedaz[[#This Row],[Przychód netto]],0)</f>
        <v>0.34689171565199312</v>
      </c>
      <c r="Q1477" s="16">
        <f>YEAR(tblSprzedaz[[#This Row],[Data]])</f>
        <v>2026</v>
      </c>
      <c r="R1477" s="16">
        <f>MONTH(tblSprzedaz[[#This Row],[Data]])</f>
        <v>1</v>
      </c>
      <c r="S1477" s="9" t="str">
        <f>YEAR(tblSprzedaz[[#This Row],[Data]])&amp;"-"&amp;RIGHT("0"&amp;MONTH(tblSprzedaz[[#This Row],[Data]]),2)</f>
        <v>2026-01</v>
      </c>
    </row>
    <row r="1478" spans="1:19" x14ac:dyDescent="0.25">
      <c r="A1478" s="7" t="s">
        <v>3123</v>
      </c>
      <c r="B1478" s="10">
        <v>46048</v>
      </c>
      <c r="C1478" s="7" t="s">
        <v>3124</v>
      </c>
      <c r="D1478" s="8" t="s">
        <v>118</v>
      </c>
      <c r="E1478" s="8" t="s">
        <v>65</v>
      </c>
      <c r="F1478" s="8" t="s">
        <v>33</v>
      </c>
      <c r="G1478" s="8" t="s">
        <v>28</v>
      </c>
      <c r="H1478" s="8" t="s">
        <v>38</v>
      </c>
      <c r="I1478" s="11">
        <v>7</v>
      </c>
      <c r="J1478" s="12">
        <v>377.2</v>
      </c>
      <c r="K1478" s="13">
        <v>0</v>
      </c>
      <c r="L1478" s="12">
        <v>263.16000000000003</v>
      </c>
      <c r="M1478" s="14">
        <f>ROUND(tblSprzedaz[[#This Row],[Ilość]]*tblSprzedaz[[#This Row],[Cena netto jednostkowa]]*(1-tblSprzedaz[[#This Row],[Rabat %]]),2)</f>
        <v>2640.4</v>
      </c>
      <c r="N1478" s="14">
        <f>ROUND(tblSprzedaz[[#This Row],[Ilość]]*tblSprzedaz[[#This Row],[Koszt jednostkowy netto]],2)</f>
        <v>1842.12</v>
      </c>
      <c r="O1478" s="14">
        <f>tblSprzedaz[[#This Row],[Przychód netto]]-tblSprzedaz[[#This Row],[Koszt całkowity netto]]</f>
        <v>798.2800000000002</v>
      </c>
      <c r="P1478" s="15">
        <f>IFERROR(tblSprzedaz[[#This Row],[Marża kwotowa]]/tblSprzedaz[[#This Row],[Przychód netto]],0)</f>
        <v>0.30233297985153773</v>
      </c>
      <c r="Q1478" s="16">
        <f>YEAR(tblSprzedaz[[#This Row],[Data]])</f>
        <v>2026</v>
      </c>
      <c r="R1478" s="16">
        <f>MONTH(tblSprzedaz[[#This Row],[Data]])</f>
        <v>1</v>
      </c>
      <c r="S1478" s="9" t="str">
        <f>YEAR(tblSprzedaz[[#This Row],[Data]])&amp;"-"&amp;RIGHT("0"&amp;MONTH(tblSprzedaz[[#This Row],[Data]]),2)</f>
        <v>2026-01</v>
      </c>
    </row>
    <row r="1479" spans="1:19" x14ac:dyDescent="0.25">
      <c r="A1479" s="7" t="s">
        <v>3125</v>
      </c>
      <c r="B1479" s="10">
        <v>46048</v>
      </c>
      <c r="C1479" s="7" t="s">
        <v>3126</v>
      </c>
      <c r="D1479" s="8" t="s">
        <v>132</v>
      </c>
      <c r="E1479" s="8" t="s">
        <v>60</v>
      </c>
      <c r="F1479" s="8" t="s">
        <v>33</v>
      </c>
      <c r="G1479" s="8" t="s">
        <v>30</v>
      </c>
      <c r="H1479" s="8" t="s">
        <v>40</v>
      </c>
      <c r="I1479" s="11">
        <v>15</v>
      </c>
      <c r="J1479" s="12">
        <v>455.4</v>
      </c>
      <c r="K1479" s="13">
        <v>0.05</v>
      </c>
      <c r="L1479" s="12">
        <v>294.54000000000002</v>
      </c>
      <c r="M1479" s="14">
        <f>ROUND(tblSprzedaz[[#This Row],[Ilość]]*tblSprzedaz[[#This Row],[Cena netto jednostkowa]]*(1-tblSprzedaz[[#This Row],[Rabat %]]),2)</f>
        <v>6489.45</v>
      </c>
      <c r="N1479" s="14">
        <f>ROUND(tblSprzedaz[[#This Row],[Ilość]]*tblSprzedaz[[#This Row],[Koszt jednostkowy netto]],2)</f>
        <v>4418.1000000000004</v>
      </c>
      <c r="O1479" s="14">
        <f>tblSprzedaz[[#This Row],[Przychód netto]]-tblSprzedaz[[#This Row],[Koszt całkowity netto]]</f>
        <v>2071.3499999999995</v>
      </c>
      <c r="P1479" s="15">
        <f>IFERROR(tblSprzedaz[[#This Row],[Marża kwotowa]]/tblSprzedaz[[#This Row],[Przychód netto]],0)</f>
        <v>0.31918729630400106</v>
      </c>
      <c r="Q1479" s="16">
        <f>YEAR(tblSprzedaz[[#This Row],[Data]])</f>
        <v>2026</v>
      </c>
      <c r="R1479" s="16">
        <f>MONTH(tblSprzedaz[[#This Row],[Data]])</f>
        <v>1</v>
      </c>
      <c r="S1479" s="9" t="str">
        <f>YEAR(tblSprzedaz[[#This Row],[Data]])&amp;"-"&amp;RIGHT("0"&amp;MONTH(tblSprzedaz[[#This Row],[Data]]),2)</f>
        <v>2026-01</v>
      </c>
    </row>
    <row r="1480" spans="1:19" x14ac:dyDescent="0.25">
      <c r="A1480" s="7" t="s">
        <v>3127</v>
      </c>
      <c r="B1480" s="10">
        <v>46048</v>
      </c>
      <c r="C1480" s="7" t="s">
        <v>3128</v>
      </c>
      <c r="D1480" s="8" t="s">
        <v>140</v>
      </c>
      <c r="E1480" s="8" t="s">
        <v>75</v>
      </c>
      <c r="F1480" s="8" t="s">
        <v>37</v>
      </c>
      <c r="G1480" s="8" t="s">
        <v>32</v>
      </c>
      <c r="H1480" s="8" t="s">
        <v>42</v>
      </c>
      <c r="I1480" s="11">
        <v>8</v>
      </c>
      <c r="J1480" s="12">
        <v>142.5</v>
      </c>
      <c r="K1480" s="13">
        <v>0.15</v>
      </c>
      <c r="L1480" s="12">
        <v>115.07</v>
      </c>
      <c r="M1480" s="14">
        <f>ROUND(tblSprzedaz[[#This Row],[Ilość]]*tblSprzedaz[[#This Row],[Cena netto jednostkowa]]*(1-tblSprzedaz[[#This Row],[Rabat %]]),2)</f>
        <v>969</v>
      </c>
      <c r="N1480" s="14">
        <f>ROUND(tblSprzedaz[[#This Row],[Ilość]]*tblSprzedaz[[#This Row],[Koszt jednostkowy netto]],2)</f>
        <v>920.56</v>
      </c>
      <c r="O1480" s="14">
        <f>tblSprzedaz[[#This Row],[Przychód netto]]-tblSprzedaz[[#This Row],[Koszt całkowity netto]]</f>
        <v>48.440000000000055</v>
      </c>
      <c r="P1480" s="15">
        <f>IFERROR(tblSprzedaz[[#This Row],[Marża kwotowa]]/tblSprzedaz[[#This Row],[Przychód netto]],0)</f>
        <v>4.9989680082559398E-2</v>
      </c>
      <c r="Q1480" s="16">
        <f>YEAR(tblSprzedaz[[#This Row],[Data]])</f>
        <v>2026</v>
      </c>
      <c r="R1480" s="16">
        <f>MONTH(tblSprzedaz[[#This Row],[Data]])</f>
        <v>1</v>
      </c>
      <c r="S1480" s="9" t="str">
        <f>YEAR(tblSprzedaz[[#This Row],[Data]])&amp;"-"&amp;RIGHT("0"&amp;MONTH(tblSprzedaz[[#This Row],[Data]]),2)</f>
        <v>2026-01</v>
      </c>
    </row>
    <row r="1481" spans="1:19" x14ac:dyDescent="0.25">
      <c r="A1481" s="7" t="s">
        <v>3129</v>
      </c>
      <c r="B1481" s="10">
        <v>46048</v>
      </c>
      <c r="C1481" s="7" t="s">
        <v>3130</v>
      </c>
      <c r="D1481" s="8" t="s">
        <v>141</v>
      </c>
      <c r="E1481" s="8" t="s">
        <v>77</v>
      </c>
      <c r="F1481" s="8" t="s">
        <v>37</v>
      </c>
      <c r="G1481" s="8" t="s">
        <v>36</v>
      </c>
      <c r="H1481" s="8" t="s">
        <v>46</v>
      </c>
      <c r="I1481" s="11">
        <v>8</v>
      </c>
      <c r="J1481" s="12">
        <v>77.900000000000006</v>
      </c>
      <c r="K1481" s="13">
        <v>0.05</v>
      </c>
      <c r="L1481" s="12">
        <v>59.93</v>
      </c>
      <c r="M1481" s="14">
        <f>ROUND(tblSprzedaz[[#This Row],[Ilość]]*tblSprzedaz[[#This Row],[Cena netto jednostkowa]]*(1-tblSprzedaz[[#This Row],[Rabat %]]),2)</f>
        <v>592.04</v>
      </c>
      <c r="N1481" s="14">
        <f>ROUND(tblSprzedaz[[#This Row],[Ilość]]*tblSprzedaz[[#This Row],[Koszt jednostkowy netto]],2)</f>
        <v>479.44</v>
      </c>
      <c r="O1481" s="14">
        <f>tblSprzedaz[[#This Row],[Przychód netto]]-tblSprzedaz[[#This Row],[Koszt całkowity netto]]</f>
        <v>112.59999999999997</v>
      </c>
      <c r="P1481" s="15">
        <f>IFERROR(tblSprzedaz[[#This Row],[Marża kwotowa]]/tblSprzedaz[[#This Row],[Przychód netto]],0)</f>
        <v>0.19018985203702449</v>
      </c>
      <c r="Q1481" s="16">
        <f>YEAR(tblSprzedaz[[#This Row],[Data]])</f>
        <v>2026</v>
      </c>
      <c r="R1481" s="16">
        <f>MONTH(tblSprzedaz[[#This Row],[Data]])</f>
        <v>1</v>
      </c>
      <c r="S1481" s="9" t="str">
        <f>YEAR(tblSprzedaz[[#This Row],[Data]])&amp;"-"&amp;RIGHT("0"&amp;MONTH(tblSprzedaz[[#This Row],[Data]]),2)</f>
        <v>2026-01</v>
      </c>
    </row>
    <row r="1482" spans="1:19" x14ac:dyDescent="0.25">
      <c r="A1482" s="7" t="s">
        <v>3131</v>
      </c>
      <c r="B1482" s="10">
        <v>46049</v>
      </c>
      <c r="C1482" s="7" t="s">
        <v>3132</v>
      </c>
      <c r="D1482" s="8" t="s">
        <v>106</v>
      </c>
      <c r="E1482" s="8" t="s">
        <v>60</v>
      </c>
      <c r="F1482" s="8" t="s">
        <v>33</v>
      </c>
      <c r="G1482" s="8" t="s">
        <v>28</v>
      </c>
      <c r="H1482" s="8" t="s">
        <v>38</v>
      </c>
      <c r="I1482" s="11">
        <v>6</v>
      </c>
      <c r="J1482" s="12">
        <v>455.4</v>
      </c>
      <c r="K1482" s="13">
        <v>0.15</v>
      </c>
      <c r="L1482" s="12">
        <v>293.23</v>
      </c>
      <c r="M1482" s="14">
        <f>ROUND(tblSprzedaz[[#This Row],[Ilość]]*tblSprzedaz[[#This Row],[Cena netto jednostkowa]]*(1-tblSprzedaz[[#This Row],[Rabat %]]),2)</f>
        <v>2322.54</v>
      </c>
      <c r="N1482" s="14">
        <f>ROUND(tblSprzedaz[[#This Row],[Ilość]]*tblSprzedaz[[#This Row],[Koszt jednostkowy netto]],2)</f>
        <v>1759.38</v>
      </c>
      <c r="O1482" s="14">
        <f>tblSprzedaz[[#This Row],[Przychód netto]]-tblSprzedaz[[#This Row],[Koszt całkowity netto]]</f>
        <v>563.15999999999985</v>
      </c>
      <c r="P1482" s="15">
        <f>IFERROR(tblSprzedaz[[#This Row],[Marża kwotowa]]/tblSprzedaz[[#This Row],[Przychód netto]],0)</f>
        <v>0.24247590999509153</v>
      </c>
      <c r="Q1482" s="16">
        <f>YEAR(tblSprzedaz[[#This Row],[Data]])</f>
        <v>2026</v>
      </c>
      <c r="R1482" s="16">
        <f>MONTH(tblSprzedaz[[#This Row],[Data]])</f>
        <v>1</v>
      </c>
      <c r="S1482" s="9" t="str">
        <f>YEAR(tblSprzedaz[[#This Row],[Data]])&amp;"-"&amp;RIGHT("0"&amp;MONTH(tblSprzedaz[[#This Row],[Data]]),2)</f>
        <v>2026-01</v>
      </c>
    </row>
    <row r="1483" spans="1:19" x14ac:dyDescent="0.25">
      <c r="A1483" s="7" t="s">
        <v>3133</v>
      </c>
      <c r="B1483" s="10">
        <v>46049</v>
      </c>
      <c r="C1483" s="7" t="s">
        <v>3134</v>
      </c>
      <c r="D1483" s="8" t="s">
        <v>152</v>
      </c>
      <c r="E1483" s="8" t="s">
        <v>51</v>
      </c>
      <c r="F1483" s="8" t="s">
        <v>29</v>
      </c>
      <c r="G1483" s="8" t="s">
        <v>34</v>
      </c>
      <c r="H1483" s="8" t="s">
        <v>44</v>
      </c>
      <c r="I1483" s="11">
        <v>2</v>
      </c>
      <c r="J1483" s="12">
        <v>51</v>
      </c>
      <c r="K1483" s="13">
        <v>0</v>
      </c>
      <c r="L1483" s="12">
        <v>29.48</v>
      </c>
      <c r="M1483" s="14">
        <f>ROUND(tblSprzedaz[[#This Row],[Ilość]]*tblSprzedaz[[#This Row],[Cena netto jednostkowa]]*(1-tblSprzedaz[[#This Row],[Rabat %]]),2)</f>
        <v>102</v>
      </c>
      <c r="N1483" s="14">
        <f>ROUND(tblSprzedaz[[#This Row],[Ilość]]*tblSprzedaz[[#This Row],[Koszt jednostkowy netto]],2)</f>
        <v>58.96</v>
      </c>
      <c r="O1483" s="14">
        <f>tblSprzedaz[[#This Row],[Przychód netto]]-tblSprzedaz[[#This Row],[Koszt całkowity netto]]</f>
        <v>43.04</v>
      </c>
      <c r="P1483" s="15">
        <f>IFERROR(tblSprzedaz[[#This Row],[Marża kwotowa]]/tblSprzedaz[[#This Row],[Przychód netto]],0)</f>
        <v>0.42196078431372547</v>
      </c>
      <c r="Q1483" s="16">
        <f>YEAR(tblSprzedaz[[#This Row],[Data]])</f>
        <v>2026</v>
      </c>
      <c r="R1483" s="16">
        <f>MONTH(tblSprzedaz[[#This Row],[Data]])</f>
        <v>1</v>
      </c>
      <c r="S1483" s="9" t="str">
        <f>YEAR(tblSprzedaz[[#This Row],[Data]])&amp;"-"&amp;RIGHT("0"&amp;MONTH(tblSprzedaz[[#This Row],[Data]]),2)</f>
        <v>2026-01</v>
      </c>
    </row>
    <row r="1484" spans="1:19" x14ac:dyDescent="0.25">
      <c r="A1484" s="7" t="s">
        <v>3135</v>
      </c>
      <c r="B1484" s="10">
        <v>46049</v>
      </c>
      <c r="C1484" s="7" t="s">
        <v>3136</v>
      </c>
      <c r="D1484" s="8" t="s">
        <v>87</v>
      </c>
      <c r="E1484" s="8" t="s">
        <v>65</v>
      </c>
      <c r="F1484" s="8" t="s">
        <v>33</v>
      </c>
      <c r="G1484" s="8" t="s">
        <v>30</v>
      </c>
      <c r="H1484" s="8" t="s">
        <v>40</v>
      </c>
      <c r="I1484" s="11">
        <v>6</v>
      </c>
      <c r="J1484" s="12">
        <v>377.2</v>
      </c>
      <c r="K1484" s="13">
        <v>0.1</v>
      </c>
      <c r="L1484" s="12">
        <v>246.6</v>
      </c>
      <c r="M1484" s="14">
        <f>ROUND(tblSprzedaz[[#This Row],[Ilość]]*tblSprzedaz[[#This Row],[Cena netto jednostkowa]]*(1-tblSprzedaz[[#This Row],[Rabat %]]),2)</f>
        <v>2036.88</v>
      </c>
      <c r="N1484" s="14">
        <f>ROUND(tblSprzedaz[[#This Row],[Ilość]]*tblSprzedaz[[#This Row],[Koszt jednostkowy netto]],2)</f>
        <v>1479.6</v>
      </c>
      <c r="O1484" s="14">
        <f>tblSprzedaz[[#This Row],[Przychód netto]]-tblSprzedaz[[#This Row],[Koszt całkowity netto]]</f>
        <v>557.2800000000002</v>
      </c>
      <c r="P1484" s="15">
        <f>IFERROR(tblSprzedaz[[#This Row],[Marża kwotowa]]/tblSprzedaz[[#This Row],[Przychód netto]],0)</f>
        <v>0.27359490986214219</v>
      </c>
      <c r="Q1484" s="16">
        <f>YEAR(tblSprzedaz[[#This Row],[Data]])</f>
        <v>2026</v>
      </c>
      <c r="R1484" s="16">
        <f>MONTH(tblSprzedaz[[#This Row],[Data]])</f>
        <v>1</v>
      </c>
      <c r="S1484" s="9" t="str">
        <f>YEAR(tblSprzedaz[[#This Row],[Data]])&amp;"-"&amp;RIGHT("0"&amp;MONTH(tblSprzedaz[[#This Row],[Data]]),2)</f>
        <v>2026-01</v>
      </c>
    </row>
    <row r="1485" spans="1:19" x14ac:dyDescent="0.25">
      <c r="A1485" s="7" t="s">
        <v>3137</v>
      </c>
      <c r="B1485" s="10">
        <v>46050</v>
      </c>
      <c r="C1485" s="7" t="s">
        <v>3138</v>
      </c>
      <c r="D1485" s="8" t="s">
        <v>138</v>
      </c>
      <c r="E1485" s="8" t="s">
        <v>61</v>
      </c>
      <c r="F1485" s="8" t="s">
        <v>33</v>
      </c>
      <c r="G1485" s="8" t="s">
        <v>28</v>
      </c>
      <c r="H1485" s="8" t="s">
        <v>38</v>
      </c>
      <c r="I1485" s="11">
        <v>14</v>
      </c>
      <c r="J1485" s="12">
        <v>533.6</v>
      </c>
      <c r="K1485" s="13">
        <v>0.05</v>
      </c>
      <c r="L1485" s="12">
        <v>368.62</v>
      </c>
      <c r="M1485" s="14">
        <f>ROUND(tblSprzedaz[[#This Row],[Ilość]]*tblSprzedaz[[#This Row],[Cena netto jednostkowa]]*(1-tblSprzedaz[[#This Row],[Rabat %]]),2)</f>
        <v>7096.88</v>
      </c>
      <c r="N1485" s="14">
        <f>ROUND(tblSprzedaz[[#This Row],[Ilość]]*tblSprzedaz[[#This Row],[Koszt jednostkowy netto]],2)</f>
        <v>5160.68</v>
      </c>
      <c r="O1485" s="14">
        <f>tblSprzedaz[[#This Row],[Przychód netto]]-tblSprzedaz[[#This Row],[Koszt całkowity netto]]</f>
        <v>1936.1999999999998</v>
      </c>
      <c r="P1485" s="15">
        <f>IFERROR(tblSprzedaz[[#This Row],[Marża kwotowa]]/tblSprzedaz[[#This Row],[Przychód netto]],0)</f>
        <v>0.2728241142586601</v>
      </c>
      <c r="Q1485" s="16">
        <f>YEAR(tblSprzedaz[[#This Row],[Data]])</f>
        <v>2026</v>
      </c>
      <c r="R1485" s="16">
        <f>MONTH(tblSprzedaz[[#This Row],[Data]])</f>
        <v>1</v>
      </c>
      <c r="S1485" s="9" t="str">
        <f>YEAR(tblSprzedaz[[#This Row],[Data]])&amp;"-"&amp;RIGHT("0"&amp;MONTH(tblSprzedaz[[#This Row],[Data]]),2)</f>
        <v>2026-01</v>
      </c>
    </row>
    <row r="1486" spans="1:19" x14ac:dyDescent="0.25">
      <c r="A1486" s="7" t="s">
        <v>3139</v>
      </c>
      <c r="B1486" s="10">
        <v>46050</v>
      </c>
      <c r="C1486" s="7" t="s">
        <v>3140</v>
      </c>
      <c r="D1486" s="8" t="s">
        <v>117</v>
      </c>
      <c r="E1486" s="8" t="s">
        <v>72</v>
      </c>
      <c r="F1486" s="8" t="s">
        <v>37</v>
      </c>
      <c r="G1486" s="8" t="s">
        <v>34</v>
      </c>
      <c r="H1486" s="8" t="s">
        <v>44</v>
      </c>
      <c r="I1486" s="11">
        <v>4</v>
      </c>
      <c r="J1486" s="12">
        <v>94.05</v>
      </c>
      <c r="K1486" s="13">
        <v>0</v>
      </c>
      <c r="L1486" s="12">
        <v>72.22</v>
      </c>
      <c r="M1486" s="14">
        <f>ROUND(tblSprzedaz[[#This Row],[Ilość]]*tblSprzedaz[[#This Row],[Cena netto jednostkowa]]*(1-tblSprzedaz[[#This Row],[Rabat %]]),2)</f>
        <v>376.2</v>
      </c>
      <c r="N1486" s="14">
        <f>ROUND(tblSprzedaz[[#This Row],[Ilość]]*tblSprzedaz[[#This Row],[Koszt jednostkowy netto]],2)</f>
        <v>288.88</v>
      </c>
      <c r="O1486" s="14">
        <f>tblSprzedaz[[#This Row],[Przychód netto]]-tblSprzedaz[[#This Row],[Koszt całkowity netto]]</f>
        <v>87.32</v>
      </c>
      <c r="P1486" s="15">
        <f>IFERROR(tblSprzedaz[[#This Row],[Marża kwotowa]]/tblSprzedaz[[#This Row],[Przychód netto]],0)</f>
        <v>0.23211057947900052</v>
      </c>
      <c r="Q1486" s="16">
        <f>YEAR(tblSprzedaz[[#This Row],[Data]])</f>
        <v>2026</v>
      </c>
      <c r="R1486" s="16">
        <f>MONTH(tblSprzedaz[[#This Row],[Data]])</f>
        <v>1</v>
      </c>
      <c r="S1486" s="9" t="str">
        <f>YEAR(tblSprzedaz[[#This Row],[Data]])&amp;"-"&amp;RIGHT("0"&amp;MONTH(tblSprzedaz[[#This Row],[Data]]),2)</f>
        <v>2026-01</v>
      </c>
    </row>
    <row r="1487" spans="1:19" x14ac:dyDescent="0.25">
      <c r="A1487" s="7" t="s">
        <v>3141</v>
      </c>
      <c r="B1487" s="10">
        <v>46050</v>
      </c>
      <c r="C1487" s="7" t="s">
        <v>3142</v>
      </c>
      <c r="D1487" s="8" t="s">
        <v>108</v>
      </c>
      <c r="E1487" s="8" t="s">
        <v>62</v>
      </c>
      <c r="F1487" s="8" t="s">
        <v>33</v>
      </c>
      <c r="G1487" s="8" t="s">
        <v>34</v>
      </c>
      <c r="H1487" s="8" t="s">
        <v>45</v>
      </c>
      <c r="I1487" s="11">
        <v>2</v>
      </c>
      <c r="J1487" s="12">
        <v>611.79999999999995</v>
      </c>
      <c r="K1487" s="13">
        <v>0.05</v>
      </c>
      <c r="L1487" s="12">
        <v>438.03</v>
      </c>
      <c r="M1487" s="14">
        <f>ROUND(tblSprzedaz[[#This Row],[Ilość]]*tblSprzedaz[[#This Row],[Cena netto jednostkowa]]*(1-tblSprzedaz[[#This Row],[Rabat %]]),2)</f>
        <v>1162.42</v>
      </c>
      <c r="N1487" s="14">
        <f>ROUND(tblSprzedaz[[#This Row],[Ilość]]*tblSprzedaz[[#This Row],[Koszt jednostkowy netto]],2)</f>
        <v>876.06</v>
      </c>
      <c r="O1487" s="14">
        <f>tblSprzedaz[[#This Row],[Przychód netto]]-tblSprzedaz[[#This Row],[Koszt całkowity netto]]</f>
        <v>286.36000000000013</v>
      </c>
      <c r="P1487" s="15">
        <f>IFERROR(tblSprzedaz[[#This Row],[Marża kwotowa]]/tblSprzedaz[[#This Row],[Przychód netto]],0)</f>
        <v>0.24634813578568857</v>
      </c>
      <c r="Q1487" s="16">
        <f>YEAR(tblSprzedaz[[#This Row],[Data]])</f>
        <v>2026</v>
      </c>
      <c r="R1487" s="16">
        <f>MONTH(tblSprzedaz[[#This Row],[Data]])</f>
        <v>1</v>
      </c>
      <c r="S1487" s="9" t="str">
        <f>YEAR(tblSprzedaz[[#This Row],[Data]])&amp;"-"&amp;RIGHT("0"&amp;MONTH(tblSprzedaz[[#This Row],[Data]]),2)</f>
        <v>2026-01</v>
      </c>
    </row>
    <row r="1488" spans="1:19" x14ac:dyDescent="0.25">
      <c r="A1488" s="7" t="s">
        <v>3143</v>
      </c>
      <c r="B1488" s="10">
        <v>46050</v>
      </c>
      <c r="C1488" s="7" t="s">
        <v>3144</v>
      </c>
      <c r="D1488" s="8" t="s">
        <v>95</v>
      </c>
      <c r="E1488" s="8" t="s">
        <v>75</v>
      </c>
      <c r="F1488" s="8" t="s">
        <v>37</v>
      </c>
      <c r="G1488" s="8" t="s">
        <v>32</v>
      </c>
      <c r="H1488" s="8" t="s">
        <v>43</v>
      </c>
      <c r="I1488" s="11">
        <v>4</v>
      </c>
      <c r="J1488" s="12">
        <v>142.5</v>
      </c>
      <c r="K1488" s="13">
        <v>0</v>
      </c>
      <c r="L1488" s="12">
        <v>113.97</v>
      </c>
      <c r="M1488" s="14">
        <f>ROUND(tblSprzedaz[[#This Row],[Ilość]]*tblSprzedaz[[#This Row],[Cena netto jednostkowa]]*(1-tblSprzedaz[[#This Row],[Rabat %]]),2)</f>
        <v>570</v>
      </c>
      <c r="N1488" s="14">
        <f>ROUND(tblSprzedaz[[#This Row],[Ilość]]*tblSprzedaz[[#This Row],[Koszt jednostkowy netto]],2)</f>
        <v>455.88</v>
      </c>
      <c r="O1488" s="14">
        <f>tblSprzedaz[[#This Row],[Przychód netto]]-tblSprzedaz[[#This Row],[Koszt całkowity netto]]</f>
        <v>114.12</v>
      </c>
      <c r="P1488" s="15">
        <f>IFERROR(tblSprzedaz[[#This Row],[Marża kwotowa]]/tblSprzedaz[[#This Row],[Przychód netto]],0)</f>
        <v>0.20021052631578948</v>
      </c>
      <c r="Q1488" s="16">
        <f>YEAR(tblSprzedaz[[#This Row],[Data]])</f>
        <v>2026</v>
      </c>
      <c r="R1488" s="16">
        <f>MONTH(tblSprzedaz[[#This Row],[Data]])</f>
        <v>1</v>
      </c>
      <c r="S1488" s="9" t="str">
        <f>YEAR(tblSprzedaz[[#This Row],[Data]])&amp;"-"&amp;RIGHT("0"&amp;MONTH(tblSprzedaz[[#This Row],[Data]]),2)</f>
        <v>2026-01</v>
      </c>
    </row>
    <row r="1489" spans="1:19" x14ac:dyDescent="0.25">
      <c r="A1489" s="7" t="s">
        <v>3145</v>
      </c>
      <c r="B1489" s="10">
        <v>46051</v>
      </c>
      <c r="C1489" s="7" t="s">
        <v>3146</v>
      </c>
      <c r="D1489" s="8" t="s">
        <v>113</v>
      </c>
      <c r="E1489" s="8" t="s">
        <v>55</v>
      </c>
      <c r="F1489" s="8" t="s">
        <v>31</v>
      </c>
      <c r="G1489" s="8" t="s">
        <v>30</v>
      </c>
      <c r="H1489" s="8" t="s">
        <v>41</v>
      </c>
      <c r="I1489" s="11">
        <v>4</v>
      </c>
      <c r="J1489" s="12">
        <v>243.6</v>
      </c>
      <c r="K1489" s="13">
        <v>0.05</v>
      </c>
      <c r="L1489" s="12">
        <v>162.09</v>
      </c>
      <c r="M1489" s="14">
        <f>ROUND(tblSprzedaz[[#This Row],[Ilość]]*tblSprzedaz[[#This Row],[Cena netto jednostkowa]]*(1-tblSprzedaz[[#This Row],[Rabat %]]),2)</f>
        <v>925.68</v>
      </c>
      <c r="N1489" s="14">
        <f>ROUND(tblSprzedaz[[#This Row],[Ilość]]*tblSprzedaz[[#This Row],[Koszt jednostkowy netto]],2)</f>
        <v>648.36</v>
      </c>
      <c r="O1489" s="14">
        <f>tblSprzedaz[[#This Row],[Przychód netto]]-tblSprzedaz[[#This Row],[Koszt całkowity netto]]</f>
        <v>277.31999999999994</v>
      </c>
      <c r="P1489" s="15">
        <f>IFERROR(tblSprzedaz[[#This Row],[Marża kwotowa]]/tblSprzedaz[[#This Row],[Przychód netto]],0)</f>
        <v>0.29958516982110445</v>
      </c>
      <c r="Q1489" s="16">
        <f>YEAR(tblSprzedaz[[#This Row],[Data]])</f>
        <v>2026</v>
      </c>
      <c r="R1489" s="16">
        <f>MONTH(tblSprzedaz[[#This Row],[Data]])</f>
        <v>1</v>
      </c>
      <c r="S1489" s="9" t="str">
        <f>YEAR(tblSprzedaz[[#This Row],[Data]])&amp;"-"&amp;RIGHT("0"&amp;MONTH(tblSprzedaz[[#This Row],[Data]]),2)</f>
        <v>2026-01</v>
      </c>
    </row>
    <row r="1490" spans="1:19" x14ac:dyDescent="0.25">
      <c r="A1490" s="7" t="s">
        <v>3147</v>
      </c>
      <c r="B1490" s="10">
        <v>46051</v>
      </c>
      <c r="C1490" s="7" t="s">
        <v>3148</v>
      </c>
      <c r="D1490" s="8" t="s">
        <v>118</v>
      </c>
      <c r="E1490" s="8" t="s">
        <v>51</v>
      </c>
      <c r="F1490" s="8" t="s">
        <v>29</v>
      </c>
      <c r="G1490" s="8" t="s">
        <v>36</v>
      </c>
      <c r="H1490" s="8" t="s">
        <v>47</v>
      </c>
      <c r="I1490" s="11">
        <v>2</v>
      </c>
      <c r="J1490" s="12">
        <v>51</v>
      </c>
      <c r="K1490" s="13">
        <v>0</v>
      </c>
      <c r="L1490" s="12">
        <v>28.57</v>
      </c>
      <c r="M1490" s="14">
        <f>ROUND(tblSprzedaz[[#This Row],[Ilość]]*tblSprzedaz[[#This Row],[Cena netto jednostkowa]]*(1-tblSprzedaz[[#This Row],[Rabat %]]),2)</f>
        <v>102</v>
      </c>
      <c r="N1490" s="14">
        <f>ROUND(tblSprzedaz[[#This Row],[Ilość]]*tblSprzedaz[[#This Row],[Koszt jednostkowy netto]],2)</f>
        <v>57.14</v>
      </c>
      <c r="O1490" s="14">
        <f>tblSprzedaz[[#This Row],[Przychód netto]]-tblSprzedaz[[#This Row],[Koszt całkowity netto]]</f>
        <v>44.86</v>
      </c>
      <c r="P1490" s="15">
        <f>IFERROR(tblSprzedaz[[#This Row],[Marża kwotowa]]/tblSprzedaz[[#This Row],[Przychód netto]],0)</f>
        <v>0.43980392156862746</v>
      </c>
      <c r="Q1490" s="16">
        <f>YEAR(tblSprzedaz[[#This Row],[Data]])</f>
        <v>2026</v>
      </c>
      <c r="R1490" s="16">
        <f>MONTH(tblSprzedaz[[#This Row],[Data]])</f>
        <v>1</v>
      </c>
      <c r="S1490" s="9" t="str">
        <f>YEAR(tblSprzedaz[[#This Row],[Data]])&amp;"-"&amp;RIGHT("0"&amp;MONTH(tblSprzedaz[[#This Row],[Data]]),2)</f>
        <v>2026-01</v>
      </c>
    </row>
    <row r="1491" spans="1:19" x14ac:dyDescent="0.25">
      <c r="A1491" s="7" t="s">
        <v>3149</v>
      </c>
      <c r="B1491" s="10">
        <v>46051</v>
      </c>
      <c r="C1491" s="7" t="s">
        <v>3150</v>
      </c>
      <c r="D1491" s="8" t="s">
        <v>130</v>
      </c>
      <c r="E1491" s="8" t="s">
        <v>75</v>
      </c>
      <c r="F1491" s="8" t="s">
        <v>37</v>
      </c>
      <c r="G1491" s="8" t="s">
        <v>36</v>
      </c>
      <c r="H1491" s="8" t="s">
        <v>47</v>
      </c>
      <c r="I1491" s="11">
        <v>8</v>
      </c>
      <c r="J1491" s="12">
        <v>142.5</v>
      </c>
      <c r="K1491" s="13">
        <v>0</v>
      </c>
      <c r="L1491" s="12">
        <v>107.6</v>
      </c>
      <c r="M1491" s="14">
        <f>ROUND(tblSprzedaz[[#This Row],[Ilość]]*tblSprzedaz[[#This Row],[Cena netto jednostkowa]]*(1-tblSprzedaz[[#This Row],[Rabat %]]),2)</f>
        <v>1140</v>
      </c>
      <c r="N1491" s="14">
        <f>ROUND(tblSprzedaz[[#This Row],[Ilość]]*tblSprzedaz[[#This Row],[Koszt jednostkowy netto]],2)</f>
        <v>860.8</v>
      </c>
      <c r="O1491" s="14">
        <f>tblSprzedaz[[#This Row],[Przychód netto]]-tblSprzedaz[[#This Row],[Koszt całkowity netto]]</f>
        <v>279.20000000000005</v>
      </c>
      <c r="P1491" s="15">
        <f>IFERROR(tblSprzedaz[[#This Row],[Marża kwotowa]]/tblSprzedaz[[#This Row],[Przychód netto]],0)</f>
        <v>0.24491228070175441</v>
      </c>
      <c r="Q1491" s="16">
        <f>YEAR(tblSprzedaz[[#This Row],[Data]])</f>
        <v>2026</v>
      </c>
      <c r="R1491" s="16">
        <f>MONTH(tblSprzedaz[[#This Row],[Data]])</f>
        <v>1</v>
      </c>
      <c r="S1491" s="9" t="str">
        <f>YEAR(tblSprzedaz[[#This Row],[Data]])&amp;"-"&amp;RIGHT("0"&amp;MONTH(tblSprzedaz[[#This Row],[Data]]),2)</f>
        <v>2026-01</v>
      </c>
    </row>
    <row r="1492" spans="1:19" x14ac:dyDescent="0.25">
      <c r="A1492" s="7" t="s">
        <v>3151</v>
      </c>
      <c r="B1492" s="10">
        <v>46052</v>
      </c>
      <c r="C1492" s="7" t="s">
        <v>3152</v>
      </c>
      <c r="D1492" s="8" t="s">
        <v>125</v>
      </c>
      <c r="E1492" s="8" t="s">
        <v>66</v>
      </c>
      <c r="F1492" s="8" t="s">
        <v>35</v>
      </c>
      <c r="G1492" s="8" t="s">
        <v>30</v>
      </c>
      <c r="H1492" s="8" t="s">
        <v>41</v>
      </c>
      <c r="I1492" s="11">
        <v>14</v>
      </c>
      <c r="J1492" s="12">
        <v>67.319999999999993</v>
      </c>
      <c r="K1492" s="13">
        <v>0</v>
      </c>
      <c r="L1492" s="12">
        <v>49.76</v>
      </c>
      <c r="M1492" s="14">
        <f>ROUND(tblSprzedaz[[#This Row],[Ilość]]*tblSprzedaz[[#This Row],[Cena netto jednostkowa]]*(1-tblSprzedaz[[#This Row],[Rabat %]]),2)</f>
        <v>942.48</v>
      </c>
      <c r="N1492" s="14">
        <f>ROUND(tblSprzedaz[[#This Row],[Ilość]]*tblSprzedaz[[#This Row],[Koszt jednostkowy netto]],2)</f>
        <v>696.64</v>
      </c>
      <c r="O1492" s="14">
        <f>tblSprzedaz[[#This Row],[Przychód netto]]-tblSprzedaz[[#This Row],[Koszt całkowity netto]]</f>
        <v>245.84000000000003</v>
      </c>
      <c r="P1492" s="15">
        <f>IFERROR(tblSprzedaz[[#This Row],[Marża kwotowa]]/tblSprzedaz[[#This Row],[Przychód netto]],0)</f>
        <v>0.26084373143196676</v>
      </c>
      <c r="Q1492" s="16">
        <f>YEAR(tblSprzedaz[[#This Row],[Data]])</f>
        <v>2026</v>
      </c>
      <c r="R1492" s="16">
        <f>MONTH(tblSprzedaz[[#This Row],[Data]])</f>
        <v>1</v>
      </c>
      <c r="S1492" s="9" t="str">
        <f>YEAR(tblSprzedaz[[#This Row],[Data]])&amp;"-"&amp;RIGHT("0"&amp;MONTH(tblSprzedaz[[#This Row],[Data]]),2)</f>
        <v>2026-01</v>
      </c>
    </row>
    <row r="1493" spans="1:19" x14ac:dyDescent="0.25">
      <c r="A1493" s="7" t="s">
        <v>3153</v>
      </c>
      <c r="B1493" s="10">
        <v>46052</v>
      </c>
      <c r="C1493" s="7" t="s">
        <v>3154</v>
      </c>
      <c r="D1493" s="8" t="s">
        <v>118</v>
      </c>
      <c r="E1493" s="8" t="s">
        <v>55</v>
      </c>
      <c r="F1493" s="8" t="s">
        <v>31</v>
      </c>
      <c r="G1493" s="8" t="s">
        <v>32</v>
      </c>
      <c r="H1493" s="8" t="s">
        <v>42</v>
      </c>
      <c r="I1493" s="11">
        <v>5</v>
      </c>
      <c r="J1493" s="12">
        <v>243.6</v>
      </c>
      <c r="K1493" s="13">
        <v>0</v>
      </c>
      <c r="L1493" s="12">
        <v>154.27000000000001</v>
      </c>
      <c r="M1493" s="14">
        <f>ROUND(tblSprzedaz[[#This Row],[Ilość]]*tblSprzedaz[[#This Row],[Cena netto jednostkowa]]*(1-tblSprzedaz[[#This Row],[Rabat %]]),2)</f>
        <v>1218</v>
      </c>
      <c r="N1493" s="14">
        <f>ROUND(tblSprzedaz[[#This Row],[Ilość]]*tblSprzedaz[[#This Row],[Koszt jednostkowy netto]],2)</f>
        <v>771.35</v>
      </c>
      <c r="O1493" s="14">
        <f>tblSprzedaz[[#This Row],[Przychód netto]]-tblSprzedaz[[#This Row],[Koszt całkowity netto]]</f>
        <v>446.65</v>
      </c>
      <c r="P1493" s="15">
        <f>IFERROR(tblSprzedaz[[#This Row],[Marża kwotowa]]/tblSprzedaz[[#This Row],[Przychód netto]],0)</f>
        <v>0.36670771756978654</v>
      </c>
      <c r="Q1493" s="16">
        <f>YEAR(tblSprzedaz[[#This Row],[Data]])</f>
        <v>2026</v>
      </c>
      <c r="R1493" s="16">
        <f>MONTH(tblSprzedaz[[#This Row],[Data]])</f>
        <v>1</v>
      </c>
      <c r="S1493" s="9" t="str">
        <f>YEAR(tblSprzedaz[[#This Row],[Data]])&amp;"-"&amp;RIGHT("0"&amp;MONTH(tblSprzedaz[[#This Row],[Data]]),2)</f>
        <v>2026-01</v>
      </c>
    </row>
    <row r="1494" spans="1:19" x14ac:dyDescent="0.25">
      <c r="A1494" s="7" t="s">
        <v>3155</v>
      </c>
      <c r="B1494" s="10">
        <v>46052</v>
      </c>
      <c r="C1494" s="7" t="s">
        <v>3156</v>
      </c>
      <c r="D1494" s="8" t="s">
        <v>89</v>
      </c>
      <c r="E1494" s="8" t="s">
        <v>48</v>
      </c>
      <c r="F1494" s="8" t="s">
        <v>29</v>
      </c>
      <c r="G1494" s="8" t="s">
        <v>28</v>
      </c>
      <c r="H1494" s="8" t="s">
        <v>38</v>
      </c>
      <c r="I1494" s="11">
        <v>7</v>
      </c>
      <c r="J1494" s="12">
        <v>33.659999999999997</v>
      </c>
      <c r="K1494" s="13">
        <v>0</v>
      </c>
      <c r="L1494" s="12">
        <v>20.93</v>
      </c>
      <c r="M1494" s="14">
        <f>ROUND(tblSprzedaz[[#This Row],[Ilość]]*tblSprzedaz[[#This Row],[Cena netto jednostkowa]]*(1-tblSprzedaz[[#This Row],[Rabat %]]),2)</f>
        <v>235.62</v>
      </c>
      <c r="N1494" s="14">
        <f>ROUND(tblSprzedaz[[#This Row],[Ilość]]*tblSprzedaz[[#This Row],[Koszt jednostkowy netto]],2)</f>
        <v>146.51</v>
      </c>
      <c r="O1494" s="14">
        <f>tblSprzedaz[[#This Row],[Przychód netto]]-tblSprzedaz[[#This Row],[Koszt całkowity netto]]</f>
        <v>89.110000000000014</v>
      </c>
      <c r="P1494" s="15">
        <f>IFERROR(tblSprzedaz[[#This Row],[Marża kwotowa]]/tblSprzedaz[[#This Row],[Przychód netto]],0)</f>
        <v>0.37819370172311356</v>
      </c>
      <c r="Q1494" s="16">
        <f>YEAR(tblSprzedaz[[#This Row],[Data]])</f>
        <v>2026</v>
      </c>
      <c r="R1494" s="16">
        <f>MONTH(tblSprzedaz[[#This Row],[Data]])</f>
        <v>1</v>
      </c>
      <c r="S1494" s="9" t="str">
        <f>YEAR(tblSprzedaz[[#This Row],[Data]])&amp;"-"&amp;RIGHT("0"&amp;MONTH(tblSprzedaz[[#This Row],[Data]]),2)</f>
        <v>2026-01</v>
      </c>
    </row>
    <row r="1495" spans="1:19" x14ac:dyDescent="0.25">
      <c r="A1495" s="7" t="s">
        <v>3157</v>
      </c>
      <c r="B1495" s="10">
        <v>46052</v>
      </c>
      <c r="C1495" s="7" t="s">
        <v>3158</v>
      </c>
      <c r="D1495" s="8" t="s">
        <v>107</v>
      </c>
      <c r="E1495" s="8" t="s">
        <v>52</v>
      </c>
      <c r="F1495" s="8" t="s">
        <v>29</v>
      </c>
      <c r="G1495" s="8" t="s">
        <v>32</v>
      </c>
      <c r="H1495" s="8" t="s">
        <v>42</v>
      </c>
      <c r="I1495" s="11">
        <v>2</v>
      </c>
      <c r="J1495" s="12">
        <v>56.78</v>
      </c>
      <c r="K1495" s="13">
        <v>0.05</v>
      </c>
      <c r="L1495" s="12">
        <v>31.29</v>
      </c>
      <c r="M1495" s="14">
        <f>ROUND(tblSprzedaz[[#This Row],[Ilość]]*tblSprzedaz[[#This Row],[Cena netto jednostkowa]]*(1-tblSprzedaz[[#This Row],[Rabat %]]),2)</f>
        <v>107.88</v>
      </c>
      <c r="N1495" s="14">
        <f>ROUND(tblSprzedaz[[#This Row],[Ilość]]*tblSprzedaz[[#This Row],[Koszt jednostkowy netto]],2)</f>
        <v>62.58</v>
      </c>
      <c r="O1495" s="14">
        <f>tblSprzedaz[[#This Row],[Przychód netto]]-tblSprzedaz[[#This Row],[Koszt całkowity netto]]</f>
        <v>45.3</v>
      </c>
      <c r="P1495" s="15">
        <f>IFERROR(tblSprzedaz[[#This Row],[Marża kwotowa]]/tblSprzedaz[[#This Row],[Przychód netto]],0)</f>
        <v>0.41991101223581756</v>
      </c>
      <c r="Q1495" s="16">
        <f>YEAR(tblSprzedaz[[#This Row],[Data]])</f>
        <v>2026</v>
      </c>
      <c r="R1495" s="16">
        <f>MONTH(tblSprzedaz[[#This Row],[Data]])</f>
        <v>1</v>
      </c>
      <c r="S1495" s="9" t="str">
        <f>YEAR(tblSprzedaz[[#This Row],[Data]])&amp;"-"&amp;RIGHT("0"&amp;MONTH(tblSprzedaz[[#This Row],[Data]]),2)</f>
        <v>2026-01</v>
      </c>
    </row>
    <row r="1496" spans="1:19" x14ac:dyDescent="0.25">
      <c r="A1496" s="7" t="s">
        <v>3159</v>
      </c>
      <c r="B1496" s="10">
        <v>46053</v>
      </c>
      <c r="C1496" s="7" t="s">
        <v>3160</v>
      </c>
      <c r="D1496" s="8" t="s">
        <v>122</v>
      </c>
      <c r="E1496" s="8" t="s">
        <v>66</v>
      </c>
      <c r="F1496" s="8" t="s">
        <v>35</v>
      </c>
      <c r="G1496" s="8" t="s">
        <v>30</v>
      </c>
      <c r="H1496" s="8" t="s">
        <v>41</v>
      </c>
      <c r="I1496" s="11">
        <v>4</v>
      </c>
      <c r="J1496" s="12">
        <v>67.319999999999993</v>
      </c>
      <c r="K1496" s="13">
        <v>0</v>
      </c>
      <c r="L1496" s="12">
        <v>50.66</v>
      </c>
      <c r="M1496" s="14">
        <f>ROUND(tblSprzedaz[[#This Row],[Ilość]]*tblSprzedaz[[#This Row],[Cena netto jednostkowa]]*(1-tblSprzedaz[[#This Row],[Rabat %]]),2)</f>
        <v>269.27999999999997</v>
      </c>
      <c r="N1496" s="14">
        <f>ROUND(tblSprzedaz[[#This Row],[Ilość]]*tblSprzedaz[[#This Row],[Koszt jednostkowy netto]],2)</f>
        <v>202.64</v>
      </c>
      <c r="O1496" s="14">
        <f>tblSprzedaz[[#This Row],[Przychód netto]]-tblSprzedaz[[#This Row],[Koszt całkowity netto]]</f>
        <v>66.639999999999986</v>
      </c>
      <c r="P1496" s="15">
        <f>IFERROR(tblSprzedaz[[#This Row],[Marża kwotowa]]/tblSprzedaz[[#This Row],[Przychód netto]],0)</f>
        <v>0.24747474747474746</v>
      </c>
      <c r="Q1496" s="16">
        <f>YEAR(tblSprzedaz[[#This Row],[Data]])</f>
        <v>2026</v>
      </c>
      <c r="R1496" s="16">
        <f>MONTH(tblSprzedaz[[#This Row],[Data]])</f>
        <v>1</v>
      </c>
      <c r="S1496" s="9" t="str">
        <f>YEAR(tblSprzedaz[[#This Row],[Data]])&amp;"-"&amp;RIGHT("0"&amp;MONTH(tblSprzedaz[[#This Row],[Data]]),2)</f>
        <v>2026-01</v>
      </c>
    </row>
    <row r="1497" spans="1:19" x14ac:dyDescent="0.25">
      <c r="A1497" s="7" t="s">
        <v>3161</v>
      </c>
      <c r="B1497" s="10">
        <v>46054</v>
      </c>
      <c r="C1497" s="7" t="s">
        <v>3162</v>
      </c>
      <c r="D1497" s="8" t="s">
        <v>108</v>
      </c>
      <c r="E1497" s="8" t="s">
        <v>74</v>
      </c>
      <c r="F1497" s="8" t="s">
        <v>37</v>
      </c>
      <c r="G1497" s="8" t="s">
        <v>34</v>
      </c>
      <c r="H1497" s="8" t="s">
        <v>44</v>
      </c>
      <c r="I1497" s="11">
        <v>4</v>
      </c>
      <c r="J1497" s="12">
        <v>126.35</v>
      </c>
      <c r="K1497" s="13">
        <v>0</v>
      </c>
      <c r="L1497" s="12">
        <v>94.63</v>
      </c>
      <c r="M1497" s="14">
        <f>ROUND(tblSprzedaz[[#This Row],[Ilość]]*tblSprzedaz[[#This Row],[Cena netto jednostkowa]]*(1-tblSprzedaz[[#This Row],[Rabat %]]),2)</f>
        <v>505.4</v>
      </c>
      <c r="N1497" s="14">
        <f>ROUND(tblSprzedaz[[#This Row],[Ilość]]*tblSprzedaz[[#This Row],[Koszt jednostkowy netto]],2)</f>
        <v>378.52</v>
      </c>
      <c r="O1497" s="14">
        <f>tblSprzedaz[[#This Row],[Przychód netto]]-tblSprzedaz[[#This Row],[Koszt całkowity netto]]</f>
        <v>126.88</v>
      </c>
      <c r="P1497" s="15">
        <f>IFERROR(tblSprzedaz[[#This Row],[Marża kwotowa]]/tblSprzedaz[[#This Row],[Przychód netto]],0)</f>
        <v>0.25104867431737238</v>
      </c>
      <c r="Q1497" s="16">
        <f>YEAR(tblSprzedaz[[#This Row],[Data]])</f>
        <v>2026</v>
      </c>
      <c r="R1497" s="16">
        <f>MONTH(tblSprzedaz[[#This Row],[Data]])</f>
        <v>2</v>
      </c>
      <c r="S1497" s="9" t="str">
        <f>YEAR(tblSprzedaz[[#This Row],[Data]])&amp;"-"&amp;RIGHT("0"&amp;MONTH(tblSprzedaz[[#This Row],[Data]]),2)</f>
        <v>2026-02</v>
      </c>
    </row>
    <row r="1498" spans="1:19" x14ac:dyDescent="0.25">
      <c r="A1498" s="7" t="s">
        <v>3163</v>
      </c>
      <c r="B1498" s="10">
        <v>46054</v>
      </c>
      <c r="C1498" s="7" t="s">
        <v>3164</v>
      </c>
      <c r="D1498" s="8" t="s">
        <v>122</v>
      </c>
      <c r="E1498" s="8" t="s">
        <v>48</v>
      </c>
      <c r="F1498" s="8" t="s">
        <v>29</v>
      </c>
      <c r="G1498" s="8" t="s">
        <v>36</v>
      </c>
      <c r="H1498" s="8" t="s">
        <v>47</v>
      </c>
      <c r="I1498" s="11">
        <v>8</v>
      </c>
      <c r="J1498" s="12">
        <v>33.659999999999997</v>
      </c>
      <c r="K1498" s="13">
        <v>0.05</v>
      </c>
      <c r="L1498" s="12">
        <v>20.38</v>
      </c>
      <c r="M1498" s="14">
        <f>ROUND(tblSprzedaz[[#This Row],[Ilość]]*tblSprzedaz[[#This Row],[Cena netto jednostkowa]]*(1-tblSprzedaz[[#This Row],[Rabat %]]),2)</f>
        <v>255.82</v>
      </c>
      <c r="N1498" s="14">
        <f>ROUND(tblSprzedaz[[#This Row],[Ilość]]*tblSprzedaz[[#This Row],[Koszt jednostkowy netto]],2)</f>
        <v>163.04</v>
      </c>
      <c r="O1498" s="14">
        <f>tblSprzedaz[[#This Row],[Przychód netto]]-tblSprzedaz[[#This Row],[Koszt całkowity netto]]</f>
        <v>92.78</v>
      </c>
      <c r="P1498" s="15">
        <f>IFERROR(tblSprzedaz[[#This Row],[Marża kwotowa]]/tblSprzedaz[[#This Row],[Przychód netto]],0)</f>
        <v>0.36267688218278477</v>
      </c>
      <c r="Q1498" s="16">
        <f>YEAR(tblSprzedaz[[#This Row],[Data]])</f>
        <v>2026</v>
      </c>
      <c r="R1498" s="16">
        <f>MONTH(tblSprzedaz[[#This Row],[Data]])</f>
        <v>2</v>
      </c>
      <c r="S1498" s="9" t="str">
        <f>YEAR(tblSprzedaz[[#This Row],[Data]])&amp;"-"&amp;RIGHT("0"&amp;MONTH(tblSprzedaz[[#This Row],[Data]]),2)</f>
        <v>2026-02</v>
      </c>
    </row>
    <row r="1499" spans="1:19" x14ac:dyDescent="0.25">
      <c r="A1499" s="7" t="s">
        <v>3165</v>
      </c>
      <c r="B1499" s="10">
        <v>46055</v>
      </c>
      <c r="C1499" s="7" t="s">
        <v>3166</v>
      </c>
      <c r="D1499" s="8" t="s">
        <v>79</v>
      </c>
      <c r="E1499" s="8" t="s">
        <v>59</v>
      </c>
      <c r="F1499" s="8" t="s">
        <v>31</v>
      </c>
      <c r="G1499" s="8" t="s">
        <v>28</v>
      </c>
      <c r="H1499" s="8" t="s">
        <v>39</v>
      </c>
      <c r="I1499" s="11">
        <v>13</v>
      </c>
      <c r="J1499" s="12">
        <v>172.2</v>
      </c>
      <c r="K1499" s="13">
        <v>0.05</v>
      </c>
      <c r="L1499" s="12">
        <v>111.24</v>
      </c>
      <c r="M1499" s="14">
        <f>ROUND(tblSprzedaz[[#This Row],[Ilość]]*tblSprzedaz[[#This Row],[Cena netto jednostkowa]]*(1-tblSprzedaz[[#This Row],[Rabat %]]),2)</f>
        <v>2126.67</v>
      </c>
      <c r="N1499" s="14">
        <f>ROUND(tblSprzedaz[[#This Row],[Ilość]]*tblSprzedaz[[#This Row],[Koszt jednostkowy netto]],2)</f>
        <v>1446.12</v>
      </c>
      <c r="O1499" s="14">
        <f>tblSprzedaz[[#This Row],[Przychód netto]]-tblSprzedaz[[#This Row],[Koszt całkowity netto]]</f>
        <v>680.55000000000018</v>
      </c>
      <c r="P1499" s="15">
        <f>IFERROR(tblSprzedaz[[#This Row],[Marża kwotowa]]/tblSprzedaz[[#This Row],[Przychód netto]],0)</f>
        <v>0.32000733541170007</v>
      </c>
      <c r="Q1499" s="16">
        <f>YEAR(tblSprzedaz[[#This Row],[Data]])</f>
        <v>2026</v>
      </c>
      <c r="R1499" s="16">
        <f>MONTH(tblSprzedaz[[#This Row],[Data]])</f>
        <v>2</v>
      </c>
      <c r="S1499" s="9" t="str">
        <f>YEAR(tblSprzedaz[[#This Row],[Data]])&amp;"-"&amp;RIGHT("0"&amp;MONTH(tblSprzedaz[[#This Row],[Data]]),2)</f>
        <v>2026-02</v>
      </c>
    </row>
    <row r="1500" spans="1:19" x14ac:dyDescent="0.25">
      <c r="A1500" s="7" t="s">
        <v>3167</v>
      </c>
      <c r="B1500" s="10">
        <v>46055</v>
      </c>
      <c r="C1500" s="7" t="s">
        <v>3168</v>
      </c>
      <c r="D1500" s="8" t="s">
        <v>120</v>
      </c>
      <c r="E1500" s="8" t="s">
        <v>69</v>
      </c>
      <c r="F1500" s="8" t="s">
        <v>35</v>
      </c>
      <c r="G1500" s="8" t="s">
        <v>30</v>
      </c>
      <c r="H1500" s="8" t="s">
        <v>41</v>
      </c>
      <c r="I1500" s="11">
        <v>8</v>
      </c>
      <c r="J1500" s="12">
        <v>102</v>
      </c>
      <c r="K1500" s="13">
        <v>0.05</v>
      </c>
      <c r="L1500" s="12">
        <v>73.459999999999994</v>
      </c>
      <c r="M1500" s="14">
        <f>ROUND(tblSprzedaz[[#This Row],[Ilość]]*tblSprzedaz[[#This Row],[Cena netto jednostkowa]]*(1-tblSprzedaz[[#This Row],[Rabat %]]),2)</f>
        <v>775.2</v>
      </c>
      <c r="N1500" s="14">
        <f>ROUND(tblSprzedaz[[#This Row],[Ilość]]*tblSprzedaz[[#This Row],[Koszt jednostkowy netto]],2)</f>
        <v>587.67999999999995</v>
      </c>
      <c r="O1500" s="14">
        <f>tblSprzedaz[[#This Row],[Przychód netto]]-tblSprzedaz[[#This Row],[Koszt całkowity netto]]</f>
        <v>187.5200000000001</v>
      </c>
      <c r="P1500" s="15">
        <f>IFERROR(tblSprzedaz[[#This Row],[Marża kwotowa]]/tblSprzedaz[[#This Row],[Przychód netto]],0)</f>
        <v>0.24189886480908163</v>
      </c>
      <c r="Q1500" s="16">
        <f>YEAR(tblSprzedaz[[#This Row],[Data]])</f>
        <v>2026</v>
      </c>
      <c r="R1500" s="16">
        <f>MONTH(tblSprzedaz[[#This Row],[Data]])</f>
        <v>2</v>
      </c>
      <c r="S1500" s="9" t="str">
        <f>YEAR(tblSprzedaz[[#This Row],[Data]])&amp;"-"&amp;RIGHT("0"&amp;MONTH(tblSprzedaz[[#This Row],[Data]]),2)</f>
        <v>2026-02</v>
      </c>
    </row>
    <row r="1501" spans="1:19" x14ac:dyDescent="0.25">
      <c r="A1501" s="7" t="s">
        <v>3169</v>
      </c>
      <c r="B1501" s="10">
        <v>46055</v>
      </c>
      <c r="C1501" s="7" t="s">
        <v>3170</v>
      </c>
      <c r="D1501" s="8" t="s">
        <v>105</v>
      </c>
      <c r="E1501" s="8" t="s">
        <v>65</v>
      </c>
      <c r="F1501" s="8" t="s">
        <v>33</v>
      </c>
      <c r="G1501" s="8" t="s">
        <v>32</v>
      </c>
      <c r="H1501" s="8" t="s">
        <v>43</v>
      </c>
      <c r="I1501" s="11">
        <v>18</v>
      </c>
      <c r="J1501" s="12">
        <v>377.2</v>
      </c>
      <c r="K1501" s="13">
        <v>0.15</v>
      </c>
      <c r="L1501" s="12">
        <v>257.19</v>
      </c>
      <c r="M1501" s="14">
        <f>ROUND(tblSprzedaz[[#This Row],[Ilość]]*tblSprzedaz[[#This Row],[Cena netto jednostkowa]]*(1-tblSprzedaz[[#This Row],[Rabat %]]),2)</f>
        <v>5771.16</v>
      </c>
      <c r="N1501" s="14">
        <f>ROUND(tblSprzedaz[[#This Row],[Ilość]]*tblSprzedaz[[#This Row],[Koszt jednostkowy netto]],2)</f>
        <v>4629.42</v>
      </c>
      <c r="O1501" s="14">
        <f>tblSprzedaz[[#This Row],[Przychód netto]]-tblSprzedaz[[#This Row],[Koszt całkowity netto]]</f>
        <v>1141.7399999999998</v>
      </c>
      <c r="P1501" s="15">
        <f>IFERROR(tblSprzedaz[[#This Row],[Marża kwotowa]]/tblSprzedaz[[#This Row],[Przychód netto]],0)</f>
        <v>0.19783544382758403</v>
      </c>
      <c r="Q1501" s="16">
        <f>YEAR(tblSprzedaz[[#This Row],[Data]])</f>
        <v>2026</v>
      </c>
      <c r="R1501" s="16">
        <f>MONTH(tblSprzedaz[[#This Row],[Data]])</f>
        <v>2</v>
      </c>
      <c r="S1501" s="9" t="str">
        <f>YEAR(tblSprzedaz[[#This Row],[Data]])&amp;"-"&amp;RIGHT("0"&amp;MONTH(tblSprzedaz[[#This Row],[Data]]),2)</f>
        <v>2026-02</v>
      </c>
    </row>
    <row r="1502" spans="1:19" x14ac:dyDescent="0.25">
      <c r="A1502" s="7" t="s">
        <v>3171</v>
      </c>
      <c r="B1502" s="10">
        <v>46055</v>
      </c>
      <c r="C1502" s="7" t="s">
        <v>3172</v>
      </c>
      <c r="D1502" s="8" t="s">
        <v>115</v>
      </c>
      <c r="E1502" s="8" t="s">
        <v>75</v>
      </c>
      <c r="F1502" s="8" t="s">
        <v>37</v>
      </c>
      <c r="G1502" s="8" t="s">
        <v>34</v>
      </c>
      <c r="H1502" s="8" t="s">
        <v>44</v>
      </c>
      <c r="I1502" s="11">
        <v>7</v>
      </c>
      <c r="J1502" s="12">
        <v>142.5</v>
      </c>
      <c r="K1502" s="13">
        <v>0.1</v>
      </c>
      <c r="L1502" s="12">
        <v>110.21</v>
      </c>
      <c r="M1502" s="14">
        <f>ROUND(tblSprzedaz[[#This Row],[Ilość]]*tblSprzedaz[[#This Row],[Cena netto jednostkowa]]*(1-tblSprzedaz[[#This Row],[Rabat %]]),2)</f>
        <v>897.75</v>
      </c>
      <c r="N1502" s="14">
        <f>ROUND(tblSprzedaz[[#This Row],[Ilość]]*tblSprzedaz[[#This Row],[Koszt jednostkowy netto]],2)</f>
        <v>771.47</v>
      </c>
      <c r="O1502" s="14">
        <f>tblSprzedaz[[#This Row],[Przychód netto]]-tblSprzedaz[[#This Row],[Koszt całkowity netto]]</f>
        <v>126.27999999999997</v>
      </c>
      <c r="P1502" s="15">
        <f>IFERROR(tblSprzedaz[[#This Row],[Marża kwotowa]]/tblSprzedaz[[#This Row],[Przychód netto]],0)</f>
        <v>0.14066276803118904</v>
      </c>
      <c r="Q1502" s="16">
        <f>YEAR(tblSprzedaz[[#This Row],[Data]])</f>
        <v>2026</v>
      </c>
      <c r="R1502" s="16">
        <f>MONTH(tblSprzedaz[[#This Row],[Data]])</f>
        <v>2</v>
      </c>
      <c r="S1502" s="9" t="str">
        <f>YEAR(tblSprzedaz[[#This Row],[Data]])&amp;"-"&amp;RIGHT("0"&amp;MONTH(tblSprzedaz[[#This Row],[Data]]),2)</f>
        <v>2026-02</v>
      </c>
    </row>
    <row r="1503" spans="1:19" x14ac:dyDescent="0.25">
      <c r="A1503" s="7" t="s">
        <v>3173</v>
      </c>
      <c r="B1503" s="10">
        <v>46056</v>
      </c>
      <c r="C1503" s="7" t="s">
        <v>3174</v>
      </c>
      <c r="D1503" s="8" t="s">
        <v>106</v>
      </c>
      <c r="E1503" s="8" t="s">
        <v>76</v>
      </c>
      <c r="F1503" s="8" t="s">
        <v>37</v>
      </c>
      <c r="G1503" s="8" t="s">
        <v>30</v>
      </c>
      <c r="H1503" s="8" t="s">
        <v>40</v>
      </c>
      <c r="I1503" s="11">
        <v>9</v>
      </c>
      <c r="J1503" s="12">
        <v>158.65</v>
      </c>
      <c r="K1503" s="13">
        <v>0</v>
      </c>
      <c r="L1503" s="12">
        <v>126.37</v>
      </c>
      <c r="M1503" s="14">
        <f>ROUND(tblSprzedaz[[#This Row],[Ilość]]*tblSprzedaz[[#This Row],[Cena netto jednostkowa]]*(1-tblSprzedaz[[#This Row],[Rabat %]]),2)</f>
        <v>1427.85</v>
      </c>
      <c r="N1503" s="14">
        <f>ROUND(tblSprzedaz[[#This Row],[Ilość]]*tblSprzedaz[[#This Row],[Koszt jednostkowy netto]],2)</f>
        <v>1137.33</v>
      </c>
      <c r="O1503" s="14">
        <f>tblSprzedaz[[#This Row],[Przychód netto]]-tblSprzedaz[[#This Row],[Koszt całkowity netto]]</f>
        <v>290.52</v>
      </c>
      <c r="P1503" s="15">
        <f>IFERROR(tblSprzedaz[[#This Row],[Marża kwotowa]]/tblSprzedaz[[#This Row],[Przychód netto]],0)</f>
        <v>0.20346675070910811</v>
      </c>
      <c r="Q1503" s="16">
        <f>YEAR(tblSprzedaz[[#This Row],[Data]])</f>
        <v>2026</v>
      </c>
      <c r="R1503" s="16">
        <f>MONTH(tblSprzedaz[[#This Row],[Data]])</f>
        <v>2</v>
      </c>
      <c r="S1503" s="9" t="str">
        <f>YEAR(tblSprzedaz[[#This Row],[Data]])&amp;"-"&amp;RIGHT("0"&amp;MONTH(tblSprzedaz[[#This Row],[Data]]),2)</f>
        <v>2026-02</v>
      </c>
    </row>
    <row r="1504" spans="1:19" x14ac:dyDescent="0.25">
      <c r="A1504" s="7" t="s">
        <v>3175</v>
      </c>
      <c r="B1504" s="10">
        <v>46056</v>
      </c>
      <c r="C1504" s="7" t="s">
        <v>3176</v>
      </c>
      <c r="D1504" s="8" t="s">
        <v>110</v>
      </c>
      <c r="E1504" s="8" t="s">
        <v>52</v>
      </c>
      <c r="F1504" s="8" t="s">
        <v>29</v>
      </c>
      <c r="G1504" s="8" t="s">
        <v>32</v>
      </c>
      <c r="H1504" s="8" t="s">
        <v>42</v>
      </c>
      <c r="I1504" s="11">
        <v>4</v>
      </c>
      <c r="J1504" s="12">
        <v>56.78</v>
      </c>
      <c r="K1504" s="13">
        <v>0.1</v>
      </c>
      <c r="L1504" s="12">
        <v>34.119999999999997</v>
      </c>
      <c r="M1504" s="14">
        <f>ROUND(tblSprzedaz[[#This Row],[Ilość]]*tblSprzedaz[[#This Row],[Cena netto jednostkowa]]*(1-tblSprzedaz[[#This Row],[Rabat %]]),2)</f>
        <v>204.41</v>
      </c>
      <c r="N1504" s="14">
        <f>ROUND(tblSprzedaz[[#This Row],[Ilość]]*tblSprzedaz[[#This Row],[Koszt jednostkowy netto]],2)</f>
        <v>136.47999999999999</v>
      </c>
      <c r="O1504" s="14">
        <f>tblSprzedaz[[#This Row],[Przychód netto]]-tblSprzedaz[[#This Row],[Koszt całkowity netto]]</f>
        <v>67.930000000000007</v>
      </c>
      <c r="P1504" s="15">
        <f>IFERROR(tblSprzedaz[[#This Row],[Marża kwotowa]]/tblSprzedaz[[#This Row],[Przychód netto]],0)</f>
        <v>0.33232229342987135</v>
      </c>
      <c r="Q1504" s="16">
        <f>YEAR(tblSprzedaz[[#This Row],[Data]])</f>
        <v>2026</v>
      </c>
      <c r="R1504" s="16">
        <f>MONTH(tblSprzedaz[[#This Row],[Data]])</f>
        <v>2</v>
      </c>
      <c r="S1504" s="9" t="str">
        <f>YEAR(tblSprzedaz[[#This Row],[Data]])&amp;"-"&amp;RIGHT("0"&amp;MONTH(tblSprzedaz[[#This Row],[Data]]),2)</f>
        <v>2026-02</v>
      </c>
    </row>
    <row r="1505" spans="1:19" x14ac:dyDescent="0.25">
      <c r="A1505" s="7" t="s">
        <v>3177</v>
      </c>
      <c r="B1505" s="10">
        <v>46056</v>
      </c>
      <c r="C1505" s="7" t="s">
        <v>3178</v>
      </c>
      <c r="D1505" s="8" t="s">
        <v>84</v>
      </c>
      <c r="E1505" s="8" t="s">
        <v>61</v>
      </c>
      <c r="F1505" s="8" t="s">
        <v>33</v>
      </c>
      <c r="G1505" s="8" t="s">
        <v>34</v>
      </c>
      <c r="H1505" s="8" t="s">
        <v>45</v>
      </c>
      <c r="I1505" s="11">
        <v>8</v>
      </c>
      <c r="J1505" s="12">
        <v>533.6</v>
      </c>
      <c r="K1505" s="13">
        <v>0.15</v>
      </c>
      <c r="L1505" s="12">
        <v>353.4</v>
      </c>
      <c r="M1505" s="14">
        <f>ROUND(tblSprzedaz[[#This Row],[Ilość]]*tblSprzedaz[[#This Row],[Cena netto jednostkowa]]*(1-tblSprzedaz[[#This Row],[Rabat %]]),2)</f>
        <v>3628.48</v>
      </c>
      <c r="N1505" s="14">
        <f>ROUND(tblSprzedaz[[#This Row],[Ilość]]*tblSprzedaz[[#This Row],[Koszt jednostkowy netto]],2)</f>
        <v>2827.2</v>
      </c>
      <c r="O1505" s="14">
        <f>tblSprzedaz[[#This Row],[Przychód netto]]-tblSprzedaz[[#This Row],[Koszt całkowity netto]]</f>
        <v>801.2800000000002</v>
      </c>
      <c r="P1505" s="15">
        <f>IFERROR(tblSprzedaz[[#This Row],[Marża kwotowa]]/tblSprzedaz[[#This Row],[Przychód netto]],0)</f>
        <v>0.22083076109004326</v>
      </c>
      <c r="Q1505" s="16">
        <f>YEAR(tblSprzedaz[[#This Row],[Data]])</f>
        <v>2026</v>
      </c>
      <c r="R1505" s="16">
        <f>MONTH(tblSprzedaz[[#This Row],[Data]])</f>
        <v>2</v>
      </c>
      <c r="S1505" s="9" t="str">
        <f>YEAR(tblSprzedaz[[#This Row],[Data]])&amp;"-"&amp;RIGHT("0"&amp;MONTH(tblSprzedaz[[#This Row],[Data]]),2)</f>
        <v>2026-02</v>
      </c>
    </row>
    <row r="1506" spans="1:19" x14ac:dyDescent="0.25">
      <c r="A1506" s="7" t="s">
        <v>3179</v>
      </c>
      <c r="B1506" s="10">
        <v>46057</v>
      </c>
      <c r="C1506" s="7" t="s">
        <v>3180</v>
      </c>
      <c r="D1506" s="8" t="s">
        <v>121</v>
      </c>
      <c r="E1506" s="8" t="s">
        <v>74</v>
      </c>
      <c r="F1506" s="8" t="s">
        <v>37</v>
      </c>
      <c r="G1506" s="8" t="s">
        <v>30</v>
      </c>
      <c r="H1506" s="8" t="s">
        <v>41</v>
      </c>
      <c r="I1506" s="11">
        <v>16</v>
      </c>
      <c r="J1506" s="12">
        <v>126.35</v>
      </c>
      <c r="K1506" s="13">
        <v>0.05</v>
      </c>
      <c r="L1506" s="12">
        <v>93.68</v>
      </c>
      <c r="M1506" s="14">
        <f>ROUND(tblSprzedaz[[#This Row],[Ilość]]*tblSprzedaz[[#This Row],[Cena netto jednostkowa]]*(1-tblSprzedaz[[#This Row],[Rabat %]]),2)</f>
        <v>1920.52</v>
      </c>
      <c r="N1506" s="14">
        <f>ROUND(tblSprzedaz[[#This Row],[Ilość]]*tblSprzedaz[[#This Row],[Koszt jednostkowy netto]],2)</f>
        <v>1498.88</v>
      </c>
      <c r="O1506" s="14">
        <f>tblSprzedaz[[#This Row],[Przychód netto]]-tblSprzedaz[[#This Row],[Koszt całkowity netto]]</f>
        <v>421.63999999999987</v>
      </c>
      <c r="P1506" s="15">
        <f>IFERROR(tblSprzedaz[[#This Row],[Marża kwotowa]]/tblSprzedaz[[#This Row],[Przychód netto]],0)</f>
        <v>0.21954470664195108</v>
      </c>
      <c r="Q1506" s="16">
        <f>YEAR(tblSprzedaz[[#This Row],[Data]])</f>
        <v>2026</v>
      </c>
      <c r="R1506" s="16">
        <f>MONTH(tblSprzedaz[[#This Row],[Data]])</f>
        <v>2</v>
      </c>
      <c r="S1506" s="9" t="str">
        <f>YEAR(tblSprzedaz[[#This Row],[Data]])&amp;"-"&amp;RIGHT("0"&amp;MONTH(tblSprzedaz[[#This Row],[Data]]),2)</f>
        <v>2026-02</v>
      </c>
    </row>
    <row r="1507" spans="1:19" x14ac:dyDescent="0.25">
      <c r="A1507" s="7" t="s">
        <v>3181</v>
      </c>
      <c r="B1507" s="10">
        <v>46057</v>
      </c>
      <c r="C1507" s="7" t="s">
        <v>3182</v>
      </c>
      <c r="D1507" s="8" t="s">
        <v>112</v>
      </c>
      <c r="E1507" s="8" t="s">
        <v>61</v>
      </c>
      <c r="F1507" s="8" t="s">
        <v>33</v>
      </c>
      <c r="G1507" s="8" t="s">
        <v>36</v>
      </c>
      <c r="H1507" s="8" t="s">
        <v>46</v>
      </c>
      <c r="I1507" s="11">
        <v>15</v>
      </c>
      <c r="J1507" s="12">
        <v>533.6</v>
      </c>
      <c r="K1507" s="13">
        <v>0</v>
      </c>
      <c r="L1507" s="12">
        <v>347.13</v>
      </c>
      <c r="M1507" s="14">
        <f>ROUND(tblSprzedaz[[#This Row],[Ilość]]*tblSprzedaz[[#This Row],[Cena netto jednostkowa]]*(1-tblSprzedaz[[#This Row],[Rabat %]]),2)</f>
        <v>8004</v>
      </c>
      <c r="N1507" s="14">
        <f>ROUND(tblSprzedaz[[#This Row],[Ilość]]*tblSprzedaz[[#This Row],[Koszt jednostkowy netto]],2)</f>
        <v>5206.95</v>
      </c>
      <c r="O1507" s="14">
        <f>tblSprzedaz[[#This Row],[Przychód netto]]-tblSprzedaz[[#This Row],[Koszt całkowity netto]]</f>
        <v>2797.05</v>
      </c>
      <c r="P1507" s="15">
        <f>IFERROR(tblSprzedaz[[#This Row],[Marża kwotowa]]/tblSprzedaz[[#This Row],[Przychód netto]],0)</f>
        <v>0.34945652173913044</v>
      </c>
      <c r="Q1507" s="16">
        <f>YEAR(tblSprzedaz[[#This Row],[Data]])</f>
        <v>2026</v>
      </c>
      <c r="R1507" s="16">
        <f>MONTH(tblSprzedaz[[#This Row],[Data]])</f>
        <v>2</v>
      </c>
      <c r="S1507" s="9" t="str">
        <f>YEAR(tblSprzedaz[[#This Row],[Data]])&amp;"-"&amp;RIGHT("0"&amp;MONTH(tblSprzedaz[[#This Row],[Data]]),2)</f>
        <v>2026-02</v>
      </c>
    </row>
    <row r="1508" spans="1:19" x14ac:dyDescent="0.25">
      <c r="A1508" s="7" t="s">
        <v>3183</v>
      </c>
      <c r="B1508" s="10">
        <v>46057</v>
      </c>
      <c r="C1508" s="7" t="s">
        <v>3184</v>
      </c>
      <c r="D1508" s="8" t="s">
        <v>129</v>
      </c>
      <c r="E1508" s="8" t="s">
        <v>59</v>
      </c>
      <c r="F1508" s="8" t="s">
        <v>31</v>
      </c>
      <c r="G1508" s="8" t="s">
        <v>36</v>
      </c>
      <c r="H1508" s="8" t="s">
        <v>47</v>
      </c>
      <c r="I1508" s="11">
        <v>9</v>
      </c>
      <c r="J1508" s="12">
        <v>172.2</v>
      </c>
      <c r="K1508" s="13">
        <v>0.05</v>
      </c>
      <c r="L1508" s="12">
        <v>115.13</v>
      </c>
      <c r="M1508" s="14">
        <f>ROUND(tblSprzedaz[[#This Row],[Ilość]]*tblSprzedaz[[#This Row],[Cena netto jednostkowa]]*(1-tblSprzedaz[[#This Row],[Rabat %]]),2)</f>
        <v>1472.31</v>
      </c>
      <c r="N1508" s="14">
        <f>ROUND(tblSprzedaz[[#This Row],[Ilość]]*tblSprzedaz[[#This Row],[Koszt jednostkowy netto]],2)</f>
        <v>1036.17</v>
      </c>
      <c r="O1508" s="14">
        <f>tblSprzedaz[[#This Row],[Przychód netto]]-tblSprzedaz[[#This Row],[Koszt całkowity netto]]</f>
        <v>436.13999999999987</v>
      </c>
      <c r="P1508" s="15">
        <f>IFERROR(tblSprzedaz[[#This Row],[Marża kwotowa]]/tblSprzedaz[[#This Row],[Przychód netto]],0)</f>
        <v>0.2962283758175927</v>
      </c>
      <c r="Q1508" s="16">
        <f>YEAR(tblSprzedaz[[#This Row],[Data]])</f>
        <v>2026</v>
      </c>
      <c r="R1508" s="16">
        <f>MONTH(tblSprzedaz[[#This Row],[Data]])</f>
        <v>2</v>
      </c>
      <c r="S1508" s="9" t="str">
        <f>YEAR(tblSprzedaz[[#This Row],[Data]])&amp;"-"&amp;RIGHT("0"&amp;MONTH(tblSprzedaz[[#This Row],[Data]]),2)</f>
        <v>2026-02</v>
      </c>
    </row>
    <row r="1509" spans="1:19" x14ac:dyDescent="0.25">
      <c r="A1509" s="7" t="s">
        <v>3185</v>
      </c>
      <c r="B1509" s="10">
        <v>46058</v>
      </c>
      <c r="C1509" s="7" t="s">
        <v>3186</v>
      </c>
      <c r="D1509" s="8" t="s">
        <v>143</v>
      </c>
      <c r="E1509" s="8" t="s">
        <v>63</v>
      </c>
      <c r="F1509" s="8" t="s">
        <v>33</v>
      </c>
      <c r="G1509" s="8" t="s">
        <v>28</v>
      </c>
      <c r="H1509" s="8" t="s">
        <v>39</v>
      </c>
      <c r="I1509" s="11">
        <v>9</v>
      </c>
      <c r="J1509" s="12">
        <v>690</v>
      </c>
      <c r="K1509" s="13">
        <v>0.15</v>
      </c>
      <c r="L1509" s="12">
        <v>478.59</v>
      </c>
      <c r="M1509" s="14">
        <f>ROUND(tblSprzedaz[[#This Row],[Ilość]]*tblSprzedaz[[#This Row],[Cena netto jednostkowa]]*(1-tblSprzedaz[[#This Row],[Rabat %]]),2)</f>
        <v>5278.5</v>
      </c>
      <c r="N1509" s="14">
        <f>ROUND(tblSprzedaz[[#This Row],[Ilość]]*tblSprzedaz[[#This Row],[Koszt jednostkowy netto]],2)</f>
        <v>4307.3100000000004</v>
      </c>
      <c r="O1509" s="14">
        <f>tblSprzedaz[[#This Row],[Przychód netto]]-tblSprzedaz[[#This Row],[Koszt całkowity netto]]</f>
        <v>971.1899999999996</v>
      </c>
      <c r="P1509" s="15">
        <f>IFERROR(tblSprzedaz[[#This Row],[Marża kwotowa]]/tblSprzedaz[[#This Row],[Przychód netto]],0)</f>
        <v>0.18398976982097179</v>
      </c>
      <c r="Q1509" s="16">
        <f>YEAR(tblSprzedaz[[#This Row],[Data]])</f>
        <v>2026</v>
      </c>
      <c r="R1509" s="16">
        <f>MONTH(tblSprzedaz[[#This Row],[Data]])</f>
        <v>2</v>
      </c>
      <c r="S1509" s="9" t="str">
        <f>YEAR(tblSprzedaz[[#This Row],[Data]])&amp;"-"&amp;RIGHT("0"&amp;MONTH(tblSprzedaz[[#This Row],[Data]]),2)</f>
        <v>2026-02</v>
      </c>
    </row>
    <row r="1510" spans="1:19" x14ac:dyDescent="0.25">
      <c r="A1510" s="7" t="s">
        <v>3187</v>
      </c>
      <c r="B1510" s="10">
        <v>46058</v>
      </c>
      <c r="C1510" s="7" t="s">
        <v>3188</v>
      </c>
      <c r="D1510" s="8" t="s">
        <v>100</v>
      </c>
      <c r="E1510" s="8" t="s">
        <v>50</v>
      </c>
      <c r="F1510" s="8" t="s">
        <v>29</v>
      </c>
      <c r="G1510" s="8" t="s">
        <v>32</v>
      </c>
      <c r="H1510" s="8" t="s">
        <v>43</v>
      </c>
      <c r="I1510" s="11">
        <v>7</v>
      </c>
      <c r="J1510" s="12">
        <v>45.22</v>
      </c>
      <c r="K1510" s="13">
        <v>0</v>
      </c>
      <c r="L1510" s="12">
        <v>27.57</v>
      </c>
      <c r="M1510" s="14">
        <f>ROUND(tblSprzedaz[[#This Row],[Ilość]]*tblSprzedaz[[#This Row],[Cena netto jednostkowa]]*(1-tblSprzedaz[[#This Row],[Rabat %]]),2)</f>
        <v>316.54000000000002</v>
      </c>
      <c r="N1510" s="14">
        <f>ROUND(tblSprzedaz[[#This Row],[Ilość]]*tblSprzedaz[[#This Row],[Koszt jednostkowy netto]],2)</f>
        <v>192.99</v>
      </c>
      <c r="O1510" s="14">
        <f>tblSprzedaz[[#This Row],[Przychód netto]]-tblSprzedaz[[#This Row],[Koszt całkowity netto]]</f>
        <v>123.55000000000001</v>
      </c>
      <c r="P1510" s="15">
        <f>IFERROR(tblSprzedaz[[#This Row],[Marża kwotowa]]/tblSprzedaz[[#This Row],[Przychód netto]],0)</f>
        <v>0.39031402034498008</v>
      </c>
      <c r="Q1510" s="16">
        <f>YEAR(tblSprzedaz[[#This Row],[Data]])</f>
        <v>2026</v>
      </c>
      <c r="R1510" s="16">
        <f>MONTH(tblSprzedaz[[#This Row],[Data]])</f>
        <v>2</v>
      </c>
      <c r="S1510" s="9" t="str">
        <f>YEAR(tblSprzedaz[[#This Row],[Data]])&amp;"-"&amp;RIGHT("0"&amp;MONTH(tblSprzedaz[[#This Row],[Data]]),2)</f>
        <v>2026-02</v>
      </c>
    </row>
    <row r="1511" spans="1:19" x14ac:dyDescent="0.25">
      <c r="A1511" s="7" t="s">
        <v>3189</v>
      </c>
      <c r="B1511" s="10">
        <v>46058</v>
      </c>
      <c r="C1511" s="7" t="s">
        <v>3190</v>
      </c>
      <c r="D1511" s="8" t="s">
        <v>117</v>
      </c>
      <c r="E1511" s="8" t="s">
        <v>73</v>
      </c>
      <c r="F1511" s="8" t="s">
        <v>37</v>
      </c>
      <c r="G1511" s="8" t="s">
        <v>28</v>
      </c>
      <c r="H1511" s="8" t="s">
        <v>38</v>
      </c>
      <c r="I1511" s="11">
        <v>3</v>
      </c>
      <c r="J1511" s="12">
        <v>110.2</v>
      </c>
      <c r="K1511" s="13">
        <v>0.1</v>
      </c>
      <c r="L1511" s="12">
        <v>82.09</v>
      </c>
      <c r="M1511" s="14">
        <f>ROUND(tblSprzedaz[[#This Row],[Ilość]]*tblSprzedaz[[#This Row],[Cena netto jednostkowa]]*(1-tblSprzedaz[[#This Row],[Rabat %]]),2)</f>
        <v>297.54000000000002</v>
      </c>
      <c r="N1511" s="14">
        <f>ROUND(tblSprzedaz[[#This Row],[Ilość]]*tblSprzedaz[[#This Row],[Koszt jednostkowy netto]],2)</f>
        <v>246.27</v>
      </c>
      <c r="O1511" s="14">
        <f>tblSprzedaz[[#This Row],[Przychód netto]]-tblSprzedaz[[#This Row],[Koszt całkowity netto]]</f>
        <v>51.27000000000001</v>
      </c>
      <c r="P1511" s="15">
        <f>IFERROR(tblSprzedaz[[#This Row],[Marża kwotowa]]/tblSprzedaz[[#This Row],[Przychód netto]],0)</f>
        <v>0.17231296632385565</v>
      </c>
      <c r="Q1511" s="16">
        <f>YEAR(tblSprzedaz[[#This Row],[Data]])</f>
        <v>2026</v>
      </c>
      <c r="R1511" s="16">
        <f>MONTH(tblSprzedaz[[#This Row],[Data]])</f>
        <v>2</v>
      </c>
      <c r="S1511" s="9" t="str">
        <f>YEAR(tblSprzedaz[[#This Row],[Data]])&amp;"-"&amp;RIGHT("0"&amp;MONTH(tblSprzedaz[[#This Row],[Data]]),2)</f>
        <v>2026-02</v>
      </c>
    </row>
    <row r="1512" spans="1:19" x14ac:dyDescent="0.25">
      <c r="A1512" s="7" t="s">
        <v>3191</v>
      </c>
      <c r="B1512" s="10">
        <v>46058</v>
      </c>
      <c r="C1512" s="7" t="s">
        <v>3192</v>
      </c>
      <c r="D1512" s="8" t="s">
        <v>137</v>
      </c>
      <c r="E1512" s="8" t="s">
        <v>77</v>
      </c>
      <c r="F1512" s="8" t="s">
        <v>37</v>
      </c>
      <c r="G1512" s="8" t="s">
        <v>34</v>
      </c>
      <c r="H1512" s="8" t="s">
        <v>44</v>
      </c>
      <c r="I1512" s="11">
        <v>8</v>
      </c>
      <c r="J1512" s="12">
        <v>77.900000000000006</v>
      </c>
      <c r="K1512" s="13">
        <v>0.1</v>
      </c>
      <c r="L1512" s="12">
        <v>59.4</v>
      </c>
      <c r="M1512" s="14">
        <f>ROUND(tblSprzedaz[[#This Row],[Ilość]]*tblSprzedaz[[#This Row],[Cena netto jednostkowa]]*(1-tblSprzedaz[[#This Row],[Rabat %]]),2)</f>
        <v>560.88</v>
      </c>
      <c r="N1512" s="14">
        <f>ROUND(tblSprzedaz[[#This Row],[Ilość]]*tblSprzedaz[[#This Row],[Koszt jednostkowy netto]],2)</f>
        <v>475.2</v>
      </c>
      <c r="O1512" s="14">
        <f>tblSprzedaz[[#This Row],[Przychód netto]]-tblSprzedaz[[#This Row],[Koszt całkowity netto]]</f>
        <v>85.68</v>
      </c>
      <c r="P1512" s="15">
        <f>IFERROR(tblSprzedaz[[#This Row],[Marża kwotowa]]/tblSprzedaz[[#This Row],[Przychód netto]],0)</f>
        <v>0.15275994865211812</v>
      </c>
      <c r="Q1512" s="16">
        <f>YEAR(tblSprzedaz[[#This Row],[Data]])</f>
        <v>2026</v>
      </c>
      <c r="R1512" s="16">
        <f>MONTH(tblSprzedaz[[#This Row],[Data]])</f>
        <v>2</v>
      </c>
      <c r="S1512" s="9" t="str">
        <f>YEAR(tblSprzedaz[[#This Row],[Data]])&amp;"-"&amp;RIGHT("0"&amp;MONTH(tblSprzedaz[[#This Row],[Data]]),2)</f>
        <v>2026-02</v>
      </c>
    </row>
    <row r="1513" spans="1:19" x14ac:dyDescent="0.25">
      <c r="A1513" s="7" t="s">
        <v>3193</v>
      </c>
      <c r="B1513" s="10">
        <v>46058</v>
      </c>
      <c r="C1513" s="7" t="s">
        <v>3194</v>
      </c>
      <c r="D1513" s="8" t="s">
        <v>143</v>
      </c>
      <c r="E1513" s="8" t="s">
        <v>60</v>
      </c>
      <c r="F1513" s="8" t="s">
        <v>33</v>
      </c>
      <c r="G1513" s="8" t="s">
        <v>32</v>
      </c>
      <c r="H1513" s="8" t="s">
        <v>42</v>
      </c>
      <c r="I1513" s="11">
        <v>8</v>
      </c>
      <c r="J1513" s="12">
        <v>455.4</v>
      </c>
      <c r="K1513" s="13">
        <v>0.1</v>
      </c>
      <c r="L1513" s="12">
        <v>297.95999999999998</v>
      </c>
      <c r="M1513" s="14">
        <f>ROUND(tblSprzedaz[[#This Row],[Ilość]]*tblSprzedaz[[#This Row],[Cena netto jednostkowa]]*(1-tblSprzedaz[[#This Row],[Rabat %]]),2)</f>
        <v>3278.88</v>
      </c>
      <c r="N1513" s="14">
        <f>ROUND(tblSprzedaz[[#This Row],[Ilość]]*tblSprzedaz[[#This Row],[Koszt jednostkowy netto]],2)</f>
        <v>2383.6799999999998</v>
      </c>
      <c r="O1513" s="14">
        <f>tblSprzedaz[[#This Row],[Przychód netto]]-tblSprzedaz[[#This Row],[Koszt całkowity netto]]</f>
        <v>895.20000000000027</v>
      </c>
      <c r="P1513" s="15">
        <f>IFERROR(tblSprzedaz[[#This Row],[Marża kwotowa]]/tblSprzedaz[[#This Row],[Przychód netto]],0)</f>
        <v>0.27302005562875137</v>
      </c>
      <c r="Q1513" s="16">
        <f>YEAR(tblSprzedaz[[#This Row],[Data]])</f>
        <v>2026</v>
      </c>
      <c r="R1513" s="16">
        <f>MONTH(tblSprzedaz[[#This Row],[Data]])</f>
        <v>2</v>
      </c>
      <c r="S1513" s="9" t="str">
        <f>YEAR(tblSprzedaz[[#This Row],[Data]])&amp;"-"&amp;RIGHT("0"&amp;MONTH(tblSprzedaz[[#This Row],[Data]]),2)</f>
        <v>2026-02</v>
      </c>
    </row>
    <row r="1514" spans="1:19" x14ac:dyDescent="0.25">
      <c r="A1514" s="7" t="s">
        <v>3195</v>
      </c>
      <c r="B1514" s="10">
        <v>46058</v>
      </c>
      <c r="C1514" s="7" t="s">
        <v>3196</v>
      </c>
      <c r="D1514" s="8" t="s">
        <v>125</v>
      </c>
      <c r="E1514" s="8" t="s">
        <v>55</v>
      </c>
      <c r="F1514" s="8" t="s">
        <v>31</v>
      </c>
      <c r="G1514" s="8" t="s">
        <v>28</v>
      </c>
      <c r="H1514" s="8" t="s">
        <v>38</v>
      </c>
      <c r="I1514" s="11">
        <v>11</v>
      </c>
      <c r="J1514" s="12">
        <v>243.6</v>
      </c>
      <c r="K1514" s="13">
        <v>0.15</v>
      </c>
      <c r="L1514" s="12">
        <v>145.91</v>
      </c>
      <c r="M1514" s="14">
        <f>ROUND(tblSprzedaz[[#This Row],[Ilość]]*tblSprzedaz[[#This Row],[Cena netto jednostkowa]]*(1-tblSprzedaz[[#This Row],[Rabat %]]),2)</f>
        <v>2277.66</v>
      </c>
      <c r="N1514" s="14">
        <f>ROUND(tblSprzedaz[[#This Row],[Ilość]]*tblSprzedaz[[#This Row],[Koszt jednostkowy netto]],2)</f>
        <v>1605.01</v>
      </c>
      <c r="O1514" s="14">
        <f>tblSprzedaz[[#This Row],[Przychód netto]]-tblSprzedaz[[#This Row],[Koszt całkowity netto]]</f>
        <v>672.64999999999986</v>
      </c>
      <c r="P1514" s="15">
        <f>IFERROR(tblSprzedaz[[#This Row],[Marża kwotowa]]/tblSprzedaz[[#This Row],[Przychód netto]],0)</f>
        <v>0.29532502656234905</v>
      </c>
      <c r="Q1514" s="16">
        <f>YEAR(tblSprzedaz[[#This Row],[Data]])</f>
        <v>2026</v>
      </c>
      <c r="R1514" s="16">
        <f>MONTH(tblSprzedaz[[#This Row],[Data]])</f>
        <v>2</v>
      </c>
      <c r="S1514" s="9" t="str">
        <f>YEAR(tblSprzedaz[[#This Row],[Data]])&amp;"-"&amp;RIGHT("0"&amp;MONTH(tblSprzedaz[[#This Row],[Data]]),2)</f>
        <v>2026-02</v>
      </c>
    </row>
    <row r="1515" spans="1:19" x14ac:dyDescent="0.25">
      <c r="A1515" s="7" t="s">
        <v>3197</v>
      </c>
      <c r="B1515" s="10">
        <v>46059</v>
      </c>
      <c r="C1515" s="7" t="s">
        <v>3198</v>
      </c>
      <c r="D1515" s="8" t="s">
        <v>126</v>
      </c>
      <c r="E1515" s="8" t="s">
        <v>68</v>
      </c>
      <c r="F1515" s="8" t="s">
        <v>35</v>
      </c>
      <c r="G1515" s="8" t="s">
        <v>28</v>
      </c>
      <c r="H1515" s="8" t="s">
        <v>38</v>
      </c>
      <c r="I1515" s="11">
        <v>17</v>
      </c>
      <c r="J1515" s="12">
        <v>90.44</v>
      </c>
      <c r="K1515" s="13">
        <v>0.05</v>
      </c>
      <c r="L1515" s="12">
        <v>62.54</v>
      </c>
      <c r="M1515" s="14">
        <f>ROUND(tblSprzedaz[[#This Row],[Ilość]]*tblSprzedaz[[#This Row],[Cena netto jednostkowa]]*(1-tblSprzedaz[[#This Row],[Rabat %]]),2)</f>
        <v>1460.61</v>
      </c>
      <c r="N1515" s="14">
        <f>ROUND(tblSprzedaz[[#This Row],[Ilość]]*tblSprzedaz[[#This Row],[Koszt jednostkowy netto]],2)</f>
        <v>1063.18</v>
      </c>
      <c r="O1515" s="14">
        <f>tblSprzedaz[[#This Row],[Przychód netto]]-tblSprzedaz[[#This Row],[Koszt całkowity netto]]</f>
        <v>397.42999999999984</v>
      </c>
      <c r="P1515" s="15">
        <f>IFERROR(tblSprzedaz[[#This Row],[Marża kwotowa]]/tblSprzedaz[[#This Row],[Przychód netto]],0)</f>
        <v>0.27209864371735087</v>
      </c>
      <c r="Q1515" s="16">
        <f>YEAR(tblSprzedaz[[#This Row],[Data]])</f>
        <v>2026</v>
      </c>
      <c r="R1515" s="16">
        <f>MONTH(tblSprzedaz[[#This Row],[Data]])</f>
        <v>2</v>
      </c>
      <c r="S1515" s="9" t="str">
        <f>YEAR(tblSprzedaz[[#This Row],[Data]])&amp;"-"&amp;RIGHT("0"&amp;MONTH(tblSprzedaz[[#This Row],[Data]]),2)</f>
        <v>2026-02</v>
      </c>
    </row>
    <row r="1516" spans="1:19" x14ac:dyDescent="0.25">
      <c r="A1516" s="7" t="s">
        <v>3199</v>
      </c>
      <c r="B1516" s="10">
        <v>46059</v>
      </c>
      <c r="C1516" s="7" t="s">
        <v>3200</v>
      </c>
      <c r="D1516" s="8" t="s">
        <v>92</v>
      </c>
      <c r="E1516" s="8" t="s">
        <v>71</v>
      </c>
      <c r="F1516" s="8" t="s">
        <v>35</v>
      </c>
      <c r="G1516" s="8" t="s">
        <v>32</v>
      </c>
      <c r="H1516" s="8" t="s">
        <v>43</v>
      </c>
      <c r="I1516" s="11">
        <v>9</v>
      </c>
      <c r="J1516" s="12">
        <v>55.76</v>
      </c>
      <c r="K1516" s="13">
        <v>0</v>
      </c>
      <c r="L1516" s="12">
        <v>39.130000000000003</v>
      </c>
      <c r="M1516" s="14">
        <f>ROUND(tblSprzedaz[[#This Row],[Ilość]]*tblSprzedaz[[#This Row],[Cena netto jednostkowa]]*(1-tblSprzedaz[[#This Row],[Rabat %]]),2)</f>
        <v>501.84</v>
      </c>
      <c r="N1516" s="14">
        <f>ROUND(tblSprzedaz[[#This Row],[Ilość]]*tblSprzedaz[[#This Row],[Koszt jednostkowy netto]],2)</f>
        <v>352.17</v>
      </c>
      <c r="O1516" s="14">
        <f>tblSprzedaz[[#This Row],[Przychód netto]]-tblSprzedaz[[#This Row],[Koszt całkowity netto]]</f>
        <v>149.66999999999996</v>
      </c>
      <c r="P1516" s="15">
        <f>IFERROR(tblSprzedaz[[#This Row],[Marża kwotowa]]/tblSprzedaz[[#This Row],[Przychód netto]],0)</f>
        <v>0.29824246771879476</v>
      </c>
      <c r="Q1516" s="16">
        <f>YEAR(tblSprzedaz[[#This Row],[Data]])</f>
        <v>2026</v>
      </c>
      <c r="R1516" s="16">
        <f>MONTH(tblSprzedaz[[#This Row],[Data]])</f>
        <v>2</v>
      </c>
      <c r="S1516" s="9" t="str">
        <f>YEAR(tblSprzedaz[[#This Row],[Data]])&amp;"-"&amp;RIGHT("0"&amp;MONTH(tblSprzedaz[[#This Row],[Data]]),2)</f>
        <v>2026-02</v>
      </c>
    </row>
    <row r="1517" spans="1:19" x14ac:dyDescent="0.25">
      <c r="A1517" s="7" t="s">
        <v>3201</v>
      </c>
      <c r="B1517" s="10">
        <v>46059</v>
      </c>
      <c r="C1517" s="7" t="s">
        <v>3202</v>
      </c>
      <c r="D1517" s="8" t="s">
        <v>122</v>
      </c>
      <c r="E1517" s="8" t="s">
        <v>62</v>
      </c>
      <c r="F1517" s="8" t="s">
        <v>33</v>
      </c>
      <c r="G1517" s="8" t="s">
        <v>30</v>
      </c>
      <c r="H1517" s="8" t="s">
        <v>40</v>
      </c>
      <c r="I1517" s="11">
        <v>18</v>
      </c>
      <c r="J1517" s="12">
        <v>611.79999999999995</v>
      </c>
      <c r="K1517" s="13">
        <v>0</v>
      </c>
      <c r="L1517" s="12">
        <v>394.09</v>
      </c>
      <c r="M1517" s="14">
        <f>ROUND(tblSprzedaz[[#This Row],[Ilość]]*tblSprzedaz[[#This Row],[Cena netto jednostkowa]]*(1-tblSprzedaz[[#This Row],[Rabat %]]),2)</f>
        <v>11012.4</v>
      </c>
      <c r="N1517" s="14">
        <f>ROUND(tblSprzedaz[[#This Row],[Ilość]]*tblSprzedaz[[#This Row],[Koszt jednostkowy netto]],2)</f>
        <v>7093.62</v>
      </c>
      <c r="O1517" s="14">
        <f>tblSprzedaz[[#This Row],[Przychód netto]]-tblSprzedaz[[#This Row],[Koszt całkowity netto]]</f>
        <v>3918.7799999999997</v>
      </c>
      <c r="P1517" s="15">
        <f>IFERROR(tblSprzedaz[[#This Row],[Marża kwotowa]]/tblSprzedaz[[#This Row],[Przychód netto]],0)</f>
        <v>0.35585158548545276</v>
      </c>
      <c r="Q1517" s="16">
        <f>YEAR(tblSprzedaz[[#This Row],[Data]])</f>
        <v>2026</v>
      </c>
      <c r="R1517" s="16">
        <f>MONTH(tblSprzedaz[[#This Row],[Data]])</f>
        <v>2</v>
      </c>
      <c r="S1517" s="9" t="str">
        <f>YEAR(tblSprzedaz[[#This Row],[Data]])&amp;"-"&amp;RIGHT("0"&amp;MONTH(tblSprzedaz[[#This Row],[Data]]),2)</f>
        <v>2026-02</v>
      </c>
    </row>
    <row r="1518" spans="1:19" x14ac:dyDescent="0.25">
      <c r="A1518" s="7" t="s">
        <v>3203</v>
      </c>
      <c r="B1518" s="10">
        <v>46060</v>
      </c>
      <c r="C1518" s="7" t="s">
        <v>3204</v>
      </c>
      <c r="D1518" s="8" t="s">
        <v>82</v>
      </c>
      <c r="E1518" s="8" t="s">
        <v>75</v>
      </c>
      <c r="F1518" s="8" t="s">
        <v>37</v>
      </c>
      <c r="G1518" s="8" t="s">
        <v>36</v>
      </c>
      <c r="H1518" s="8" t="s">
        <v>46</v>
      </c>
      <c r="I1518" s="11">
        <v>20</v>
      </c>
      <c r="J1518" s="12">
        <v>142.5</v>
      </c>
      <c r="K1518" s="13">
        <v>0.1</v>
      </c>
      <c r="L1518" s="12">
        <v>113.24</v>
      </c>
      <c r="M1518" s="14">
        <f>ROUND(tblSprzedaz[[#This Row],[Ilość]]*tblSprzedaz[[#This Row],[Cena netto jednostkowa]]*(1-tblSprzedaz[[#This Row],[Rabat %]]),2)</f>
        <v>2565</v>
      </c>
      <c r="N1518" s="14">
        <f>ROUND(tblSprzedaz[[#This Row],[Ilość]]*tblSprzedaz[[#This Row],[Koszt jednostkowy netto]],2)</f>
        <v>2264.8000000000002</v>
      </c>
      <c r="O1518" s="14">
        <f>tblSprzedaz[[#This Row],[Przychód netto]]-tblSprzedaz[[#This Row],[Koszt całkowity netto]]</f>
        <v>300.19999999999982</v>
      </c>
      <c r="P1518" s="15">
        <f>IFERROR(tblSprzedaz[[#This Row],[Marża kwotowa]]/tblSprzedaz[[#This Row],[Przychód netto]],0)</f>
        <v>0.11703703703703697</v>
      </c>
      <c r="Q1518" s="16">
        <f>YEAR(tblSprzedaz[[#This Row],[Data]])</f>
        <v>2026</v>
      </c>
      <c r="R1518" s="16">
        <f>MONTH(tblSprzedaz[[#This Row],[Data]])</f>
        <v>2</v>
      </c>
      <c r="S1518" s="9" t="str">
        <f>YEAR(tblSprzedaz[[#This Row],[Data]])&amp;"-"&amp;RIGHT("0"&amp;MONTH(tblSprzedaz[[#This Row],[Data]]),2)</f>
        <v>2026-02</v>
      </c>
    </row>
    <row r="1519" spans="1:19" x14ac:dyDescent="0.25">
      <c r="A1519" s="7" t="s">
        <v>3205</v>
      </c>
      <c r="B1519" s="10">
        <v>46060</v>
      </c>
      <c r="C1519" s="7" t="s">
        <v>3206</v>
      </c>
      <c r="D1519" s="8" t="s">
        <v>110</v>
      </c>
      <c r="E1519" s="8" t="s">
        <v>76</v>
      </c>
      <c r="F1519" s="8" t="s">
        <v>37</v>
      </c>
      <c r="G1519" s="8" t="s">
        <v>36</v>
      </c>
      <c r="H1519" s="8" t="s">
        <v>47</v>
      </c>
      <c r="I1519" s="11">
        <v>4</v>
      </c>
      <c r="J1519" s="12">
        <v>158.65</v>
      </c>
      <c r="K1519" s="13">
        <v>0</v>
      </c>
      <c r="L1519" s="12">
        <v>119.75</v>
      </c>
      <c r="M1519" s="14">
        <f>ROUND(tblSprzedaz[[#This Row],[Ilość]]*tblSprzedaz[[#This Row],[Cena netto jednostkowa]]*(1-tblSprzedaz[[#This Row],[Rabat %]]),2)</f>
        <v>634.6</v>
      </c>
      <c r="N1519" s="14">
        <f>ROUND(tblSprzedaz[[#This Row],[Ilość]]*tblSprzedaz[[#This Row],[Koszt jednostkowy netto]],2)</f>
        <v>479</v>
      </c>
      <c r="O1519" s="14">
        <f>tblSprzedaz[[#This Row],[Przychód netto]]-tblSprzedaz[[#This Row],[Koszt całkowity netto]]</f>
        <v>155.60000000000002</v>
      </c>
      <c r="P1519" s="15">
        <f>IFERROR(tblSprzedaz[[#This Row],[Marża kwotowa]]/tblSprzedaz[[#This Row],[Przychód netto]],0)</f>
        <v>0.24519382288055472</v>
      </c>
      <c r="Q1519" s="16">
        <f>YEAR(tblSprzedaz[[#This Row],[Data]])</f>
        <v>2026</v>
      </c>
      <c r="R1519" s="16">
        <f>MONTH(tblSprzedaz[[#This Row],[Data]])</f>
        <v>2</v>
      </c>
      <c r="S1519" s="9" t="str">
        <f>YEAR(tblSprzedaz[[#This Row],[Data]])&amp;"-"&amp;RIGHT("0"&amp;MONTH(tblSprzedaz[[#This Row],[Data]]),2)</f>
        <v>2026-02</v>
      </c>
    </row>
    <row r="1520" spans="1:19" x14ac:dyDescent="0.25">
      <c r="A1520" s="7" t="s">
        <v>3207</v>
      </c>
      <c r="B1520" s="10">
        <v>46061</v>
      </c>
      <c r="C1520" s="7" t="s">
        <v>3208</v>
      </c>
      <c r="D1520" s="8" t="s">
        <v>132</v>
      </c>
      <c r="E1520" s="8" t="s">
        <v>51</v>
      </c>
      <c r="F1520" s="8" t="s">
        <v>29</v>
      </c>
      <c r="G1520" s="8" t="s">
        <v>30</v>
      </c>
      <c r="H1520" s="8" t="s">
        <v>40</v>
      </c>
      <c r="I1520" s="11">
        <v>14</v>
      </c>
      <c r="J1520" s="12">
        <v>51</v>
      </c>
      <c r="K1520" s="13">
        <v>0</v>
      </c>
      <c r="L1520" s="12">
        <v>28.41</v>
      </c>
      <c r="M1520" s="14">
        <f>ROUND(tblSprzedaz[[#This Row],[Ilość]]*tblSprzedaz[[#This Row],[Cena netto jednostkowa]]*(1-tblSprzedaz[[#This Row],[Rabat %]]),2)</f>
        <v>714</v>
      </c>
      <c r="N1520" s="14">
        <f>ROUND(tblSprzedaz[[#This Row],[Ilość]]*tblSprzedaz[[#This Row],[Koszt jednostkowy netto]],2)</f>
        <v>397.74</v>
      </c>
      <c r="O1520" s="14">
        <f>tblSprzedaz[[#This Row],[Przychód netto]]-tblSprzedaz[[#This Row],[Koszt całkowity netto]]</f>
        <v>316.26</v>
      </c>
      <c r="P1520" s="15">
        <f>IFERROR(tblSprzedaz[[#This Row],[Marża kwotowa]]/tblSprzedaz[[#This Row],[Przychód netto]],0)</f>
        <v>0.44294117647058823</v>
      </c>
      <c r="Q1520" s="16">
        <f>YEAR(tblSprzedaz[[#This Row],[Data]])</f>
        <v>2026</v>
      </c>
      <c r="R1520" s="16">
        <f>MONTH(tblSprzedaz[[#This Row],[Data]])</f>
        <v>2</v>
      </c>
      <c r="S1520" s="9" t="str">
        <f>YEAR(tblSprzedaz[[#This Row],[Data]])&amp;"-"&amp;RIGHT("0"&amp;MONTH(tblSprzedaz[[#This Row],[Data]]),2)</f>
        <v>2026-02</v>
      </c>
    </row>
    <row r="1521" spans="1:19" x14ac:dyDescent="0.25">
      <c r="A1521" s="7" t="s">
        <v>3209</v>
      </c>
      <c r="B1521" s="10">
        <v>46061</v>
      </c>
      <c r="C1521" s="7" t="s">
        <v>3210</v>
      </c>
      <c r="D1521" s="8" t="s">
        <v>104</v>
      </c>
      <c r="E1521" s="8" t="s">
        <v>62</v>
      </c>
      <c r="F1521" s="8" t="s">
        <v>33</v>
      </c>
      <c r="G1521" s="8" t="s">
        <v>34</v>
      </c>
      <c r="H1521" s="8" t="s">
        <v>44</v>
      </c>
      <c r="I1521" s="11">
        <v>4</v>
      </c>
      <c r="J1521" s="12">
        <v>611.79999999999995</v>
      </c>
      <c r="K1521" s="13">
        <v>0</v>
      </c>
      <c r="L1521" s="12">
        <v>431.05</v>
      </c>
      <c r="M1521" s="14">
        <f>ROUND(tblSprzedaz[[#This Row],[Ilość]]*tblSprzedaz[[#This Row],[Cena netto jednostkowa]]*(1-tblSprzedaz[[#This Row],[Rabat %]]),2)</f>
        <v>2447.1999999999998</v>
      </c>
      <c r="N1521" s="14">
        <f>ROUND(tblSprzedaz[[#This Row],[Ilość]]*tblSprzedaz[[#This Row],[Koszt jednostkowy netto]],2)</f>
        <v>1724.2</v>
      </c>
      <c r="O1521" s="14">
        <f>tblSprzedaz[[#This Row],[Przychód netto]]-tblSprzedaz[[#This Row],[Koszt całkowity netto]]</f>
        <v>722.99999999999977</v>
      </c>
      <c r="P1521" s="15">
        <f>IFERROR(tblSprzedaz[[#This Row],[Marża kwotowa]]/tblSprzedaz[[#This Row],[Przychód netto]],0)</f>
        <v>0.29543968617195154</v>
      </c>
      <c r="Q1521" s="16">
        <f>YEAR(tblSprzedaz[[#This Row],[Data]])</f>
        <v>2026</v>
      </c>
      <c r="R1521" s="16">
        <f>MONTH(tblSprzedaz[[#This Row],[Data]])</f>
        <v>2</v>
      </c>
      <c r="S1521" s="9" t="str">
        <f>YEAR(tblSprzedaz[[#This Row],[Data]])&amp;"-"&amp;RIGHT("0"&amp;MONTH(tblSprzedaz[[#This Row],[Data]]),2)</f>
        <v>2026-02</v>
      </c>
    </row>
    <row r="1522" spans="1:19" x14ac:dyDescent="0.25">
      <c r="A1522" s="7" t="s">
        <v>3211</v>
      </c>
      <c r="B1522" s="10">
        <v>46062</v>
      </c>
      <c r="C1522" s="7" t="s">
        <v>3212</v>
      </c>
      <c r="D1522" s="8" t="s">
        <v>125</v>
      </c>
      <c r="E1522" s="8" t="s">
        <v>69</v>
      </c>
      <c r="F1522" s="8" t="s">
        <v>35</v>
      </c>
      <c r="G1522" s="8" t="s">
        <v>36</v>
      </c>
      <c r="H1522" s="8" t="s">
        <v>47</v>
      </c>
      <c r="I1522" s="11">
        <v>12</v>
      </c>
      <c r="J1522" s="12">
        <v>102</v>
      </c>
      <c r="K1522" s="13">
        <v>0</v>
      </c>
      <c r="L1522" s="12">
        <v>72.180000000000007</v>
      </c>
      <c r="M1522" s="14">
        <f>ROUND(tblSprzedaz[[#This Row],[Ilość]]*tblSprzedaz[[#This Row],[Cena netto jednostkowa]]*(1-tblSprzedaz[[#This Row],[Rabat %]]),2)</f>
        <v>1224</v>
      </c>
      <c r="N1522" s="14">
        <f>ROUND(tblSprzedaz[[#This Row],[Ilość]]*tblSprzedaz[[#This Row],[Koszt jednostkowy netto]],2)</f>
        <v>866.16</v>
      </c>
      <c r="O1522" s="14">
        <f>tblSprzedaz[[#This Row],[Przychód netto]]-tblSprzedaz[[#This Row],[Koszt całkowity netto]]</f>
        <v>357.84000000000003</v>
      </c>
      <c r="P1522" s="15">
        <f>IFERROR(tblSprzedaz[[#This Row],[Marża kwotowa]]/tblSprzedaz[[#This Row],[Przychód netto]],0)</f>
        <v>0.29235294117647059</v>
      </c>
      <c r="Q1522" s="16">
        <f>YEAR(tblSprzedaz[[#This Row],[Data]])</f>
        <v>2026</v>
      </c>
      <c r="R1522" s="16">
        <f>MONTH(tblSprzedaz[[#This Row],[Data]])</f>
        <v>2</v>
      </c>
      <c r="S1522" s="9" t="str">
        <f>YEAR(tblSprzedaz[[#This Row],[Data]])&amp;"-"&amp;RIGHT("0"&amp;MONTH(tblSprzedaz[[#This Row],[Data]]),2)</f>
        <v>2026-02</v>
      </c>
    </row>
    <row r="1523" spans="1:19" x14ac:dyDescent="0.25">
      <c r="A1523" s="7" t="s">
        <v>3213</v>
      </c>
      <c r="B1523" s="10">
        <v>46062</v>
      </c>
      <c r="C1523" s="7" t="s">
        <v>3214</v>
      </c>
      <c r="D1523" s="8" t="s">
        <v>84</v>
      </c>
      <c r="E1523" s="8" t="s">
        <v>54</v>
      </c>
      <c r="F1523" s="8" t="s">
        <v>31</v>
      </c>
      <c r="G1523" s="8" t="s">
        <v>34</v>
      </c>
      <c r="H1523" s="8" t="s">
        <v>45</v>
      </c>
      <c r="I1523" s="11">
        <v>8</v>
      </c>
      <c r="J1523" s="12">
        <v>207.9</v>
      </c>
      <c r="K1523" s="13">
        <v>0.15</v>
      </c>
      <c r="L1523" s="12">
        <v>136.65</v>
      </c>
      <c r="M1523" s="14">
        <f>ROUND(tblSprzedaz[[#This Row],[Ilość]]*tblSprzedaz[[#This Row],[Cena netto jednostkowa]]*(1-tblSprzedaz[[#This Row],[Rabat %]]),2)</f>
        <v>1413.72</v>
      </c>
      <c r="N1523" s="14">
        <f>ROUND(tblSprzedaz[[#This Row],[Ilość]]*tblSprzedaz[[#This Row],[Koszt jednostkowy netto]],2)</f>
        <v>1093.2</v>
      </c>
      <c r="O1523" s="14">
        <f>tblSprzedaz[[#This Row],[Przychód netto]]-tblSprzedaz[[#This Row],[Koszt całkowity netto]]</f>
        <v>320.52</v>
      </c>
      <c r="P1523" s="15">
        <f>IFERROR(tblSprzedaz[[#This Row],[Marża kwotowa]]/tblSprzedaz[[#This Row],[Przychód netto]],0)</f>
        <v>0.22672099142687377</v>
      </c>
      <c r="Q1523" s="16">
        <f>YEAR(tblSprzedaz[[#This Row],[Data]])</f>
        <v>2026</v>
      </c>
      <c r="R1523" s="16">
        <f>MONTH(tblSprzedaz[[#This Row],[Data]])</f>
        <v>2</v>
      </c>
      <c r="S1523" s="9" t="str">
        <f>YEAR(tblSprzedaz[[#This Row],[Data]])&amp;"-"&amp;RIGHT("0"&amp;MONTH(tblSprzedaz[[#This Row],[Data]]),2)</f>
        <v>2026-02</v>
      </c>
    </row>
    <row r="1524" spans="1:19" x14ac:dyDescent="0.25">
      <c r="A1524" s="7" t="s">
        <v>3215</v>
      </c>
      <c r="B1524" s="10">
        <v>46062</v>
      </c>
      <c r="C1524" s="7" t="s">
        <v>3216</v>
      </c>
      <c r="D1524" s="8" t="s">
        <v>145</v>
      </c>
      <c r="E1524" s="8" t="s">
        <v>65</v>
      </c>
      <c r="F1524" s="8" t="s">
        <v>33</v>
      </c>
      <c r="G1524" s="8" t="s">
        <v>30</v>
      </c>
      <c r="H1524" s="8" t="s">
        <v>40</v>
      </c>
      <c r="I1524" s="11">
        <v>11</v>
      </c>
      <c r="J1524" s="12">
        <v>377.2</v>
      </c>
      <c r="K1524" s="13">
        <v>0.15</v>
      </c>
      <c r="L1524" s="12">
        <v>248.92</v>
      </c>
      <c r="M1524" s="14">
        <f>ROUND(tblSprzedaz[[#This Row],[Ilość]]*tblSprzedaz[[#This Row],[Cena netto jednostkowa]]*(1-tblSprzedaz[[#This Row],[Rabat %]]),2)</f>
        <v>3526.82</v>
      </c>
      <c r="N1524" s="14">
        <f>ROUND(tblSprzedaz[[#This Row],[Ilość]]*tblSprzedaz[[#This Row],[Koszt jednostkowy netto]],2)</f>
        <v>2738.12</v>
      </c>
      <c r="O1524" s="14">
        <f>tblSprzedaz[[#This Row],[Przychód netto]]-tblSprzedaz[[#This Row],[Koszt całkowity netto]]</f>
        <v>788.70000000000027</v>
      </c>
      <c r="P1524" s="15">
        <f>IFERROR(tblSprzedaz[[#This Row],[Marża kwotowa]]/tblSprzedaz[[#This Row],[Przychód netto]],0)</f>
        <v>0.22362921838937067</v>
      </c>
      <c r="Q1524" s="16">
        <f>YEAR(tblSprzedaz[[#This Row],[Data]])</f>
        <v>2026</v>
      </c>
      <c r="R1524" s="16">
        <f>MONTH(tblSprzedaz[[#This Row],[Data]])</f>
        <v>2</v>
      </c>
      <c r="S1524" s="9" t="str">
        <f>YEAR(tblSprzedaz[[#This Row],[Data]])&amp;"-"&amp;RIGHT("0"&amp;MONTH(tblSprzedaz[[#This Row],[Data]]),2)</f>
        <v>2026-02</v>
      </c>
    </row>
    <row r="1525" spans="1:19" x14ac:dyDescent="0.25">
      <c r="A1525" s="7" t="s">
        <v>3217</v>
      </c>
      <c r="B1525" s="10">
        <v>46062</v>
      </c>
      <c r="C1525" s="7" t="s">
        <v>3218</v>
      </c>
      <c r="D1525" s="8" t="s">
        <v>99</v>
      </c>
      <c r="E1525" s="8" t="s">
        <v>55</v>
      </c>
      <c r="F1525" s="8" t="s">
        <v>31</v>
      </c>
      <c r="G1525" s="8" t="s">
        <v>32</v>
      </c>
      <c r="H1525" s="8" t="s">
        <v>43</v>
      </c>
      <c r="I1525" s="11">
        <v>23</v>
      </c>
      <c r="J1525" s="12">
        <v>243.6</v>
      </c>
      <c r="K1525" s="13">
        <v>0.15</v>
      </c>
      <c r="L1525" s="12">
        <v>145.32</v>
      </c>
      <c r="M1525" s="14">
        <f>ROUND(tblSprzedaz[[#This Row],[Ilość]]*tblSprzedaz[[#This Row],[Cena netto jednostkowa]]*(1-tblSprzedaz[[#This Row],[Rabat %]]),2)</f>
        <v>4762.38</v>
      </c>
      <c r="N1525" s="14">
        <f>ROUND(tblSprzedaz[[#This Row],[Ilość]]*tblSprzedaz[[#This Row],[Koszt jednostkowy netto]],2)</f>
        <v>3342.36</v>
      </c>
      <c r="O1525" s="14">
        <f>tblSprzedaz[[#This Row],[Przychód netto]]-tblSprzedaz[[#This Row],[Koszt całkowity netto]]</f>
        <v>1420.02</v>
      </c>
      <c r="P1525" s="15">
        <f>IFERROR(tblSprzedaz[[#This Row],[Marża kwotowa]]/tblSprzedaz[[#This Row],[Przychód netto]],0)</f>
        <v>0.29817444219066935</v>
      </c>
      <c r="Q1525" s="16">
        <f>YEAR(tblSprzedaz[[#This Row],[Data]])</f>
        <v>2026</v>
      </c>
      <c r="R1525" s="16">
        <f>MONTH(tblSprzedaz[[#This Row],[Data]])</f>
        <v>2</v>
      </c>
      <c r="S1525" s="9" t="str">
        <f>YEAR(tblSprzedaz[[#This Row],[Data]])&amp;"-"&amp;RIGHT("0"&amp;MONTH(tblSprzedaz[[#This Row],[Data]]),2)</f>
        <v>2026-02</v>
      </c>
    </row>
    <row r="1526" spans="1:19" x14ac:dyDescent="0.25">
      <c r="A1526" s="7" t="s">
        <v>3219</v>
      </c>
      <c r="B1526" s="10">
        <v>46063</v>
      </c>
      <c r="C1526" s="7" t="s">
        <v>3220</v>
      </c>
      <c r="D1526" s="8" t="s">
        <v>78</v>
      </c>
      <c r="E1526" s="8" t="s">
        <v>76</v>
      </c>
      <c r="F1526" s="8" t="s">
        <v>37</v>
      </c>
      <c r="G1526" s="8" t="s">
        <v>32</v>
      </c>
      <c r="H1526" s="8" t="s">
        <v>42</v>
      </c>
      <c r="I1526" s="11">
        <v>20</v>
      </c>
      <c r="J1526" s="12">
        <v>158.65</v>
      </c>
      <c r="K1526" s="13">
        <v>0.15</v>
      </c>
      <c r="L1526" s="12">
        <v>121.18</v>
      </c>
      <c r="M1526" s="14">
        <f>ROUND(tblSprzedaz[[#This Row],[Ilość]]*tblSprzedaz[[#This Row],[Cena netto jednostkowa]]*(1-tblSprzedaz[[#This Row],[Rabat %]]),2)</f>
        <v>2697.05</v>
      </c>
      <c r="N1526" s="14">
        <f>ROUND(tblSprzedaz[[#This Row],[Ilość]]*tblSprzedaz[[#This Row],[Koszt jednostkowy netto]],2)</f>
        <v>2423.6</v>
      </c>
      <c r="O1526" s="14">
        <f>tblSprzedaz[[#This Row],[Przychód netto]]-tblSprzedaz[[#This Row],[Koszt całkowity netto]]</f>
        <v>273.45000000000027</v>
      </c>
      <c r="P1526" s="15">
        <f>IFERROR(tblSprzedaz[[#This Row],[Marża kwotowa]]/tblSprzedaz[[#This Row],[Przychód netto]],0)</f>
        <v>0.10138855416102788</v>
      </c>
      <c r="Q1526" s="16">
        <f>YEAR(tblSprzedaz[[#This Row],[Data]])</f>
        <v>2026</v>
      </c>
      <c r="R1526" s="16">
        <f>MONTH(tblSprzedaz[[#This Row],[Data]])</f>
        <v>2</v>
      </c>
      <c r="S1526" s="9" t="str">
        <f>YEAR(tblSprzedaz[[#This Row],[Data]])&amp;"-"&amp;RIGHT("0"&amp;MONTH(tblSprzedaz[[#This Row],[Data]]),2)</f>
        <v>2026-02</v>
      </c>
    </row>
    <row r="1527" spans="1:19" x14ac:dyDescent="0.25">
      <c r="A1527" s="7" t="s">
        <v>3221</v>
      </c>
      <c r="B1527" s="10">
        <v>46063</v>
      </c>
      <c r="C1527" s="7" t="s">
        <v>3222</v>
      </c>
      <c r="D1527" s="8" t="s">
        <v>98</v>
      </c>
      <c r="E1527" s="8" t="s">
        <v>66</v>
      </c>
      <c r="F1527" s="8" t="s">
        <v>35</v>
      </c>
      <c r="G1527" s="8" t="s">
        <v>34</v>
      </c>
      <c r="H1527" s="8" t="s">
        <v>45</v>
      </c>
      <c r="I1527" s="11">
        <v>3</v>
      </c>
      <c r="J1527" s="12">
        <v>67.319999999999993</v>
      </c>
      <c r="K1527" s="13">
        <v>0</v>
      </c>
      <c r="L1527" s="12">
        <v>46.3</v>
      </c>
      <c r="M1527" s="14">
        <f>ROUND(tblSprzedaz[[#This Row],[Ilość]]*tblSprzedaz[[#This Row],[Cena netto jednostkowa]]*(1-tblSprzedaz[[#This Row],[Rabat %]]),2)</f>
        <v>201.96</v>
      </c>
      <c r="N1527" s="14">
        <f>ROUND(tblSprzedaz[[#This Row],[Ilość]]*tblSprzedaz[[#This Row],[Koszt jednostkowy netto]],2)</f>
        <v>138.9</v>
      </c>
      <c r="O1527" s="14">
        <f>tblSprzedaz[[#This Row],[Przychód netto]]-tblSprzedaz[[#This Row],[Koszt całkowity netto]]</f>
        <v>63.06</v>
      </c>
      <c r="P1527" s="15">
        <f>IFERROR(tblSprzedaz[[#This Row],[Marża kwotowa]]/tblSprzedaz[[#This Row],[Przychód netto]],0)</f>
        <v>0.31224004753416518</v>
      </c>
      <c r="Q1527" s="16">
        <f>YEAR(tblSprzedaz[[#This Row],[Data]])</f>
        <v>2026</v>
      </c>
      <c r="R1527" s="16">
        <f>MONTH(tblSprzedaz[[#This Row],[Data]])</f>
        <v>2</v>
      </c>
      <c r="S1527" s="9" t="str">
        <f>YEAR(tblSprzedaz[[#This Row],[Data]])&amp;"-"&amp;RIGHT("0"&amp;MONTH(tblSprzedaz[[#This Row],[Data]]),2)</f>
        <v>2026-02</v>
      </c>
    </row>
    <row r="1528" spans="1:19" x14ac:dyDescent="0.25">
      <c r="A1528" s="7" t="s">
        <v>3223</v>
      </c>
      <c r="B1528" s="10">
        <v>46063</v>
      </c>
      <c r="C1528" s="7" t="s">
        <v>3224</v>
      </c>
      <c r="D1528" s="8" t="s">
        <v>105</v>
      </c>
      <c r="E1528" s="8" t="s">
        <v>68</v>
      </c>
      <c r="F1528" s="8" t="s">
        <v>35</v>
      </c>
      <c r="G1528" s="8" t="s">
        <v>36</v>
      </c>
      <c r="H1528" s="8" t="s">
        <v>46</v>
      </c>
      <c r="I1528" s="11">
        <v>14</v>
      </c>
      <c r="J1528" s="12">
        <v>90.44</v>
      </c>
      <c r="K1528" s="13">
        <v>0.1</v>
      </c>
      <c r="L1528" s="12">
        <v>68.36</v>
      </c>
      <c r="M1528" s="14">
        <f>ROUND(tblSprzedaz[[#This Row],[Ilość]]*tblSprzedaz[[#This Row],[Cena netto jednostkowa]]*(1-tblSprzedaz[[#This Row],[Rabat %]]),2)</f>
        <v>1139.54</v>
      </c>
      <c r="N1528" s="14">
        <f>ROUND(tblSprzedaz[[#This Row],[Ilość]]*tblSprzedaz[[#This Row],[Koszt jednostkowy netto]],2)</f>
        <v>957.04</v>
      </c>
      <c r="O1528" s="14">
        <f>tblSprzedaz[[#This Row],[Przychód netto]]-tblSprzedaz[[#This Row],[Koszt całkowity netto]]</f>
        <v>182.5</v>
      </c>
      <c r="P1528" s="15">
        <f>IFERROR(tblSprzedaz[[#This Row],[Marża kwotowa]]/tblSprzedaz[[#This Row],[Przychód netto]],0)</f>
        <v>0.1601523421731576</v>
      </c>
      <c r="Q1528" s="16">
        <f>YEAR(tblSprzedaz[[#This Row],[Data]])</f>
        <v>2026</v>
      </c>
      <c r="R1528" s="16">
        <f>MONTH(tblSprzedaz[[#This Row],[Data]])</f>
        <v>2</v>
      </c>
      <c r="S1528" s="9" t="str">
        <f>YEAR(tblSprzedaz[[#This Row],[Data]])&amp;"-"&amp;RIGHT("0"&amp;MONTH(tblSprzedaz[[#This Row],[Data]]),2)</f>
        <v>2026-02</v>
      </c>
    </row>
    <row r="1529" spans="1:19" x14ac:dyDescent="0.25">
      <c r="A1529" s="7" t="s">
        <v>3225</v>
      </c>
      <c r="B1529" s="10">
        <v>46063</v>
      </c>
      <c r="C1529" s="7" t="s">
        <v>3226</v>
      </c>
      <c r="D1529" s="8" t="s">
        <v>142</v>
      </c>
      <c r="E1529" s="8" t="s">
        <v>51</v>
      </c>
      <c r="F1529" s="8" t="s">
        <v>29</v>
      </c>
      <c r="G1529" s="8" t="s">
        <v>34</v>
      </c>
      <c r="H1529" s="8" t="s">
        <v>45</v>
      </c>
      <c r="I1529" s="11">
        <v>2</v>
      </c>
      <c r="J1529" s="12">
        <v>51</v>
      </c>
      <c r="K1529" s="13">
        <v>0</v>
      </c>
      <c r="L1529" s="12">
        <v>29.96</v>
      </c>
      <c r="M1529" s="14">
        <f>ROUND(tblSprzedaz[[#This Row],[Ilość]]*tblSprzedaz[[#This Row],[Cena netto jednostkowa]]*(1-tblSprzedaz[[#This Row],[Rabat %]]),2)</f>
        <v>102</v>
      </c>
      <c r="N1529" s="14">
        <f>ROUND(tblSprzedaz[[#This Row],[Ilość]]*tblSprzedaz[[#This Row],[Koszt jednostkowy netto]],2)</f>
        <v>59.92</v>
      </c>
      <c r="O1529" s="14">
        <f>tblSprzedaz[[#This Row],[Przychód netto]]-tblSprzedaz[[#This Row],[Koszt całkowity netto]]</f>
        <v>42.08</v>
      </c>
      <c r="P1529" s="15">
        <f>IFERROR(tblSprzedaz[[#This Row],[Marża kwotowa]]/tblSprzedaz[[#This Row],[Przychód netto]],0)</f>
        <v>0.41254901960784313</v>
      </c>
      <c r="Q1529" s="16">
        <f>YEAR(tblSprzedaz[[#This Row],[Data]])</f>
        <v>2026</v>
      </c>
      <c r="R1529" s="16">
        <f>MONTH(tblSprzedaz[[#This Row],[Data]])</f>
        <v>2</v>
      </c>
      <c r="S1529" s="9" t="str">
        <f>YEAR(tblSprzedaz[[#This Row],[Data]])&amp;"-"&amp;RIGHT("0"&amp;MONTH(tblSprzedaz[[#This Row],[Data]]),2)</f>
        <v>2026-02</v>
      </c>
    </row>
    <row r="1530" spans="1:19" x14ac:dyDescent="0.25">
      <c r="A1530" s="7" t="s">
        <v>3227</v>
      </c>
      <c r="B1530" s="10">
        <v>46063</v>
      </c>
      <c r="C1530" s="7" t="s">
        <v>3228</v>
      </c>
      <c r="D1530" s="8" t="s">
        <v>105</v>
      </c>
      <c r="E1530" s="8" t="s">
        <v>56</v>
      </c>
      <c r="F1530" s="8" t="s">
        <v>31</v>
      </c>
      <c r="G1530" s="8" t="s">
        <v>34</v>
      </c>
      <c r="H1530" s="8" t="s">
        <v>44</v>
      </c>
      <c r="I1530" s="11">
        <v>8</v>
      </c>
      <c r="J1530" s="12">
        <v>279.3</v>
      </c>
      <c r="K1530" s="13">
        <v>0.05</v>
      </c>
      <c r="L1530" s="12">
        <v>178.3</v>
      </c>
      <c r="M1530" s="14">
        <f>ROUND(tblSprzedaz[[#This Row],[Ilość]]*tblSprzedaz[[#This Row],[Cena netto jednostkowa]]*(1-tblSprzedaz[[#This Row],[Rabat %]]),2)</f>
        <v>2122.6799999999998</v>
      </c>
      <c r="N1530" s="14">
        <f>ROUND(tblSprzedaz[[#This Row],[Ilość]]*tblSprzedaz[[#This Row],[Koszt jednostkowy netto]],2)</f>
        <v>1426.4</v>
      </c>
      <c r="O1530" s="14">
        <f>tblSprzedaz[[#This Row],[Przychód netto]]-tblSprzedaz[[#This Row],[Koszt całkowity netto]]</f>
        <v>696.27999999999975</v>
      </c>
      <c r="P1530" s="15">
        <f>IFERROR(tblSprzedaz[[#This Row],[Marża kwotowa]]/tblSprzedaz[[#This Row],[Przychód netto]],0)</f>
        <v>0.32801929636120369</v>
      </c>
      <c r="Q1530" s="16">
        <f>YEAR(tblSprzedaz[[#This Row],[Data]])</f>
        <v>2026</v>
      </c>
      <c r="R1530" s="16">
        <f>MONTH(tblSprzedaz[[#This Row],[Data]])</f>
        <v>2</v>
      </c>
      <c r="S1530" s="9" t="str">
        <f>YEAR(tblSprzedaz[[#This Row],[Data]])&amp;"-"&amp;RIGHT("0"&amp;MONTH(tblSprzedaz[[#This Row],[Data]]),2)</f>
        <v>2026-02</v>
      </c>
    </row>
    <row r="1531" spans="1:19" x14ac:dyDescent="0.25">
      <c r="A1531" s="7" t="s">
        <v>3229</v>
      </c>
      <c r="B1531" s="10">
        <v>46064</v>
      </c>
      <c r="C1531" s="7" t="s">
        <v>3230</v>
      </c>
      <c r="D1531" s="8" t="s">
        <v>128</v>
      </c>
      <c r="E1531" s="8" t="s">
        <v>54</v>
      </c>
      <c r="F1531" s="8" t="s">
        <v>31</v>
      </c>
      <c r="G1531" s="8" t="s">
        <v>36</v>
      </c>
      <c r="H1531" s="8" t="s">
        <v>47</v>
      </c>
      <c r="I1531" s="11">
        <v>2</v>
      </c>
      <c r="J1531" s="12">
        <v>207.9</v>
      </c>
      <c r="K1531" s="13">
        <v>0</v>
      </c>
      <c r="L1531" s="12">
        <v>125.39</v>
      </c>
      <c r="M1531" s="14">
        <f>ROUND(tblSprzedaz[[#This Row],[Ilość]]*tblSprzedaz[[#This Row],[Cena netto jednostkowa]]*(1-tblSprzedaz[[#This Row],[Rabat %]]),2)</f>
        <v>415.8</v>
      </c>
      <c r="N1531" s="14">
        <f>ROUND(tblSprzedaz[[#This Row],[Ilość]]*tblSprzedaz[[#This Row],[Koszt jednostkowy netto]],2)</f>
        <v>250.78</v>
      </c>
      <c r="O1531" s="14">
        <f>tblSprzedaz[[#This Row],[Przychód netto]]-tblSprzedaz[[#This Row],[Koszt całkowity netto]]</f>
        <v>165.02</v>
      </c>
      <c r="P1531" s="15">
        <f>IFERROR(tblSprzedaz[[#This Row],[Marża kwotowa]]/tblSprzedaz[[#This Row],[Przychód netto]],0)</f>
        <v>0.39687349687349688</v>
      </c>
      <c r="Q1531" s="16">
        <f>YEAR(tblSprzedaz[[#This Row],[Data]])</f>
        <v>2026</v>
      </c>
      <c r="R1531" s="16">
        <f>MONTH(tblSprzedaz[[#This Row],[Data]])</f>
        <v>2</v>
      </c>
      <c r="S1531" s="9" t="str">
        <f>YEAR(tblSprzedaz[[#This Row],[Data]])&amp;"-"&amp;RIGHT("0"&amp;MONTH(tblSprzedaz[[#This Row],[Data]]),2)</f>
        <v>2026-02</v>
      </c>
    </row>
    <row r="1532" spans="1:19" x14ac:dyDescent="0.25">
      <c r="A1532" s="7" t="s">
        <v>3231</v>
      </c>
      <c r="B1532" s="10">
        <v>46064</v>
      </c>
      <c r="C1532" s="7" t="s">
        <v>3232</v>
      </c>
      <c r="D1532" s="8" t="s">
        <v>132</v>
      </c>
      <c r="E1532" s="8" t="s">
        <v>58</v>
      </c>
      <c r="F1532" s="8" t="s">
        <v>31</v>
      </c>
      <c r="G1532" s="8" t="s">
        <v>32</v>
      </c>
      <c r="H1532" s="8" t="s">
        <v>42</v>
      </c>
      <c r="I1532" s="11">
        <v>13</v>
      </c>
      <c r="J1532" s="12">
        <v>350.7</v>
      </c>
      <c r="K1532" s="13">
        <v>0</v>
      </c>
      <c r="L1532" s="12">
        <v>215.21</v>
      </c>
      <c r="M1532" s="14">
        <f>ROUND(tblSprzedaz[[#This Row],[Ilość]]*tblSprzedaz[[#This Row],[Cena netto jednostkowa]]*(1-tblSprzedaz[[#This Row],[Rabat %]]),2)</f>
        <v>4559.1000000000004</v>
      </c>
      <c r="N1532" s="14">
        <f>ROUND(tblSprzedaz[[#This Row],[Ilość]]*tblSprzedaz[[#This Row],[Koszt jednostkowy netto]],2)</f>
        <v>2797.73</v>
      </c>
      <c r="O1532" s="14">
        <f>tblSprzedaz[[#This Row],[Przychód netto]]-tblSprzedaz[[#This Row],[Koszt całkowity netto]]</f>
        <v>1761.3700000000003</v>
      </c>
      <c r="P1532" s="15">
        <f>IFERROR(tblSprzedaz[[#This Row],[Marża kwotowa]]/tblSprzedaz[[#This Row],[Przychód netto]],0)</f>
        <v>0.38634160250926725</v>
      </c>
      <c r="Q1532" s="16">
        <f>YEAR(tblSprzedaz[[#This Row],[Data]])</f>
        <v>2026</v>
      </c>
      <c r="R1532" s="16">
        <f>MONTH(tblSprzedaz[[#This Row],[Data]])</f>
        <v>2</v>
      </c>
      <c r="S1532" s="9" t="str">
        <f>YEAR(tblSprzedaz[[#This Row],[Data]])&amp;"-"&amp;RIGHT("0"&amp;MONTH(tblSprzedaz[[#This Row],[Data]]),2)</f>
        <v>2026-02</v>
      </c>
    </row>
    <row r="1533" spans="1:19" x14ac:dyDescent="0.25">
      <c r="A1533" s="7" t="s">
        <v>3233</v>
      </c>
      <c r="B1533" s="10">
        <v>46064</v>
      </c>
      <c r="C1533" s="7" t="s">
        <v>3234</v>
      </c>
      <c r="D1533" s="8" t="s">
        <v>140</v>
      </c>
      <c r="E1533" s="8" t="s">
        <v>62</v>
      </c>
      <c r="F1533" s="8" t="s">
        <v>33</v>
      </c>
      <c r="G1533" s="8" t="s">
        <v>30</v>
      </c>
      <c r="H1533" s="8" t="s">
        <v>40</v>
      </c>
      <c r="I1533" s="11">
        <v>13</v>
      </c>
      <c r="J1533" s="12">
        <v>611.79999999999995</v>
      </c>
      <c r="K1533" s="13">
        <v>0.05</v>
      </c>
      <c r="L1533" s="12">
        <v>404.72</v>
      </c>
      <c r="M1533" s="14">
        <f>ROUND(tblSprzedaz[[#This Row],[Ilość]]*tblSprzedaz[[#This Row],[Cena netto jednostkowa]]*(1-tblSprzedaz[[#This Row],[Rabat %]]),2)</f>
        <v>7555.73</v>
      </c>
      <c r="N1533" s="14">
        <f>ROUND(tblSprzedaz[[#This Row],[Ilość]]*tblSprzedaz[[#This Row],[Koszt jednostkowy netto]],2)</f>
        <v>5261.36</v>
      </c>
      <c r="O1533" s="14">
        <f>tblSprzedaz[[#This Row],[Przychód netto]]-tblSprzedaz[[#This Row],[Koszt całkowity netto]]</f>
        <v>2294.37</v>
      </c>
      <c r="P1533" s="15">
        <f>IFERROR(tblSprzedaz[[#This Row],[Marża kwotowa]]/tblSprzedaz[[#This Row],[Przychód netto]],0)</f>
        <v>0.30365960668261044</v>
      </c>
      <c r="Q1533" s="16">
        <f>YEAR(tblSprzedaz[[#This Row],[Data]])</f>
        <v>2026</v>
      </c>
      <c r="R1533" s="16">
        <f>MONTH(tblSprzedaz[[#This Row],[Data]])</f>
        <v>2</v>
      </c>
      <c r="S1533" s="9" t="str">
        <f>YEAR(tblSprzedaz[[#This Row],[Data]])&amp;"-"&amp;RIGHT("0"&amp;MONTH(tblSprzedaz[[#This Row],[Data]]),2)</f>
        <v>2026-02</v>
      </c>
    </row>
    <row r="1534" spans="1:19" x14ac:dyDescent="0.25">
      <c r="A1534" s="7" t="s">
        <v>3235</v>
      </c>
      <c r="B1534" s="10">
        <v>46065</v>
      </c>
      <c r="C1534" s="7" t="s">
        <v>3236</v>
      </c>
      <c r="D1534" s="8" t="s">
        <v>110</v>
      </c>
      <c r="E1534" s="8" t="s">
        <v>48</v>
      </c>
      <c r="F1534" s="8" t="s">
        <v>29</v>
      </c>
      <c r="G1534" s="8" t="s">
        <v>28</v>
      </c>
      <c r="H1534" s="8" t="s">
        <v>38</v>
      </c>
      <c r="I1534" s="11">
        <v>2</v>
      </c>
      <c r="J1534" s="12">
        <v>33.659999999999997</v>
      </c>
      <c r="K1534" s="13">
        <v>0.15</v>
      </c>
      <c r="L1534" s="12">
        <v>18.57</v>
      </c>
      <c r="M1534" s="14">
        <f>ROUND(tblSprzedaz[[#This Row],[Ilość]]*tblSprzedaz[[#This Row],[Cena netto jednostkowa]]*(1-tblSprzedaz[[#This Row],[Rabat %]]),2)</f>
        <v>57.22</v>
      </c>
      <c r="N1534" s="14">
        <f>ROUND(tblSprzedaz[[#This Row],[Ilość]]*tblSprzedaz[[#This Row],[Koszt jednostkowy netto]],2)</f>
        <v>37.14</v>
      </c>
      <c r="O1534" s="14">
        <f>tblSprzedaz[[#This Row],[Przychód netto]]-tblSprzedaz[[#This Row],[Koszt całkowity netto]]</f>
        <v>20.079999999999998</v>
      </c>
      <c r="P1534" s="15">
        <f>IFERROR(tblSprzedaz[[#This Row],[Marża kwotowa]]/tblSprzedaz[[#This Row],[Przychód netto]],0)</f>
        <v>0.35092624956308982</v>
      </c>
      <c r="Q1534" s="16">
        <f>YEAR(tblSprzedaz[[#This Row],[Data]])</f>
        <v>2026</v>
      </c>
      <c r="R1534" s="16">
        <f>MONTH(tblSprzedaz[[#This Row],[Data]])</f>
        <v>2</v>
      </c>
      <c r="S1534" s="9" t="str">
        <f>YEAR(tblSprzedaz[[#This Row],[Data]])&amp;"-"&amp;RIGHT("0"&amp;MONTH(tblSprzedaz[[#This Row],[Data]]),2)</f>
        <v>2026-02</v>
      </c>
    </row>
    <row r="1535" spans="1:19" x14ac:dyDescent="0.25">
      <c r="A1535" s="7" t="s">
        <v>3237</v>
      </c>
      <c r="B1535" s="10">
        <v>46065</v>
      </c>
      <c r="C1535" s="7" t="s">
        <v>3238</v>
      </c>
      <c r="D1535" s="8" t="s">
        <v>87</v>
      </c>
      <c r="E1535" s="8" t="s">
        <v>76</v>
      </c>
      <c r="F1535" s="8" t="s">
        <v>37</v>
      </c>
      <c r="G1535" s="8" t="s">
        <v>34</v>
      </c>
      <c r="H1535" s="8" t="s">
        <v>44</v>
      </c>
      <c r="I1535" s="11">
        <v>2</v>
      </c>
      <c r="J1535" s="12">
        <v>158.65</v>
      </c>
      <c r="K1535" s="13">
        <v>0.05</v>
      </c>
      <c r="L1535" s="12">
        <v>126.67</v>
      </c>
      <c r="M1535" s="14">
        <f>ROUND(tblSprzedaz[[#This Row],[Ilość]]*tblSprzedaz[[#This Row],[Cena netto jednostkowa]]*(1-tblSprzedaz[[#This Row],[Rabat %]]),2)</f>
        <v>301.44</v>
      </c>
      <c r="N1535" s="14">
        <f>ROUND(tblSprzedaz[[#This Row],[Ilość]]*tblSprzedaz[[#This Row],[Koszt jednostkowy netto]],2)</f>
        <v>253.34</v>
      </c>
      <c r="O1535" s="14">
        <f>tblSprzedaz[[#This Row],[Przychód netto]]-tblSprzedaz[[#This Row],[Koszt całkowity netto]]</f>
        <v>48.099999999999994</v>
      </c>
      <c r="P1535" s="15">
        <f>IFERROR(tblSprzedaz[[#This Row],[Marża kwotowa]]/tblSprzedaz[[#This Row],[Przychód netto]],0)</f>
        <v>0.15956740976645434</v>
      </c>
      <c r="Q1535" s="16">
        <f>YEAR(tblSprzedaz[[#This Row],[Data]])</f>
        <v>2026</v>
      </c>
      <c r="R1535" s="16">
        <f>MONTH(tblSprzedaz[[#This Row],[Data]])</f>
        <v>2</v>
      </c>
      <c r="S1535" s="9" t="str">
        <f>YEAR(tblSprzedaz[[#This Row],[Data]])&amp;"-"&amp;RIGHT("0"&amp;MONTH(tblSprzedaz[[#This Row],[Data]]),2)</f>
        <v>2026-02</v>
      </c>
    </row>
    <row r="1536" spans="1:19" x14ac:dyDescent="0.25">
      <c r="A1536" s="7" t="s">
        <v>3239</v>
      </c>
      <c r="B1536" s="10">
        <v>46065</v>
      </c>
      <c r="C1536" s="7" t="s">
        <v>3240</v>
      </c>
      <c r="D1536" s="8" t="s">
        <v>117</v>
      </c>
      <c r="E1536" s="8" t="s">
        <v>52</v>
      </c>
      <c r="F1536" s="8" t="s">
        <v>29</v>
      </c>
      <c r="G1536" s="8" t="s">
        <v>30</v>
      </c>
      <c r="H1536" s="8" t="s">
        <v>41</v>
      </c>
      <c r="I1536" s="11">
        <v>13</v>
      </c>
      <c r="J1536" s="12">
        <v>56.78</v>
      </c>
      <c r="K1536" s="13">
        <v>0</v>
      </c>
      <c r="L1536" s="12">
        <v>34.65</v>
      </c>
      <c r="M1536" s="14">
        <f>ROUND(tblSprzedaz[[#This Row],[Ilość]]*tblSprzedaz[[#This Row],[Cena netto jednostkowa]]*(1-tblSprzedaz[[#This Row],[Rabat %]]),2)</f>
        <v>738.14</v>
      </c>
      <c r="N1536" s="14">
        <f>ROUND(tblSprzedaz[[#This Row],[Ilość]]*tblSprzedaz[[#This Row],[Koszt jednostkowy netto]],2)</f>
        <v>450.45</v>
      </c>
      <c r="O1536" s="14">
        <f>tblSprzedaz[[#This Row],[Przychód netto]]-tblSprzedaz[[#This Row],[Koszt całkowity netto]]</f>
        <v>287.69</v>
      </c>
      <c r="P1536" s="15">
        <f>IFERROR(tblSprzedaz[[#This Row],[Marża kwotowa]]/tblSprzedaz[[#This Row],[Przychód netto]],0)</f>
        <v>0.38974991194082426</v>
      </c>
      <c r="Q1536" s="16">
        <f>YEAR(tblSprzedaz[[#This Row],[Data]])</f>
        <v>2026</v>
      </c>
      <c r="R1536" s="16">
        <f>MONTH(tblSprzedaz[[#This Row],[Data]])</f>
        <v>2</v>
      </c>
      <c r="S1536" s="9" t="str">
        <f>YEAR(tblSprzedaz[[#This Row],[Data]])&amp;"-"&amp;RIGHT("0"&amp;MONTH(tblSprzedaz[[#This Row],[Data]]),2)</f>
        <v>2026-02</v>
      </c>
    </row>
    <row r="1537" spans="1:19" x14ac:dyDescent="0.25">
      <c r="A1537" s="7" t="s">
        <v>3241</v>
      </c>
      <c r="B1537" s="10">
        <v>46065</v>
      </c>
      <c r="C1537" s="7" t="s">
        <v>3242</v>
      </c>
      <c r="D1537" s="8" t="s">
        <v>88</v>
      </c>
      <c r="E1537" s="8" t="s">
        <v>49</v>
      </c>
      <c r="F1537" s="8" t="s">
        <v>29</v>
      </c>
      <c r="G1537" s="8" t="s">
        <v>36</v>
      </c>
      <c r="H1537" s="8" t="s">
        <v>46</v>
      </c>
      <c r="I1537" s="11">
        <v>5</v>
      </c>
      <c r="J1537" s="12">
        <v>39.44</v>
      </c>
      <c r="K1537" s="13">
        <v>0.05</v>
      </c>
      <c r="L1537" s="12">
        <v>21.86</v>
      </c>
      <c r="M1537" s="14">
        <f>ROUND(tblSprzedaz[[#This Row],[Ilość]]*tblSprzedaz[[#This Row],[Cena netto jednostkowa]]*(1-tblSprzedaz[[#This Row],[Rabat %]]),2)</f>
        <v>187.34</v>
      </c>
      <c r="N1537" s="14">
        <f>ROUND(tblSprzedaz[[#This Row],[Ilość]]*tblSprzedaz[[#This Row],[Koszt jednostkowy netto]],2)</f>
        <v>109.3</v>
      </c>
      <c r="O1537" s="14">
        <f>tblSprzedaz[[#This Row],[Przychód netto]]-tblSprzedaz[[#This Row],[Koszt całkowity netto]]</f>
        <v>78.040000000000006</v>
      </c>
      <c r="P1537" s="15">
        <f>IFERROR(tblSprzedaz[[#This Row],[Marża kwotowa]]/tblSprzedaz[[#This Row],[Przychód netto]],0)</f>
        <v>0.41656880538059149</v>
      </c>
      <c r="Q1537" s="16">
        <f>YEAR(tblSprzedaz[[#This Row],[Data]])</f>
        <v>2026</v>
      </c>
      <c r="R1537" s="16">
        <f>MONTH(tblSprzedaz[[#This Row],[Data]])</f>
        <v>2</v>
      </c>
      <c r="S1537" s="9" t="str">
        <f>YEAR(tblSprzedaz[[#This Row],[Data]])&amp;"-"&amp;RIGHT("0"&amp;MONTH(tblSprzedaz[[#This Row],[Data]]),2)</f>
        <v>2026-02</v>
      </c>
    </row>
    <row r="1538" spans="1:19" x14ac:dyDescent="0.25">
      <c r="A1538" s="7" t="s">
        <v>3243</v>
      </c>
      <c r="B1538" s="10">
        <v>46066</v>
      </c>
      <c r="C1538" s="7" t="s">
        <v>3244</v>
      </c>
      <c r="D1538" s="8" t="s">
        <v>134</v>
      </c>
      <c r="E1538" s="8" t="s">
        <v>59</v>
      </c>
      <c r="F1538" s="8" t="s">
        <v>31</v>
      </c>
      <c r="G1538" s="8" t="s">
        <v>36</v>
      </c>
      <c r="H1538" s="8" t="s">
        <v>47</v>
      </c>
      <c r="I1538" s="11">
        <v>11</v>
      </c>
      <c r="J1538" s="12">
        <v>172.2</v>
      </c>
      <c r="K1538" s="13">
        <v>0.1</v>
      </c>
      <c r="L1538" s="12">
        <v>110.77</v>
      </c>
      <c r="M1538" s="14">
        <f>ROUND(tblSprzedaz[[#This Row],[Ilość]]*tblSprzedaz[[#This Row],[Cena netto jednostkowa]]*(1-tblSprzedaz[[#This Row],[Rabat %]]),2)</f>
        <v>1704.78</v>
      </c>
      <c r="N1538" s="14">
        <f>ROUND(tblSprzedaz[[#This Row],[Ilość]]*tblSprzedaz[[#This Row],[Koszt jednostkowy netto]],2)</f>
        <v>1218.47</v>
      </c>
      <c r="O1538" s="14">
        <f>tblSprzedaz[[#This Row],[Przychód netto]]-tblSprzedaz[[#This Row],[Koszt całkowity netto]]</f>
        <v>486.30999999999995</v>
      </c>
      <c r="P1538" s="15">
        <f>IFERROR(tblSprzedaz[[#This Row],[Marża kwotowa]]/tblSprzedaz[[#This Row],[Przychód netto]],0)</f>
        <v>0.28526261453090718</v>
      </c>
      <c r="Q1538" s="16">
        <f>YEAR(tblSprzedaz[[#This Row],[Data]])</f>
        <v>2026</v>
      </c>
      <c r="R1538" s="16">
        <f>MONTH(tblSprzedaz[[#This Row],[Data]])</f>
        <v>2</v>
      </c>
      <c r="S1538" s="9" t="str">
        <f>YEAR(tblSprzedaz[[#This Row],[Data]])&amp;"-"&amp;RIGHT("0"&amp;MONTH(tblSprzedaz[[#This Row],[Data]]),2)</f>
        <v>2026-02</v>
      </c>
    </row>
    <row r="1539" spans="1:19" x14ac:dyDescent="0.25">
      <c r="A1539" s="7" t="s">
        <v>3245</v>
      </c>
      <c r="B1539" s="10">
        <v>46066</v>
      </c>
      <c r="C1539" s="7" t="s">
        <v>3246</v>
      </c>
      <c r="D1539" s="8" t="s">
        <v>82</v>
      </c>
      <c r="E1539" s="8" t="s">
        <v>77</v>
      </c>
      <c r="F1539" s="8" t="s">
        <v>37</v>
      </c>
      <c r="G1539" s="8" t="s">
        <v>34</v>
      </c>
      <c r="H1539" s="8" t="s">
        <v>45</v>
      </c>
      <c r="I1539" s="11">
        <v>1</v>
      </c>
      <c r="J1539" s="12">
        <v>77.900000000000006</v>
      </c>
      <c r="K1539" s="13">
        <v>0.1</v>
      </c>
      <c r="L1539" s="12">
        <v>59.75</v>
      </c>
      <c r="M1539" s="14">
        <f>ROUND(tblSprzedaz[[#This Row],[Ilość]]*tblSprzedaz[[#This Row],[Cena netto jednostkowa]]*(1-tblSprzedaz[[#This Row],[Rabat %]]),2)</f>
        <v>70.11</v>
      </c>
      <c r="N1539" s="14">
        <f>ROUND(tblSprzedaz[[#This Row],[Ilość]]*tblSprzedaz[[#This Row],[Koszt jednostkowy netto]],2)</f>
        <v>59.75</v>
      </c>
      <c r="O1539" s="14">
        <f>tblSprzedaz[[#This Row],[Przychód netto]]-tblSprzedaz[[#This Row],[Koszt całkowity netto]]</f>
        <v>10.36</v>
      </c>
      <c r="P1539" s="15">
        <f>IFERROR(tblSprzedaz[[#This Row],[Marża kwotowa]]/tblSprzedaz[[#This Row],[Przychód netto]],0)</f>
        <v>0.14776779346740834</v>
      </c>
      <c r="Q1539" s="16">
        <f>YEAR(tblSprzedaz[[#This Row],[Data]])</f>
        <v>2026</v>
      </c>
      <c r="R1539" s="16">
        <f>MONTH(tblSprzedaz[[#This Row],[Data]])</f>
        <v>2</v>
      </c>
      <c r="S1539" s="9" t="str">
        <f>YEAR(tblSprzedaz[[#This Row],[Data]])&amp;"-"&amp;RIGHT("0"&amp;MONTH(tblSprzedaz[[#This Row],[Data]]),2)</f>
        <v>2026-02</v>
      </c>
    </row>
    <row r="1540" spans="1:19" x14ac:dyDescent="0.25">
      <c r="A1540" s="7" t="s">
        <v>3247</v>
      </c>
      <c r="B1540" s="10">
        <v>46066</v>
      </c>
      <c r="C1540" s="7" t="s">
        <v>3248</v>
      </c>
      <c r="D1540" s="8" t="s">
        <v>101</v>
      </c>
      <c r="E1540" s="8" t="s">
        <v>73</v>
      </c>
      <c r="F1540" s="8" t="s">
        <v>37</v>
      </c>
      <c r="G1540" s="8" t="s">
        <v>30</v>
      </c>
      <c r="H1540" s="8" t="s">
        <v>41</v>
      </c>
      <c r="I1540" s="11">
        <v>7</v>
      </c>
      <c r="J1540" s="12">
        <v>110.2</v>
      </c>
      <c r="K1540" s="13">
        <v>0</v>
      </c>
      <c r="L1540" s="12">
        <v>86.48</v>
      </c>
      <c r="M1540" s="14">
        <f>ROUND(tblSprzedaz[[#This Row],[Ilość]]*tblSprzedaz[[#This Row],[Cena netto jednostkowa]]*(1-tblSprzedaz[[#This Row],[Rabat %]]),2)</f>
        <v>771.4</v>
      </c>
      <c r="N1540" s="14">
        <f>ROUND(tblSprzedaz[[#This Row],[Ilość]]*tblSprzedaz[[#This Row],[Koszt jednostkowy netto]],2)</f>
        <v>605.36</v>
      </c>
      <c r="O1540" s="14">
        <f>tblSprzedaz[[#This Row],[Przychód netto]]-tblSprzedaz[[#This Row],[Koszt całkowity netto]]</f>
        <v>166.03999999999996</v>
      </c>
      <c r="P1540" s="15">
        <f>IFERROR(tblSprzedaz[[#This Row],[Marża kwotowa]]/tblSprzedaz[[#This Row],[Przychód netto]],0)</f>
        <v>0.21524500907441013</v>
      </c>
      <c r="Q1540" s="16">
        <f>YEAR(tblSprzedaz[[#This Row],[Data]])</f>
        <v>2026</v>
      </c>
      <c r="R1540" s="16">
        <f>MONTH(tblSprzedaz[[#This Row],[Data]])</f>
        <v>2</v>
      </c>
      <c r="S1540" s="9" t="str">
        <f>YEAR(tblSprzedaz[[#This Row],[Data]])&amp;"-"&amp;RIGHT("0"&amp;MONTH(tblSprzedaz[[#This Row],[Data]]),2)</f>
        <v>2026-02</v>
      </c>
    </row>
    <row r="1541" spans="1:19" x14ac:dyDescent="0.25">
      <c r="A1541" s="7" t="s">
        <v>3249</v>
      </c>
      <c r="B1541" s="10">
        <v>46067</v>
      </c>
      <c r="C1541" s="7" t="s">
        <v>3250</v>
      </c>
      <c r="D1541" s="8" t="s">
        <v>144</v>
      </c>
      <c r="E1541" s="8" t="s">
        <v>66</v>
      </c>
      <c r="F1541" s="8" t="s">
        <v>35</v>
      </c>
      <c r="G1541" s="8" t="s">
        <v>36</v>
      </c>
      <c r="H1541" s="8" t="s">
        <v>47</v>
      </c>
      <c r="I1541" s="11">
        <v>4</v>
      </c>
      <c r="J1541" s="12">
        <v>67.319999999999993</v>
      </c>
      <c r="K1541" s="13">
        <v>0.15</v>
      </c>
      <c r="L1541" s="12">
        <v>48.15</v>
      </c>
      <c r="M1541" s="14">
        <f>ROUND(tblSprzedaz[[#This Row],[Ilość]]*tblSprzedaz[[#This Row],[Cena netto jednostkowa]]*(1-tblSprzedaz[[#This Row],[Rabat %]]),2)</f>
        <v>228.89</v>
      </c>
      <c r="N1541" s="14">
        <f>ROUND(tblSprzedaz[[#This Row],[Ilość]]*tblSprzedaz[[#This Row],[Koszt jednostkowy netto]],2)</f>
        <v>192.6</v>
      </c>
      <c r="O1541" s="14">
        <f>tblSprzedaz[[#This Row],[Przychód netto]]-tblSprzedaz[[#This Row],[Koszt całkowity netto]]</f>
        <v>36.289999999999992</v>
      </c>
      <c r="P1541" s="15">
        <f>IFERROR(tblSprzedaz[[#This Row],[Marża kwotowa]]/tblSprzedaz[[#This Row],[Przychód netto]],0)</f>
        <v>0.15854777403993181</v>
      </c>
      <c r="Q1541" s="16">
        <f>YEAR(tblSprzedaz[[#This Row],[Data]])</f>
        <v>2026</v>
      </c>
      <c r="R1541" s="16">
        <f>MONTH(tblSprzedaz[[#This Row],[Data]])</f>
        <v>2</v>
      </c>
      <c r="S1541" s="9" t="str">
        <f>YEAR(tblSprzedaz[[#This Row],[Data]])&amp;"-"&amp;RIGHT("0"&amp;MONTH(tblSprzedaz[[#This Row],[Data]]),2)</f>
        <v>2026-02</v>
      </c>
    </row>
    <row r="1542" spans="1:19" x14ac:dyDescent="0.25">
      <c r="A1542" s="7" t="s">
        <v>3251</v>
      </c>
      <c r="B1542" s="10">
        <v>46068</v>
      </c>
      <c r="C1542" s="7" t="s">
        <v>3252</v>
      </c>
      <c r="D1542" s="8" t="s">
        <v>85</v>
      </c>
      <c r="E1542" s="8" t="s">
        <v>51</v>
      </c>
      <c r="F1542" s="8" t="s">
        <v>29</v>
      </c>
      <c r="G1542" s="8" t="s">
        <v>36</v>
      </c>
      <c r="H1542" s="8" t="s">
        <v>47</v>
      </c>
      <c r="I1542" s="11">
        <v>18</v>
      </c>
      <c r="J1542" s="12">
        <v>51</v>
      </c>
      <c r="K1542" s="13">
        <v>0.1</v>
      </c>
      <c r="L1542" s="12">
        <v>31.35</v>
      </c>
      <c r="M1542" s="14">
        <f>ROUND(tblSprzedaz[[#This Row],[Ilość]]*tblSprzedaz[[#This Row],[Cena netto jednostkowa]]*(1-tblSprzedaz[[#This Row],[Rabat %]]),2)</f>
        <v>826.2</v>
      </c>
      <c r="N1542" s="14">
        <f>ROUND(tblSprzedaz[[#This Row],[Ilość]]*tblSprzedaz[[#This Row],[Koszt jednostkowy netto]],2)</f>
        <v>564.29999999999995</v>
      </c>
      <c r="O1542" s="14">
        <f>tblSprzedaz[[#This Row],[Przychód netto]]-tblSprzedaz[[#This Row],[Koszt całkowity netto]]</f>
        <v>261.90000000000009</v>
      </c>
      <c r="P1542" s="15">
        <f>IFERROR(tblSprzedaz[[#This Row],[Marża kwotowa]]/tblSprzedaz[[#This Row],[Przychód netto]],0)</f>
        <v>0.31699346405228768</v>
      </c>
      <c r="Q1542" s="16">
        <f>YEAR(tblSprzedaz[[#This Row],[Data]])</f>
        <v>2026</v>
      </c>
      <c r="R1542" s="16">
        <f>MONTH(tblSprzedaz[[#This Row],[Data]])</f>
        <v>2</v>
      </c>
      <c r="S1542" s="9" t="str">
        <f>YEAR(tblSprzedaz[[#This Row],[Data]])&amp;"-"&amp;RIGHT("0"&amp;MONTH(tblSprzedaz[[#This Row],[Data]]),2)</f>
        <v>2026-02</v>
      </c>
    </row>
    <row r="1543" spans="1:19" x14ac:dyDescent="0.25">
      <c r="A1543" s="7" t="s">
        <v>3253</v>
      </c>
      <c r="B1543" s="10">
        <v>46069</v>
      </c>
      <c r="C1543" s="7" t="s">
        <v>3254</v>
      </c>
      <c r="D1543" s="8" t="s">
        <v>108</v>
      </c>
      <c r="E1543" s="8" t="s">
        <v>52</v>
      </c>
      <c r="F1543" s="8" t="s">
        <v>29</v>
      </c>
      <c r="G1543" s="8" t="s">
        <v>36</v>
      </c>
      <c r="H1543" s="8" t="s">
        <v>47</v>
      </c>
      <c r="I1543" s="11">
        <v>16</v>
      </c>
      <c r="J1543" s="12">
        <v>56.78</v>
      </c>
      <c r="K1543" s="13">
        <v>0.05</v>
      </c>
      <c r="L1543" s="12">
        <v>32.46</v>
      </c>
      <c r="M1543" s="14">
        <f>ROUND(tblSprzedaz[[#This Row],[Ilość]]*tblSprzedaz[[#This Row],[Cena netto jednostkowa]]*(1-tblSprzedaz[[#This Row],[Rabat %]]),2)</f>
        <v>863.06</v>
      </c>
      <c r="N1543" s="14">
        <f>ROUND(tblSprzedaz[[#This Row],[Ilość]]*tblSprzedaz[[#This Row],[Koszt jednostkowy netto]],2)</f>
        <v>519.36</v>
      </c>
      <c r="O1543" s="14">
        <f>tblSprzedaz[[#This Row],[Przychód netto]]-tblSprzedaz[[#This Row],[Koszt całkowity netto]]</f>
        <v>343.69999999999993</v>
      </c>
      <c r="P1543" s="15">
        <f>IFERROR(tblSprzedaz[[#This Row],[Marża kwotowa]]/tblSprzedaz[[#This Row],[Przychód netto]],0)</f>
        <v>0.39823418997520443</v>
      </c>
      <c r="Q1543" s="16">
        <f>YEAR(tblSprzedaz[[#This Row],[Data]])</f>
        <v>2026</v>
      </c>
      <c r="R1543" s="16">
        <f>MONTH(tblSprzedaz[[#This Row],[Data]])</f>
        <v>2</v>
      </c>
      <c r="S1543" s="9" t="str">
        <f>YEAR(tblSprzedaz[[#This Row],[Data]])&amp;"-"&amp;RIGHT("0"&amp;MONTH(tblSprzedaz[[#This Row],[Data]]),2)</f>
        <v>2026-02</v>
      </c>
    </row>
    <row r="1544" spans="1:19" x14ac:dyDescent="0.25">
      <c r="A1544" s="7" t="s">
        <v>3255</v>
      </c>
      <c r="B1544" s="10">
        <v>46069</v>
      </c>
      <c r="C1544" s="7" t="s">
        <v>3256</v>
      </c>
      <c r="D1544" s="8" t="s">
        <v>141</v>
      </c>
      <c r="E1544" s="8" t="s">
        <v>49</v>
      </c>
      <c r="F1544" s="8" t="s">
        <v>29</v>
      </c>
      <c r="G1544" s="8" t="s">
        <v>28</v>
      </c>
      <c r="H1544" s="8" t="s">
        <v>39</v>
      </c>
      <c r="I1544" s="11">
        <v>3</v>
      </c>
      <c r="J1544" s="12">
        <v>39.44</v>
      </c>
      <c r="K1544" s="13">
        <v>0.1</v>
      </c>
      <c r="L1544" s="12">
        <v>22.31</v>
      </c>
      <c r="M1544" s="14">
        <f>ROUND(tblSprzedaz[[#This Row],[Ilość]]*tblSprzedaz[[#This Row],[Cena netto jednostkowa]]*(1-tblSprzedaz[[#This Row],[Rabat %]]),2)</f>
        <v>106.49</v>
      </c>
      <c r="N1544" s="14">
        <f>ROUND(tblSprzedaz[[#This Row],[Ilość]]*tblSprzedaz[[#This Row],[Koszt jednostkowy netto]],2)</f>
        <v>66.930000000000007</v>
      </c>
      <c r="O1544" s="14">
        <f>tblSprzedaz[[#This Row],[Przychód netto]]-tblSprzedaz[[#This Row],[Koszt całkowity netto]]</f>
        <v>39.559999999999988</v>
      </c>
      <c r="P1544" s="15">
        <f>IFERROR(tblSprzedaz[[#This Row],[Marża kwotowa]]/tblSprzedaz[[#This Row],[Przychód netto]],0)</f>
        <v>0.37149028077753771</v>
      </c>
      <c r="Q1544" s="16">
        <f>YEAR(tblSprzedaz[[#This Row],[Data]])</f>
        <v>2026</v>
      </c>
      <c r="R1544" s="16">
        <f>MONTH(tblSprzedaz[[#This Row],[Data]])</f>
        <v>2</v>
      </c>
      <c r="S1544" s="9" t="str">
        <f>YEAR(tblSprzedaz[[#This Row],[Data]])&amp;"-"&amp;RIGHT("0"&amp;MONTH(tblSprzedaz[[#This Row],[Data]]),2)</f>
        <v>2026-02</v>
      </c>
    </row>
    <row r="1545" spans="1:19" x14ac:dyDescent="0.25">
      <c r="A1545" s="7" t="s">
        <v>3257</v>
      </c>
      <c r="B1545" s="10">
        <v>46069</v>
      </c>
      <c r="C1545" s="7" t="s">
        <v>3258</v>
      </c>
      <c r="D1545" s="8" t="s">
        <v>139</v>
      </c>
      <c r="E1545" s="8" t="s">
        <v>63</v>
      </c>
      <c r="F1545" s="8" t="s">
        <v>33</v>
      </c>
      <c r="G1545" s="8" t="s">
        <v>32</v>
      </c>
      <c r="H1545" s="8" t="s">
        <v>42</v>
      </c>
      <c r="I1545" s="11">
        <v>23</v>
      </c>
      <c r="J1545" s="12">
        <v>690</v>
      </c>
      <c r="K1545" s="13">
        <v>0</v>
      </c>
      <c r="L1545" s="12">
        <v>476.92</v>
      </c>
      <c r="M1545" s="14">
        <f>ROUND(tblSprzedaz[[#This Row],[Ilość]]*tblSprzedaz[[#This Row],[Cena netto jednostkowa]]*(1-tblSprzedaz[[#This Row],[Rabat %]]),2)</f>
        <v>15870</v>
      </c>
      <c r="N1545" s="14">
        <f>ROUND(tblSprzedaz[[#This Row],[Ilość]]*tblSprzedaz[[#This Row],[Koszt jednostkowy netto]],2)</f>
        <v>10969.16</v>
      </c>
      <c r="O1545" s="14">
        <f>tblSprzedaz[[#This Row],[Przychód netto]]-tblSprzedaz[[#This Row],[Koszt całkowity netto]]</f>
        <v>4900.84</v>
      </c>
      <c r="P1545" s="15">
        <f>IFERROR(tblSprzedaz[[#This Row],[Marża kwotowa]]/tblSprzedaz[[#This Row],[Przychód netto]],0)</f>
        <v>0.30881159420289855</v>
      </c>
      <c r="Q1545" s="16">
        <f>YEAR(tblSprzedaz[[#This Row],[Data]])</f>
        <v>2026</v>
      </c>
      <c r="R1545" s="16">
        <f>MONTH(tblSprzedaz[[#This Row],[Data]])</f>
        <v>2</v>
      </c>
      <c r="S1545" s="9" t="str">
        <f>YEAR(tblSprzedaz[[#This Row],[Data]])&amp;"-"&amp;RIGHT("0"&amp;MONTH(tblSprzedaz[[#This Row],[Data]]),2)</f>
        <v>2026-02</v>
      </c>
    </row>
    <row r="1546" spans="1:19" x14ac:dyDescent="0.25">
      <c r="A1546" s="7" t="s">
        <v>3259</v>
      </c>
      <c r="B1546" s="10">
        <v>46069</v>
      </c>
      <c r="C1546" s="7" t="s">
        <v>3260</v>
      </c>
      <c r="D1546" s="8" t="s">
        <v>130</v>
      </c>
      <c r="E1546" s="8" t="s">
        <v>54</v>
      </c>
      <c r="F1546" s="8" t="s">
        <v>31</v>
      </c>
      <c r="G1546" s="8" t="s">
        <v>28</v>
      </c>
      <c r="H1546" s="8" t="s">
        <v>38</v>
      </c>
      <c r="I1546" s="11">
        <v>4</v>
      </c>
      <c r="J1546" s="12">
        <v>207.9</v>
      </c>
      <c r="K1546" s="13">
        <v>0.05</v>
      </c>
      <c r="L1546" s="12">
        <v>128.56</v>
      </c>
      <c r="M1546" s="14">
        <f>ROUND(tblSprzedaz[[#This Row],[Ilość]]*tblSprzedaz[[#This Row],[Cena netto jednostkowa]]*(1-tblSprzedaz[[#This Row],[Rabat %]]),2)</f>
        <v>790.02</v>
      </c>
      <c r="N1546" s="14">
        <f>ROUND(tblSprzedaz[[#This Row],[Ilość]]*tblSprzedaz[[#This Row],[Koszt jednostkowy netto]],2)</f>
        <v>514.24</v>
      </c>
      <c r="O1546" s="14">
        <f>tblSprzedaz[[#This Row],[Przychód netto]]-tblSprzedaz[[#This Row],[Koszt całkowity netto]]</f>
        <v>275.77999999999997</v>
      </c>
      <c r="P1546" s="15">
        <f>IFERROR(tblSprzedaz[[#This Row],[Marża kwotowa]]/tblSprzedaz[[#This Row],[Przychód netto]],0)</f>
        <v>0.34907977013240171</v>
      </c>
      <c r="Q1546" s="16">
        <f>YEAR(tblSprzedaz[[#This Row],[Data]])</f>
        <v>2026</v>
      </c>
      <c r="R1546" s="16">
        <f>MONTH(tblSprzedaz[[#This Row],[Data]])</f>
        <v>2</v>
      </c>
      <c r="S1546" s="9" t="str">
        <f>YEAR(tblSprzedaz[[#This Row],[Data]])&amp;"-"&amp;RIGHT("0"&amp;MONTH(tblSprzedaz[[#This Row],[Data]]),2)</f>
        <v>2026-02</v>
      </c>
    </row>
    <row r="1547" spans="1:19" x14ac:dyDescent="0.25">
      <c r="A1547" s="7" t="s">
        <v>3261</v>
      </c>
      <c r="B1547" s="10">
        <v>46069</v>
      </c>
      <c r="C1547" s="7" t="s">
        <v>3262</v>
      </c>
      <c r="D1547" s="8" t="s">
        <v>144</v>
      </c>
      <c r="E1547" s="8" t="s">
        <v>53</v>
      </c>
      <c r="F1547" s="8" t="s">
        <v>29</v>
      </c>
      <c r="G1547" s="8" t="s">
        <v>30</v>
      </c>
      <c r="H1547" s="8" t="s">
        <v>40</v>
      </c>
      <c r="I1547" s="11">
        <v>7</v>
      </c>
      <c r="J1547" s="12">
        <v>27.88</v>
      </c>
      <c r="K1547" s="13">
        <v>0.1</v>
      </c>
      <c r="L1547" s="12">
        <v>15.88</v>
      </c>
      <c r="M1547" s="14">
        <f>ROUND(tblSprzedaz[[#This Row],[Ilość]]*tblSprzedaz[[#This Row],[Cena netto jednostkowa]]*(1-tblSprzedaz[[#This Row],[Rabat %]]),2)</f>
        <v>175.64</v>
      </c>
      <c r="N1547" s="14">
        <f>ROUND(tblSprzedaz[[#This Row],[Ilość]]*tblSprzedaz[[#This Row],[Koszt jednostkowy netto]],2)</f>
        <v>111.16</v>
      </c>
      <c r="O1547" s="14">
        <f>tblSprzedaz[[#This Row],[Przychód netto]]-tblSprzedaz[[#This Row],[Koszt całkowity netto]]</f>
        <v>64.47999999999999</v>
      </c>
      <c r="P1547" s="15">
        <f>IFERROR(tblSprzedaz[[#This Row],[Marża kwotowa]]/tblSprzedaz[[#This Row],[Przychód netto]],0)</f>
        <v>0.36711455249373715</v>
      </c>
      <c r="Q1547" s="16">
        <f>YEAR(tblSprzedaz[[#This Row],[Data]])</f>
        <v>2026</v>
      </c>
      <c r="R1547" s="16">
        <f>MONTH(tblSprzedaz[[#This Row],[Data]])</f>
        <v>2</v>
      </c>
      <c r="S1547" s="9" t="str">
        <f>YEAR(tblSprzedaz[[#This Row],[Data]])&amp;"-"&amp;RIGHT("0"&amp;MONTH(tblSprzedaz[[#This Row],[Data]]),2)</f>
        <v>2026-02</v>
      </c>
    </row>
    <row r="1548" spans="1:19" x14ac:dyDescent="0.25">
      <c r="A1548" s="7" t="s">
        <v>3263</v>
      </c>
      <c r="B1548" s="10">
        <v>46070</v>
      </c>
      <c r="C1548" s="7" t="s">
        <v>3264</v>
      </c>
      <c r="D1548" s="8" t="s">
        <v>136</v>
      </c>
      <c r="E1548" s="8" t="s">
        <v>66</v>
      </c>
      <c r="F1548" s="8" t="s">
        <v>35</v>
      </c>
      <c r="G1548" s="8" t="s">
        <v>28</v>
      </c>
      <c r="H1548" s="8" t="s">
        <v>38</v>
      </c>
      <c r="I1548" s="11">
        <v>6</v>
      </c>
      <c r="J1548" s="12">
        <v>67.319999999999993</v>
      </c>
      <c r="K1548" s="13">
        <v>0</v>
      </c>
      <c r="L1548" s="12">
        <v>49.5</v>
      </c>
      <c r="M1548" s="14">
        <f>ROUND(tblSprzedaz[[#This Row],[Ilość]]*tblSprzedaz[[#This Row],[Cena netto jednostkowa]]*(1-tblSprzedaz[[#This Row],[Rabat %]]),2)</f>
        <v>403.92</v>
      </c>
      <c r="N1548" s="14">
        <f>ROUND(tblSprzedaz[[#This Row],[Ilość]]*tblSprzedaz[[#This Row],[Koszt jednostkowy netto]],2)</f>
        <v>297</v>
      </c>
      <c r="O1548" s="14">
        <f>tblSprzedaz[[#This Row],[Przychód netto]]-tblSprzedaz[[#This Row],[Koszt całkowity netto]]</f>
        <v>106.92000000000002</v>
      </c>
      <c r="P1548" s="15">
        <f>IFERROR(tblSprzedaz[[#This Row],[Marża kwotowa]]/tblSprzedaz[[#This Row],[Przychód netto]],0)</f>
        <v>0.26470588235294118</v>
      </c>
      <c r="Q1548" s="16">
        <f>YEAR(tblSprzedaz[[#This Row],[Data]])</f>
        <v>2026</v>
      </c>
      <c r="R1548" s="16">
        <f>MONTH(tblSprzedaz[[#This Row],[Data]])</f>
        <v>2</v>
      </c>
      <c r="S1548" s="9" t="str">
        <f>YEAR(tblSprzedaz[[#This Row],[Data]])&amp;"-"&amp;RIGHT("0"&amp;MONTH(tblSprzedaz[[#This Row],[Data]]),2)</f>
        <v>2026-02</v>
      </c>
    </row>
    <row r="1549" spans="1:19" x14ac:dyDescent="0.25">
      <c r="A1549" s="7" t="s">
        <v>3265</v>
      </c>
      <c r="B1549" s="10">
        <v>46070</v>
      </c>
      <c r="C1549" s="7" t="s">
        <v>3266</v>
      </c>
      <c r="D1549" s="8" t="s">
        <v>149</v>
      </c>
      <c r="E1549" s="8" t="s">
        <v>63</v>
      </c>
      <c r="F1549" s="8" t="s">
        <v>33</v>
      </c>
      <c r="G1549" s="8" t="s">
        <v>28</v>
      </c>
      <c r="H1549" s="8" t="s">
        <v>38</v>
      </c>
      <c r="I1549" s="11">
        <v>3</v>
      </c>
      <c r="J1549" s="12">
        <v>690</v>
      </c>
      <c r="K1549" s="13">
        <v>0.1</v>
      </c>
      <c r="L1549" s="12">
        <v>481.92</v>
      </c>
      <c r="M1549" s="14">
        <f>ROUND(tblSprzedaz[[#This Row],[Ilość]]*tblSprzedaz[[#This Row],[Cena netto jednostkowa]]*(1-tblSprzedaz[[#This Row],[Rabat %]]),2)</f>
        <v>1863</v>
      </c>
      <c r="N1549" s="14">
        <f>ROUND(tblSprzedaz[[#This Row],[Ilość]]*tblSprzedaz[[#This Row],[Koszt jednostkowy netto]],2)</f>
        <v>1445.76</v>
      </c>
      <c r="O1549" s="14">
        <f>tblSprzedaz[[#This Row],[Przychód netto]]-tblSprzedaz[[#This Row],[Koszt całkowity netto]]</f>
        <v>417.24</v>
      </c>
      <c r="P1549" s="15">
        <f>IFERROR(tblSprzedaz[[#This Row],[Marża kwotowa]]/tblSprzedaz[[#This Row],[Przychód netto]],0)</f>
        <v>0.22396135265700484</v>
      </c>
      <c r="Q1549" s="16">
        <f>YEAR(tblSprzedaz[[#This Row],[Data]])</f>
        <v>2026</v>
      </c>
      <c r="R1549" s="16">
        <f>MONTH(tblSprzedaz[[#This Row],[Data]])</f>
        <v>2</v>
      </c>
      <c r="S1549" s="9" t="str">
        <f>YEAR(tblSprzedaz[[#This Row],[Data]])&amp;"-"&amp;RIGHT("0"&amp;MONTH(tblSprzedaz[[#This Row],[Data]]),2)</f>
        <v>2026-02</v>
      </c>
    </row>
    <row r="1550" spans="1:19" x14ac:dyDescent="0.25">
      <c r="A1550" s="7" t="s">
        <v>3267</v>
      </c>
      <c r="B1550" s="10">
        <v>46070</v>
      </c>
      <c r="C1550" s="7" t="s">
        <v>3268</v>
      </c>
      <c r="D1550" s="8" t="s">
        <v>126</v>
      </c>
      <c r="E1550" s="8" t="s">
        <v>50</v>
      </c>
      <c r="F1550" s="8" t="s">
        <v>29</v>
      </c>
      <c r="G1550" s="8" t="s">
        <v>32</v>
      </c>
      <c r="H1550" s="8" t="s">
        <v>42</v>
      </c>
      <c r="I1550" s="11">
        <v>2</v>
      </c>
      <c r="J1550" s="12">
        <v>45.22</v>
      </c>
      <c r="K1550" s="13">
        <v>0</v>
      </c>
      <c r="L1550" s="12">
        <v>27.3</v>
      </c>
      <c r="M1550" s="14">
        <f>ROUND(tblSprzedaz[[#This Row],[Ilość]]*tblSprzedaz[[#This Row],[Cena netto jednostkowa]]*(1-tblSprzedaz[[#This Row],[Rabat %]]),2)</f>
        <v>90.44</v>
      </c>
      <c r="N1550" s="14">
        <f>ROUND(tblSprzedaz[[#This Row],[Ilość]]*tblSprzedaz[[#This Row],[Koszt jednostkowy netto]],2)</f>
        <v>54.6</v>
      </c>
      <c r="O1550" s="14">
        <f>tblSprzedaz[[#This Row],[Przychód netto]]-tblSprzedaz[[#This Row],[Koszt całkowity netto]]</f>
        <v>35.839999999999996</v>
      </c>
      <c r="P1550" s="15">
        <f>IFERROR(tblSprzedaz[[#This Row],[Marża kwotowa]]/tblSprzedaz[[#This Row],[Przychód netto]],0)</f>
        <v>0.3962848297213622</v>
      </c>
      <c r="Q1550" s="16">
        <f>YEAR(tblSprzedaz[[#This Row],[Data]])</f>
        <v>2026</v>
      </c>
      <c r="R1550" s="16">
        <f>MONTH(tblSprzedaz[[#This Row],[Data]])</f>
        <v>2</v>
      </c>
      <c r="S1550" s="9" t="str">
        <f>YEAR(tblSprzedaz[[#This Row],[Data]])&amp;"-"&amp;RIGHT("0"&amp;MONTH(tblSprzedaz[[#This Row],[Data]]),2)</f>
        <v>2026-02</v>
      </c>
    </row>
    <row r="1551" spans="1:19" x14ac:dyDescent="0.25">
      <c r="A1551" s="7" t="s">
        <v>3269</v>
      </c>
      <c r="B1551" s="10">
        <v>46070</v>
      </c>
      <c r="C1551" s="7" t="s">
        <v>3270</v>
      </c>
      <c r="D1551" s="8" t="s">
        <v>109</v>
      </c>
      <c r="E1551" s="8" t="s">
        <v>50</v>
      </c>
      <c r="F1551" s="8" t="s">
        <v>29</v>
      </c>
      <c r="G1551" s="8" t="s">
        <v>28</v>
      </c>
      <c r="H1551" s="8" t="s">
        <v>38</v>
      </c>
      <c r="I1551" s="11">
        <v>11</v>
      </c>
      <c r="J1551" s="12">
        <v>45.22</v>
      </c>
      <c r="K1551" s="13">
        <v>0.05</v>
      </c>
      <c r="L1551" s="12">
        <v>28.12</v>
      </c>
      <c r="M1551" s="14">
        <f>ROUND(tblSprzedaz[[#This Row],[Ilość]]*tblSprzedaz[[#This Row],[Cena netto jednostkowa]]*(1-tblSprzedaz[[#This Row],[Rabat %]]),2)</f>
        <v>472.55</v>
      </c>
      <c r="N1551" s="14">
        <f>ROUND(tblSprzedaz[[#This Row],[Ilość]]*tblSprzedaz[[#This Row],[Koszt jednostkowy netto]],2)</f>
        <v>309.32</v>
      </c>
      <c r="O1551" s="14">
        <f>tblSprzedaz[[#This Row],[Przychód netto]]-tblSprzedaz[[#This Row],[Koszt całkowity netto]]</f>
        <v>163.23000000000002</v>
      </c>
      <c r="P1551" s="15">
        <f>IFERROR(tblSprzedaz[[#This Row],[Marża kwotowa]]/tblSprzedaz[[#This Row],[Przychód netto]],0)</f>
        <v>0.34542376468098618</v>
      </c>
      <c r="Q1551" s="16">
        <f>YEAR(tblSprzedaz[[#This Row],[Data]])</f>
        <v>2026</v>
      </c>
      <c r="R1551" s="16">
        <f>MONTH(tblSprzedaz[[#This Row],[Data]])</f>
        <v>2</v>
      </c>
      <c r="S1551" s="9" t="str">
        <f>YEAR(tblSprzedaz[[#This Row],[Data]])&amp;"-"&amp;RIGHT("0"&amp;MONTH(tblSprzedaz[[#This Row],[Data]]),2)</f>
        <v>2026-02</v>
      </c>
    </row>
    <row r="1552" spans="1:19" x14ac:dyDescent="0.25">
      <c r="A1552" s="7" t="s">
        <v>3271</v>
      </c>
      <c r="B1552" s="10">
        <v>46071</v>
      </c>
      <c r="C1552" s="7" t="s">
        <v>3272</v>
      </c>
      <c r="D1552" s="8" t="s">
        <v>139</v>
      </c>
      <c r="E1552" s="8" t="s">
        <v>57</v>
      </c>
      <c r="F1552" s="8" t="s">
        <v>31</v>
      </c>
      <c r="G1552" s="8" t="s">
        <v>34</v>
      </c>
      <c r="H1552" s="8" t="s">
        <v>44</v>
      </c>
      <c r="I1552" s="11">
        <v>4</v>
      </c>
      <c r="J1552" s="12">
        <v>315</v>
      </c>
      <c r="K1552" s="13">
        <v>0</v>
      </c>
      <c r="L1552" s="12">
        <v>188.45</v>
      </c>
      <c r="M1552" s="14">
        <f>ROUND(tblSprzedaz[[#This Row],[Ilość]]*tblSprzedaz[[#This Row],[Cena netto jednostkowa]]*(1-tblSprzedaz[[#This Row],[Rabat %]]),2)</f>
        <v>1260</v>
      </c>
      <c r="N1552" s="14">
        <f>ROUND(tblSprzedaz[[#This Row],[Ilość]]*tblSprzedaz[[#This Row],[Koszt jednostkowy netto]],2)</f>
        <v>753.8</v>
      </c>
      <c r="O1552" s="14">
        <f>tblSprzedaz[[#This Row],[Przychód netto]]-tblSprzedaz[[#This Row],[Koszt całkowity netto]]</f>
        <v>506.20000000000005</v>
      </c>
      <c r="P1552" s="15">
        <f>IFERROR(tblSprzedaz[[#This Row],[Marża kwotowa]]/tblSprzedaz[[#This Row],[Przychód netto]],0)</f>
        <v>0.4017460317460318</v>
      </c>
      <c r="Q1552" s="16">
        <f>YEAR(tblSprzedaz[[#This Row],[Data]])</f>
        <v>2026</v>
      </c>
      <c r="R1552" s="16">
        <f>MONTH(tblSprzedaz[[#This Row],[Data]])</f>
        <v>2</v>
      </c>
      <c r="S1552" s="9" t="str">
        <f>YEAR(tblSprzedaz[[#This Row],[Data]])&amp;"-"&amp;RIGHT("0"&amp;MONTH(tblSprzedaz[[#This Row],[Data]]),2)</f>
        <v>2026-02</v>
      </c>
    </row>
    <row r="1553" spans="1:19" x14ac:dyDescent="0.25">
      <c r="A1553" s="7" t="s">
        <v>3273</v>
      </c>
      <c r="B1553" s="10">
        <v>46071</v>
      </c>
      <c r="C1553" s="7" t="s">
        <v>3274</v>
      </c>
      <c r="D1553" s="8" t="s">
        <v>145</v>
      </c>
      <c r="E1553" s="8" t="s">
        <v>61</v>
      </c>
      <c r="F1553" s="8" t="s">
        <v>33</v>
      </c>
      <c r="G1553" s="8" t="s">
        <v>28</v>
      </c>
      <c r="H1553" s="8" t="s">
        <v>38</v>
      </c>
      <c r="I1553" s="11">
        <v>3</v>
      </c>
      <c r="J1553" s="12">
        <v>533.6</v>
      </c>
      <c r="K1553" s="13">
        <v>0</v>
      </c>
      <c r="L1553" s="12">
        <v>344.37</v>
      </c>
      <c r="M1553" s="14">
        <f>ROUND(tblSprzedaz[[#This Row],[Ilość]]*tblSprzedaz[[#This Row],[Cena netto jednostkowa]]*(1-tblSprzedaz[[#This Row],[Rabat %]]),2)</f>
        <v>1600.8</v>
      </c>
      <c r="N1553" s="14">
        <f>ROUND(tblSprzedaz[[#This Row],[Ilość]]*tblSprzedaz[[#This Row],[Koszt jednostkowy netto]],2)</f>
        <v>1033.1099999999999</v>
      </c>
      <c r="O1553" s="14">
        <f>tblSprzedaz[[#This Row],[Przychód netto]]-tblSprzedaz[[#This Row],[Koszt całkowity netto]]</f>
        <v>567.69000000000005</v>
      </c>
      <c r="P1553" s="15">
        <f>IFERROR(tblSprzedaz[[#This Row],[Marża kwotowa]]/tblSprzedaz[[#This Row],[Przychód netto]],0)</f>
        <v>0.3546289355322339</v>
      </c>
      <c r="Q1553" s="16">
        <f>YEAR(tblSprzedaz[[#This Row],[Data]])</f>
        <v>2026</v>
      </c>
      <c r="R1553" s="16">
        <f>MONTH(tblSprzedaz[[#This Row],[Data]])</f>
        <v>2</v>
      </c>
      <c r="S1553" s="9" t="str">
        <f>YEAR(tblSprzedaz[[#This Row],[Data]])&amp;"-"&amp;RIGHT("0"&amp;MONTH(tblSprzedaz[[#This Row],[Data]]),2)</f>
        <v>2026-02</v>
      </c>
    </row>
    <row r="1554" spans="1:19" x14ac:dyDescent="0.25">
      <c r="A1554" s="7" t="s">
        <v>3275</v>
      </c>
      <c r="B1554" s="10">
        <v>46071</v>
      </c>
      <c r="C1554" s="7" t="s">
        <v>3276</v>
      </c>
      <c r="D1554" s="8" t="s">
        <v>144</v>
      </c>
      <c r="E1554" s="8" t="s">
        <v>69</v>
      </c>
      <c r="F1554" s="8" t="s">
        <v>35</v>
      </c>
      <c r="G1554" s="8" t="s">
        <v>28</v>
      </c>
      <c r="H1554" s="8" t="s">
        <v>38</v>
      </c>
      <c r="I1554" s="11">
        <v>3</v>
      </c>
      <c r="J1554" s="12">
        <v>102</v>
      </c>
      <c r="K1554" s="13">
        <v>0.1</v>
      </c>
      <c r="L1554" s="12">
        <v>71.77</v>
      </c>
      <c r="M1554" s="14">
        <f>ROUND(tblSprzedaz[[#This Row],[Ilość]]*tblSprzedaz[[#This Row],[Cena netto jednostkowa]]*(1-tblSprzedaz[[#This Row],[Rabat %]]),2)</f>
        <v>275.39999999999998</v>
      </c>
      <c r="N1554" s="14">
        <f>ROUND(tblSprzedaz[[#This Row],[Ilość]]*tblSprzedaz[[#This Row],[Koszt jednostkowy netto]],2)</f>
        <v>215.31</v>
      </c>
      <c r="O1554" s="14">
        <f>tblSprzedaz[[#This Row],[Przychód netto]]-tblSprzedaz[[#This Row],[Koszt całkowity netto]]</f>
        <v>60.089999999999975</v>
      </c>
      <c r="P1554" s="15">
        <f>IFERROR(tblSprzedaz[[#This Row],[Marża kwotowa]]/tblSprzedaz[[#This Row],[Przychód netto]],0)</f>
        <v>0.21819172113289753</v>
      </c>
      <c r="Q1554" s="16">
        <f>YEAR(tblSprzedaz[[#This Row],[Data]])</f>
        <v>2026</v>
      </c>
      <c r="R1554" s="16">
        <f>MONTH(tblSprzedaz[[#This Row],[Data]])</f>
        <v>2</v>
      </c>
      <c r="S1554" s="9" t="str">
        <f>YEAR(tblSprzedaz[[#This Row],[Data]])&amp;"-"&amp;RIGHT("0"&amp;MONTH(tblSprzedaz[[#This Row],[Data]]),2)</f>
        <v>2026-02</v>
      </c>
    </row>
    <row r="1555" spans="1:19" x14ac:dyDescent="0.25">
      <c r="A1555" s="7" t="s">
        <v>3277</v>
      </c>
      <c r="B1555" s="10">
        <v>46072</v>
      </c>
      <c r="C1555" s="7" t="s">
        <v>3278</v>
      </c>
      <c r="D1555" s="8" t="s">
        <v>93</v>
      </c>
      <c r="E1555" s="8" t="s">
        <v>62</v>
      </c>
      <c r="F1555" s="8" t="s">
        <v>33</v>
      </c>
      <c r="G1555" s="8" t="s">
        <v>28</v>
      </c>
      <c r="H1555" s="8" t="s">
        <v>39</v>
      </c>
      <c r="I1555" s="11">
        <v>12</v>
      </c>
      <c r="J1555" s="12">
        <v>611.79999999999995</v>
      </c>
      <c r="K1555" s="13">
        <v>0.05</v>
      </c>
      <c r="L1555" s="12">
        <v>402.32</v>
      </c>
      <c r="M1555" s="14">
        <f>ROUND(tblSprzedaz[[#This Row],[Ilość]]*tblSprzedaz[[#This Row],[Cena netto jednostkowa]]*(1-tblSprzedaz[[#This Row],[Rabat %]]),2)</f>
        <v>6974.52</v>
      </c>
      <c r="N1555" s="14">
        <f>ROUND(tblSprzedaz[[#This Row],[Ilość]]*tblSprzedaz[[#This Row],[Koszt jednostkowy netto]],2)</f>
        <v>4827.84</v>
      </c>
      <c r="O1555" s="14">
        <f>tblSprzedaz[[#This Row],[Przychód netto]]-tblSprzedaz[[#This Row],[Koszt całkowity netto]]</f>
        <v>2146.6800000000003</v>
      </c>
      <c r="P1555" s="15">
        <f>IFERROR(tblSprzedaz[[#This Row],[Marża kwotowa]]/tblSprzedaz[[#This Row],[Przychód netto]],0)</f>
        <v>0.30778892310868705</v>
      </c>
      <c r="Q1555" s="16">
        <f>YEAR(tblSprzedaz[[#This Row],[Data]])</f>
        <v>2026</v>
      </c>
      <c r="R1555" s="16">
        <f>MONTH(tblSprzedaz[[#This Row],[Data]])</f>
        <v>2</v>
      </c>
      <c r="S1555" s="9" t="str">
        <f>YEAR(tblSprzedaz[[#This Row],[Data]])&amp;"-"&amp;RIGHT("0"&amp;MONTH(tblSprzedaz[[#This Row],[Data]]),2)</f>
        <v>2026-02</v>
      </c>
    </row>
    <row r="1556" spans="1:19" x14ac:dyDescent="0.25">
      <c r="A1556" s="7" t="s">
        <v>3279</v>
      </c>
      <c r="B1556" s="10">
        <v>46072</v>
      </c>
      <c r="C1556" s="7" t="s">
        <v>3280</v>
      </c>
      <c r="D1556" s="8" t="s">
        <v>150</v>
      </c>
      <c r="E1556" s="8" t="s">
        <v>70</v>
      </c>
      <c r="F1556" s="8" t="s">
        <v>35</v>
      </c>
      <c r="G1556" s="8" t="s">
        <v>34</v>
      </c>
      <c r="H1556" s="8" t="s">
        <v>44</v>
      </c>
      <c r="I1556" s="11">
        <v>4</v>
      </c>
      <c r="J1556" s="12">
        <v>113.56</v>
      </c>
      <c r="K1556" s="13">
        <v>0</v>
      </c>
      <c r="L1556" s="12">
        <v>85.05</v>
      </c>
      <c r="M1556" s="14">
        <f>ROUND(tblSprzedaz[[#This Row],[Ilość]]*tblSprzedaz[[#This Row],[Cena netto jednostkowa]]*(1-tblSprzedaz[[#This Row],[Rabat %]]),2)</f>
        <v>454.24</v>
      </c>
      <c r="N1556" s="14">
        <f>ROUND(tblSprzedaz[[#This Row],[Ilość]]*tblSprzedaz[[#This Row],[Koszt jednostkowy netto]],2)</f>
        <v>340.2</v>
      </c>
      <c r="O1556" s="14">
        <f>tblSprzedaz[[#This Row],[Przychód netto]]-tblSprzedaz[[#This Row],[Koszt całkowity netto]]</f>
        <v>114.04000000000002</v>
      </c>
      <c r="P1556" s="15">
        <f>IFERROR(tblSprzedaz[[#This Row],[Marża kwotowa]]/tblSprzedaz[[#This Row],[Przychód netto]],0)</f>
        <v>0.25105671010919339</v>
      </c>
      <c r="Q1556" s="16">
        <f>YEAR(tblSprzedaz[[#This Row],[Data]])</f>
        <v>2026</v>
      </c>
      <c r="R1556" s="16">
        <f>MONTH(tblSprzedaz[[#This Row],[Data]])</f>
        <v>2</v>
      </c>
      <c r="S1556" s="9" t="str">
        <f>YEAR(tblSprzedaz[[#This Row],[Data]])&amp;"-"&amp;RIGHT("0"&amp;MONTH(tblSprzedaz[[#This Row],[Data]]),2)</f>
        <v>2026-02</v>
      </c>
    </row>
    <row r="1557" spans="1:19" x14ac:dyDescent="0.25">
      <c r="A1557" s="7" t="s">
        <v>3281</v>
      </c>
      <c r="B1557" s="10">
        <v>46072</v>
      </c>
      <c r="C1557" s="7" t="s">
        <v>3282</v>
      </c>
      <c r="D1557" s="8" t="s">
        <v>102</v>
      </c>
      <c r="E1557" s="8" t="s">
        <v>66</v>
      </c>
      <c r="F1557" s="8" t="s">
        <v>35</v>
      </c>
      <c r="G1557" s="8" t="s">
        <v>30</v>
      </c>
      <c r="H1557" s="8" t="s">
        <v>40</v>
      </c>
      <c r="I1557" s="11">
        <v>20</v>
      </c>
      <c r="J1557" s="12">
        <v>67.319999999999993</v>
      </c>
      <c r="K1557" s="13">
        <v>0.1</v>
      </c>
      <c r="L1557" s="12">
        <v>46.59</v>
      </c>
      <c r="M1557" s="14">
        <f>ROUND(tblSprzedaz[[#This Row],[Ilość]]*tblSprzedaz[[#This Row],[Cena netto jednostkowa]]*(1-tblSprzedaz[[#This Row],[Rabat %]]),2)</f>
        <v>1211.76</v>
      </c>
      <c r="N1557" s="14">
        <f>ROUND(tblSprzedaz[[#This Row],[Ilość]]*tblSprzedaz[[#This Row],[Koszt jednostkowy netto]],2)</f>
        <v>931.8</v>
      </c>
      <c r="O1557" s="14">
        <f>tblSprzedaz[[#This Row],[Przychód netto]]-tblSprzedaz[[#This Row],[Koszt całkowity netto]]</f>
        <v>279.96000000000004</v>
      </c>
      <c r="P1557" s="15">
        <f>IFERROR(tblSprzedaz[[#This Row],[Marża kwotowa]]/tblSprzedaz[[#This Row],[Przychód netto]],0)</f>
        <v>0.23103584868290755</v>
      </c>
      <c r="Q1557" s="16">
        <f>YEAR(tblSprzedaz[[#This Row],[Data]])</f>
        <v>2026</v>
      </c>
      <c r="R1557" s="16">
        <f>MONTH(tblSprzedaz[[#This Row],[Data]])</f>
        <v>2</v>
      </c>
      <c r="S1557" s="9" t="str">
        <f>YEAR(tblSprzedaz[[#This Row],[Data]])&amp;"-"&amp;RIGHT("0"&amp;MONTH(tblSprzedaz[[#This Row],[Data]]),2)</f>
        <v>2026-02</v>
      </c>
    </row>
    <row r="1558" spans="1:19" x14ac:dyDescent="0.25">
      <c r="A1558" s="7" t="s">
        <v>3283</v>
      </c>
      <c r="B1558" s="10">
        <v>46072</v>
      </c>
      <c r="C1558" s="7" t="s">
        <v>3284</v>
      </c>
      <c r="D1558" s="8" t="s">
        <v>137</v>
      </c>
      <c r="E1558" s="8" t="s">
        <v>75</v>
      </c>
      <c r="F1558" s="8" t="s">
        <v>37</v>
      </c>
      <c r="G1558" s="8" t="s">
        <v>28</v>
      </c>
      <c r="H1558" s="8" t="s">
        <v>38</v>
      </c>
      <c r="I1558" s="11">
        <v>18</v>
      </c>
      <c r="J1558" s="12">
        <v>142.5</v>
      </c>
      <c r="K1558" s="13">
        <v>0.1</v>
      </c>
      <c r="L1558" s="12">
        <v>113.15</v>
      </c>
      <c r="M1558" s="14">
        <f>ROUND(tblSprzedaz[[#This Row],[Ilość]]*tblSprzedaz[[#This Row],[Cena netto jednostkowa]]*(1-tblSprzedaz[[#This Row],[Rabat %]]),2)</f>
        <v>2308.5</v>
      </c>
      <c r="N1558" s="14">
        <f>ROUND(tblSprzedaz[[#This Row],[Ilość]]*tblSprzedaz[[#This Row],[Koszt jednostkowy netto]],2)</f>
        <v>2036.7</v>
      </c>
      <c r="O1558" s="14">
        <f>tblSprzedaz[[#This Row],[Przychód netto]]-tblSprzedaz[[#This Row],[Koszt całkowity netto]]</f>
        <v>271.79999999999995</v>
      </c>
      <c r="P1558" s="15">
        <f>IFERROR(tblSprzedaz[[#This Row],[Marża kwotowa]]/tblSprzedaz[[#This Row],[Przychód netto]],0)</f>
        <v>0.11773879142300193</v>
      </c>
      <c r="Q1558" s="16">
        <f>YEAR(tblSprzedaz[[#This Row],[Data]])</f>
        <v>2026</v>
      </c>
      <c r="R1558" s="16">
        <f>MONTH(tblSprzedaz[[#This Row],[Data]])</f>
        <v>2</v>
      </c>
      <c r="S1558" s="9" t="str">
        <f>YEAR(tblSprzedaz[[#This Row],[Data]])&amp;"-"&amp;RIGHT("0"&amp;MONTH(tblSprzedaz[[#This Row],[Data]]),2)</f>
        <v>2026-02</v>
      </c>
    </row>
    <row r="1559" spans="1:19" x14ac:dyDescent="0.25">
      <c r="A1559" s="7" t="s">
        <v>3285</v>
      </c>
      <c r="B1559" s="10">
        <v>46073</v>
      </c>
      <c r="C1559" s="7" t="s">
        <v>3286</v>
      </c>
      <c r="D1559" s="8" t="s">
        <v>88</v>
      </c>
      <c r="E1559" s="8" t="s">
        <v>62</v>
      </c>
      <c r="F1559" s="8" t="s">
        <v>33</v>
      </c>
      <c r="G1559" s="8" t="s">
        <v>30</v>
      </c>
      <c r="H1559" s="8" t="s">
        <v>40</v>
      </c>
      <c r="I1559" s="11">
        <v>5</v>
      </c>
      <c r="J1559" s="12">
        <v>611.79999999999995</v>
      </c>
      <c r="K1559" s="13">
        <v>0</v>
      </c>
      <c r="L1559" s="12">
        <v>426.61</v>
      </c>
      <c r="M1559" s="14">
        <f>ROUND(tblSprzedaz[[#This Row],[Ilość]]*tblSprzedaz[[#This Row],[Cena netto jednostkowa]]*(1-tblSprzedaz[[#This Row],[Rabat %]]),2)</f>
        <v>3059</v>
      </c>
      <c r="N1559" s="14">
        <f>ROUND(tblSprzedaz[[#This Row],[Ilość]]*tblSprzedaz[[#This Row],[Koszt jednostkowy netto]],2)</f>
        <v>2133.0500000000002</v>
      </c>
      <c r="O1559" s="14">
        <f>tblSprzedaz[[#This Row],[Przychód netto]]-tblSprzedaz[[#This Row],[Koszt całkowity netto]]</f>
        <v>925.94999999999982</v>
      </c>
      <c r="P1559" s="15">
        <f>IFERROR(tblSprzedaz[[#This Row],[Marża kwotowa]]/tblSprzedaz[[#This Row],[Przychód netto]],0)</f>
        <v>0.30269695979078126</v>
      </c>
      <c r="Q1559" s="16">
        <f>YEAR(tblSprzedaz[[#This Row],[Data]])</f>
        <v>2026</v>
      </c>
      <c r="R1559" s="16">
        <f>MONTH(tblSprzedaz[[#This Row],[Data]])</f>
        <v>2</v>
      </c>
      <c r="S1559" s="9" t="str">
        <f>YEAR(tblSprzedaz[[#This Row],[Data]])&amp;"-"&amp;RIGHT("0"&amp;MONTH(tblSprzedaz[[#This Row],[Data]]),2)</f>
        <v>2026-02</v>
      </c>
    </row>
    <row r="1560" spans="1:19" x14ac:dyDescent="0.25">
      <c r="A1560" s="7" t="s">
        <v>3287</v>
      </c>
      <c r="B1560" s="10">
        <v>46073</v>
      </c>
      <c r="C1560" s="7" t="s">
        <v>3288</v>
      </c>
      <c r="D1560" s="8" t="s">
        <v>99</v>
      </c>
      <c r="E1560" s="8" t="s">
        <v>65</v>
      </c>
      <c r="F1560" s="8" t="s">
        <v>33</v>
      </c>
      <c r="G1560" s="8" t="s">
        <v>34</v>
      </c>
      <c r="H1560" s="8" t="s">
        <v>44</v>
      </c>
      <c r="I1560" s="11">
        <v>1</v>
      </c>
      <c r="J1560" s="12">
        <v>377.2</v>
      </c>
      <c r="K1560" s="13">
        <v>0.15</v>
      </c>
      <c r="L1560" s="12">
        <v>252.48</v>
      </c>
      <c r="M1560" s="14">
        <f>ROUND(tblSprzedaz[[#This Row],[Ilość]]*tblSprzedaz[[#This Row],[Cena netto jednostkowa]]*(1-tblSprzedaz[[#This Row],[Rabat %]]),2)</f>
        <v>320.62</v>
      </c>
      <c r="N1560" s="14">
        <f>ROUND(tblSprzedaz[[#This Row],[Ilość]]*tblSprzedaz[[#This Row],[Koszt jednostkowy netto]],2)</f>
        <v>252.48</v>
      </c>
      <c r="O1560" s="14">
        <f>tblSprzedaz[[#This Row],[Przychód netto]]-tblSprzedaz[[#This Row],[Koszt całkowity netto]]</f>
        <v>68.140000000000015</v>
      </c>
      <c r="P1560" s="15">
        <f>IFERROR(tblSprzedaz[[#This Row],[Marża kwotowa]]/tblSprzedaz[[#This Row],[Przychód netto]],0)</f>
        <v>0.21252573139542141</v>
      </c>
      <c r="Q1560" s="16">
        <f>YEAR(tblSprzedaz[[#This Row],[Data]])</f>
        <v>2026</v>
      </c>
      <c r="R1560" s="16">
        <f>MONTH(tblSprzedaz[[#This Row],[Data]])</f>
        <v>2</v>
      </c>
      <c r="S1560" s="9" t="str">
        <f>YEAR(tblSprzedaz[[#This Row],[Data]])&amp;"-"&amp;RIGHT("0"&amp;MONTH(tblSprzedaz[[#This Row],[Data]]),2)</f>
        <v>2026-02</v>
      </c>
    </row>
    <row r="1561" spans="1:19" x14ac:dyDescent="0.25">
      <c r="A1561" s="7" t="s">
        <v>3289</v>
      </c>
      <c r="B1561" s="10">
        <v>46073</v>
      </c>
      <c r="C1561" s="7" t="s">
        <v>3290</v>
      </c>
      <c r="D1561" s="8" t="s">
        <v>101</v>
      </c>
      <c r="E1561" s="8" t="s">
        <v>77</v>
      </c>
      <c r="F1561" s="8" t="s">
        <v>37</v>
      </c>
      <c r="G1561" s="8" t="s">
        <v>32</v>
      </c>
      <c r="H1561" s="8" t="s">
        <v>43</v>
      </c>
      <c r="I1561" s="11">
        <v>14</v>
      </c>
      <c r="J1561" s="12">
        <v>77.900000000000006</v>
      </c>
      <c r="K1561" s="13">
        <v>0.1</v>
      </c>
      <c r="L1561" s="12">
        <v>58.99</v>
      </c>
      <c r="M1561" s="14">
        <f>ROUND(tblSprzedaz[[#This Row],[Ilość]]*tblSprzedaz[[#This Row],[Cena netto jednostkowa]]*(1-tblSprzedaz[[#This Row],[Rabat %]]),2)</f>
        <v>981.54</v>
      </c>
      <c r="N1561" s="14">
        <f>ROUND(tblSprzedaz[[#This Row],[Ilość]]*tblSprzedaz[[#This Row],[Koszt jednostkowy netto]],2)</f>
        <v>825.86</v>
      </c>
      <c r="O1561" s="14">
        <f>tblSprzedaz[[#This Row],[Przychód netto]]-tblSprzedaz[[#This Row],[Koszt całkowity netto]]</f>
        <v>155.67999999999995</v>
      </c>
      <c r="P1561" s="15">
        <f>IFERROR(tblSprzedaz[[#This Row],[Marża kwotowa]]/tblSprzedaz[[#This Row],[Przychód netto]],0)</f>
        <v>0.15860790186849233</v>
      </c>
      <c r="Q1561" s="16">
        <f>YEAR(tblSprzedaz[[#This Row],[Data]])</f>
        <v>2026</v>
      </c>
      <c r="R1561" s="16">
        <f>MONTH(tblSprzedaz[[#This Row],[Data]])</f>
        <v>2</v>
      </c>
      <c r="S1561" s="9" t="str">
        <f>YEAR(tblSprzedaz[[#This Row],[Data]])&amp;"-"&amp;RIGHT("0"&amp;MONTH(tblSprzedaz[[#This Row],[Data]]),2)</f>
        <v>2026-02</v>
      </c>
    </row>
    <row r="1562" spans="1:19" x14ac:dyDescent="0.25">
      <c r="A1562" s="7" t="s">
        <v>3291</v>
      </c>
      <c r="B1562" s="10">
        <v>46073</v>
      </c>
      <c r="C1562" s="7" t="s">
        <v>3292</v>
      </c>
      <c r="D1562" s="8" t="s">
        <v>152</v>
      </c>
      <c r="E1562" s="8" t="s">
        <v>53</v>
      </c>
      <c r="F1562" s="8" t="s">
        <v>29</v>
      </c>
      <c r="G1562" s="8" t="s">
        <v>30</v>
      </c>
      <c r="H1562" s="8" t="s">
        <v>40</v>
      </c>
      <c r="I1562" s="11">
        <v>9</v>
      </c>
      <c r="J1562" s="12">
        <v>27.88</v>
      </c>
      <c r="K1562" s="13">
        <v>0</v>
      </c>
      <c r="L1562" s="12">
        <v>17.39</v>
      </c>
      <c r="M1562" s="14">
        <f>ROUND(tblSprzedaz[[#This Row],[Ilość]]*tblSprzedaz[[#This Row],[Cena netto jednostkowa]]*(1-tblSprzedaz[[#This Row],[Rabat %]]),2)</f>
        <v>250.92</v>
      </c>
      <c r="N1562" s="14">
        <f>ROUND(tblSprzedaz[[#This Row],[Ilość]]*tblSprzedaz[[#This Row],[Koszt jednostkowy netto]],2)</f>
        <v>156.51</v>
      </c>
      <c r="O1562" s="14">
        <f>tblSprzedaz[[#This Row],[Przychód netto]]-tblSprzedaz[[#This Row],[Koszt całkowity netto]]</f>
        <v>94.41</v>
      </c>
      <c r="P1562" s="15">
        <f>IFERROR(tblSprzedaz[[#This Row],[Marża kwotowa]]/tblSprzedaz[[#This Row],[Przychód netto]],0)</f>
        <v>0.37625538020086086</v>
      </c>
      <c r="Q1562" s="16">
        <f>YEAR(tblSprzedaz[[#This Row],[Data]])</f>
        <v>2026</v>
      </c>
      <c r="R1562" s="16">
        <f>MONTH(tblSprzedaz[[#This Row],[Data]])</f>
        <v>2</v>
      </c>
      <c r="S1562" s="9" t="str">
        <f>YEAR(tblSprzedaz[[#This Row],[Data]])&amp;"-"&amp;RIGHT("0"&amp;MONTH(tblSprzedaz[[#This Row],[Data]]),2)</f>
        <v>2026-02</v>
      </c>
    </row>
    <row r="1563" spans="1:19" x14ac:dyDescent="0.25">
      <c r="A1563" s="7" t="s">
        <v>3293</v>
      </c>
      <c r="B1563" s="10">
        <v>46073</v>
      </c>
      <c r="C1563" s="7" t="s">
        <v>3294</v>
      </c>
      <c r="D1563" s="8" t="s">
        <v>144</v>
      </c>
      <c r="E1563" s="8" t="s">
        <v>65</v>
      </c>
      <c r="F1563" s="8" t="s">
        <v>33</v>
      </c>
      <c r="G1563" s="8" t="s">
        <v>34</v>
      </c>
      <c r="H1563" s="8" t="s">
        <v>44</v>
      </c>
      <c r="I1563" s="11">
        <v>3</v>
      </c>
      <c r="J1563" s="12">
        <v>377.2</v>
      </c>
      <c r="K1563" s="13">
        <v>0</v>
      </c>
      <c r="L1563" s="12">
        <v>261.24</v>
      </c>
      <c r="M1563" s="14">
        <f>ROUND(tblSprzedaz[[#This Row],[Ilość]]*tblSprzedaz[[#This Row],[Cena netto jednostkowa]]*(1-tblSprzedaz[[#This Row],[Rabat %]]),2)</f>
        <v>1131.5999999999999</v>
      </c>
      <c r="N1563" s="14">
        <f>ROUND(tblSprzedaz[[#This Row],[Ilość]]*tblSprzedaz[[#This Row],[Koszt jednostkowy netto]],2)</f>
        <v>783.72</v>
      </c>
      <c r="O1563" s="14">
        <f>tblSprzedaz[[#This Row],[Przychód netto]]-tblSprzedaz[[#This Row],[Koszt całkowity netto]]</f>
        <v>347.87999999999988</v>
      </c>
      <c r="P1563" s="15">
        <f>IFERROR(tblSprzedaz[[#This Row],[Marża kwotowa]]/tblSprzedaz[[#This Row],[Przychód netto]],0)</f>
        <v>0.30742311770943787</v>
      </c>
      <c r="Q1563" s="16">
        <f>YEAR(tblSprzedaz[[#This Row],[Data]])</f>
        <v>2026</v>
      </c>
      <c r="R1563" s="16">
        <f>MONTH(tblSprzedaz[[#This Row],[Data]])</f>
        <v>2</v>
      </c>
      <c r="S1563" s="9" t="str">
        <f>YEAR(tblSprzedaz[[#This Row],[Data]])&amp;"-"&amp;RIGHT("0"&amp;MONTH(tblSprzedaz[[#This Row],[Data]]),2)</f>
        <v>2026-02</v>
      </c>
    </row>
    <row r="1564" spans="1:19" x14ac:dyDescent="0.25">
      <c r="A1564" s="7" t="s">
        <v>3295</v>
      </c>
      <c r="B1564" s="10">
        <v>46074</v>
      </c>
      <c r="C1564" s="7" t="s">
        <v>3296</v>
      </c>
      <c r="D1564" s="8" t="s">
        <v>90</v>
      </c>
      <c r="E1564" s="8" t="s">
        <v>76</v>
      </c>
      <c r="F1564" s="8" t="s">
        <v>37</v>
      </c>
      <c r="G1564" s="8" t="s">
        <v>36</v>
      </c>
      <c r="H1564" s="8" t="s">
        <v>46</v>
      </c>
      <c r="I1564" s="11">
        <v>15</v>
      </c>
      <c r="J1564" s="12">
        <v>158.65</v>
      </c>
      <c r="K1564" s="13">
        <v>0.05</v>
      </c>
      <c r="L1564" s="12">
        <v>116.76</v>
      </c>
      <c r="M1564" s="14">
        <f>ROUND(tblSprzedaz[[#This Row],[Ilość]]*tblSprzedaz[[#This Row],[Cena netto jednostkowa]]*(1-tblSprzedaz[[#This Row],[Rabat %]]),2)</f>
        <v>2260.7600000000002</v>
      </c>
      <c r="N1564" s="14">
        <f>ROUND(tblSprzedaz[[#This Row],[Ilość]]*tblSprzedaz[[#This Row],[Koszt jednostkowy netto]],2)</f>
        <v>1751.4</v>
      </c>
      <c r="O1564" s="14">
        <f>tblSprzedaz[[#This Row],[Przychód netto]]-tblSprzedaz[[#This Row],[Koszt całkowity netto]]</f>
        <v>509.36000000000013</v>
      </c>
      <c r="P1564" s="15">
        <f>IFERROR(tblSprzedaz[[#This Row],[Marża kwotowa]]/tblSprzedaz[[#This Row],[Przychód netto]],0)</f>
        <v>0.22530476476936961</v>
      </c>
      <c r="Q1564" s="16">
        <f>YEAR(tblSprzedaz[[#This Row],[Data]])</f>
        <v>2026</v>
      </c>
      <c r="R1564" s="16">
        <f>MONTH(tblSprzedaz[[#This Row],[Data]])</f>
        <v>2</v>
      </c>
      <c r="S1564" s="9" t="str">
        <f>YEAR(tblSprzedaz[[#This Row],[Data]])&amp;"-"&amp;RIGHT("0"&amp;MONTH(tblSprzedaz[[#This Row],[Data]]),2)</f>
        <v>2026-02</v>
      </c>
    </row>
    <row r="1565" spans="1:19" x14ac:dyDescent="0.25">
      <c r="A1565" s="7" t="s">
        <v>3297</v>
      </c>
      <c r="B1565" s="10">
        <v>46074</v>
      </c>
      <c r="C1565" s="7" t="s">
        <v>3298</v>
      </c>
      <c r="D1565" s="8" t="s">
        <v>113</v>
      </c>
      <c r="E1565" s="8" t="s">
        <v>71</v>
      </c>
      <c r="F1565" s="8" t="s">
        <v>35</v>
      </c>
      <c r="G1565" s="8" t="s">
        <v>30</v>
      </c>
      <c r="H1565" s="8" t="s">
        <v>41</v>
      </c>
      <c r="I1565" s="11">
        <v>20</v>
      </c>
      <c r="J1565" s="12">
        <v>55.76</v>
      </c>
      <c r="K1565" s="13">
        <v>0.05</v>
      </c>
      <c r="L1565" s="12">
        <v>41.98</v>
      </c>
      <c r="M1565" s="14">
        <f>ROUND(tblSprzedaz[[#This Row],[Ilość]]*tblSprzedaz[[#This Row],[Cena netto jednostkowa]]*(1-tblSprzedaz[[#This Row],[Rabat %]]),2)</f>
        <v>1059.44</v>
      </c>
      <c r="N1565" s="14">
        <f>ROUND(tblSprzedaz[[#This Row],[Ilość]]*tblSprzedaz[[#This Row],[Koszt jednostkowy netto]],2)</f>
        <v>839.6</v>
      </c>
      <c r="O1565" s="14">
        <f>tblSprzedaz[[#This Row],[Przychód netto]]-tblSprzedaz[[#This Row],[Koszt całkowity netto]]</f>
        <v>219.84000000000003</v>
      </c>
      <c r="P1565" s="15">
        <f>IFERROR(tblSprzedaz[[#This Row],[Marża kwotowa]]/tblSprzedaz[[#This Row],[Przychód netto]],0)</f>
        <v>0.20750585214830478</v>
      </c>
      <c r="Q1565" s="16">
        <f>YEAR(tblSprzedaz[[#This Row],[Data]])</f>
        <v>2026</v>
      </c>
      <c r="R1565" s="16">
        <f>MONTH(tblSprzedaz[[#This Row],[Data]])</f>
        <v>2</v>
      </c>
      <c r="S1565" s="9" t="str">
        <f>YEAR(tblSprzedaz[[#This Row],[Data]])&amp;"-"&amp;RIGHT("0"&amp;MONTH(tblSprzedaz[[#This Row],[Data]]),2)</f>
        <v>2026-02</v>
      </c>
    </row>
    <row r="1566" spans="1:19" x14ac:dyDescent="0.25">
      <c r="A1566" s="7" t="s">
        <v>3299</v>
      </c>
      <c r="B1566" s="10">
        <v>46075</v>
      </c>
      <c r="C1566" s="7" t="s">
        <v>3300</v>
      </c>
      <c r="D1566" s="8" t="s">
        <v>106</v>
      </c>
      <c r="E1566" s="8" t="s">
        <v>48</v>
      </c>
      <c r="F1566" s="8" t="s">
        <v>29</v>
      </c>
      <c r="G1566" s="8" t="s">
        <v>30</v>
      </c>
      <c r="H1566" s="8" t="s">
        <v>40</v>
      </c>
      <c r="I1566" s="11">
        <v>6</v>
      </c>
      <c r="J1566" s="12">
        <v>33.659999999999997</v>
      </c>
      <c r="K1566" s="13">
        <v>0</v>
      </c>
      <c r="L1566" s="12">
        <v>20.91</v>
      </c>
      <c r="M1566" s="14">
        <f>ROUND(tblSprzedaz[[#This Row],[Ilość]]*tblSprzedaz[[#This Row],[Cena netto jednostkowa]]*(1-tblSprzedaz[[#This Row],[Rabat %]]),2)</f>
        <v>201.96</v>
      </c>
      <c r="N1566" s="14">
        <f>ROUND(tblSprzedaz[[#This Row],[Ilość]]*tblSprzedaz[[#This Row],[Koszt jednostkowy netto]],2)</f>
        <v>125.46</v>
      </c>
      <c r="O1566" s="14">
        <f>tblSprzedaz[[#This Row],[Przychód netto]]-tblSprzedaz[[#This Row],[Koszt całkowity netto]]</f>
        <v>76.500000000000014</v>
      </c>
      <c r="P1566" s="15">
        <f>IFERROR(tblSprzedaz[[#This Row],[Marża kwotowa]]/tblSprzedaz[[#This Row],[Przychód netto]],0)</f>
        <v>0.37878787878787884</v>
      </c>
      <c r="Q1566" s="16">
        <f>YEAR(tblSprzedaz[[#This Row],[Data]])</f>
        <v>2026</v>
      </c>
      <c r="R1566" s="16">
        <f>MONTH(tblSprzedaz[[#This Row],[Data]])</f>
        <v>2</v>
      </c>
      <c r="S1566" s="9" t="str">
        <f>YEAR(tblSprzedaz[[#This Row],[Data]])&amp;"-"&amp;RIGHT("0"&amp;MONTH(tblSprzedaz[[#This Row],[Data]]),2)</f>
        <v>2026-02</v>
      </c>
    </row>
    <row r="1567" spans="1:19" x14ac:dyDescent="0.25">
      <c r="A1567" s="7" t="s">
        <v>3301</v>
      </c>
      <c r="B1567" s="10">
        <v>46075</v>
      </c>
      <c r="C1567" s="7" t="s">
        <v>3302</v>
      </c>
      <c r="D1567" s="8" t="s">
        <v>101</v>
      </c>
      <c r="E1567" s="8" t="s">
        <v>59</v>
      </c>
      <c r="F1567" s="8" t="s">
        <v>31</v>
      </c>
      <c r="G1567" s="8" t="s">
        <v>34</v>
      </c>
      <c r="H1567" s="8" t="s">
        <v>44</v>
      </c>
      <c r="I1567" s="11">
        <v>1</v>
      </c>
      <c r="J1567" s="12">
        <v>172.2</v>
      </c>
      <c r="K1567" s="13">
        <v>0.05</v>
      </c>
      <c r="L1567" s="12">
        <v>107</v>
      </c>
      <c r="M1567" s="14">
        <f>ROUND(tblSprzedaz[[#This Row],[Ilość]]*tblSprzedaz[[#This Row],[Cena netto jednostkowa]]*(1-tblSprzedaz[[#This Row],[Rabat %]]),2)</f>
        <v>163.59</v>
      </c>
      <c r="N1567" s="14">
        <f>ROUND(tblSprzedaz[[#This Row],[Ilość]]*tblSprzedaz[[#This Row],[Koszt jednostkowy netto]],2)</f>
        <v>107</v>
      </c>
      <c r="O1567" s="14">
        <f>tblSprzedaz[[#This Row],[Przychód netto]]-tblSprzedaz[[#This Row],[Koszt całkowity netto]]</f>
        <v>56.59</v>
      </c>
      <c r="P1567" s="15">
        <f>IFERROR(tblSprzedaz[[#This Row],[Marża kwotowa]]/tblSprzedaz[[#This Row],[Przychód netto]],0)</f>
        <v>0.34592579008496854</v>
      </c>
      <c r="Q1567" s="16">
        <f>YEAR(tblSprzedaz[[#This Row],[Data]])</f>
        <v>2026</v>
      </c>
      <c r="R1567" s="16">
        <f>MONTH(tblSprzedaz[[#This Row],[Data]])</f>
        <v>2</v>
      </c>
      <c r="S1567" s="9" t="str">
        <f>YEAR(tblSprzedaz[[#This Row],[Data]])&amp;"-"&amp;RIGHT("0"&amp;MONTH(tblSprzedaz[[#This Row],[Data]]),2)</f>
        <v>2026-02</v>
      </c>
    </row>
    <row r="1568" spans="1:19" x14ac:dyDescent="0.25">
      <c r="A1568" s="7" t="s">
        <v>3303</v>
      </c>
      <c r="B1568" s="10">
        <v>46076</v>
      </c>
      <c r="C1568" s="7" t="s">
        <v>3304</v>
      </c>
      <c r="D1568" s="8" t="s">
        <v>130</v>
      </c>
      <c r="E1568" s="8" t="s">
        <v>60</v>
      </c>
      <c r="F1568" s="8" t="s">
        <v>33</v>
      </c>
      <c r="G1568" s="8" t="s">
        <v>32</v>
      </c>
      <c r="H1568" s="8" t="s">
        <v>42</v>
      </c>
      <c r="I1568" s="11">
        <v>17</v>
      </c>
      <c r="J1568" s="12">
        <v>455.4</v>
      </c>
      <c r="K1568" s="13">
        <v>0</v>
      </c>
      <c r="L1568" s="12">
        <v>310.49</v>
      </c>
      <c r="M1568" s="14">
        <f>ROUND(tblSprzedaz[[#This Row],[Ilość]]*tblSprzedaz[[#This Row],[Cena netto jednostkowa]]*(1-tblSprzedaz[[#This Row],[Rabat %]]),2)</f>
        <v>7741.8</v>
      </c>
      <c r="N1568" s="14">
        <f>ROUND(tblSprzedaz[[#This Row],[Ilość]]*tblSprzedaz[[#This Row],[Koszt jednostkowy netto]],2)</f>
        <v>5278.33</v>
      </c>
      <c r="O1568" s="14">
        <f>tblSprzedaz[[#This Row],[Przychód netto]]-tblSprzedaz[[#This Row],[Koszt całkowity netto]]</f>
        <v>2463.4700000000003</v>
      </c>
      <c r="P1568" s="15">
        <f>IFERROR(tblSprzedaz[[#This Row],[Marża kwotowa]]/tblSprzedaz[[#This Row],[Przychód netto]],0)</f>
        <v>0.31820377689942908</v>
      </c>
      <c r="Q1568" s="16">
        <f>YEAR(tblSprzedaz[[#This Row],[Data]])</f>
        <v>2026</v>
      </c>
      <c r="R1568" s="16">
        <f>MONTH(tblSprzedaz[[#This Row],[Data]])</f>
        <v>2</v>
      </c>
      <c r="S1568" s="9" t="str">
        <f>YEAR(tblSprzedaz[[#This Row],[Data]])&amp;"-"&amp;RIGHT("0"&amp;MONTH(tblSprzedaz[[#This Row],[Data]]),2)</f>
        <v>2026-02</v>
      </c>
    </row>
    <row r="1569" spans="1:19" x14ac:dyDescent="0.25">
      <c r="A1569" s="7" t="s">
        <v>3305</v>
      </c>
      <c r="B1569" s="10">
        <v>46076</v>
      </c>
      <c r="C1569" s="7" t="s">
        <v>3306</v>
      </c>
      <c r="D1569" s="8" t="s">
        <v>121</v>
      </c>
      <c r="E1569" s="8" t="s">
        <v>66</v>
      </c>
      <c r="F1569" s="8" t="s">
        <v>35</v>
      </c>
      <c r="G1569" s="8" t="s">
        <v>34</v>
      </c>
      <c r="H1569" s="8" t="s">
        <v>45</v>
      </c>
      <c r="I1569" s="11">
        <v>8</v>
      </c>
      <c r="J1569" s="12">
        <v>67.319999999999993</v>
      </c>
      <c r="K1569" s="13">
        <v>0</v>
      </c>
      <c r="L1569" s="12">
        <v>47.23</v>
      </c>
      <c r="M1569" s="14">
        <f>ROUND(tblSprzedaz[[#This Row],[Ilość]]*tblSprzedaz[[#This Row],[Cena netto jednostkowa]]*(1-tblSprzedaz[[#This Row],[Rabat %]]),2)</f>
        <v>538.55999999999995</v>
      </c>
      <c r="N1569" s="14">
        <f>ROUND(tblSprzedaz[[#This Row],[Ilość]]*tblSprzedaz[[#This Row],[Koszt jednostkowy netto]],2)</f>
        <v>377.84</v>
      </c>
      <c r="O1569" s="14">
        <f>tblSprzedaz[[#This Row],[Przychód netto]]-tblSprzedaz[[#This Row],[Koszt całkowity netto]]</f>
        <v>160.71999999999997</v>
      </c>
      <c r="P1569" s="15">
        <f>IFERROR(tblSprzedaz[[#This Row],[Marża kwotowa]]/tblSprzedaz[[#This Row],[Przychód netto]],0)</f>
        <v>0.29842543077837191</v>
      </c>
      <c r="Q1569" s="16">
        <f>YEAR(tblSprzedaz[[#This Row],[Data]])</f>
        <v>2026</v>
      </c>
      <c r="R1569" s="16">
        <f>MONTH(tblSprzedaz[[#This Row],[Data]])</f>
        <v>2</v>
      </c>
      <c r="S1569" s="9" t="str">
        <f>YEAR(tblSprzedaz[[#This Row],[Data]])&amp;"-"&amp;RIGHT("0"&amp;MONTH(tblSprzedaz[[#This Row],[Data]]),2)</f>
        <v>2026-02</v>
      </c>
    </row>
    <row r="1570" spans="1:19" x14ac:dyDescent="0.25">
      <c r="A1570" s="7" t="s">
        <v>3307</v>
      </c>
      <c r="B1570" s="10">
        <v>46076</v>
      </c>
      <c r="C1570" s="7" t="s">
        <v>3308</v>
      </c>
      <c r="D1570" s="8" t="s">
        <v>128</v>
      </c>
      <c r="E1570" s="8" t="s">
        <v>52</v>
      </c>
      <c r="F1570" s="8" t="s">
        <v>29</v>
      </c>
      <c r="G1570" s="8" t="s">
        <v>36</v>
      </c>
      <c r="H1570" s="8" t="s">
        <v>46</v>
      </c>
      <c r="I1570" s="11">
        <v>11</v>
      </c>
      <c r="J1570" s="12">
        <v>56.78</v>
      </c>
      <c r="K1570" s="13">
        <v>0</v>
      </c>
      <c r="L1570" s="12">
        <v>33.46</v>
      </c>
      <c r="M1570" s="14">
        <f>ROUND(tblSprzedaz[[#This Row],[Ilość]]*tblSprzedaz[[#This Row],[Cena netto jednostkowa]]*(1-tblSprzedaz[[#This Row],[Rabat %]]),2)</f>
        <v>624.58000000000004</v>
      </c>
      <c r="N1570" s="14">
        <f>ROUND(tblSprzedaz[[#This Row],[Ilość]]*tblSprzedaz[[#This Row],[Koszt jednostkowy netto]],2)</f>
        <v>368.06</v>
      </c>
      <c r="O1570" s="14">
        <f>tblSprzedaz[[#This Row],[Przychód netto]]-tblSprzedaz[[#This Row],[Koszt całkowity netto]]</f>
        <v>256.52000000000004</v>
      </c>
      <c r="P1570" s="15">
        <f>IFERROR(tblSprzedaz[[#This Row],[Marża kwotowa]]/tblSprzedaz[[#This Row],[Przychód netto]],0)</f>
        <v>0.41070799577315958</v>
      </c>
      <c r="Q1570" s="16">
        <f>YEAR(tblSprzedaz[[#This Row],[Data]])</f>
        <v>2026</v>
      </c>
      <c r="R1570" s="16">
        <f>MONTH(tblSprzedaz[[#This Row],[Data]])</f>
        <v>2</v>
      </c>
      <c r="S1570" s="9" t="str">
        <f>YEAR(tblSprzedaz[[#This Row],[Data]])&amp;"-"&amp;RIGHT("0"&amp;MONTH(tblSprzedaz[[#This Row],[Data]]),2)</f>
        <v>2026-02</v>
      </c>
    </row>
    <row r="1571" spans="1:19" x14ac:dyDescent="0.25">
      <c r="A1571" s="7" t="s">
        <v>3309</v>
      </c>
      <c r="B1571" s="10">
        <v>46076</v>
      </c>
      <c r="C1571" s="7" t="s">
        <v>3310</v>
      </c>
      <c r="D1571" s="8" t="s">
        <v>129</v>
      </c>
      <c r="E1571" s="8" t="s">
        <v>76</v>
      </c>
      <c r="F1571" s="8" t="s">
        <v>37</v>
      </c>
      <c r="G1571" s="8" t="s">
        <v>30</v>
      </c>
      <c r="H1571" s="8" t="s">
        <v>41</v>
      </c>
      <c r="I1571" s="11">
        <v>2</v>
      </c>
      <c r="J1571" s="12">
        <v>158.65</v>
      </c>
      <c r="K1571" s="13">
        <v>0.15</v>
      </c>
      <c r="L1571" s="12">
        <v>126.53</v>
      </c>
      <c r="M1571" s="14">
        <f>ROUND(tblSprzedaz[[#This Row],[Ilość]]*tblSprzedaz[[#This Row],[Cena netto jednostkowa]]*(1-tblSprzedaz[[#This Row],[Rabat %]]),2)</f>
        <v>269.70999999999998</v>
      </c>
      <c r="N1571" s="14">
        <f>ROUND(tblSprzedaz[[#This Row],[Ilość]]*tblSprzedaz[[#This Row],[Koszt jednostkowy netto]],2)</f>
        <v>253.06</v>
      </c>
      <c r="O1571" s="14">
        <f>tblSprzedaz[[#This Row],[Przychód netto]]-tblSprzedaz[[#This Row],[Koszt całkowity netto]]</f>
        <v>16.649999999999977</v>
      </c>
      <c r="P1571" s="15">
        <f>IFERROR(tblSprzedaz[[#This Row],[Marża kwotowa]]/tblSprzedaz[[#This Row],[Przychód netto]],0)</f>
        <v>6.1732972451892694E-2</v>
      </c>
      <c r="Q1571" s="16">
        <f>YEAR(tblSprzedaz[[#This Row],[Data]])</f>
        <v>2026</v>
      </c>
      <c r="R1571" s="16">
        <f>MONTH(tblSprzedaz[[#This Row],[Data]])</f>
        <v>2</v>
      </c>
      <c r="S1571" s="9" t="str">
        <f>YEAR(tblSprzedaz[[#This Row],[Data]])&amp;"-"&amp;RIGHT("0"&amp;MONTH(tblSprzedaz[[#This Row],[Data]]),2)</f>
        <v>2026-02</v>
      </c>
    </row>
    <row r="1572" spans="1:19" x14ac:dyDescent="0.25">
      <c r="A1572" s="7" t="s">
        <v>3311</v>
      </c>
      <c r="B1572" s="10">
        <v>46077</v>
      </c>
      <c r="C1572" s="7" t="s">
        <v>3312</v>
      </c>
      <c r="D1572" s="8" t="s">
        <v>145</v>
      </c>
      <c r="E1572" s="8" t="s">
        <v>51</v>
      </c>
      <c r="F1572" s="8" t="s">
        <v>29</v>
      </c>
      <c r="G1572" s="8" t="s">
        <v>32</v>
      </c>
      <c r="H1572" s="8" t="s">
        <v>43</v>
      </c>
      <c r="I1572" s="11">
        <v>22</v>
      </c>
      <c r="J1572" s="12">
        <v>51</v>
      </c>
      <c r="K1572" s="13">
        <v>0.05</v>
      </c>
      <c r="L1572" s="12">
        <v>29.03</v>
      </c>
      <c r="M1572" s="14">
        <f>ROUND(tblSprzedaz[[#This Row],[Ilość]]*tblSprzedaz[[#This Row],[Cena netto jednostkowa]]*(1-tblSprzedaz[[#This Row],[Rabat %]]),2)</f>
        <v>1065.9000000000001</v>
      </c>
      <c r="N1572" s="14">
        <f>ROUND(tblSprzedaz[[#This Row],[Ilość]]*tblSprzedaz[[#This Row],[Koszt jednostkowy netto]],2)</f>
        <v>638.66</v>
      </c>
      <c r="O1572" s="14">
        <f>tblSprzedaz[[#This Row],[Przychód netto]]-tblSprzedaz[[#This Row],[Koszt całkowity netto]]</f>
        <v>427.24000000000012</v>
      </c>
      <c r="P1572" s="15">
        <f>IFERROR(tblSprzedaz[[#This Row],[Marża kwotowa]]/tblSprzedaz[[#This Row],[Przychód netto]],0)</f>
        <v>0.40082559339525292</v>
      </c>
      <c r="Q1572" s="16">
        <f>YEAR(tblSprzedaz[[#This Row],[Data]])</f>
        <v>2026</v>
      </c>
      <c r="R1572" s="16">
        <f>MONTH(tblSprzedaz[[#This Row],[Data]])</f>
        <v>2</v>
      </c>
      <c r="S1572" s="9" t="str">
        <f>YEAR(tblSprzedaz[[#This Row],[Data]])&amp;"-"&amp;RIGHT("0"&amp;MONTH(tblSprzedaz[[#This Row],[Data]]),2)</f>
        <v>2026-02</v>
      </c>
    </row>
    <row r="1573" spans="1:19" x14ac:dyDescent="0.25">
      <c r="A1573" s="7" t="s">
        <v>3313</v>
      </c>
      <c r="B1573" s="10">
        <v>46077</v>
      </c>
      <c r="C1573" s="7" t="s">
        <v>3314</v>
      </c>
      <c r="D1573" s="8" t="s">
        <v>119</v>
      </c>
      <c r="E1573" s="8" t="s">
        <v>65</v>
      </c>
      <c r="F1573" s="8" t="s">
        <v>33</v>
      </c>
      <c r="G1573" s="8" t="s">
        <v>34</v>
      </c>
      <c r="H1573" s="8" t="s">
        <v>45</v>
      </c>
      <c r="I1573" s="11">
        <v>6</v>
      </c>
      <c r="J1573" s="12">
        <v>377.2</v>
      </c>
      <c r="K1573" s="13">
        <v>0.15</v>
      </c>
      <c r="L1573" s="12">
        <v>249.49</v>
      </c>
      <c r="M1573" s="14">
        <f>ROUND(tblSprzedaz[[#This Row],[Ilość]]*tblSprzedaz[[#This Row],[Cena netto jednostkowa]]*(1-tblSprzedaz[[#This Row],[Rabat %]]),2)</f>
        <v>1923.72</v>
      </c>
      <c r="N1573" s="14">
        <f>ROUND(tblSprzedaz[[#This Row],[Ilość]]*tblSprzedaz[[#This Row],[Koszt jednostkowy netto]],2)</f>
        <v>1496.94</v>
      </c>
      <c r="O1573" s="14">
        <f>tblSprzedaz[[#This Row],[Przychód netto]]-tblSprzedaz[[#This Row],[Koszt całkowity netto]]</f>
        <v>426.78</v>
      </c>
      <c r="P1573" s="15">
        <f>IFERROR(tblSprzedaz[[#This Row],[Marża kwotowa]]/tblSprzedaz[[#This Row],[Przychód netto]],0)</f>
        <v>0.22185141288753038</v>
      </c>
      <c r="Q1573" s="16">
        <f>YEAR(tblSprzedaz[[#This Row],[Data]])</f>
        <v>2026</v>
      </c>
      <c r="R1573" s="16">
        <f>MONTH(tblSprzedaz[[#This Row],[Data]])</f>
        <v>2</v>
      </c>
      <c r="S1573" s="9" t="str">
        <f>YEAR(tblSprzedaz[[#This Row],[Data]])&amp;"-"&amp;RIGHT("0"&amp;MONTH(tblSprzedaz[[#This Row],[Data]]),2)</f>
        <v>2026-02</v>
      </c>
    </row>
    <row r="1574" spans="1:19" x14ac:dyDescent="0.25">
      <c r="A1574" s="7" t="s">
        <v>3315</v>
      </c>
      <c r="B1574" s="10">
        <v>46077</v>
      </c>
      <c r="C1574" s="7" t="s">
        <v>3316</v>
      </c>
      <c r="D1574" s="8" t="s">
        <v>93</v>
      </c>
      <c r="E1574" s="8" t="s">
        <v>50</v>
      </c>
      <c r="F1574" s="8" t="s">
        <v>29</v>
      </c>
      <c r="G1574" s="8" t="s">
        <v>30</v>
      </c>
      <c r="H1574" s="8" t="s">
        <v>41</v>
      </c>
      <c r="I1574" s="11">
        <v>15</v>
      </c>
      <c r="J1574" s="12">
        <v>45.22</v>
      </c>
      <c r="K1574" s="13">
        <v>0.05</v>
      </c>
      <c r="L1574" s="12">
        <v>28.19</v>
      </c>
      <c r="M1574" s="14">
        <f>ROUND(tblSprzedaz[[#This Row],[Ilość]]*tblSprzedaz[[#This Row],[Cena netto jednostkowa]]*(1-tblSprzedaz[[#This Row],[Rabat %]]),2)</f>
        <v>644.39</v>
      </c>
      <c r="N1574" s="14">
        <f>ROUND(tblSprzedaz[[#This Row],[Ilość]]*tblSprzedaz[[#This Row],[Koszt jednostkowy netto]],2)</f>
        <v>422.85</v>
      </c>
      <c r="O1574" s="14">
        <f>tblSprzedaz[[#This Row],[Przychód netto]]-tblSprzedaz[[#This Row],[Koszt całkowity netto]]</f>
        <v>221.53999999999996</v>
      </c>
      <c r="P1574" s="15">
        <f>IFERROR(tblSprzedaz[[#This Row],[Marża kwotowa]]/tblSprzedaz[[#This Row],[Przychód netto]],0)</f>
        <v>0.34379801052157849</v>
      </c>
      <c r="Q1574" s="16">
        <f>YEAR(tblSprzedaz[[#This Row],[Data]])</f>
        <v>2026</v>
      </c>
      <c r="R1574" s="16">
        <f>MONTH(tblSprzedaz[[#This Row],[Data]])</f>
        <v>2</v>
      </c>
      <c r="S1574" s="9" t="str">
        <f>YEAR(tblSprzedaz[[#This Row],[Data]])&amp;"-"&amp;RIGHT("0"&amp;MONTH(tblSprzedaz[[#This Row],[Data]]),2)</f>
        <v>2026-02</v>
      </c>
    </row>
    <row r="1575" spans="1:19" x14ac:dyDescent="0.25">
      <c r="A1575" s="7" t="s">
        <v>3317</v>
      </c>
      <c r="B1575" s="10">
        <v>46078</v>
      </c>
      <c r="C1575" s="7" t="s">
        <v>3318</v>
      </c>
      <c r="D1575" s="8" t="s">
        <v>78</v>
      </c>
      <c r="E1575" s="8" t="s">
        <v>60</v>
      </c>
      <c r="F1575" s="8" t="s">
        <v>33</v>
      </c>
      <c r="G1575" s="8" t="s">
        <v>36</v>
      </c>
      <c r="H1575" s="8" t="s">
        <v>46</v>
      </c>
      <c r="I1575" s="11">
        <v>16</v>
      </c>
      <c r="J1575" s="12">
        <v>455.4</v>
      </c>
      <c r="K1575" s="13">
        <v>0.1</v>
      </c>
      <c r="L1575" s="12">
        <v>315.36</v>
      </c>
      <c r="M1575" s="14">
        <f>ROUND(tblSprzedaz[[#This Row],[Ilość]]*tblSprzedaz[[#This Row],[Cena netto jednostkowa]]*(1-tblSprzedaz[[#This Row],[Rabat %]]),2)</f>
        <v>6557.76</v>
      </c>
      <c r="N1575" s="14">
        <f>ROUND(tblSprzedaz[[#This Row],[Ilość]]*tblSprzedaz[[#This Row],[Koszt jednostkowy netto]],2)</f>
        <v>5045.76</v>
      </c>
      <c r="O1575" s="14">
        <f>tblSprzedaz[[#This Row],[Przychód netto]]-tblSprzedaz[[#This Row],[Koszt całkowity netto]]</f>
        <v>1512</v>
      </c>
      <c r="P1575" s="15">
        <f>IFERROR(tblSprzedaz[[#This Row],[Marża kwotowa]]/tblSprzedaz[[#This Row],[Przychód netto]],0)</f>
        <v>0.23056653491436099</v>
      </c>
      <c r="Q1575" s="16">
        <f>YEAR(tblSprzedaz[[#This Row],[Data]])</f>
        <v>2026</v>
      </c>
      <c r="R1575" s="16">
        <f>MONTH(tblSprzedaz[[#This Row],[Data]])</f>
        <v>2</v>
      </c>
      <c r="S1575" s="9" t="str">
        <f>YEAR(tblSprzedaz[[#This Row],[Data]])&amp;"-"&amp;RIGHT("0"&amp;MONTH(tblSprzedaz[[#This Row],[Data]]),2)</f>
        <v>2026-02</v>
      </c>
    </row>
    <row r="1576" spans="1:19" x14ac:dyDescent="0.25">
      <c r="A1576" s="7" t="s">
        <v>3319</v>
      </c>
      <c r="B1576" s="10">
        <v>46078</v>
      </c>
      <c r="C1576" s="7" t="s">
        <v>3320</v>
      </c>
      <c r="D1576" s="8" t="s">
        <v>103</v>
      </c>
      <c r="E1576" s="8" t="s">
        <v>59</v>
      </c>
      <c r="F1576" s="8" t="s">
        <v>31</v>
      </c>
      <c r="G1576" s="8" t="s">
        <v>32</v>
      </c>
      <c r="H1576" s="8" t="s">
        <v>42</v>
      </c>
      <c r="I1576" s="11">
        <v>14</v>
      </c>
      <c r="J1576" s="12">
        <v>172.2</v>
      </c>
      <c r="K1576" s="13">
        <v>0</v>
      </c>
      <c r="L1576" s="12">
        <v>115.64</v>
      </c>
      <c r="M1576" s="14">
        <f>ROUND(tblSprzedaz[[#This Row],[Ilość]]*tblSprzedaz[[#This Row],[Cena netto jednostkowa]]*(1-tblSprzedaz[[#This Row],[Rabat %]]),2)</f>
        <v>2410.8000000000002</v>
      </c>
      <c r="N1576" s="14">
        <f>ROUND(tblSprzedaz[[#This Row],[Ilość]]*tblSprzedaz[[#This Row],[Koszt jednostkowy netto]],2)</f>
        <v>1618.96</v>
      </c>
      <c r="O1576" s="14">
        <f>tblSprzedaz[[#This Row],[Przychód netto]]-tblSprzedaz[[#This Row],[Koszt całkowity netto]]</f>
        <v>791.84000000000015</v>
      </c>
      <c r="P1576" s="15">
        <f>IFERROR(tblSprzedaz[[#This Row],[Marża kwotowa]]/tblSprzedaz[[#This Row],[Przychód netto]],0)</f>
        <v>0.32845528455284556</v>
      </c>
      <c r="Q1576" s="16">
        <f>YEAR(tblSprzedaz[[#This Row],[Data]])</f>
        <v>2026</v>
      </c>
      <c r="R1576" s="16">
        <f>MONTH(tblSprzedaz[[#This Row],[Data]])</f>
        <v>2</v>
      </c>
      <c r="S1576" s="9" t="str">
        <f>YEAR(tblSprzedaz[[#This Row],[Data]])&amp;"-"&amp;RIGHT("0"&amp;MONTH(tblSprzedaz[[#This Row],[Data]]),2)</f>
        <v>2026-02</v>
      </c>
    </row>
    <row r="1577" spans="1:19" x14ac:dyDescent="0.25">
      <c r="A1577" s="7" t="s">
        <v>3321</v>
      </c>
      <c r="B1577" s="10">
        <v>46078</v>
      </c>
      <c r="C1577" s="7" t="s">
        <v>3322</v>
      </c>
      <c r="D1577" s="8" t="s">
        <v>151</v>
      </c>
      <c r="E1577" s="8" t="s">
        <v>57</v>
      </c>
      <c r="F1577" s="8" t="s">
        <v>31</v>
      </c>
      <c r="G1577" s="8" t="s">
        <v>28</v>
      </c>
      <c r="H1577" s="8" t="s">
        <v>39</v>
      </c>
      <c r="I1577" s="11">
        <v>6</v>
      </c>
      <c r="J1577" s="12">
        <v>315</v>
      </c>
      <c r="K1577" s="13">
        <v>0.1</v>
      </c>
      <c r="L1577" s="12">
        <v>194.58</v>
      </c>
      <c r="M1577" s="14">
        <f>ROUND(tblSprzedaz[[#This Row],[Ilość]]*tblSprzedaz[[#This Row],[Cena netto jednostkowa]]*(1-tblSprzedaz[[#This Row],[Rabat %]]),2)</f>
        <v>1701</v>
      </c>
      <c r="N1577" s="14">
        <f>ROUND(tblSprzedaz[[#This Row],[Ilość]]*tblSprzedaz[[#This Row],[Koszt jednostkowy netto]],2)</f>
        <v>1167.48</v>
      </c>
      <c r="O1577" s="14">
        <f>tblSprzedaz[[#This Row],[Przychód netto]]-tblSprzedaz[[#This Row],[Koszt całkowity netto]]</f>
        <v>533.52</v>
      </c>
      <c r="P1577" s="15">
        <f>IFERROR(tblSprzedaz[[#This Row],[Marża kwotowa]]/tblSprzedaz[[#This Row],[Przychód netto]],0)</f>
        <v>0.31365079365079362</v>
      </c>
      <c r="Q1577" s="16">
        <f>YEAR(tblSprzedaz[[#This Row],[Data]])</f>
        <v>2026</v>
      </c>
      <c r="R1577" s="16">
        <f>MONTH(tblSprzedaz[[#This Row],[Data]])</f>
        <v>2</v>
      </c>
      <c r="S1577" s="9" t="str">
        <f>YEAR(tblSprzedaz[[#This Row],[Data]])&amp;"-"&amp;RIGHT("0"&amp;MONTH(tblSprzedaz[[#This Row],[Data]]),2)</f>
        <v>2026-02</v>
      </c>
    </row>
    <row r="1578" spans="1:19" x14ac:dyDescent="0.25">
      <c r="A1578" s="7" t="s">
        <v>3323</v>
      </c>
      <c r="B1578" s="10">
        <v>46078</v>
      </c>
      <c r="C1578" s="7" t="s">
        <v>3324</v>
      </c>
      <c r="D1578" s="8" t="s">
        <v>100</v>
      </c>
      <c r="E1578" s="8" t="s">
        <v>63</v>
      </c>
      <c r="F1578" s="8" t="s">
        <v>33</v>
      </c>
      <c r="G1578" s="8" t="s">
        <v>30</v>
      </c>
      <c r="H1578" s="8" t="s">
        <v>40</v>
      </c>
      <c r="I1578" s="11">
        <v>11</v>
      </c>
      <c r="J1578" s="12">
        <v>690</v>
      </c>
      <c r="K1578" s="13">
        <v>0.15</v>
      </c>
      <c r="L1578" s="12">
        <v>464.1</v>
      </c>
      <c r="M1578" s="14">
        <f>ROUND(tblSprzedaz[[#This Row],[Ilość]]*tblSprzedaz[[#This Row],[Cena netto jednostkowa]]*(1-tblSprzedaz[[#This Row],[Rabat %]]),2)</f>
        <v>6451.5</v>
      </c>
      <c r="N1578" s="14">
        <f>ROUND(tblSprzedaz[[#This Row],[Ilość]]*tblSprzedaz[[#This Row],[Koszt jednostkowy netto]],2)</f>
        <v>5105.1000000000004</v>
      </c>
      <c r="O1578" s="14">
        <f>tblSprzedaz[[#This Row],[Przychód netto]]-tblSprzedaz[[#This Row],[Koszt całkowity netto]]</f>
        <v>1346.3999999999996</v>
      </c>
      <c r="P1578" s="15">
        <f>IFERROR(tblSprzedaz[[#This Row],[Marża kwotowa]]/tblSprzedaz[[#This Row],[Przychód netto]],0)</f>
        <v>0.20869565217391298</v>
      </c>
      <c r="Q1578" s="16">
        <f>YEAR(tblSprzedaz[[#This Row],[Data]])</f>
        <v>2026</v>
      </c>
      <c r="R1578" s="16">
        <f>MONTH(tblSprzedaz[[#This Row],[Data]])</f>
        <v>2</v>
      </c>
      <c r="S1578" s="9" t="str">
        <f>YEAR(tblSprzedaz[[#This Row],[Data]])&amp;"-"&amp;RIGHT("0"&amp;MONTH(tblSprzedaz[[#This Row],[Data]]),2)</f>
        <v>2026-02</v>
      </c>
    </row>
    <row r="1579" spans="1:19" x14ac:dyDescent="0.25">
      <c r="A1579" s="7" t="s">
        <v>3325</v>
      </c>
      <c r="B1579" s="10">
        <v>46079</v>
      </c>
      <c r="C1579" s="7" t="s">
        <v>3326</v>
      </c>
      <c r="D1579" s="8" t="s">
        <v>130</v>
      </c>
      <c r="E1579" s="8" t="s">
        <v>57</v>
      </c>
      <c r="F1579" s="8" t="s">
        <v>31</v>
      </c>
      <c r="G1579" s="8" t="s">
        <v>34</v>
      </c>
      <c r="H1579" s="8" t="s">
        <v>44</v>
      </c>
      <c r="I1579" s="11">
        <v>1</v>
      </c>
      <c r="J1579" s="12">
        <v>315</v>
      </c>
      <c r="K1579" s="13">
        <v>0</v>
      </c>
      <c r="L1579" s="12">
        <v>198.71</v>
      </c>
      <c r="M1579" s="14">
        <f>ROUND(tblSprzedaz[[#This Row],[Ilość]]*tblSprzedaz[[#This Row],[Cena netto jednostkowa]]*(1-tblSprzedaz[[#This Row],[Rabat %]]),2)</f>
        <v>315</v>
      </c>
      <c r="N1579" s="14">
        <f>ROUND(tblSprzedaz[[#This Row],[Ilość]]*tblSprzedaz[[#This Row],[Koszt jednostkowy netto]],2)</f>
        <v>198.71</v>
      </c>
      <c r="O1579" s="14">
        <f>tblSprzedaz[[#This Row],[Przychód netto]]-tblSprzedaz[[#This Row],[Koszt całkowity netto]]</f>
        <v>116.28999999999999</v>
      </c>
      <c r="P1579" s="15">
        <f>IFERROR(tblSprzedaz[[#This Row],[Marża kwotowa]]/tblSprzedaz[[#This Row],[Przychód netto]],0)</f>
        <v>0.36917460317460316</v>
      </c>
      <c r="Q1579" s="16">
        <f>YEAR(tblSprzedaz[[#This Row],[Data]])</f>
        <v>2026</v>
      </c>
      <c r="R1579" s="16">
        <f>MONTH(tblSprzedaz[[#This Row],[Data]])</f>
        <v>2</v>
      </c>
      <c r="S1579" s="9" t="str">
        <f>YEAR(tblSprzedaz[[#This Row],[Data]])&amp;"-"&amp;RIGHT("0"&amp;MONTH(tblSprzedaz[[#This Row],[Data]]),2)</f>
        <v>2026-02</v>
      </c>
    </row>
    <row r="1580" spans="1:19" x14ac:dyDescent="0.25">
      <c r="A1580" s="7" t="s">
        <v>3327</v>
      </c>
      <c r="B1580" s="10">
        <v>46079</v>
      </c>
      <c r="C1580" s="7" t="s">
        <v>3328</v>
      </c>
      <c r="D1580" s="8" t="s">
        <v>99</v>
      </c>
      <c r="E1580" s="8" t="s">
        <v>64</v>
      </c>
      <c r="F1580" s="8" t="s">
        <v>33</v>
      </c>
      <c r="G1580" s="8" t="s">
        <v>32</v>
      </c>
      <c r="H1580" s="8" t="s">
        <v>43</v>
      </c>
      <c r="I1580" s="11">
        <v>6</v>
      </c>
      <c r="J1580" s="12">
        <v>768.2</v>
      </c>
      <c r="K1580" s="13">
        <v>0.15</v>
      </c>
      <c r="L1580" s="12">
        <v>541.46</v>
      </c>
      <c r="M1580" s="14">
        <f>ROUND(tblSprzedaz[[#This Row],[Ilość]]*tblSprzedaz[[#This Row],[Cena netto jednostkowa]]*(1-tblSprzedaz[[#This Row],[Rabat %]]),2)</f>
        <v>3917.82</v>
      </c>
      <c r="N1580" s="14">
        <f>ROUND(tblSprzedaz[[#This Row],[Ilość]]*tblSprzedaz[[#This Row],[Koszt jednostkowy netto]],2)</f>
        <v>3248.76</v>
      </c>
      <c r="O1580" s="14">
        <f>tblSprzedaz[[#This Row],[Przychód netto]]-tblSprzedaz[[#This Row],[Koszt całkowity netto]]</f>
        <v>669.06</v>
      </c>
      <c r="P1580" s="15">
        <f>IFERROR(tblSprzedaz[[#This Row],[Marża kwotowa]]/tblSprzedaz[[#This Row],[Przychód netto]],0)</f>
        <v>0.17077354242920806</v>
      </c>
      <c r="Q1580" s="16">
        <f>YEAR(tblSprzedaz[[#This Row],[Data]])</f>
        <v>2026</v>
      </c>
      <c r="R1580" s="16">
        <f>MONTH(tblSprzedaz[[#This Row],[Data]])</f>
        <v>2</v>
      </c>
      <c r="S1580" s="9" t="str">
        <f>YEAR(tblSprzedaz[[#This Row],[Data]])&amp;"-"&amp;RIGHT("0"&amp;MONTH(tblSprzedaz[[#This Row],[Data]]),2)</f>
        <v>2026-02</v>
      </c>
    </row>
    <row r="1581" spans="1:19" x14ac:dyDescent="0.25">
      <c r="A1581" s="7" t="s">
        <v>3329</v>
      </c>
      <c r="B1581" s="10">
        <v>46079</v>
      </c>
      <c r="C1581" s="7" t="s">
        <v>3330</v>
      </c>
      <c r="D1581" s="8" t="s">
        <v>136</v>
      </c>
      <c r="E1581" s="8" t="s">
        <v>72</v>
      </c>
      <c r="F1581" s="8" t="s">
        <v>37</v>
      </c>
      <c r="G1581" s="8" t="s">
        <v>30</v>
      </c>
      <c r="H1581" s="8" t="s">
        <v>40</v>
      </c>
      <c r="I1581" s="11">
        <v>4</v>
      </c>
      <c r="J1581" s="12">
        <v>94.05</v>
      </c>
      <c r="K1581" s="13">
        <v>0</v>
      </c>
      <c r="L1581" s="12">
        <v>71.63</v>
      </c>
      <c r="M1581" s="14">
        <f>ROUND(tblSprzedaz[[#This Row],[Ilość]]*tblSprzedaz[[#This Row],[Cena netto jednostkowa]]*(1-tblSprzedaz[[#This Row],[Rabat %]]),2)</f>
        <v>376.2</v>
      </c>
      <c r="N1581" s="14">
        <f>ROUND(tblSprzedaz[[#This Row],[Ilość]]*tblSprzedaz[[#This Row],[Koszt jednostkowy netto]],2)</f>
        <v>286.52</v>
      </c>
      <c r="O1581" s="14">
        <f>tblSprzedaz[[#This Row],[Przychód netto]]-tblSprzedaz[[#This Row],[Koszt całkowity netto]]</f>
        <v>89.68</v>
      </c>
      <c r="P1581" s="15">
        <f>IFERROR(tblSprzedaz[[#This Row],[Marża kwotowa]]/tblSprzedaz[[#This Row],[Przychód netto]],0)</f>
        <v>0.23838383838383842</v>
      </c>
      <c r="Q1581" s="16">
        <f>YEAR(tblSprzedaz[[#This Row],[Data]])</f>
        <v>2026</v>
      </c>
      <c r="R1581" s="16">
        <f>MONTH(tblSprzedaz[[#This Row],[Data]])</f>
        <v>2</v>
      </c>
      <c r="S1581" s="9" t="str">
        <f>YEAR(tblSprzedaz[[#This Row],[Data]])&amp;"-"&amp;RIGHT("0"&amp;MONTH(tblSprzedaz[[#This Row],[Data]]),2)</f>
        <v>2026-02</v>
      </c>
    </row>
    <row r="1582" spans="1:19" x14ac:dyDescent="0.25">
      <c r="A1582" s="7" t="s">
        <v>3331</v>
      </c>
      <c r="B1582" s="10">
        <v>46080</v>
      </c>
      <c r="C1582" s="7" t="s">
        <v>3332</v>
      </c>
      <c r="D1582" s="8" t="s">
        <v>137</v>
      </c>
      <c r="E1582" s="8" t="s">
        <v>60</v>
      </c>
      <c r="F1582" s="8" t="s">
        <v>33</v>
      </c>
      <c r="G1582" s="8" t="s">
        <v>30</v>
      </c>
      <c r="H1582" s="8" t="s">
        <v>40</v>
      </c>
      <c r="I1582" s="11">
        <v>12</v>
      </c>
      <c r="J1582" s="12">
        <v>455.4</v>
      </c>
      <c r="K1582" s="13">
        <v>0</v>
      </c>
      <c r="L1582" s="12">
        <v>299.01</v>
      </c>
      <c r="M1582" s="14">
        <f>ROUND(tblSprzedaz[[#This Row],[Ilość]]*tblSprzedaz[[#This Row],[Cena netto jednostkowa]]*(1-tblSprzedaz[[#This Row],[Rabat %]]),2)</f>
        <v>5464.8</v>
      </c>
      <c r="N1582" s="14">
        <f>ROUND(tblSprzedaz[[#This Row],[Ilość]]*tblSprzedaz[[#This Row],[Koszt jednostkowy netto]],2)</f>
        <v>3588.12</v>
      </c>
      <c r="O1582" s="14">
        <f>tblSprzedaz[[#This Row],[Przychód netto]]-tblSprzedaz[[#This Row],[Koszt całkowity netto]]</f>
        <v>1876.6800000000003</v>
      </c>
      <c r="P1582" s="15">
        <f>IFERROR(tblSprzedaz[[#This Row],[Marża kwotowa]]/tblSprzedaz[[#This Row],[Przychód netto]],0)</f>
        <v>0.34341238471673258</v>
      </c>
      <c r="Q1582" s="16">
        <f>YEAR(tblSprzedaz[[#This Row],[Data]])</f>
        <v>2026</v>
      </c>
      <c r="R1582" s="16">
        <f>MONTH(tblSprzedaz[[#This Row],[Data]])</f>
        <v>2</v>
      </c>
      <c r="S1582" s="9" t="str">
        <f>YEAR(tblSprzedaz[[#This Row],[Data]])&amp;"-"&amp;RIGHT("0"&amp;MONTH(tblSprzedaz[[#This Row],[Data]]),2)</f>
        <v>2026-02</v>
      </c>
    </row>
    <row r="1583" spans="1:19" x14ac:dyDescent="0.25">
      <c r="A1583" s="7" t="s">
        <v>3333</v>
      </c>
      <c r="B1583" s="10">
        <v>46080</v>
      </c>
      <c r="C1583" s="7" t="s">
        <v>3334</v>
      </c>
      <c r="D1583" s="8" t="s">
        <v>118</v>
      </c>
      <c r="E1583" s="8" t="s">
        <v>67</v>
      </c>
      <c r="F1583" s="8" t="s">
        <v>35</v>
      </c>
      <c r="G1583" s="8" t="s">
        <v>32</v>
      </c>
      <c r="H1583" s="8" t="s">
        <v>43</v>
      </c>
      <c r="I1583" s="11">
        <v>11</v>
      </c>
      <c r="J1583" s="12">
        <v>78.88</v>
      </c>
      <c r="K1583" s="13">
        <v>0</v>
      </c>
      <c r="L1583" s="12">
        <v>54.49</v>
      </c>
      <c r="M1583" s="14">
        <f>ROUND(tblSprzedaz[[#This Row],[Ilość]]*tblSprzedaz[[#This Row],[Cena netto jednostkowa]]*(1-tblSprzedaz[[#This Row],[Rabat %]]),2)</f>
        <v>867.68</v>
      </c>
      <c r="N1583" s="14">
        <f>ROUND(tblSprzedaz[[#This Row],[Ilość]]*tblSprzedaz[[#This Row],[Koszt jednostkowy netto]],2)</f>
        <v>599.39</v>
      </c>
      <c r="O1583" s="14">
        <f>tblSprzedaz[[#This Row],[Przychód netto]]-tblSprzedaz[[#This Row],[Koszt całkowity netto]]</f>
        <v>268.28999999999996</v>
      </c>
      <c r="P1583" s="15">
        <f>IFERROR(tblSprzedaz[[#This Row],[Marża kwotowa]]/tblSprzedaz[[#This Row],[Przychód netto]],0)</f>
        <v>0.30920385395537525</v>
      </c>
      <c r="Q1583" s="16">
        <f>YEAR(tblSprzedaz[[#This Row],[Data]])</f>
        <v>2026</v>
      </c>
      <c r="R1583" s="16">
        <f>MONTH(tblSprzedaz[[#This Row],[Data]])</f>
        <v>2</v>
      </c>
      <c r="S1583" s="9" t="str">
        <f>YEAR(tblSprzedaz[[#This Row],[Data]])&amp;"-"&amp;RIGHT("0"&amp;MONTH(tblSprzedaz[[#This Row],[Data]]),2)</f>
        <v>2026-02</v>
      </c>
    </row>
    <row r="1584" spans="1:19" x14ac:dyDescent="0.25">
      <c r="A1584" s="7" t="s">
        <v>3335</v>
      </c>
      <c r="B1584" s="10">
        <v>46080</v>
      </c>
      <c r="C1584" s="7" t="s">
        <v>3336</v>
      </c>
      <c r="D1584" s="8" t="s">
        <v>98</v>
      </c>
      <c r="E1584" s="8" t="s">
        <v>57</v>
      </c>
      <c r="F1584" s="8" t="s">
        <v>31</v>
      </c>
      <c r="G1584" s="8" t="s">
        <v>28</v>
      </c>
      <c r="H1584" s="8" t="s">
        <v>38</v>
      </c>
      <c r="I1584" s="11">
        <v>3</v>
      </c>
      <c r="J1584" s="12">
        <v>315</v>
      </c>
      <c r="K1584" s="13">
        <v>0</v>
      </c>
      <c r="L1584" s="12">
        <v>209.51</v>
      </c>
      <c r="M1584" s="14">
        <f>ROUND(tblSprzedaz[[#This Row],[Ilość]]*tblSprzedaz[[#This Row],[Cena netto jednostkowa]]*(1-tblSprzedaz[[#This Row],[Rabat %]]),2)</f>
        <v>945</v>
      </c>
      <c r="N1584" s="14">
        <f>ROUND(tblSprzedaz[[#This Row],[Ilość]]*tblSprzedaz[[#This Row],[Koszt jednostkowy netto]],2)</f>
        <v>628.53</v>
      </c>
      <c r="O1584" s="14">
        <f>tblSprzedaz[[#This Row],[Przychód netto]]-tblSprzedaz[[#This Row],[Koszt całkowity netto]]</f>
        <v>316.47000000000003</v>
      </c>
      <c r="P1584" s="15">
        <f>IFERROR(tblSprzedaz[[#This Row],[Marża kwotowa]]/tblSprzedaz[[#This Row],[Przychód netto]],0)</f>
        <v>0.3348888888888889</v>
      </c>
      <c r="Q1584" s="16">
        <f>YEAR(tblSprzedaz[[#This Row],[Data]])</f>
        <v>2026</v>
      </c>
      <c r="R1584" s="16">
        <f>MONTH(tblSprzedaz[[#This Row],[Data]])</f>
        <v>2</v>
      </c>
      <c r="S1584" s="9" t="str">
        <f>YEAR(tblSprzedaz[[#This Row],[Data]])&amp;"-"&amp;RIGHT("0"&amp;MONTH(tblSprzedaz[[#This Row],[Data]]),2)</f>
        <v>2026-02</v>
      </c>
    </row>
    <row r="1585" spans="1:19" x14ac:dyDescent="0.25">
      <c r="A1585" s="7" t="s">
        <v>3337</v>
      </c>
      <c r="B1585" s="10">
        <v>46081</v>
      </c>
      <c r="C1585" s="7" t="s">
        <v>3338</v>
      </c>
      <c r="D1585" s="8" t="s">
        <v>113</v>
      </c>
      <c r="E1585" s="8" t="s">
        <v>51</v>
      </c>
      <c r="F1585" s="8" t="s">
        <v>29</v>
      </c>
      <c r="G1585" s="8" t="s">
        <v>32</v>
      </c>
      <c r="H1585" s="8" t="s">
        <v>42</v>
      </c>
      <c r="I1585" s="11">
        <v>7</v>
      </c>
      <c r="J1585" s="12">
        <v>51</v>
      </c>
      <c r="K1585" s="13">
        <v>0.1</v>
      </c>
      <c r="L1585" s="12">
        <v>30.07</v>
      </c>
      <c r="M1585" s="14">
        <f>ROUND(tblSprzedaz[[#This Row],[Ilość]]*tblSprzedaz[[#This Row],[Cena netto jednostkowa]]*(1-tblSprzedaz[[#This Row],[Rabat %]]),2)</f>
        <v>321.3</v>
      </c>
      <c r="N1585" s="14">
        <f>ROUND(tblSprzedaz[[#This Row],[Ilość]]*tblSprzedaz[[#This Row],[Koszt jednostkowy netto]],2)</f>
        <v>210.49</v>
      </c>
      <c r="O1585" s="14">
        <f>tblSprzedaz[[#This Row],[Przychód netto]]-tblSprzedaz[[#This Row],[Koszt całkowity netto]]</f>
        <v>110.81</v>
      </c>
      <c r="P1585" s="15">
        <f>IFERROR(tblSprzedaz[[#This Row],[Marża kwotowa]]/tblSprzedaz[[#This Row],[Przychód netto]],0)</f>
        <v>0.34488017429193901</v>
      </c>
      <c r="Q1585" s="16">
        <f>YEAR(tblSprzedaz[[#This Row],[Data]])</f>
        <v>2026</v>
      </c>
      <c r="R1585" s="16">
        <f>MONTH(tblSprzedaz[[#This Row],[Data]])</f>
        <v>2</v>
      </c>
      <c r="S1585" s="9" t="str">
        <f>YEAR(tblSprzedaz[[#This Row],[Data]])&amp;"-"&amp;RIGHT("0"&amp;MONTH(tblSprzedaz[[#This Row],[Data]]),2)</f>
        <v>2026-02</v>
      </c>
    </row>
    <row r="1586" spans="1:19" x14ac:dyDescent="0.25">
      <c r="A1586" s="7" t="s">
        <v>3339</v>
      </c>
      <c r="B1586" s="10">
        <v>46082</v>
      </c>
      <c r="C1586" s="7" t="s">
        <v>3340</v>
      </c>
      <c r="D1586" s="8" t="s">
        <v>141</v>
      </c>
      <c r="E1586" s="8" t="s">
        <v>63</v>
      </c>
      <c r="F1586" s="8" t="s">
        <v>33</v>
      </c>
      <c r="G1586" s="8" t="s">
        <v>36</v>
      </c>
      <c r="H1586" s="8" t="s">
        <v>47</v>
      </c>
      <c r="I1586" s="11">
        <v>14</v>
      </c>
      <c r="J1586" s="12">
        <v>690</v>
      </c>
      <c r="K1586" s="13">
        <v>0</v>
      </c>
      <c r="L1586" s="12">
        <v>467.46</v>
      </c>
      <c r="M1586" s="14">
        <f>ROUND(tblSprzedaz[[#This Row],[Ilość]]*tblSprzedaz[[#This Row],[Cena netto jednostkowa]]*(1-tblSprzedaz[[#This Row],[Rabat %]]),2)</f>
        <v>9660</v>
      </c>
      <c r="N1586" s="14">
        <f>ROUND(tblSprzedaz[[#This Row],[Ilość]]*tblSprzedaz[[#This Row],[Koszt jednostkowy netto]],2)</f>
        <v>6544.44</v>
      </c>
      <c r="O1586" s="14">
        <f>tblSprzedaz[[#This Row],[Przychód netto]]-tblSprzedaz[[#This Row],[Koszt całkowity netto]]</f>
        <v>3115.5600000000004</v>
      </c>
      <c r="P1586" s="15">
        <f>IFERROR(tblSprzedaz[[#This Row],[Marża kwotowa]]/tblSprzedaz[[#This Row],[Przychód netto]],0)</f>
        <v>0.3225217391304348</v>
      </c>
      <c r="Q1586" s="16">
        <f>YEAR(tblSprzedaz[[#This Row],[Data]])</f>
        <v>2026</v>
      </c>
      <c r="R1586" s="16">
        <f>MONTH(tblSprzedaz[[#This Row],[Data]])</f>
        <v>3</v>
      </c>
      <c r="S1586" s="9" t="str">
        <f>YEAR(tblSprzedaz[[#This Row],[Data]])&amp;"-"&amp;RIGHT("0"&amp;MONTH(tblSprzedaz[[#This Row],[Data]]),2)</f>
        <v>2026-03</v>
      </c>
    </row>
    <row r="1587" spans="1:19" x14ac:dyDescent="0.25">
      <c r="A1587" s="7" t="s">
        <v>3341</v>
      </c>
      <c r="B1587" s="10">
        <v>46083</v>
      </c>
      <c r="C1587" s="7" t="s">
        <v>3342</v>
      </c>
      <c r="D1587" s="8" t="s">
        <v>118</v>
      </c>
      <c r="E1587" s="8" t="s">
        <v>72</v>
      </c>
      <c r="F1587" s="8" t="s">
        <v>37</v>
      </c>
      <c r="G1587" s="8" t="s">
        <v>28</v>
      </c>
      <c r="H1587" s="8" t="s">
        <v>38</v>
      </c>
      <c r="I1587" s="11">
        <v>7</v>
      </c>
      <c r="J1587" s="12">
        <v>94.05</v>
      </c>
      <c r="K1587" s="13">
        <v>0</v>
      </c>
      <c r="L1587" s="12">
        <v>70.87</v>
      </c>
      <c r="M1587" s="14">
        <f>ROUND(tblSprzedaz[[#This Row],[Ilość]]*tblSprzedaz[[#This Row],[Cena netto jednostkowa]]*(1-tblSprzedaz[[#This Row],[Rabat %]]),2)</f>
        <v>658.35</v>
      </c>
      <c r="N1587" s="14">
        <f>ROUND(tblSprzedaz[[#This Row],[Ilość]]*tblSprzedaz[[#This Row],[Koszt jednostkowy netto]],2)</f>
        <v>496.09</v>
      </c>
      <c r="O1587" s="14">
        <f>tblSprzedaz[[#This Row],[Przychód netto]]-tblSprzedaz[[#This Row],[Koszt całkowity netto]]</f>
        <v>162.26000000000005</v>
      </c>
      <c r="P1587" s="15">
        <f>IFERROR(tblSprzedaz[[#This Row],[Marża kwotowa]]/tblSprzedaz[[#This Row],[Przychód netto]],0)</f>
        <v>0.24646464646464653</v>
      </c>
      <c r="Q1587" s="16">
        <f>YEAR(tblSprzedaz[[#This Row],[Data]])</f>
        <v>2026</v>
      </c>
      <c r="R1587" s="16">
        <f>MONTH(tblSprzedaz[[#This Row],[Data]])</f>
        <v>3</v>
      </c>
      <c r="S1587" s="9" t="str">
        <f>YEAR(tblSprzedaz[[#This Row],[Data]])&amp;"-"&amp;RIGHT("0"&amp;MONTH(tblSprzedaz[[#This Row],[Data]]),2)</f>
        <v>2026-03</v>
      </c>
    </row>
    <row r="1588" spans="1:19" x14ac:dyDescent="0.25">
      <c r="A1588" s="7" t="s">
        <v>3343</v>
      </c>
      <c r="B1588" s="10">
        <v>46083</v>
      </c>
      <c r="C1588" s="7" t="s">
        <v>3344</v>
      </c>
      <c r="D1588" s="8" t="s">
        <v>98</v>
      </c>
      <c r="E1588" s="8" t="s">
        <v>50</v>
      </c>
      <c r="F1588" s="8" t="s">
        <v>29</v>
      </c>
      <c r="G1588" s="8" t="s">
        <v>32</v>
      </c>
      <c r="H1588" s="8" t="s">
        <v>42</v>
      </c>
      <c r="I1588" s="11">
        <v>13</v>
      </c>
      <c r="J1588" s="12">
        <v>45.22</v>
      </c>
      <c r="K1588" s="13">
        <v>0.05</v>
      </c>
      <c r="L1588" s="12">
        <v>26.95</v>
      </c>
      <c r="M1588" s="14">
        <f>ROUND(tblSprzedaz[[#This Row],[Ilość]]*tblSprzedaz[[#This Row],[Cena netto jednostkowa]]*(1-tblSprzedaz[[#This Row],[Rabat %]]),2)</f>
        <v>558.47</v>
      </c>
      <c r="N1588" s="14">
        <f>ROUND(tblSprzedaz[[#This Row],[Ilość]]*tblSprzedaz[[#This Row],[Koszt jednostkowy netto]],2)</f>
        <v>350.35</v>
      </c>
      <c r="O1588" s="14">
        <f>tblSprzedaz[[#This Row],[Przychód netto]]-tblSprzedaz[[#This Row],[Koszt całkowity netto]]</f>
        <v>208.12</v>
      </c>
      <c r="P1588" s="15">
        <f>IFERROR(tblSprzedaz[[#This Row],[Marża kwotowa]]/tblSprzedaz[[#This Row],[Przychód netto]],0)</f>
        <v>0.37266102028757137</v>
      </c>
      <c r="Q1588" s="16">
        <f>YEAR(tblSprzedaz[[#This Row],[Data]])</f>
        <v>2026</v>
      </c>
      <c r="R1588" s="16">
        <f>MONTH(tblSprzedaz[[#This Row],[Data]])</f>
        <v>3</v>
      </c>
      <c r="S1588" s="9" t="str">
        <f>YEAR(tblSprzedaz[[#This Row],[Data]])&amp;"-"&amp;RIGHT("0"&amp;MONTH(tblSprzedaz[[#This Row],[Data]]),2)</f>
        <v>2026-03</v>
      </c>
    </row>
    <row r="1589" spans="1:19" x14ac:dyDescent="0.25">
      <c r="A1589" s="7" t="s">
        <v>3345</v>
      </c>
      <c r="B1589" s="10">
        <v>46083</v>
      </c>
      <c r="C1589" s="7" t="s">
        <v>3346</v>
      </c>
      <c r="D1589" s="8" t="s">
        <v>111</v>
      </c>
      <c r="E1589" s="8" t="s">
        <v>69</v>
      </c>
      <c r="F1589" s="8" t="s">
        <v>35</v>
      </c>
      <c r="G1589" s="8" t="s">
        <v>32</v>
      </c>
      <c r="H1589" s="8" t="s">
        <v>42</v>
      </c>
      <c r="I1589" s="11">
        <v>14</v>
      </c>
      <c r="J1589" s="12">
        <v>102</v>
      </c>
      <c r="K1589" s="13">
        <v>0.15</v>
      </c>
      <c r="L1589" s="12">
        <v>75.849999999999994</v>
      </c>
      <c r="M1589" s="14">
        <f>ROUND(tblSprzedaz[[#This Row],[Ilość]]*tblSprzedaz[[#This Row],[Cena netto jednostkowa]]*(1-tblSprzedaz[[#This Row],[Rabat %]]),2)</f>
        <v>1213.8</v>
      </c>
      <c r="N1589" s="14">
        <f>ROUND(tblSprzedaz[[#This Row],[Ilość]]*tblSprzedaz[[#This Row],[Koszt jednostkowy netto]],2)</f>
        <v>1061.9000000000001</v>
      </c>
      <c r="O1589" s="14">
        <f>tblSprzedaz[[#This Row],[Przychód netto]]-tblSprzedaz[[#This Row],[Koszt całkowity netto]]</f>
        <v>151.89999999999986</v>
      </c>
      <c r="P1589" s="15">
        <f>IFERROR(tblSprzedaz[[#This Row],[Marża kwotowa]]/tblSprzedaz[[#This Row],[Przychód netto]],0)</f>
        <v>0.12514417531718558</v>
      </c>
      <c r="Q1589" s="16">
        <f>YEAR(tblSprzedaz[[#This Row],[Data]])</f>
        <v>2026</v>
      </c>
      <c r="R1589" s="16">
        <f>MONTH(tblSprzedaz[[#This Row],[Data]])</f>
        <v>3</v>
      </c>
      <c r="S1589" s="9" t="str">
        <f>YEAR(tblSprzedaz[[#This Row],[Data]])&amp;"-"&amp;RIGHT("0"&amp;MONTH(tblSprzedaz[[#This Row],[Data]]),2)</f>
        <v>2026-03</v>
      </c>
    </row>
    <row r="1590" spans="1:19" x14ac:dyDescent="0.25">
      <c r="A1590" s="7" t="s">
        <v>3347</v>
      </c>
      <c r="B1590" s="10">
        <v>46084</v>
      </c>
      <c r="C1590" s="7" t="s">
        <v>3348</v>
      </c>
      <c r="D1590" s="8" t="s">
        <v>97</v>
      </c>
      <c r="E1590" s="8" t="s">
        <v>68</v>
      </c>
      <c r="F1590" s="8" t="s">
        <v>35</v>
      </c>
      <c r="G1590" s="8" t="s">
        <v>34</v>
      </c>
      <c r="H1590" s="8" t="s">
        <v>45</v>
      </c>
      <c r="I1590" s="11">
        <v>8</v>
      </c>
      <c r="J1590" s="12">
        <v>90.44</v>
      </c>
      <c r="K1590" s="13">
        <v>0.15</v>
      </c>
      <c r="L1590" s="12">
        <v>64.930000000000007</v>
      </c>
      <c r="M1590" s="14">
        <f>ROUND(tblSprzedaz[[#This Row],[Ilość]]*tblSprzedaz[[#This Row],[Cena netto jednostkowa]]*(1-tblSprzedaz[[#This Row],[Rabat %]]),2)</f>
        <v>614.99</v>
      </c>
      <c r="N1590" s="14">
        <f>ROUND(tblSprzedaz[[#This Row],[Ilość]]*tblSprzedaz[[#This Row],[Koszt jednostkowy netto]],2)</f>
        <v>519.44000000000005</v>
      </c>
      <c r="O1590" s="14">
        <f>tblSprzedaz[[#This Row],[Przychód netto]]-tblSprzedaz[[#This Row],[Koszt całkowity netto]]</f>
        <v>95.549999999999955</v>
      </c>
      <c r="P1590" s="15">
        <f>IFERROR(tblSprzedaz[[#This Row],[Marża kwotowa]]/tblSprzedaz[[#This Row],[Przychód netto]],0)</f>
        <v>0.15536837997365804</v>
      </c>
      <c r="Q1590" s="16">
        <f>YEAR(tblSprzedaz[[#This Row],[Data]])</f>
        <v>2026</v>
      </c>
      <c r="R1590" s="16">
        <f>MONTH(tblSprzedaz[[#This Row],[Data]])</f>
        <v>3</v>
      </c>
      <c r="S1590" s="9" t="str">
        <f>YEAR(tblSprzedaz[[#This Row],[Data]])&amp;"-"&amp;RIGHT("0"&amp;MONTH(tblSprzedaz[[#This Row],[Data]]),2)</f>
        <v>2026-03</v>
      </c>
    </row>
    <row r="1591" spans="1:19" x14ac:dyDescent="0.25">
      <c r="A1591" s="7" t="s">
        <v>3349</v>
      </c>
      <c r="B1591" s="10">
        <v>46084</v>
      </c>
      <c r="C1591" s="7" t="s">
        <v>3350</v>
      </c>
      <c r="D1591" s="8" t="s">
        <v>105</v>
      </c>
      <c r="E1591" s="8" t="s">
        <v>62</v>
      </c>
      <c r="F1591" s="8" t="s">
        <v>33</v>
      </c>
      <c r="G1591" s="8" t="s">
        <v>30</v>
      </c>
      <c r="H1591" s="8" t="s">
        <v>40</v>
      </c>
      <c r="I1591" s="11">
        <v>11</v>
      </c>
      <c r="J1591" s="12">
        <v>611.79999999999995</v>
      </c>
      <c r="K1591" s="13">
        <v>0</v>
      </c>
      <c r="L1591" s="12">
        <v>436.58</v>
      </c>
      <c r="M1591" s="14">
        <f>ROUND(tblSprzedaz[[#This Row],[Ilość]]*tblSprzedaz[[#This Row],[Cena netto jednostkowa]]*(1-tblSprzedaz[[#This Row],[Rabat %]]),2)</f>
        <v>6729.8</v>
      </c>
      <c r="N1591" s="14">
        <f>ROUND(tblSprzedaz[[#This Row],[Ilość]]*tblSprzedaz[[#This Row],[Koszt jednostkowy netto]],2)</f>
        <v>4802.38</v>
      </c>
      <c r="O1591" s="14">
        <f>tblSprzedaz[[#This Row],[Przychód netto]]-tblSprzedaz[[#This Row],[Koszt całkowity netto]]</f>
        <v>1927.42</v>
      </c>
      <c r="P1591" s="15">
        <f>IFERROR(tblSprzedaz[[#This Row],[Marża kwotowa]]/tblSprzedaz[[#This Row],[Przychód netto]],0)</f>
        <v>0.28640078457012097</v>
      </c>
      <c r="Q1591" s="16">
        <f>YEAR(tblSprzedaz[[#This Row],[Data]])</f>
        <v>2026</v>
      </c>
      <c r="R1591" s="16">
        <f>MONTH(tblSprzedaz[[#This Row],[Data]])</f>
        <v>3</v>
      </c>
      <c r="S1591" s="9" t="str">
        <f>YEAR(tblSprzedaz[[#This Row],[Data]])&amp;"-"&amp;RIGHT("0"&amp;MONTH(tblSprzedaz[[#This Row],[Data]]),2)</f>
        <v>2026-03</v>
      </c>
    </row>
    <row r="1592" spans="1:19" x14ac:dyDescent="0.25">
      <c r="A1592" s="7" t="s">
        <v>3351</v>
      </c>
      <c r="B1592" s="10">
        <v>46084</v>
      </c>
      <c r="C1592" s="7" t="s">
        <v>3352</v>
      </c>
      <c r="D1592" s="8" t="s">
        <v>88</v>
      </c>
      <c r="E1592" s="8" t="s">
        <v>77</v>
      </c>
      <c r="F1592" s="8" t="s">
        <v>37</v>
      </c>
      <c r="G1592" s="8" t="s">
        <v>34</v>
      </c>
      <c r="H1592" s="8" t="s">
        <v>45</v>
      </c>
      <c r="I1592" s="11">
        <v>4</v>
      </c>
      <c r="J1592" s="12">
        <v>77.900000000000006</v>
      </c>
      <c r="K1592" s="13">
        <v>0.05</v>
      </c>
      <c r="L1592" s="12">
        <v>61.38</v>
      </c>
      <c r="M1592" s="14">
        <f>ROUND(tblSprzedaz[[#This Row],[Ilość]]*tblSprzedaz[[#This Row],[Cena netto jednostkowa]]*(1-tblSprzedaz[[#This Row],[Rabat %]]),2)</f>
        <v>296.02</v>
      </c>
      <c r="N1592" s="14">
        <f>ROUND(tblSprzedaz[[#This Row],[Ilość]]*tblSprzedaz[[#This Row],[Koszt jednostkowy netto]],2)</f>
        <v>245.52</v>
      </c>
      <c r="O1592" s="14">
        <f>tblSprzedaz[[#This Row],[Przychód netto]]-tblSprzedaz[[#This Row],[Koszt całkowity netto]]</f>
        <v>50.499999999999972</v>
      </c>
      <c r="P1592" s="15">
        <f>IFERROR(tblSprzedaz[[#This Row],[Marża kwotowa]]/tblSprzedaz[[#This Row],[Przychód netto]],0)</f>
        <v>0.17059658131207342</v>
      </c>
      <c r="Q1592" s="16">
        <f>YEAR(tblSprzedaz[[#This Row],[Data]])</f>
        <v>2026</v>
      </c>
      <c r="R1592" s="16">
        <f>MONTH(tblSprzedaz[[#This Row],[Data]])</f>
        <v>3</v>
      </c>
      <c r="S1592" s="9" t="str">
        <f>YEAR(tblSprzedaz[[#This Row],[Data]])&amp;"-"&amp;RIGHT("0"&amp;MONTH(tblSprzedaz[[#This Row],[Data]]),2)</f>
        <v>2026-03</v>
      </c>
    </row>
    <row r="1593" spans="1:19" x14ac:dyDescent="0.25">
      <c r="A1593" s="7" t="s">
        <v>3353</v>
      </c>
      <c r="B1593" s="10">
        <v>46085</v>
      </c>
      <c r="C1593" s="7" t="s">
        <v>3354</v>
      </c>
      <c r="D1593" s="8" t="s">
        <v>91</v>
      </c>
      <c r="E1593" s="8" t="s">
        <v>51</v>
      </c>
      <c r="F1593" s="8" t="s">
        <v>29</v>
      </c>
      <c r="G1593" s="8" t="s">
        <v>32</v>
      </c>
      <c r="H1593" s="8" t="s">
        <v>42</v>
      </c>
      <c r="I1593" s="11">
        <v>6</v>
      </c>
      <c r="J1593" s="12">
        <v>51</v>
      </c>
      <c r="K1593" s="13">
        <v>0</v>
      </c>
      <c r="L1593" s="12">
        <v>30.08</v>
      </c>
      <c r="M1593" s="14">
        <f>ROUND(tblSprzedaz[[#This Row],[Ilość]]*tblSprzedaz[[#This Row],[Cena netto jednostkowa]]*(1-tblSprzedaz[[#This Row],[Rabat %]]),2)</f>
        <v>306</v>
      </c>
      <c r="N1593" s="14">
        <f>ROUND(tblSprzedaz[[#This Row],[Ilość]]*tblSprzedaz[[#This Row],[Koszt jednostkowy netto]],2)</f>
        <v>180.48</v>
      </c>
      <c r="O1593" s="14">
        <f>tblSprzedaz[[#This Row],[Przychód netto]]-tblSprzedaz[[#This Row],[Koszt całkowity netto]]</f>
        <v>125.52000000000001</v>
      </c>
      <c r="P1593" s="15">
        <f>IFERROR(tblSprzedaz[[#This Row],[Marża kwotowa]]/tblSprzedaz[[#This Row],[Przychód netto]],0)</f>
        <v>0.41019607843137257</v>
      </c>
      <c r="Q1593" s="16">
        <f>YEAR(tblSprzedaz[[#This Row],[Data]])</f>
        <v>2026</v>
      </c>
      <c r="R1593" s="16">
        <f>MONTH(tblSprzedaz[[#This Row],[Data]])</f>
        <v>3</v>
      </c>
      <c r="S1593" s="9" t="str">
        <f>YEAR(tblSprzedaz[[#This Row],[Data]])&amp;"-"&amp;RIGHT("0"&amp;MONTH(tblSprzedaz[[#This Row],[Data]]),2)</f>
        <v>2026-03</v>
      </c>
    </row>
    <row r="1594" spans="1:19" x14ac:dyDescent="0.25">
      <c r="A1594" s="7" t="s">
        <v>3355</v>
      </c>
      <c r="B1594" s="10">
        <v>46085</v>
      </c>
      <c r="C1594" s="7" t="s">
        <v>3356</v>
      </c>
      <c r="D1594" s="8" t="s">
        <v>140</v>
      </c>
      <c r="E1594" s="8" t="s">
        <v>68</v>
      </c>
      <c r="F1594" s="8" t="s">
        <v>35</v>
      </c>
      <c r="G1594" s="8" t="s">
        <v>28</v>
      </c>
      <c r="H1594" s="8" t="s">
        <v>38</v>
      </c>
      <c r="I1594" s="11">
        <v>12</v>
      </c>
      <c r="J1594" s="12">
        <v>90.44</v>
      </c>
      <c r="K1594" s="13">
        <v>0.15</v>
      </c>
      <c r="L1594" s="12">
        <v>68.209999999999994</v>
      </c>
      <c r="M1594" s="14">
        <f>ROUND(tblSprzedaz[[#This Row],[Ilość]]*tblSprzedaz[[#This Row],[Cena netto jednostkowa]]*(1-tblSprzedaz[[#This Row],[Rabat %]]),2)</f>
        <v>922.49</v>
      </c>
      <c r="N1594" s="14">
        <f>ROUND(tblSprzedaz[[#This Row],[Ilość]]*tblSprzedaz[[#This Row],[Koszt jednostkowy netto]],2)</f>
        <v>818.52</v>
      </c>
      <c r="O1594" s="14">
        <f>tblSprzedaz[[#This Row],[Przychód netto]]-tblSprzedaz[[#This Row],[Koszt całkowity netto]]</f>
        <v>103.97000000000003</v>
      </c>
      <c r="P1594" s="15">
        <f>IFERROR(tblSprzedaz[[#This Row],[Marża kwotowa]]/tblSprzedaz[[#This Row],[Przychód netto]],0)</f>
        <v>0.112705828789472</v>
      </c>
      <c r="Q1594" s="16">
        <f>YEAR(tblSprzedaz[[#This Row],[Data]])</f>
        <v>2026</v>
      </c>
      <c r="R1594" s="16">
        <f>MONTH(tblSprzedaz[[#This Row],[Data]])</f>
        <v>3</v>
      </c>
      <c r="S1594" s="9" t="str">
        <f>YEAR(tblSprzedaz[[#This Row],[Data]])&amp;"-"&amp;RIGHT("0"&amp;MONTH(tblSprzedaz[[#This Row],[Data]]),2)</f>
        <v>2026-03</v>
      </c>
    </row>
    <row r="1595" spans="1:19" x14ac:dyDescent="0.25">
      <c r="A1595" s="7" t="s">
        <v>3357</v>
      </c>
      <c r="B1595" s="10">
        <v>46085</v>
      </c>
      <c r="C1595" s="7" t="s">
        <v>3358</v>
      </c>
      <c r="D1595" s="8" t="s">
        <v>132</v>
      </c>
      <c r="E1595" s="8" t="s">
        <v>50</v>
      </c>
      <c r="F1595" s="8" t="s">
        <v>29</v>
      </c>
      <c r="G1595" s="8" t="s">
        <v>28</v>
      </c>
      <c r="H1595" s="8" t="s">
        <v>38</v>
      </c>
      <c r="I1595" s="11">
        <v>5</v>
      </c>
      <c r="J1595" s="12">
        <v>45.22</v>
      </c>
      <c r="K1595" s="13">
        <v>0</v>
      </c>
      <c r="L1595" s="12">
        <v>24.89</v>
      </c>
      <c r="M1595" s="14">
        <f>ROUND(tblSprzedaz[[#This Row],[Ilość]]*tblSprzedaz[[#This Row],[Cena netto jednostkowa]]*(1-tblSprzedaz[[#This Row],[Rabat %]]),2)</f>
        <v>226.1</v>
      </c>
      <c r="N1595" s="14">
        <f>ROUND(tblSprzedaz[[#This Row],[Ilość]]*tblSprzedaz[[#This Row],[Koszt jednostkowy netto]],2)</f>
        <v>124.45</v>
      </c>
      <c r="O1595" s="14">
        <f>tblSprzedaz[[#This Row],[Przychód netto]]-tblSprzedaz[[#This Row],[Koszt całkowity netto]]</f>
        <v>101.64999999999999</v>
      </c>
      <c r="P1595" s="15">
        <f>IFERROR(tblSprzedaz[[#This Row],[Marża kwotowa]]/tblSprzedaz[[#This Row],[Przychód netto]],0)</f>
        <v>0.44957983193277307</v>
      </c>
      <c r="Q1595" s="16">
        <f>YEAR(tblSprzedaz[[#This Row],[Data]])</f>
        <v>2026</v>
      </c>
      <c r="R1595" s="16">
        <f>MONTH(tblSprzedaz[[#This Row],[Data]])</f>
        <v>3</v>
      </c>
      <c r="S1595" s="9" t="str">
        <f>YEAR(tblSprzedaz[[#This Row],[Data]])&amp;"-"&amp;RIGHT("0"&amp;MONTH(tblSprzedaz[[#This Row],[Data]]),2)</f>
        <v>2026-03</v>
      </c>
    </row>
    <row r="1596" spans="1:19" x14ac:dyDescent="0.25">
      <c r="A1596" s="7" t="s">
        <v>3359</v>
      </c>
      <c r="B1596" s="10">
        <v>46085</v>
      </c>
      <c r="C1596" s="7" t="s">
        <v>3360</v>
      </c>
      <c r="D1596" s="8" t="s">
        <v>137</v>
      </c>
      <c r="E1596" s="8" t="s">
        <v>72</v>
      </c>
      <c r="F1596" s="8" t="s">
        <v>37</v>
      </c>
      <c r="G1596" s="8" t="s">
        <v>28</v>
      </c>
      <c r="H1596" s="8" t="s">
        <v>38</v>
      </c>
      <c r="I1596" s="11">
        <v>14</v>
      </c>
      <c r="J1596" s="12">
        <v>94.05</v>
      </c>
      <c r="K1596" s="13">
        <v>0</v>
      </c>
      <c r="L1596" s="12">
        <v>70.11</v>
      </c>
      <c r="M1596" s="14">
        <f>ROUND(tblSprzedaz[[#This Row],[Ilość]]*tblSprzedaz[[#This Row],[Cena netto jednostkowa]]*(1-tblSprzedaz[[#This Row],[Rabat %]]),2)</f>
        <v>1316.7</v>
      </c>
      <c r="N1596" s="14">
        <f>ROUND(tblSprzedaz[[#This Row],[Ilość]]*tblSprzedaz[[#This Row],[Koszt jednostkowy netto]],2)</f>
        <v>981.54</v>
      </c>
      <c r="O1596" s="14">
        <f>tblSprzedaz[[#This Row],[Przychód netto]]-tblSprzedaz[[#This Row],[Koszt całkowity netto]]</f>
        <v>335.16000000000008</v>
      </c>
      <c r="P1596" s="15">
        <f>IFERROR(tblSprzedaz[[#This Row],[Marża kwotowa]]/tblSprzedaz[[#This Row],[Przychód netto]],0)</f>
        <v>0.25454545454545457</v>
      </c>
      <c r="Q1596" s="16">
        <f>YEAR(tblSprzedaz[[#This Row],[Data]])</f>
        <v>2026</v>
      </c>
      <c r="R1596" s="16">
        <f>MONTH(tblSprzedaz[[#This Row],[Data]])</f>
        <v>3</v>
      </c>
      <c r="S1596" s="9" t="str">
        <f>YEAR(tblSprzedaz[[#This Row],[Data]])&amp;"-"&amp;RIGHT("0"&amp;MONTH(tblSprzedaz[[#This Row],[Data]]),2)</f>
        <v>2026-03</v>
      </c>
    </row>
    <row r="1597" spans="1:19" x14ac:dyDescent="0.25">
      <c r="A1597" s="7" t="s">
        <v>3361</v>
      </c>
      <c r="B1597" s="10">
        <v>46086</v>
      </c>
      <c r="C1597" s="7" t="s">
        <v>3362</v>
      </c>
      <c r="D1597" s="8" t="s">
        <v>139</v>
      </c>
      <c r="E1597" s="8" t="s">
        <v>50</v>
      </c>
      <c r="F1597" s="8" t="s">
        <v>29</v>
      </c>
      <c r="G1597" s="8" t="s">
        <v>30</v>
      </c>
      <c r="H1597" s="8" t="s">
        <v>40</v>
      </c>
      <c r="I1597" s="11">
        <v>4</v>
      </c>
      <c r="J1597" s="12">
        <v>45.22</v>
      </c>
      <c r="K1597" s="13">
        <v>0.1</v>
      </c>
      <c r="L1597" s="12">
        <v>27.09</v>
      </c>
      <c r="M1597" s="14">
        <f>ROUND(tblSprzedaz[[#This Row],[Ilość]]*tblSprzedaz[[#This Row],[Cena netto jednostkowa]]*(1-tblSprzedaz[[#This Row],[Rabat %]]),2)</f>
        <v>162.79</v>
      </c>
      <c r="N1597" s="14">
        <f>ROUND(tblSprzedaz[[#This Row],[Ilość]]*tblSprzedaz[[#This Row],[Koszt jednostkowy netto]],2)</f>
        <v>108.36</v>
      </c>
      <c r="O1597" s="14">
        <f>tblSprzedaz[[#This Row],[Przychód netto]]-tblSprzedaz[[#This Row],[Koszt całkowity netto]]</f>
        <v>54.429999999999993</v>
      </c>
      <c r="P1597" s="15">
        <f>IFERROR(tblSprzedaz[[#This Row],[Marża kwotowa]]/tblSprzedaz[[#This Row],[Przychód netto]],0)</f>
        <v>0.33435714724491672</v>
      </c>
      <c r="Q1597" s="16">
        <f>YEAR(tblSprzedaz[[#This Row],[Data]])</f>
        <v>2026</v>
      </c>
      <c r="R1597" s="16">
        <f>MONTH(tblSprzedaz[[#This Row],[Data]])</f>
        <v>3</v>
      </c>
      <c r="S1597" s="9" t="str">
        <f>YEAR(tblSprzedaz[[#This Row],[Data]])&amp;"-"&amp;RIGHT("0"&amp;MONTH(tblSprzedaz[[#This Row],[Data]]),2)</f>
        <v>2026-03</v>
      </c>
    </row>
    <row r="1598" spans="1:19" x14ac:dyDescent="0.25">
      <c r="A1598" s="7" t="s">
        <v>3363</v>
      </c>
      <c r="B1598" s="10">
        <v>46086</v>
      </c>
      <c r="C1598" s="7" t="s">
        <v>3364</v>
      </c>
      <c r="D1598" s="8" t="s">
        <v>112</v>
      </c>
      <c r="E1598" s="8" t="s">
        <v>67</v>
      </c>
      <c r="F1598" s="8" t="s">
        <v>35</v>
      </c>
      <c r="G1598" s="8" t="s">
        <v>30</v>
      </c>
      <c r="H1598" s="8" t="s">
        <v>41</v>
      </c>
      <c r="I1598" s="11">
        <v>11</v>
      </c>
      <c r="J1598" s="12">
        <v>78.88</v>
      </c>
      <c r="K1598" s="13">
        <v>0</v>
      </c>
      <c r="L1598" s="12">
        <v>57.06</v>
      </c>
      <c r="M1598" s="14">
        <f>ROUND(tblSprzedaz[[#This Row],[Ilość]]*tblSprzedaz[[#This Row],[Cena netto jednostkowa]]*(1-tblSprzedaz[[#This Row],[Rabat %]]),2)</f>
        <v>867.68</v>
      </c>
      <c r="N1598" s="14">
        <f>ROUND(tblSprzedaz[[#This Row],[Ilość]]*tblSprzedaz[[#This Row],[Koszt jednostkowy netto]],2)</f>
        <v>627.66</v>
      </c>
      <c r="O1598" s="14">
        <f>tblSprzedaz[[#This Row],[Przychód netto]]-tblSprzedaz[[#This Row],[Koszt całkowity netto]]</f>
        <v>240.01999999999998</v>
      </c>
      <c r="P1598" s="15">
        <f>IFERROR(tblSprzedaz[[#This Row],[Marża kwotowa]]/tblSprzedaz[[#This Row],[Przychód netto]],0)</f>
        <v>0.27662271805273836</v>
      </c>
      <c r="Q1598" s="16">
        <f>YEAR(tblSprzedaz[[#This Row],[Data]])</f>
        <v>2026</v>
      </c>
      <c r="R1598" s="16">
        <f>MONTH(tblSprzedaz[[#This Row],[Data]])</f>
        <v>3</v>
      </c>
      <c r="S1598" s="9" t="str">
        <f>YEAR(tblSprzedaz[[#This Row],[Data]])&amp;"-"&amp;RIGHT("0"&amp;MONTH(tblSprzedaz[[#This Row],[Data]]),2)</f>
        <v>2026-03</v>
      </c>
    </row>
    <row r="1599" spans="1:19" x14ac:dyDescent="0.25">
      <c r="A1599" s="7" t="s">
        <v>3365</v>
      </c>
      <c r="B1599" s="10">
        <v>46086</v>
      </c>
      <c r="C1599" s="7" t="s">
        <v>3366</v>
      </c>
      <c r="D1599" s="8" t="s">
        <v>90</v>
      </c>
      <c r="E1599" s="8" t="s">
        <v>57</v>
      </c>
      <c r="F1599" s="8" t="s">
        <v>31</v>
      </c>
      <c r="G1599" s="8" t="s">
        <v>34</v>
      </c>
      <c r="H1599" s="8" t="s">
        <v>44</v>
      </c>
      <c r="I1599" s="11">
        <v>2</v>
      </c>
      <c r="J1599" s="12">
        <v>315</v>
      </c>
      <c r="K1599" s="13">
        <v>0.1</v>
      </c>
      <c r="L1599" s="12">
        <v>211.56</v>
      </c>
      <c r="M1599" s="14">
        <f>ROUND(tblSprzedaz[[#This Row],[Ilość]]*tblSprzedaz[[#This Row],[Cena netto jednostkowa]]*(1-tblSprzedaz[[#This Row],[Rabat %]]),2)</f>
        <v>567</v>
      </c>
      <c r="N1599" s="14">
        <f>ROUND(tblSprzedaz[[#This Row],[Ilość]]*tblSprzedaz[[#This Row],[Koszt jednostkowy netto]],2)</f>
        <v>423.12</v>
      </c>
      <c r="O1599" s="14">
        <f>tblSprzedaz[[#This Row],[Przychód netto]]-tblSprzedaz[[#This Row],[Koszt całkowity netto]]</f>
        <v>143.88</v>
      </c>
      <c r="P1599" s="15">
        <f>IFERROR(tblSprzedaz[[#This Row],[Marża kwotowa]]/tblSprzedaz[[#This Row],[Przychód netto]],0)</f>
        <v>0.25375661375661374</v>
      </c>
      <c r="Q1599" s="16">
        <f>YEAR(tblSprzedaz[[#This Row],[Data]])</f>
        <v>2026</v>
      </c>
      <c r="R1599" s="16">
        <f>MONTH(tblSprzedaz[[#This Row],[Data]])</f>
        <v>3</v>
      </c>
      <c r="S1599" s="9" t="str">
        <f>YEAR(tblSprzedaz[[#This Row],[Data]])&amp;"-"&amp;RIGHT("0"&amp;MONTH(tblSprzedaz[[#This Row],[Data]]),2)</f>
        <v>2026-03</v>
      </c>
    </row>
    <row r="1600" spans="1:19" x14ac:dyDescent="0.25">
      <c r="A1600" s="7" t="s">
        <v>3367</v>
      </c>
      <c r="B1600" s="10">
        <v>46087</v>
      </c>
      <c r="C1600" s="7" t="s">
        <v>3368</v>
      </c>
      <c r="D1600" s="8" t="s">
        <v>137</v>
      </c>
      <c r="E1600" s="8" t="s">
        <v>64</v>
      </c>
      <c r="F1600" s="8" t="s">
        <v>33</v>
      </c>
      <c r="G1600" s="8" t="s">
        <v>32</v>
      </c>
      <c r="H1600" s="8" t="s">
        <v>43</v>
      </c>
      <c r="I1600" s="11">
        <v>9</v>
      </c>
      <c r="J1600" s="12">
        <v>768.2</v>
      </c>
      <c r="K1600" s="13">
        <v>0</v>
      </c>
      <c r="L1600" s="12">
        <v>549.35</v>
      </c>
      <c r="M1600" s="14">
        <f>ROUND(tblSprzedaz[[#This Row],[Ilość]]*tblSprzedaz[[#This Row],[Cena netto jednostkowa]]*(1-tblSprzedaz[[#This Row],[Rabat %]]),2)</f>
        <v>6913.8</v>
      </c>
      <c r="N1600" s="14">
        <f>ROUND(tblSprzedaz[[#This Row],[Ilość]]*tblSprzedaz[[#This Row],[Koszt jednostkowy netto]],2)</f>
        <v>4944.1499999999996</v>
      </c>
      <c r="O1600" s="14">
        <f>tblSprzedaz[[#This Row],[Przychód netto]]-tblSprzedaz[[#This Row],[Koszt całkowity netto]]</f>
        <v>1969.6500000000005</v>
      </c>
      <c r="P1600" s="15">
        <f>IFERROR(tblSprzedaz[[#This Row],[Marża kwotowa]]/tblSprzedaz[[#This Row],[Przychód netto]],0)</f>
        <v>0.2848867482426452</v>
      </c>
      <c r="Q1600" s="16">
        <f>YEAR(tblSprzedaz[[#This Row],[Data]])</f>
        <v>2026</v>
      </c>
      <c r="R1600" s="16">
        <f>MONTH(tblSprzedaz[[#This Row],[Data]])</f>
        <v>3</v>
      </c>
      <c r="S1600" s="9" t="str">
        <f>YEAR(tblSprzedaz[[#This Row],[Data]])&amp;"-"&amp;RIGHT("0"&amp;MONTH(tblSprzedaz[[#This Row],[Data]]),2)</f>
        <v>2026-03</v>
      </c>
    </row>
    <row r="1601" spans="1:19" x14ac:dyDescent="0.25">
      <c r="A1601" s="7" t="s">
        <v>3369</v>
      </c>
      <c r="B1601" s="10">
        <v>46087</v>
      </c>
      <c r="C1601" s="7" t="s">
        <v>3370</v>
      </c>
      <c r="D1601" s="8" t="s">
        <v>102</v>
      </c>
      <c r="E1601" s="8" t="s">
        <v>63</v>
      </c>
      <c r="F1601" s="8" t="s">
        <v>33</v>
      </c>
      <c r="G1601" s="8" t="s">
        <v>30</v>
      </c>
      <c r="H1601" s="8" t="s">
        <v>41</v>
      </c>
      <c r="I1601" s="11">
        <v>5</v>
      </c>
      <c r="J1601" s="12">
        <v>690</v>
      </c>
      <c r="K1601" s="13">
        <v>0.15</v>
      </c>
      <c r="L1601" s="12">
        <v>456.68</v>
      </c>
      <c r="M1601" s="14">
        <f>ROUND(tblSprzedaz[[#This Row],[Ilość]]*tblSprzedaz[[#This Row],[Cena netto jednostkowa]]*(1-tblSprzedaz[[#This Row],[Rabat %]]),2)</f>
        <v>2932.5</v>
      </c>
      <c r="N1601" s="14">
        <f>ROUND(tblSprzedaz[[#This Row],[Ilość]]*tblSprzedaz[[#This Row],[Koszt jednostkowy netto]],2)</f>
        <v>2283.4</v>
      </c>
      <c r="O1601" s="14">
        <f>tblSprzedaz[[#This Row],[Przychód netto]]-tblSprzedaz[[#This Row],[Koszt całkowity netto]]</f>
        <v>649.09999999999991</v>
      </c>
      <c r="P1601" s="15">
        <f>IFERROR(tblSprzedaz[[#This Row],[Marża kwotowa]]/tblSprzedaz[[#This Row],[Przychód netto]],0)</f>
        <v>0.22134697357203748</v>
      </c>
      <c r="Q1601" s="16">
        <f>YEAR(tblSprzedaz[[#This Row],[Data]])</f>
        <v>2026</v>
      </c>
      <c r="R1601" s="16">
        <f>MONTH(tblSprzedaz[[#This Row],[Data]])</f>
        <v>3</v>
      </c>
      <c r="S1601" s="9" t="str">
        <f>YEAR(tblSprzedaz[[#This Row],[Data]])&amp;"-"&amp;RIGHT("0"&amp;MONTH(tblSprzedaz[[#This Row],[Data]]),2)</f>
        <v>2026-03</v>
      </c>
    </row>
    <row r="1602" spans="1:19" x14ac:dyDescent="0.25">
      <c r="A1602" s="7" t="s">
        <v>3371</v>
      </c>
      <c r="B1602" s="10">
        <v>46087</v>
      </c>
      <c r="C1602" s="7" t="s">
        <v>3372</v>
      </c>
      <c r="D1602" s="8" t="s">
        <v>103</v>
      </c>
      <c r="E1602" s="8" t="s">
        <v>72</v>
      </c>
      <c r="F1602" s="8" t="s">
        <v>37</v>
      </c>
      <c r="G1602" s="8" t="s">
        <v>36</v>
      </c>
      <c r="H1602" s="8" t="s">
        <v>47</v>
      </c>
      <c r="I1602" s="11">
        <v>24</v>
      </c>
      <c r="J1602" s="12">
        <v>94.05</v>
      </c>
      <c r="K1602" s="13">
        <v>0.15</v>
      </c>
      <c r="L1602" s="12">
        <v>73.89</v>
      </c>
      <c r="M1602" s="14">
        <f>ROUND(tblSprzedaz[[#This Row],[Ilość]]*tblSprzedaz[[#This Row],[Cena netto jednostkowa]]*(1-tblSprzedaz[[#This Row],[Rabat %]]),2)</f>
        <v>1918.62</v>
      </c>
      <c r="N1602" s="14">
        <f>ROUND(tblSprzedaz[[#This Row],[Ilość]]*tblSprzedaz[[#This Row],[Koszt jednostkowy netto]],2)</f>
        <v>1773.36</v>
      </c>
      <c r="O1602" s="14">
        <f>tblSprzedaz[[#This Row],[Przychód netto]]-tblSprzedaz[[#This Row],[Koszt całkowity netto]]</f>
        <v>145.26</v>
      </c>
      <c r="P1602" s="15">
        <f>IFERROR(tblSprzedaz[[#This Row],[Marża kwotowa]]/tblSprzedaz[[#This Row],[Przychód netto]],0)</f>
        <v>7.5710667041936394E-2</v>
      </c>
      <c r="Q1602" s="16">
        <f>YEAR(tblSprzedaz[[#This Row],[Data]])</f>
        <v>2026</v>
      </c>
      <c r="R1602" s="16">
        <f>MONTH(tblSprzedaz[[#This Row],[Data]])</f>
        <v>3</v>
      </c>
      <c r="S1602" s="9" t="str">
        <f>YEAR(tblSprzedaz[[#This Row],[Data]])&amp;"-"&amp;RIGHT("0"&amp;MONTH(tblSprzedaz[[#This Row],[Data]]),2)</f>
        <v>2026-03</v>
      </c>
    </row>
    <row r="1603" spans="1:19" x14ac:dyDescent="0.25">
      <c r="A1603" s="7" t="s">
        <v>3373</v>
      </c>
      <c r="B1603" s="10">
        <v>46087</v>
      </c>
      <c r="C1603" s="7" t="s">
        <v>3374</v>
      </c>
      <c r="D1603" s="8" t="s">
        <v>104</v>
      </c>
      <c r="E1603" s="8" t="s">
        <v>61</v>
      </c>
      <c r="F1603" s="8" t="s">
        <v>33</v>
      </c>
      <c r="G1603" s="8" t="s">
        <v>34</v>
      </c>
      <c r="H1603" s="8" t="s">
        <v>44</v>
      </c>
      <c r="I1603" s="11">
        <v>4</v>
      </c>
      <c r="J1603" s="12">
        <v>533.6</v>
      </c>
      <c r="K1603" s="13">
        <v>0.1</v>
      </c>
      <c r="L1603" s="12">
        <v>345.43</v>
      </c>
      <c r="M1603" s="14">
        <f>ROUND(tblSprzedaz[[#This Row],[Ilość]]*tblSprzedaz[[#This Row],[Cena netto jednostkowa]]*(1-tblSprzedaz[[#This Row],[Rabat %]]),2)</f>
        <v>1920.96</v>
      </c>
      <c r="N1603" s="14">
        <f>ROUND(tblSprzedaz[[#This Row],[Ilość]]*tblSprzedaz[[#This Row],[Koszt jednostkowy netto]],2)</f>
        <v>1381.72</v>
      </c>
      <c r="O1603" s="14">
        <f>tblSprzedaz[[#This Row],[Przychód netto]]-tblSprzedaz[[#This Row],[Koszt całkowity netto]]</f>
        <v>539.24</v>
      </c>
      <c r="P1603" s="15">
        <f>IFERROR(tblSprzedaz[[#This Row],[Marża kwotowa]]/tblSprzedaz[[#This Row],[Przychód netto]],0)</f>
        <v>0.28071380976178578</v>
      </c>
      <c r="Q1603" s="16">
        <f>YEAR(tblSprzedaz[[#This Row],[Data]])</f>
        <v>2026</v>
      </c>
      <c r="R1603" s="16">
        <f>MONTH(tblSprzedaz[[#This Row],[Data]])</f>
        <v>3</v>
      </c>
      <c r="S1603" s="9" t="str">
        <f>YEAR(tblSprzedaz[[#This Row],[Data]])&amp;"-"&amp;RIGHT("0"&amp;MONTH(tblSprzedaz[[#This Row],[Data]]),2)</f>
        <v>2026-03</v>
      </c>
    </row>
    <row r="1604" spans="1:19" x14ac:dyDescent="0.25">
      <c r="A1604" s="7" t="s">
        <v>3375</v>
      </c>
      <c r="B1604" s="10">
        <v>46087</v>
      </c>
      <c r="C1604" s="7" t="s">
        <v>3376</v>
      </c>
      <c r="D1604" s="8" t="s">
        <v>119</v>
      </c>
      <c r="E1604" s="8" t="s">
        <v>53</v>
      </c>
      <c r="F1604" s="8" t="s">
        <v>29</v>
      </c>
      <c r="G1604" s="8" t="s">
        <v>34</v>
      </c>
      <c r="H1604" s="8" t="s">
        <v>45</v>
      </c>
      <c r="I1604" s="11">
        <v>5</v>
      </c>
      <c r="J1604" s="12">
        <v>27.88</v>
      </c>
      <c r="K1604" s="13">
        <v>0.1</v>
      </c>
      <c r="L1604" s="12">
        <v>15.88</v>
      </c>
      <c r="M1604" s="14">
        <f>ROUND(tblSprzedaz[[#This Row],[Ilość]]*tblSprzedaz[[#This Row],[Cena netto jednostkowa]]*(1-tblSprzedaz[[#This Row],[Rabat %]]),2)</f>
        <v>125.46</v>
      </c>
      <c r="N1604" s="14">
        <f>ROUND(tblSprzedaz[[#This Row],[Ilość]]*tblSprzedaz[[#This Row],[Koszt jednostkowy netto]],2)</f>
        <v>79.400000000000006</v>
      </c>
      <c r="O1604" s="14">
        <f>tblSprzedaz[[#This Row],[Przychód netto]]-tblSprzedaz[[#This Row],[Koszt całkowity netto]]</f>
        <v>46.059999999999988</v>
      </c>
      <c r="P1604" s="15">
        <f>IFERROR(tblSprzedaz[[#This Row],[Marża kwotowa]]/tblSprzedaz[[#This Row],[Przychód netto]],0)</f>
        <v>0.36712896540730106</v>
      </c>
      <c r="Q1604" s="16">
        <f>YEAR(tblSprzedaz[[#This Row],[Data]])</f>
        <v>2026</v>
      </c>
      <c r="R1604" s="16">
        <f>MONTH(tblSprzedaz[[#This Row],[Data]])</f>
        <v>3</v>
      </c>
      <c r="S1604" s="9" t="str">
        <f>YEAR(tblSprzedaz[[#This Row],[Data]])&amp;"-"&amp;RIGHT("0"&amp;MONTH(tblSprzedaz[[#This Row],[Data]]),2)</f>
        <v>2026-03</v>
      </c>
    </row>
    <row r="1605" spans="1:19" x14ac:dyDescent="0.25">
      <c r="A1605" s="7" t="s">
        <v>3377</v>
      </c>
      <c r="B1605" s="10">
        <v>46087</v>
      </c>
      <c r="C1605" s="7" t="s">
        <v>3378</v>
      </c>
      <c r="D1605" s="8" t="s">
        <v>113</v>
      </c>
      <c r="E1605" s="8" t="s">
        <v>67</v>
      </c>
      <c r="F1605" s="8" t="s">
        <v>35</v>
      </c>
      <c r="G1605" s="8" t="s">
        <v>32</v>
      </c>
      <c r="H1605" s="8" t="s">
        <v>42</v>
      </c>
      <c r="I1605" s="11">
        <v>7</v>
      </c>
      <c r="J1605" s="12">
        <v>78.88</v>
      </c>
      <c r="K1605" s="13">
        <v>0</v>
      </c>
      <c r="L1605" s="12">
        <v>55.36</v>
      </c>
      <c r="M1605" s="14">
        <f>ROUND(tblSprzedaz[[#This Row],[Ilość]]*tblSprzedaz[[#This Row],[Cena netto jednostkowa]]*(1-tblSprzedaz[[#This Row],[Rabat %]]),2)</f>
        <v>552.16</v>
      </c>
      <c r="N1605" s="14">
        <f>ROUND(tblSprzedaz[[#This Row],[Ilość]]*tblSprzedaz[[#This Row],[Koszt jednostkowy netto]],2)</f>
        <v>387.52</v>
      </c>
      <c r="O1605" s="14">
        <f>tblSprzedaz[[#This Row],[Przychód netto]]-tblSprzedaz[[#This Row],[Koszt całkowity netto]]</f>
        <v>164.64</v>
      </c>
      <c r="P1605" s="15">
        <f>IFERROR(tblSprzedaz[[#This Row],[Marża kwotowa]]/tblSprzedaz[[#This Row],[Przychód netto]],0)</f>
        <v>0.29817444219066935</v>
      </c>
      <c r="Q1605" s="16">
        <f>YEAR(tblSprzedaz[[#This Row],[Data]])</f>
        <v>2026</v>
      </c>
      <c r="R1605" s="16">
        <f>MONTH(tblSprzedaz[[#This Row],[Data]])</f>
        <v>3</v>
      </c>
      <c r="S1605" s="9" t="str">
        <f>YEAR(tblSprzedaz[[#This Row],[Data]])&amp;"-"&amp;RIGHT("0"&amp;MONTH(tblSprzedaz[[#This Row],[Data]]),2)</f>
        <v>2026-03</v>
      </c>
    </row>
    <row r="1606" spans="1:19" x14ac:dyDescent="0.25">
      <c r="A1606" s="7" t="s">
        <v>3379</v>
      </c>
      <c r="B1606" s="10">
        <v>46088</v>
      </c>
      <c r="C1606" s="7" t="s">
        <v>3380</v>
      </c>
      <c r="D1606" s="8" t="s">
        <v>114</v>
      </c>
      <c r="E1606" s="8" t="s">
        <v>73</v>
      </c>
      <c r="F1606" s="8" t="s">
        <v>37</v>
      </c>
      <c r="G1606" s="8" t="s">
        <v>34</v>
      </c>
      <c r="H1606" s="8" t="s">
        <v>45</v>
      </c>
      <c r="I1606" s="11">
        <v>9</v>
      </c>
      <c r="J1606" s="12">
        <v>110.2</v>
      </c>
      <c r="K1606" s="13">
        <v>0.1</v>
      </c>
      <c r="L1606" s="12">
        <v>87.16</v>
      </c>
      <c r="M1606" s="14">
        <f>ROUND(tblSprzedaz[[#This Row],[Ilość]]*tblSprzedaz[[#This Row],[Cena netto jednostkowa]]*(1-tblSprzedaz[[#This Row],[Rabat %]]),2)</f>
        <v>892.62</v>
      </c>
      <c r="N1606" s="14">
        <f>ROUND(tblSprzedaz[[#This Row],[Ilość]]*tblSprzedaz[[#This Row],[Koszt jednostkowy netto]],2)</f>
        <v>784.44</v>
      </c>
      <c r="O1606" s="14">
        <f>tblSprzedaz[[#This Row],[Przychód netto]]-tblSprzedaz[[#This Row],[Koszt całkowity netto]]</f>
        <v>108.17999999999995</v>
      </c>
      <c r="P1606" s="15">
        <f>IFERROR(tblSprzedaz[[#This Row],[Marża kwotowa]]/tblSprzedaz[[#This Row],[Przychód netto]],0)</f>
        <v>0.12119378907037703</v>
      </c>
      <c r="Q1606" s="16">
        <f>YEAR(tblSprzedaz[[#This Row],[Data]])</f>
        <v>2026</v>
      </c>
      <c r="R1606" s="16">
        <f>MONTH(tblSprzedaz[[#This Row],[Data]])</f>
        <v>3</v>
      </c>
      <c r="S1606" s="9" t="str">
        <f>YEAR(tblSprzedaz[[#This Row],[Data]])&amp;"-"&amp;RIGHT("0"&amp;MONTH(tblSprzedaz[[#This Row],[Data]]),2)</f>
        <v>2026-03</v>
      </c>
    </row>
    <row r="1607" spans="1:19" x14ac:dyDescent="0.25">
      <c r="A1607" s="7" t="s">
        <v>3381</v>
      </c>
      <c r="B1607" s="10">
        <v>46089</v>
      </c>
      <c r="C1607" s="7" t="s">
        <v>3382</v>
      </c>
      <c r="D1607" s="8" t="s">
        <v>131</v>
      </c>
      <c r="E1607" s="8" t="s">
        <v>70</v>
      </c>
      <c r="F1607" s="8" t="s">
        <v>35</v>
      </c>
      <c r="G1607" s="8" t="s">
        <v>30</v>
      </c>
      <c r="H1607" s="8" t="s">
        <v>41</v>
      </c>
      <c r="I1607" s="11">
        <v>21</v>
      </c>
      <c r="J1607" s="12">
        <v>113.56</v>
      </c>
      <c r="K1607" s="13">
        <v>0</v>
      </c>
      <c r="L1607" s="12">
        <v>83.79</v>
      </c>
      <c r="M1607" s="14">
        <f>ROUND(tblSprzedaz[[#This Row],[Ilość]]*tblSprzedaz[[#This Row],[Cena netto jednostkowa]]*(1-tblSprzedaz[[#This Row],[Rabat %]]),2)</f>
        <v>2384.7600000000002</v>
      </c>
      <c r="N1607" s="14">
        <f>ROUND(tblSprzedaz[[#This Row],[Ilość]]*tblSprzedaz[[#This Row],[Koszt jednostkowy netto]],2)</f>
        <v>1759.59</v>
      </c>
      <c r="O1607" s="14">
        <f>tblSprzedaz[[#This Row],[Przychód netto]]-tblSprzedaz[[#This Row],[Koszt całkowity netto]]</f>
        <v>625.1700000000003</v>
      </c>
      <c r="P1607" s="15">
        <f>IFERROR(tblSprzedaz[[#This Row],[Marża kwotowa]]/tblSprzedaz[[#This Row],[Przychód netto]],0)</f>
        <v>0.26215216625572396</v>
      </c>
      <c r="Q1607" s="16">
        <f>YEAR(tblSprzedaz[[#This Row],[Data]])</f>
        <v>2026</v>
      </c>
      <c r="R1607" s="16">
        <f>MONTH(tblSprzedaz[[#This Row],[Data]])</f>
        <v>3</v>
      </c>
      <c r="S1607" s="9" t="str">
        <f>YEAR(tblSprzedaz[[#This Row],[Data]])&amp;"-"&amp;RIGHT("0"&amp;MONTH(tblSprzedaz[[#This Row],[Data]]),2)</f>
        <v>2026-03</v>
      </c>
    </row>
    <row r="1608" spans="1:19" x14ac:dyDescent="0.25">
      <c r="A1608" s="7" t="s">
        <v>3383</v>
      </c>
      <c r="B1608" s="10">
        <v>46089</v>
      </c>
      <c r="C1608" s="7" t="s">
        <v>3384</v>
      </c>
      <c r="D1608" s="8" t="s">
        <v>121</v>
      </c>
      <c r="E1608" s="8" t="s">
        <v>62</v>
      </c>
      <c r="F1608" s="8" t="s">
        <v>33</v>
      </c>
      <c r="G1608" s="8" t="s">
        <v>32</v>
      </c>
      <c r="H1608" s="8" t="s">
        <v>43</v>
      </c>
      <c r="I1608" s="11">
        <v>7</v>
      </c>
      <c r="J1608" s="12">
        <v>611.79999999999995</v>
      </c>
      <c r="K1608" s="13">
        <v>0.15</v>
      </c>
      <c r="L1608" s="12">
        <v>395.01</v>
      </c>
      <c r="M1608" s="14">
        <f>ROUND(tblSprzedaz[[#This Row],[Ilość]]*tblSprzedaz[[#This Row],[Cena netto jednostkowa]]*(1-tblSprzedaz[[#This Row],[Rabat %]]),2)</f>
        <v>3640.21</v>
      </c>
      <c r="N1608" s="14">
        <f>ROUND(tblSprzedaz[[#This Row],[Ilość]]*tblSprzedaz[[#This Row],[Koszt jednostkowy netto]],2)</f>
        <v>2765.07</v>
      </c>
      <c r="O1608" s="14">
        <f>tblSprzedaz[[#This Row],[Przychód netto]]-tblSprzedaz[[#This Row],[Koszt całkowity netto]]</f>
        <v>875.13999999999987</v>
      </c>
      <c r="P1608" s="15">
        <f>IFERROR(tblSprzedaz[[#This Row],[Marża kwotowa]]/tblSprzedaz[[#This Row],[Przychód netto]],0)</f>
        <v>0.24040920716112529</v>
      </c>
      <c r="Q1608" s="16">
        <f>YEAR(tblSprzedaz[[#This Row],[Data]])</f>
        <v>2026</v>
      </c>
      <c r="R1608" s="16">
        <f>MONTH(tblSprzedaz[[#This Row],[Data]])</f>
        <v>3</v>
      </c>
      <c r="S1608" s="9" t="str">
        <f>YEAR(tblSprzedaz[[#This Row],[Data]])&amp;"-"&amp;RIGHT("0"&amp;MONTH(tblSprzedaz[[#This Row],[Data]]),2)</f>
        <v>2026-03</v>
      </c>
    </row>
    <row r="1609" spans="1:19" x14ac:dyDescent="0.25">
      <c r="A1609" s="7" t="s">
        <v>3385</v>
      </c>
      <c r="B1609" s="10">
        <v>46090</v>
      </c>
      <c r="C1609" s="7" t="s">
        <v>3386</v>
      </c>
      <c r="D1609" s="8" t="s">
        <v>152</v>
      </c>
      <c r="E1609" s="8" t="s">
        <v>71</v>
      </c>
      <c r="F1609" s="8" t="s">
        <v>35</v>
      </c>
      <c r="G1609" s="8" t="s">
        <v>36</v>
      </c>
      <c r="H1609" s="8" t="s">
        <v>47</v>
      </c>
      <c r="I1609" s="11">
        <v>2</v>
      </c>
      <c r="J1609" s="12">
        <v>55.76</v>
      </c>
      <c r="K1609" s="13">
        <v>0.15</v>
      </c>
      <c r="L1609" s="12">
        <v>41.61</v>
      </c>
      <c r="M1609" s="14">
        <f>ROUND(tblSprzedaz[[#This Row],[Ilość]]*tblSprzedaz[[#This Row],[Cena netto jednostkowa]]*(1-tblSprzedaz[[#This Row],[Rabat %]]),2)</f>
        <v>94.79</v>
      </c>
      <c r="N1609" s="14">
        <f>ROUND(tblSprzedaz[[#This Row],[Ilość]]*tblSprzedaz[[#This Row],[Koszt jednostkowy netto]],2)</f>
        <v>83.22</v>
      </c>
      <c r="O1609" s="14">
        <f>tblSprzedaz[[#This Row],[Przychód netto]]-tblSprzedaz[[#This Row],[Koszt całkowity netto]]</f>
        <v>11.570000000000007</v>
      </c>
      <c r="P1609" s="15">
        <f>IFERROR(tblSprzedaz[[#This Row],[Marża kwotowa]]/tblSprzedaz[[#This Row],[Przychód netto]],0)</f>
        <v>0.12205928895453114</v>
      </c>
      <c r="Q1609" s="16">
        <f>YEAR(tblSprzedaz[[#This Row],[Data]])</f>
        <v>2026</v>
      </c>
      <c r="R1609" s="16">
        <f>MONTH(tblSprzedaz[[#This Row],[Data]])</f>
        <v>3</v>
      </c>
      <c r="S1609" s="9" t="str">
        <f>YEAR(tblSprzedaz[[#This Row],[Data]])&amp;"-"&amp;RIGHT("0"&amp;MONTH(tblSprzedaz[[#This Row],[Data]]),2)</f>
        <v>2026-03</v>
      </c>
    </row>
    <row r="1610" spans="1:19" x14ac:dyDescent="0.25">
      <c r="A1610" s="7" t="s">
        <v>3387</v>
      </c>
      <c r="B1610" s="10">
        <v>46090</v>
      </c>
      <c r="C1610" s="7" t="s">
        <v>3388</v>
      </c>
      <c r="D1610" s="8" t="s">
        <v>95</v>
      </c>
      <c r="E1610" s="8" t="s">
        <v>66</v>
      </c>
      <c r="F1610" s="8" t="s">
        <v>35</v>
      </c>
      <c r="G1610" s="8" t="s">
        <v>28</v>
      </c>
      <c r="H1610" s="8" t="s">
        <v>38</v>
      </c>
      <c r="I1610" s="11">
        <v>12</v>
      </c>
      <c r="J1610" s="12">
        <v>67.319999999999993</v>
      </c>
      <c r="K1610" s="13">
        <v>0.15</v>
      </c>
      <c r="L1610" s="12">
        <v>46.29</v>
      </c>
      <c r="M1610" s="14">
        <f>ROUND(tblSprzedaz[[#This Row],[Ilość]]*tblSprzedaz[[#This Row],[Cena netto jednostkowa]]*(1-tblSprzedaz[[#This Row],[Rabat %]]),2)</f>
        <v>686.66</v>
      </c>
      <c r="N1610" s="14">
        <f>ROUND(tblSprzedaz[[#This Row],[Ilość]]*tblSprzedaz[[#This Row],[Koszt jednostkowy netto]],2)</f>
        <v>555.48</v>
      </c>
      <c r="O1610" s="14">
        <f>tblSprzedaz[[#This Row],[Przychód netto]]-tblSprzedaz[[#This Row],[Koszt całkowity netto]]</f>
        <v>131.17999999999995</v>
      </c>
      <c r="P1610" s="15">
        <f>IFERROR(tblSprzedaz[[#This Row],[Marża kwotowa]]/tblSprzedaz[[#This Row],[Przychód netto]],0)</f>
        <v>0.19104068971543406</v>
      </c>
      <c r="Q1610" s="16">
        <f>YEAR(tblSprzedaz[[#This Row],[Data]])</f>
        <v>2026</v>
      </c>
      <c r="R1610" s="16">
        <f>MONTH(tblSprzedaz[[#This Row],[Data]])</f>
        <v>3</v>
      </c>
      <c r="S1610" s="9" t="str">
        <f>YEAR(tblSprzedaz[[#This Row],[Data]])&amp;"-"&amp;RIGHT("0"&amp;MONTH(tblSprzedaz[[#This Row],[Data]]),2)</f>
        <v>2026-03</v>
      </c>
    </row>
    <row r="1611" spans="1:19" x14ac:dyDescent="0.25">
      <c r="A1611" s="7" t="s">
        <v>3389</v>
      </c>
      <c r="B1611" s="10">
        <v>46090</v>
      </c>
      <c r="C1611" s="7" t="s">
        <v>3390</v>
      </c>
      <c r="D1611" s="8" t="s">
        <v>130</v>
      </c>
      <c r="E1611" s="8" t="s">
        <v>76</v>
      </c>
      <c r="F1611" s="8" t="s">
        <v>37</v>
      </c>
      <c r="G1611" s="8" t="s">
        <v>36</v>
      </c>
      <c r="H1611" s="8" t="s">
        <v>47</v>
      </c>
      <c r="I1611" s="11">
        <v>21</v>
      </c>
      <c r="J1611" s="12">
        <v>158.65</v>
      </c>
      <c r="K1611" s="13">
        <v>0</v>
      </c>
      <c r="L1611" s="12">
        <v>124.45</v>
      </c>
      <c r="M1611" s="14">
        <f>ROUND(tblSprzedaz[[#This Row],[Ilość]]*tblSprzedaz[[#This Row],[Cena netto jednostkowa]]*(1-tblSprzedaz[[#This Row],[Rabat %]]),2)</f>
        <v>3331.65</v>
      </c>
      <c r="N1611" s="14">
        <f>ROUND(tblSprzedaz[[#This Row],[Ilość]]*tblSprzedaz[[#This Row],[Koszt jednostkowy netto]],2)</f>
        <v>2613.4499999999998</v>
      </c>
      <c r="O1611" s="14">
        <f>tblSprzedaz[[#This Row],[Przychód netto]]-tblSprzedaz[[#This Row],[Koszt całkowity netto]]</f>
        <v>718.20000000000027</v>
      </c>
      <c r="P1611" s="15">
        <f>IFERROR(tblSprzedaz[[#This Row],[Marża kwotowa]]/tblSprzedaz[[#This Row],[Przychód netto]],0)</f>
        <v>0.21556886227544919</v>
      </c>
      <c r="Q1611" s="16">
        <f>YEAR(tblSprzedaz[[#This Row],[Data]])</f>
        <v>2026</v>
      </c>
      <c r="R1611" s="16">
        <f>MONTH(tblSprzedaz[[#This Row],[Data]])</f>
        <v>3</v>
      </c>
      <c r="S1611" s="9" t="str">
        <f>YEAR(tblSprzedaz[[#This Row],[Data]])&amp;"-"&amp;RIGHT("0"&amp;MONTH(tblSprzedaz[[#This Row],[Data]]),2)</f>
        <v>2026-03</v>
      </c>
    </row>
    <row r="1612" spans="1:19" x14ac:dyDescent="0.25">
      <c r="A1612" s="7" t="s">
        <v>3391</v>
      </c>
      <c r="B1612" s="10">
        <v>46091</v>
      </c>
      <c r="C1612" s="7" t="s">
        <v>3392</v>
      </c>
      <c r="D1612" s="8" t="s">
        <v>83</v>
      </c>
      <c r="E1612" s="8" t="s">
        <v>56</v>
      </c>
      <c r="F1612" s="8" t="s">
        <v>31</v>
      </c>
      <c r="G1612" s="8" t="s">
        <v>34</v>
      </c>
      <c r="H1612" s="8" t="s">
        <v>45</v>
      </c>
      <c r="I1612" s="11">
        <v>9</v>
      </c>
      <c r="J1612" s="12">
        <v>279.3</v>
      </c>
      <c r="K1612" s="13">
        <v>0</v>
      </c>
      <c r="L1612" s="12">
        <v>176.48</v>
      </c>
      <c r="M1612" s="14">
        <f>ROUND(tblSprzedaz[[#This Row],[Ilość]]*tblSprzedaz[[#This Row],[Cena netto jednostkowa]]*(1-tblSprzedaz[[#This Row],[Rabat %]]),2)</f>
        <v>2513.6999999999998</v>
      </c>
      <c r="N1612" s="14">
        <f>ROUND(tblSprzedaz[[#This Row],[Ilość]]*tblSprzedaz[[#This Row],[Koszt jednostkowy netto]],2)</f>
        <v>1588.32</v>
      </c>
      <c r="O1612" s="14">
        <f>tblSprzedaz[[#This Row],[Przychód netto]]-tblSprzedaz[[#This Row],[Koszt całkowity netto]]</f>
        <v>925.37999999999988</v>
      </c>
      <c r="P1612" s="15">
        <f>IFERROR(tblSprzedaz[[#This Row],[Marża kwotowa]]/tblSprzedaz[[#This Row],[Przychód netto]],0)</f>
        <v>0.36813462226996058</v>
      </c>
      <c r="Q1612" s="16">
        <f>YEAR(tblSprzedaz[[#This Row],[Data]])</f>
        <v>2026</v>
      </c>
      <c r="R1612" s="16">
        <f>MONTH(tblSprzedaz[[#This Row],[Data]])</f>
        <v>3</v>
      </c>
      <c r="S1612" s="9" t="str">
        <f>YEAR(tblSprzedaz[[#This Row],[Data]])&amp;"-"&amp;RIGHT("0"&amp;MONTH(tblSprzedaz[[#This Row],[Data]]),2)</f>
        <v>2026-03</v>
      </c>
    </row>
    <row r="1613" spans="1:19" x14ac:dyDescent="0.25">
      <c r="A1613" s="7" t="s">
        <v>3393</v>
      </c>
      <c r="B1613" s="10">
        <v>46091</v>
      </c>
      <c r="C1613" s="7" t="s">
        <v>3394</v>
      </c>
      <c r="D1613" s="8" t="s">
        <v>138</v>
      </c>
      <c r="E1613" s="8" t="s">
        <v>67</v>
      </c>
      <c r="F1613" s="8" t="s">
        <v>35</v>
      </c>
      <c r="G1613" s="8" t="s">
        <v>36</v>
      </c>
      <c r="H1613" s="8" t="s">
        <v>46</v>
      </c>
      <c r="I1613" s="11">
        <v>11</v>
      </c>
      <c r="J1613" s="12">
        <v>78.88</v>
      </c>
      <c r="K1613" s="13">
        <v>0.1</v>
      </c>
      <c r="L1613" s="12">
        <v>56.83</v>
      </c>
      <c r="M1613" s="14">
        <f>ROUND(tblSprzedaz[[#This Row],[Ilość]]*tblSprzedaz[[#This Row],[Cena netto jednostkowa]]*(1-tblSprzedaz[[#This Row],[Rabat %]]),2)</f>
        <v>780.91</v>
      </c>
      <c r="N1613" s="14">
        <f>ROUND(tblSprzedaz[[#This Row],[Ilość]]*tblSprzedaz[[#This Row],[Koszt jednostkowy netto]],2)</f>
        <v>625.13</v>
      </c>
      <c r="O1613" s="14">
        <f>tblSprzedaz[[#This Row],[Przychód netto]]-tblSprzedaz[[#This Row],[Koszt całkowity netto]]</f>
        <v>155.77999999999997</v>
      </c>
      <c r="P1613" s="15">
        <f>IFERROR(tblSprzedaz[[#This Row],[Marża kwotowa]]/tblSprzedaz[[#This Row],[Przychód netto]],0)</f>
        <v>0.19948521596598837</v>
      </c>
      <c r="Q1613" s="16">
        <f>YEAR(tblSprzedaz[[#This Row],[Data]])</f>
        <v>2026</v>
      </c>
      <c r="R1613" s="16">
        <f>MONTH(tblSprzedaz[[#This Row],[Data]])</f>
        <v>3</v>
      </c>
      <c r="S1613" s="9" t="str">
        <f>YEAR(tblSprzedaz[[#This Row],[Data]])&amp;"-"&amp;RIGHT("0"&amp;MONTH(tblSprzedaz[[#This Row],[Data]]),2)</f>
        <v>2026-03</v>
      </c>
    </row>
    <row r="1614" spans="1:19" x14ac:dyDescent="0.25">
      <c r="A1614" s="7" t="s">
        <v>3395</v>
      </c>
      <c r="B1614" s="10">
        <v>46091</v>
      </c>
      <c r="C1614" s="7" t="s">
        <v>3396</v>
      </c>
      <c r="D1614" s="8" t="s">
        <v>118</v>
      </c>
      <c r="E1614" s="8" t="s">
        <v>64</v>
      </c>
      <c r="F1614" s="8" t="s">
        <v>33</v>
      </c>
      <c r="G1614" s="8" t="s">
        <v>30</v>
      </c>
      <c r="H1614" s="8" t="s">
        <v>41</v>
      </c>
      <c r="I1614" s="11">
        <v>5</v>
      </c>
      <c r="J1614" s="12">
        <v>768.2</v>
      </c>
      <c r="K1614" s="13">
        <v>0.1</v>
      </c>
      <c r="L1614" s="12">
        <v>509.07</v>
      </c>
      <c r="M1614" s="14">
        <f>ROUND(tblSprzedaz[[#This Row],[Ilość]]*tblSprzedaz[[#This Row],[Cena netto jednostkowa]]*(1-tblSprzedaz[[#This Row],[Rabat %]]),2)</f>
        <v>3456.9</v>
      </c>
      <c r="N1614" s="14">
        <f>ROUND(tblSprzedaz[[#This Row],[Ilość]]*tblSprzedaz[[#This Row],[Koszt jednostkowy netto]],2)</f>
        <v>2545.35</v>
      </c>
      <c r="O1614" s="14">
        <f>tblSprzedaz[[#This Row],[Przychód netto]]-tblSprzedaz[[#This Row],[Koszt całkowity netto]]</f>
        <v>911.55000000000018</v>
      </c>
      <c r="P1614" s="15">
        <f>IFERROR(tblSprzedaz[[#This Row],[Marża kwotowa]]/tblSprzedaz[[#This Row],[Przychód netto]],0)</f>
        <v>0.26369001128178432</v>
      </c>
      <c r="Q1614" s="16">
        <f>YEAR(tblSprzedaz[[#This Row],[Data]])</f>
        <v>2026</v>
      </c>
      <c r="R1614" s="16">
        <f>MONTH(tblSprzedaz[[#This Row],[Data]])</f>
        <v>3</v>
      </c>
      <c r="S1614" s="9" t="str">
        <f>YEAR(tblSprzedaz[[#This Row],[Data]])&amp;"-"&amp;RIGHT("0"&amp;MONTH(tblSprzedaz[[#This Row],[Data]]),2)</f>
        <v>2026-03</v>
      </c>
    </row>
    <row r="1615" spans="1:19" x14ac:dyDescent="0.25">
      <c r="A1615" s="7" t="s">
        <v>3397</v>
      </c>
      <c r="B1615" s="10">
        <v>46091</v>
      </c>
      <c r="C1615" s="7" t="s">
        <v>3398</v>
      </c>
      <c r="D1615" s="8" t="s">
        <v>121</v>
      </c>
      <c r="E1615" s="8" t="s">
        <v>56</v>
      </c>
      <c r="F1615" s="8" t="s">
        <v>31</v>
      </c>
      <c r="G1615" s="8" t="s">
        <v>30</v>
      </c>
      <c r="H1615" s="8" t="s">
        <v>41</v>
      </c>
      <c r="I1615" s="11">
        <v>4</v>
      </c>
      <c r="J1615" s="12">
        <v>279.3</v>
      </c>
      <c r="K1615" s="13">
        <v>0.15</v>
      </c>
      <c r="L1615" s="12">
        <v>182.52</v>
      </c>
      <c r="M1615" s="14">
        <f>ROUND(tblSprzedaz[[#This Row],[Ilość]]*tblSprzedaz[[#This Row],[Cena netto jednostkowa]]*(1-tblSprzedaz[[#This Row],[Rabat %]]),2)</f>
        <v>949.62</v>
      </c>
      <c r="N1615" s="14">
        <f>ROUND(tblSprzedaz[[#This Row],[Ilość]]*tblSprzedaz[[#This Row],[Koszt jednostkowy netto]],2)</f>
        <v>730.08</v>
      </c>
      <c r="O1615" s="14">
        <f>tblSprzedaz[[#This Row],[Przychód netto]]-tblSprzedaz[[#This Row],[Koszt całkowity netto]]</f>
        <v>219.53999999999996</v>
      </c>
      <c r="P1615" s="15">
        <f>IFERROR(tblSprzedaz[[#This Row],[Marża kwotowa]]/tblSprzedaz[[#This Row],[Przychód netto]],0)</f>
        <v>0.23118721172679593</v>
      </c>
      <c r="Q1615" s="16">
        <f>YEAR(tblSprzedaz[[#This Row],[Data]])</f>
        <v>2026</v>
      </c>
      <c r="R1615" s="16">
        <f>MONTH(tblSprzedaz[[#This Row],[Data]])</f>
        <v>3</v>
      </c>
      <c r="S1615" s="9" t="str">
        <f>YEAR(tblSprzedaz[[#This Row],[Data]])&amp;"-"&amp;RIGHT("0"&amp;MONTH(tblSprzedaz[[#This Row],[Data]]),2)</f>
        <v>2026-03</v>
      </c>
    </row>
    <row r="1616" spans="1:19" x14ac:dyDescent="0.25">
      <c r="A1616" s="7" t="s">
        <v>3399</v>
      </c>
      <c r="B1616" s="10">
        <v>46091</v>
      </c>
      <c r="C1616" s="7" t="s">
        <v>3400</v>
      </c>
      <c r="D1616" s="8" t="s">
        <v>98</v>
      </c>
      <c r="E1616" s="8" t="s">
        <v>65</v>
      </c>
      <c r="F1616" s="8" t="s">
        <v>33</v>
      </c>
      <c r="G1616" s="8" t="s">
        <v>30</v>
      </c>
      <c r="H1616" s="8" t="s">
        <v>40</v>
      </c>
      <c r="I1616" s="11">
        <v>13</v>
      </c>
      <c r="J1616" s="12">
        <v>377.2</v>
      </c>
      <c r="K1616" s="13">
        <v>0.1</v>
      </c>
      <c r="L1616" s="12">
        <v>262.25</v>
      </c>
      <c r="M1616" s="14">
        <f>ROUND(tblSprzedaz[[#This Row],[Ilość]]*tblSprzedaz[[#This Row],[Cena netto jednostkowa]]*(1-tblSprzedaz[[#This Row],[Rabat %]]),2)</f>
        <v>4413.24</v>
      </c>
      <c r="N1616" s="14">
        <f>ROUND(tblSprzedaz[[#This Row],[Ilość]]*tblSprzedaz[[#This Row],[Koszt jednostkowy netto]],2)</f>
        <v>3409.25</v>
      </c>
      <c r="O1616" s="14">
        <f>tblSprzedaz[[#This Row],[Przychód netto]]-tblSprzedaz[[#This Row],[Koszt całkowity netto]]</f>
        <v>1003.9899999999998</v>
      </c>
      <c r="P1616" s="15">
        <f>IFERROR(tblSprzedaz[[#This Row],[Marża kwotowa]]/tblSprzedaz[[#This Row],[Przychód netto]],0)</f>
        <v>0.22749499234122772</v>
      </c>
      <c r="Q1616" s="16">
        <f>YEAR(tblSprzedaz[[#This Row],[Data]])</f>
        <v>2026</v>
      </c>
      <c r="R1616" s="16">
        <f>MONTH(tblSprzedaz[[#This Row],[Data]])</f>
        <v>3</v>
      </c>
      <c r="S1616" s="9" t="str">
        <f>YEAR(tblSprzedaz[[#This Row],[Data]])&amp;"-"&amp;RIGHT("0"&amp;MONTH(tblSprzedaz[[#This Row],[Data]]),2)</f>
        <v>2026-03</v>
      </c>
    </row>
    <row r="1617" spans="1:19" x14ac:dyDescent="0.25">
      <c r="A1617" s="7" t="s">
        <v>3401</v>
      </c>
      <c r="B1617" s="10">
        <v>46091</v>
      </c>
      <c r="C1617" s="7" t="s">
        <v>3402</v>
      </c>
      <c r="D1617" s="8" t="s">
        <v>108</v>
      </c>
      <c r="E1617" s="8" t="s">
        <v>66</v>
      </c>
      <c r="F1617" s="8" t="s">
        <v>35</v>
      </c>
      <c r="G1617" s="8" t="s">
        <v>30</v>
      </c>
      <c r="H1617" s="8" t="s">
        <v>40</v>
      </c>
      <c r="I1617" s="11">
        <v>13</v>
      </c>
      <c r="J1617" s="12">
        <v>67.319999999999993</v>
      </c>
      <c r="K1617" s="13">
        <v>0.05</v>
      </c>
      <c r="L1617" s="12">
        <v>49.22</v>
      </c>
      <c r="M1617" s="14">
        <f>ROUND(tblSprzedaz[[#This Row],[Ilość]]*tblSprzedaz[[#This Row],[Cena netto jednostkowa]]*(1-tblSprzedaz[[#This Row],[Rabat %]]),2)</f>
        <v>831.4</v>
      </c>
      <c r="N1617" s="14">
        <f>ROUND(tblSprzedaz[[#This Row],[Ilość]]*tblSprzedaz[[#This Row],[Koszt jednostkowy netto]],2)</f>
        <v>639.86</v>
      </c>
      <c r="O1617" s="14">
        <f>tblSprzedaz[[#This Row],[Przychód netto]]-tblSprzedaz[[#This Row],[Koszt całkowity netto]]</f>
        <v>191.53999999999996</v>
      </c>
      <c r="P1617" s="15">
        <f>IFERROR(tblSprzedaz[[#This Row],[Marża kwotowa]]/tblSprzedaz[[#This Row],[Przychód netto]],0)</f>
        <v>0.2303824873707</v>
      </c>
      <c r="Q1617" s="16">
        <f>YEAR(tblSprzedaz[[#This Row],[Data]])</f>
        <v>2026</v>
      </c>
      <c r="R1617" s="16">
        <f>MONTH(tblSprzedaz[[#This Row],[Data]])</f>
        <v>3</v>
      </c>
      <c r="S1617" s="9" t="str">
        <f>YEAR(tblSprzedaz[[#This Row],[Data]])&amp;"-"&amp;RIGHT("0"&amp;MONTH(tblSprzedaz[[#This Row],[Data]]),2)</f>
        <v>2026-03</v>
      </c>
    </row>
    <row r="1618" spans="1:19" x14ac:dyDescent="0.25">
      <c r="A1618" s="7" t="s">
        <v>3403</v>
      </c>
      <c r="B1618" s="10">
        <v>46092</v>
      </c>
      <c r="C1618" s="7" t="s">
        <v>3404</v>
      </c>
      <c r="D1618" s="8" t="s">
        <v>84</v>
      </c>
      <c r="E1618" s="8" t="s">
        <v>56</v>
      </c>
      <c r="F1618" s="8" t="s">
        <v>31</v>
      </c>
      <c r="G1618" s="8" t="s">
        <v>30</v>
      </c>
      <c r="H1618" s="8" t="s">
        <v>40</v>
      </c>
      <c r="I1618" s="11">
        <v>14</v>
      </c>
      <c r="J1618" s="12">
        <v>279.3</v>
      </c>
      <c r="K1618" s="13">
        <v>0.05</v>
      </c>
      <c r="L1618" s="12">
        <v>180.94</v>
      </c>
      <c r="M1618" s="14">
        <f>ROUND(tblSprzedaz[[#This Row],[Ilość]]*tblSprzedaz[[#This Row],[Cena netto jednostkowa]]*(1-tblSprzedaz[[#This Row],[Rabat %]]),2)</f>
        <v>3714.69</v>
      </c>
      <c r="N1618" s="14">
        <f>ROUND(tblSprzedaz[[#This Row],[Ilość]]*tblSprzedaz[[#This Row],[Koszt jednostkowy netto]],2)</f>
        <v>2533.16</v>
      </c>
      <c r="O1618" s="14">
        <f>tblSprzedaz[[#This Row],[Przychód netto]]-tblSprzedaz[[#This Row],[Koszt całkowity netto]]</f>
        <v>1181.5300000000002</v>
      </c>
      <c r="P1618" s="15">
        <f>IFERROR(tblSprzedaz[[#This Row],[Marża kwotowa]]/tblSprzedaz[[#This Row],[Przychód netto]],0)</f>
        <v>0.31806961011551438</v>
      </c>
      <c r="Q1618" s="16">
        <f>YEAR(tblSprzedaz[[#This Row],[Data]])</f>
        <v>2026</v>
      </c>
      <c r="R1618" s="16">
        <f>MONTH(tblSprzedaz[[#This Row],[Data]])</f>
        <v>3</v>
      </c>
      <c r="S1618" s="9" t="str">
        <f>YEAR(tblSprzedaz[[#This Row],[Data]])&amp;"-"&amp;RIGHT("0"&amp;MONTH(tblSprzedaz[[#This Row],[Data]]),2)</f>
        <v>2026-03</v>
      </c>
    </row>
    <row r="1619" spans="1:19" x14ac:dyDescent="0.25">
      <c r="A1619" s="7" t="s">
        <v>3405</v>
      </c>
      <c r="B1619" s="10">
        <v>46092</v>
      </c>
      <c r="C1619" s="7" t="s">
        <v>3406</v>
      </c>
      <c r="D1619" s="8" t="s">
        <v>133</v>
      </c>
      <c r="E1619" s="8" t="s">
        <v>54</v>
      </c>
      <c r="F1619" s="8" t="s">
        <v>31</v>
      </c>
      <c r="G1619" s="8" t="s">
        <v>36</v>
      </c>
      <c r="H1619" s="8" t="s">
        <v>47</v>
      </c>
      <c r="I1619" s="11">
        <v>22</v>
      </c>
      <c r="J1619" s="12">
        <v>207.9</v>
      </c>
      <c r="K1619" s="13">
        <v>0</v>
      </c>
      <c r="L1619" s="12">
        <v>123.79</v>
      </c>
      <c r="M1619" s="14">
        <f>ROUND(tblSprzedaz[[#This Row],[Ilość]]*tblSprzedaz[[#This Row],[Cena netto jednostkowa]]*(1-tblSprzedaz[[#This Row],[Rabat %]]),2)</f>
        <v>4573.8</v>
      </c>
      <c r="N1619" s="14">
        <f>ROUND(tblSprzedaz[[#This Row],[Ilość]]*tblSprzedaz[[#This Row],[Koszt jednostkowy netto]],2)</f>
        <v>2723.38</v>
      </c>
      <c r="O1619" s="14">
        <f>tblSprzedaz[[#This Row],[Przychód netto]]-tblSprzedaz[[#This Row],[Koszt całkowity netto]]</f>
        <v>1850.42</v>
      </c>
      <c r="P1619" s="15">
        <f>IFERROR(tblSprzedaz[[#This Row],[Marża kwotowa]]/tblSprzedaz[[#This Row],[Przychód netto]],0)</f>
        <v>0.40456950456950458</v>
      </c>
      <c r="Q1619" s="16">
        <f>YEAR(tblSprzedaz[[#This Row],[Data]])</f>
        <v>2026</v>
      </c>
      <c r="R1619" s="16">
        <f>MONTH(tblSprzedaz[[#This Row],[Data]])</f>
        <v>3</v>
      </c>
      <c r="S1619" s="9" t="str">
        <f>YEAR(tblSprzedaz[[#This Row],[Data]])&amp;"-"&amp;RIGHT("0"&amp;MONTH(tblSprzedaz[[#This Row],[Data]]),2)</f>
        <v>2026-03</v>
      </c>
    </row>
    <row r="1620" spans="1:19" x14ac:dyDescent="0.25">
      <c r="A1620" s="7" t="s">
        <v>3407</v>
      </c>
      <c r="B1620" s="10">
        <v>46092</v>
      </c>
      <c r="C1620" s="7" t="s">
        <v>3408</v>
      </c>
      <c r="D1620" s="8" t="s">
        <v>109</v>
      </c>
      <c r="E1620" s="8" t="s">
        <v>72</v>
      </c>
      <c r="F1620" s="8" t="s">
        <v>37</v>
      </c>
      <c r="G1620" s="8" t="s">
        <v>30</v>
      </c>
      <c r="H1620" s="8" t="s">
        <v>41</v>
      </c>
      <c r="I1620" s="11">
        <v>2</v>
      </c>
      <c r="J1620" s="12">
        <v>94.05</v>
      </c>
      <c r="K1620" s="13">
        <v>0.05</v>
      </c>
      <c r="L1620" s="12">
        <v>72.69</v>
      </c>
      <c r="M1620" s="14">
        <f>ROUND(tblSprzedaz[[#This Row],[Ilość]]*tblSprzedaz[[#This Row],[Cena netto jednostkowa]]*(1-tblSprzedaz[[#This Row],[Rabat %]]),2)</f>
        <v>178.7</v>
      </c>
      <c r="N1620" s="14">
        <f>ROUND(tblSprzedaz[[#This Row],[Ilość]]*tblSprzedaz[[#This Row],[Koszt jednostkowy netto]],2)</f>
        <v>145.38</v>
      </c>
      <c r="O1620" s="14">
        <f>tblSprzedaz[[#This Row],[Przychód netto]]-tblSprzedaz[[#This Row],[Koszt całkowity netto]]</f>
        <v>33.319999999999993</v>
      </c>
      <c r="P1620" s="15">
        <f>IFERROR(tblSprzedaz[[#This Row],[Marża kwotowa]]/tblSprzedaz[[#This Row],[Przychód netto]],0)</f>
        <v>0.18645775041969778</v>
      </c>
      <c r="Q1620" s="16">
        <f>YEAR(tblSprzedaz[[#This Row],[Data]])</f>
        <v>2026</v>
      </c>
      <c r="R1620" s="16">
        <f>MONTH(tblSprzedaz[[#This Row],[Data]])</f>
        <v>3</v>
      </c>
      <c r="S1620" s="9" t="str">
        <f>YEAR(tblSprzedaz[[#This Row],[Data]])&amp;"-"&amp;RIGHT("0"&amp;MONTH(tblSprzedaz[[#This Row],[Data]]),2)</f>
        <v>2026-03</v>
      </c>
    </row>
    <row r="1621" spans="1:19" x14ac:dyDescent="0.25">
      <c r="A1621" s="7" t="s">
        <v>3409</v>
      </c>
      <c r="B1621" s="10">
        <v>46092</v>
      </c>
      <c r="C1621" s="7" t="s">
        <v>3410</v>
      </c>
      <c r="D1621" s="8" t="s">
        <v>135</v>
      </c>
      <c r="E1621" s="8" t="s">
        <v>71</v>
      </c>
      <c r="F1621" s="8" t="s">
        <v>35</v>
      </c>
      <c r="G1621" s="8" t="s">
        <v>36</v>
      </c>
      <c r="H1621" s="8" t="s">
        <v>46</v>
      </c>
      <c r="I1621" s="11">
        <v>16</v>
      </c>
      <c r="J1621" s="12">
        <v>55.76</v>
      </c>
      <c r="K1621" s="13">
        <v>0.15</v>
      </c>
      <c r="L1621" s="12">
        <v>40.89</v>
      </c>
      <c r="M1621" s="14">
        <f>ROUND(tblSprzedaz[[#This Row],[Ilość]]*tblSprzedaz[[#This Row],[Cena netto jednostkowa]]*(1-tblSprzedaz[[#This Row],[Rabat %]]),2)</f>
        <v>758.34</v>
      </c>
      <c r="N1621" s="14">
        <f>ROUND(tblSprzedaz[[#This Row],[Ilość]]*tblSprzedaz[[#This Row],[Koszt jednostkowy netto]],2)</f>
        <v>654.24</v>
      </c>
      <c r="O1621" s="14">
        <f>tblSprzedaz[[#This Row],[Przychód netto]]-tblSprzedaz[[#This Row],[Koszt całkowity netto]]</f>
        <v>104.10000000000002</v>
      </c>
      <c r="P1621" s="15">
        <f>IFERROR(tblSprzedaz[[#This Row],[Marża kwotowa]]/tblSprzedaz[[#This Row],[Przychód netto]],0)</f>
        <v>0.13727351847456287</v>
      </c>
      <c r="Q1621" s="16">
        <f>YEAR(tblSprzedaz[[#This Row],[Data]])</f>
        <v>2026</v>
      </c>
      <c r="R1621" s="16">
        <f>MONTH(tblSprzedaz[[#This Row],[Data]])</f>
        <v>3</v>
      </c>
      <c r="S1621" s="9" t="str">
        <f>YEAR(tblSprzedaz[[#This Row],[Data]])&amp;"-"&amp;RIGHT("0"&amp;MONTH(tblSprzedaz[[#This Row],[Data]]),2)</f>
        <v>2026-03</v>
      </c>
    </row>
    <row r="1622" spans="1:19" x14ac:dyDescent="0.25">
      <c r="A1622" s="7" t="s">
        <v>3411</v>
      </c>
      <c r="B1622" s="10">
        <v>46092</v>
      </c>
      <c r="C1622" s="7" t="s">
        <v>3412</v>
      </c>
      <c r="D1622" s="8" t="s">
        <v>113</v>
      </c>
      <c r="E1622" s="8" t="s">
        <v>74</v>
      </c>
      <c r="F1622" s="8" t="s">
        <v>37</v>
      </c>
      <c r="G1622" s="8" t="s">
        <v>34</v>
      </c>
      <c r="H1622" s="8" t="s">
        <v>44</v>
      </c>
      <c r="I1622" s="11">
        <v>3</v>
      </c>
      <c r="J1622" s="12">
        <v>126.35</v>
      </c>
      <c r="K1622" s="13">
        <v>0.15</v>
      </c>
      <c r="L1622" s="12">
        <v>98.49</v>
      </c>
      <c r="M1622" s="14">
        <f>ROUND(tblSprzedaz[[#This Row],[Ilość]]*tblSprzedaz[[#This Row],[Cena netto jednostkowa]]*(1-tblSprzedaz[[#This Row],[Rabat %]]),2)</f>
        <v>322.19</v>
      </c>
      <c r="N1622" s="14">
        <f>ROUND(tblSprzedaz[[#This Row],[Ilość]]*tblSprzedaz[[#This Row],[Koszt jednostkowy netto]],2)</f>
        <v>295.47000000000003</v>
      </c>
      <c r="O1622" s="14">
        <f>tblSprzedaz[[#This Row],[Przychód netto]]-tblSprzedaz[[#This Row],[Koszt całkowity netto]]</f>
        <v>26.71999999999997</v>
      </c>
      <c r="P1622" s="15">
        <f>IFERROR(tblSprzedaz[[#This Row],[Marża kwotowa]]/tblSprzedaz[[#This Row],[Przychód netto]],0)</f>
        <v>8.2932431174151805E-2</v>
      </c>
      <c r="Q1622" s="16">
        <f>YEAR(tblSprzedaz[[#This Row],[Data]])</f>
        <v>2026</v>
      </c>
      <c r="R1622" s="16">
        <f>MONTH(tblSprzedaz[[#This Row],[Data]])</f>
        <v>3</v>
      </c>
      <c r="S1622" s="9" t="str">
        <f>YEAR(tblSprzedaz[[#This Row],[Data]])&amp;"-"&amp;RIGHT("0"&amp;MONTH(tblSprzedaz[[#This Row],[Data]]),2)</f>
        <v>2026-03</v>
      </c>
    </row>
    <row r="1623" spans="1:19" x14ac:dyDescent="0.25">
      <c r="A1623" s="7" t="s">
        <v>3413</v>
      </c>
      <c r="B1623" s="10">
        <v>46092</v>
      </c>
      <c r="C1623" s="7" t="s">
        <v>3414</v>
      </c>
      <c r="D1623" s="8" t="s">
        <v>111</v>
      </c>
      <c r="E1623" s="8" t="s">
        <v>76</v>
      </c>
      <c r="F1623" s="8" t="s">
        <v>37</v>
      </c>
      <c r="G1623" s="8" t="s">
        <v>34</v>
      </c>
      <c r="H1623" s="8" t="s">
        <v>45</v>
      </c>
      <c r="I1623" s="11">
        <v>8</v>
      </c>
      <c r="J1623" s="12">
        <v>158.65</v>
      </c>
      <c r="K1623" s="13">
        <v>0.15</v>
      </c>
      <c r="L1623" s="12">
        <v>125.5</v>
      </c>
      <c r="M1623" s="14">
        <f>ROUND(tblSprzedaz[[#This Row],[Ilość]]*tblSprzedaz[[#This Row],[Cena netto jednostkowa]]*(1-tblSprzedaz[[#This Row],[Rabat %]]),2)</f>
        <v>1078.82</v>
      </c>
      <c r="N1623" s="14">
        <f>ROUND(tblSprzedaz[[#This Row],[Ilość]]*tblSprzedaz[[#This Row],[Koszt jednostkowy netto]],2)</f>
        <v>1004</v>
      </c>
      <c r="O1623" s="14">
        <f>tblSprzedaz[[#This Row],[Przychód netto]]-tblSprzedaz[[#This Row],[Koszt całkowity netto]]</f>
        <v>74.819999999999936</v>
      </c>
      <c r="P1623" s="15">
        <f>IFERROR(tblSprzedaz[[#This Row],[Marża kwotowa]]/tblSprzedaz[[#This Row],[Przychód netto]],0)</f>
        <v>6.9353552956007439E-2</v>
      </c>
      <c r="Q1623" s="16">
        <f>YEAR(tblSprzedaz[[#This Row],[Data]])</f>
        <v>2026</v>
      </c>
      <c r="R1623" s="16">
        <f>MONTH(tblSprzedaz[[#This Row],[Data]])</f>
        <v>3</v>
      </c>
      <c r="S1623" s="9" t="str">
        <f>YEAR(tblSprzedaz[[#This Row],[Data]])&amp;"-"&amp;RIGHT("0"&amp;MONTH(tblSprzedaz[[#This Row],[Data]]),2)</f>
        <v>2026-03</v>
      </c>
    </row>
    <row r="1624" spans="1:19" x14ac:dyDescent="0.25">
      <c r="A1624" s="7" t="s">
        <v>3415</v>
      </c>
      <c r="B1624" s="10">
        <v>46093</v>
      </c>
      <c r="C1624" s="7" t="s">
        <v>3416</v>
      </c>
      <c r="D1624" s="8" t="s">
        <v>135</v>
      </c>
      <c r="E1624" s="8" t="s">
        <v>74</v>
      </c>
      <c r="F1624" s="8" t="s">
        <v>37</v>
      </c>
      <c r="G1624" s="8" t="s">
        <v>36</v>
      </c>
      <c r="H1624" s="8" t="s">
        <v>47</v>
      </c>
      <c r="I1624" s="11">
        <v>23</v>
      </c>
      <c r="J1624" s="12">
        <v>126.35</v>
      </c>
      <c r="K1624" s="13">
        <v>0</v>
      </c>
      <c r="L1624" s="12">
        <v>101.26</v>
      </c>
      <c r="M1624" s="14">
        <f>ROUND(tblSprzedaz[[#This Row],[Ilość]]*tblSprzedaz[[#This Row],[Cena netto jednostkowa]]*(1-tblSprzedaz[[#This Row],[Rabat %]]),2)</f>
        <v>2906.05</v>
      </c>
      <c r="N1624" s="14">
        <f>ROUND(tblSprzedaz[[#This Row],[Ilość]]*tblSprzedaz[[#This Row],[Koszt jednostkowy netto]],2)</f>
        <v>2328.98</v>
      </c>
      <c r="O1624" s="14">
        <f>tblSprzedaz[[#This Row],[Przychód netto]]-tblSprzedaz[[#This Row],[Koszt całkowity netto]]</f>
        <v>577.07000000000016</v>
      </c>
      <c r="P1624" s="15">
        <f>IFERROR(tblSprzedaz[[#This Row],[Marża kwotowa]]/tblSprzedaz[[#This Row],[Przychód netto]],0)</f>
        <v>0.1985753858330036</v>
      </c>
      <c r="Q1624" s="16">
        <f>YEAR(tblSprzedaz[[#This Row],[Data]])</f>
        <v>2026</v>
      </c>
      <c r="R1624" s="16">
        <f>MONTH(tblSprzedaz[[#This Row],[Data]])</f>
        <v>3</v>
      </c>
      <c r="S1624" s="9" t="str">
        <f>YEAR(tblSprzedaz[[#This Row],[Data]])&amp;"-"&amp;RIGHT("0"&amp;MONTH(tblSprzedaz[[#This Row],[Data]]),2)</f>
        <v>2026-03</v>
      </c>
    </row>
    <row r="1625" spans="1:19" x14ac:dyDescent="0.25">
      <c r="A1625" s="7" t="s">
        <v>3417</v>
      </c>
      <c r="B1625" s="10">
        <v>46093</v>
      </c>
      <c r="C1625" s="7" t="s">
        <v>3418</v>
      </c>
      <c r="D1625" s="8" t="s">
        <v>110</v>
      </c>
      <c r="E1625" s="8" t="s">
        <v>77</v>
      </c>
      <c r="F1625" s="8" t="s">
        <v>37</v>
      </c>
      <c r="G1625" s="8" t="s">
        <v>34</v>
      </c>
      <c r="H1625" s="8" t="s">
        <v>44</v>
      </c>
      <c r="I1625" s="11">
        <v>4</v>
      </c>
      <c r="J1625" s="12">
        <v>77.900000000000006</v>
      </c>
      <c r="K1625" s="13">
        <v>0.15</v>
      </c>
      <c r="L1625" s="12">
        <v>62.15</v>
      </c>
      <c r="M1625" s="14">
        <f>ROUND(tblSprzedaz[[#This Row],[Ilość]]*tblSprzedaz[[#This Row],[Cena netto jednostkowa]]*(1-tblSprzedaz[[#This Row],[Rabat %]]),2)</f>
        <v>264.86</v>
      </c>
      <c r="N1625" s="14">
        <f>ROUND(tblSprzedaz[[#This Row],[Ilość]]*tblSprzedaz[[#This Row],[Koszt jednostkowy netto]],2)</f>
        <v>248.6</v>
      </c>
      <c r="O1625" s="14">
        <f>tblSprzedaz[[#This Row],[Przychód netto]]-tblSprzedaz[[#This Row],[Koszt całkowity netto]]</f>
        <v>16.260000000000019</v>
      </c>
      <c r="P1625" s="15">
        <f>IFERROR(tblSprzedaz[[#This Row],[Marża kwotowa]]/tblSprzedaz[[#This Row],[Przychód netto]],0)</f>
        <v>6.1390923506758358E-2</v>
      </c>
      <c r="Q1625" s="16">
        <f>YEAR(tblSprzedaz[[#This Row],[Data]])</f>
        <v>2026</v>
      </c>
      <c r="R1625" s="16">
        <f>MONTH(tblSprzedaz[[#This Row],[Data]])</f>
        <v>3</v>
      </c>
      <c r="S1625" s="9" t="str">
        <f>YEAR(tblSprzedaz[[#This Row],[Data]])&amp;"-"&amp;RIGHT("0"&amp;MONTH(tblSprzedaz[[#This Row],[Data]]),2)</f>
        <v>2026-03</v>
      </c>
    </row>
    <row r="1626" spans="1:19" x14ac:dyDescent="0.25">
      <c r="A1626" s="7" t="s">
        <v>3419</v>
      </c>
      <c r="B1626" s="10">
        <v>46093</v>
      </c>
      <c r="C1626" s="7" t="s">
        <v>3420</v>
      </c>
      <c r="D1626" s="8" t="s">
        <v>94</v>
      </c>
      <c r="E1626" s="8" t="s">
        <v>72</v>
      </c>
      <c r="F1626" s="8" t="s">
        <v>37</v>
      </c>
      <c r="G1626" s="8" t="s">
        <v>36</v>
      </c>
      <c r="H1626" s="8" t="s">
        <v>47</v>
      </c>
      <c r="I1626" s="11">
        <v>7</v>
      </c>
      <c r="J1626" s="12">
        <v>94.05</v>
      </c>
      <c r="K1626" s="13">
        <v>0.15</v>
      </c>
      <c r="L1626" s="12">
        <v>73.64</v>
      </c>
      <c r="M1626" s="14">
        <f>ROUND(tblSprzedaz[[#This Row],[Ilość]]*tblSprzedaz[[#This Row],[Cena netto jednostkowa]]*(1-tblSprzedaz[[#This Row],[Rabat %]]),2)</f>
        <v>559.6</v>
      </c>
      <c r="N1626" s="14">
        <f>ROUND(tblSprzedaz[[#This Row],[Ilość]]*tblSprzedaz[[#This Row],[Koszt jednostkowy netto]],2)</f>
        <v>515.48</v>
      </c>
      <c r="O1626" s="14">
        <f>tblSprzedaz[[#This Row],[Przychód netto]]-tblSprzedaz[[#This Row],[Koszt całkowity netto]]</f>
        <v>44.120000000000005</v>
      </c>
      <c r="P1626" s="15">
        <f>IFERROR(tblSprzedaz[[#This Row],[Marża kwotowa]]/tblSprzedaz[[#This Row],[Przychód netto]],0)</f>
        <v>7.8842030021443896E-2</v>
      </c>
      <c r="Q1626" s="16">
        <f>YEAR(tblSprzedaz[[#This Row],[Data]])</f>
        <v>2026</v>
      </c>
      <c r="R1626" s="16">
        <f>MONTH(tblSprzedaz[[#This Row],[Data]])</f>
        <v>3</v>
      </c>
      <c r="S1626" s="9" t="str">
        <f>YEAR(tblSprzedaz[[#This Row],[Data]])&amp;"-"&amp;RIGHT("0"&amp;MONTH(tblSprzedaz[[#This Row],[Data]]),2)</f>
        <v>2026-03</v>
      </c>
    </row>
    <row r="1627" spans="1:19" x14ac:dyDescent="0.25">
      <c r="A1627" s="7" t="s">
        <v>3421</v>
      </c>
      <c r="B1627" s="10">
        <v>46093</v>
      </c>
      <c r="C1627" s="7" t="s">
        <v>3422</v>
      </c>
      <c r="D1627" s="8" t="s">
        <v>143</v>
      </c>
      <c r="E1627" s="8" t="s">
        <v>55</v>
      </c>
      <c r="F1627" s="8" t="s">
        <v>31</v>
      </c>
      <c r="G1627" s="8" t="s">
        <v>28</v>
      </c>
      <c r="H1627" s="8" t="s">
        <v>38</v>
      </c>
      <c r="I1627" s="11">
        <v>6</v>
      </c>
      <c r="J1627" s="12">
        <v>243.6</v>
      </c>
      <c r="K1627" s="13">
        <v>0</v>
      </c>
      <c r="L1627" s="12">
        <v>157.9</v>
      </c>
      <c r="M1627" s="14">
        <f>ROUND(tblSprzedaz[[#This Row],[Ilość]]*tblSprzedaz[[#This Row],[Cena netto jednostkowa]]*(1-tblSprzedaz[[#This Row],[Rabat %]]),2)</f>
        <v>1461.6</v>
      </c>
      <c r="N1627" s="14">
        <f>ROUND(tblSprzedaz[[#This Row],[Ilość]]*tblSprzedaz[[#This Row],[Koszt jednostkowy netto]],2)</f>
        <v>947.4</v>
      </c>
      <c r="O1627" s="14">
        <f>tblSprzedaz[[#This Row],[Przychód netto]]-tblSprzedaz[[#This Row],[Koszt całkowity netto]]</f>
        <v>514.19999999999993</v>
      </c>
      <c r="P1627" s="15">
        <f>IFERROR(tblSprzedaz[[#This Row],[Marża kwotowa]]/tblSprzedaz[[#This Row],[Przychód netto]],0)</f>
        <v>0.35180623973727421</v>
      </c>
      <c r="Q1627" s="16">
        <f>YEAR(tblSprzedaz[[#This Row],[Data]])</f>
        <v>2026</v>
      </c>
      <c r="R1627" s="16">
        <f>MONTH(tblSprzedaz[[#This Row],[Data]])</f>
        <v>3</v>
      </c>
      <c r="S1627" s="9" t="str">
        <f>YEAR(tblSprzedaz[[#This Row],[Data]])&amp;"-"&amp;RIGHT("0"&amp;MONTH(tblSprzedaz[[#This Row],[Data]]),2)</f>
        <v>2026-03</v>
      </c>
    </row>
    <row r="1628" spans="1:19" x14ac:dyDescent="0.25">
      <c r="A1628" s="7" t="s">
        <v>3423</v>
      </c>
      <c r="B1628" s="10">
        <v>46093</v>
      </c>
      <c r="C1628" s="7" t="s">
        <v>3424</v>
      </c>
      <c r="D1628" s="8" t="s">
        <v>83</v>
      </c>
      <c r="E1628" s="8" t="s">
        <v>48</v>
      </c>
      <c r="F1628" s="8" t="s">
        <v>29</v>
      </c>
      <c r="G1628" s="8" t="s">
        <v>28</v>
      </c>
      <c r="H1628" s="8" t="s">
        <v>39</v>
      </c>
      <c r="I1628" s="11">
        <v>14</v>
      </c>
      <c r="J1628" s="12">
        <v>33.659999999999997</v>
      </c>
      <c r="K1628" s="13">
        <v>0</v>
      </c>
      <c r="L1628" s="12">
        <v>20.81</v>
      </c>
      <c r="M1628" s="14">
        <f>ROUND(tblSprzedaz[[#This Row],[Ilość]]*tblSprzedaz[[#This Row],[Cena netto jednostkowa]]*(1-tblSprzedaz[[#This Row],[Rabat %]]),2)</f>
        <v>471.24</v>
      </c>
      <c r="N1628" s="14">
        <f>ROUND(tblSprzedaz[[#This Row],[Ilość]]*tblSprzedaz[[#This Row],[Koszt jednostkowy netto]],2)</f>
        <v>291.33999999999997</v>
      </c>
      <c r="O1628" s="14">
        <f>tblSprzedaz[[#This Row],[Przychód netto]]-tblSprzedaz[[#This Row],[Koszt całkowity netto]]</f>
        <v>179.90000000000003</v>
      </c>
      <c r="P1628" s="15">
        <f>IFERROR(tblSprzedaz[[#This Row],[Marża kwotowa]]/tblSprzedaz[[#This Row],[Przychód netto]],0)</f>
        <v>0.38175876411170534</v>
      </c>
      <c r="Q1628" s="16">
        <f>YEAR(tblSprzedaz[[#This Row],[Data]])</f>
        <v>2026</v>
      </c>
      <c r="R1628" s="16">
        <f>MONTH(tblSprzedaz[[#This Row],[Data]])</f>
        <v>3</v>
      </c>
      <c r="S1628" s="9" t="str">
        <f>YEAR(tblSprzedaz[[#This Row],[Data]])&amp;"-"&amp;RIGHT("0"&amp;MONTH(tblSprzedaz[[#This Row],[Data]]),2)</f>
        <v>2026-03</v>
      </c>
    </row>
    <row r="1629" spans="1:19" x14ac:dyDescent="0.25">
      <c r="A1629" s="7" t="s">
        <v>3425</v>
      </c>
      <c r="B1629" s="10">
        <v>46094</v>
      </c>
      <c r="C1629" s="7" t="s">
        <v>3426</v>
      </c>
      <c r="D1629" s="8" t="s">
        <v>105</v>
      </c>
      <c r="E1629" s="8" t="s">
        <v>54</v>
      </c>
      <c r="F1629" s="8" t="s">
        <v>31</v>
      </c>
      <c r="G1629" s="8" t="s">
        <v>36</v>
      </c>
      <c r="H1629" s="8" t="s">
        <v>47</v>
      </c>
      <c r="I1629" s="11">
        <v>20</v>
      </c>
      <c r="J1629" s="12">
        <v>207.9</v>
      </c>
      <c r="K1629" s="13">
        <v>0.05</v>
      </c>
      <c r="L1629" s="12">
        <v>123.91</v>
      </c>
      <c r="M1629" s="14">
        <f>ROUND(tblSprzedaz[[#This Row],[Ilość]]*tblSprzedaz[[#This Row],[Cena netto jednostkowa]]*(1-tblSprzedaz[[#This Row],[Rabat %]]),2)</f>
        <v>3950.1</v>
      </c>
      <c r="N1629" s="14">
        <f>ROUND(tblSprzedaz[[#This Row],[Ilość]]*tblSprzedaz[[#This Row],[Koszt jednostkowy netto]],2)</f>
        <v>2478.1999999999998</v>
      </c>
      <c r="O1629" s="14">
        <f>tblSprzedaz[[#This Row],[Przychód netto]]-tblSprzedaz[[#This Row],[Koszt całkowity netto]]</f>
        <v>1471.9</v>
      </c>
      <c r="P1629" s="15">
        <f>IFERROR(tblSprzedaz[[#This Row],[Marża kwotowa]]/tblSprzedaz[[#This Row],[Przychód netto]],0)</f>
        <v>0.3726234778866358</v>
      </c>
      <c r="Q1629" s="16">
        <f>YEAR(tblSprzedaz[[#This Row],[Data]])</f>
        <v>2026</v>
      </c>
      <c r="R1629" s="16">
        <f>MONTH(tblSprzedaz[[#This Row],[Data]])</f>
        <v>3</v>
      </c>
      <c r="S1629" s="9" t="str">
        <f>YEAR(tblSprzedaz[[#This Row],[Data]])&amp;"-"&amp;RIGHT("0"&amp;MONTH(tblSprzedaz[[#This Row],[Data]]),2)</f>
        <v>2026-03</v>
      </c>
    </row>
    <row r="1630" spans="1:19" x14ac:dyDescent="0.25">
      <c r="A1630" s="7" t="s">
        <v>3427</v>
      </c>
      <c r="B1630" s="10">
        <v>46094</v>
      </c>
      <c r="C1630" s="7" t="s">
        <v>3428</v>
      </c>
      <c r="D1630" s="8" t="s">
        <v>138</v>
      </c>
      <c r="E1630" s="8" t="s">
        <v>77</v>
      </c>
      <c r="F1630" s="8" t="s">
        <v>37</v>
      </c>
      <c r="G1630" s="8" t="s">
        <v>32</v>
      </c>
      <c r="H1630" s="8" t="s">
        <v>42</v>
      </c>
      <c r="I1630" s="11">
        <v>17</v>
      </c>
      <c r="J1630" s="12">
        <v>77.900000000000006</v>
      </c>
      <c r="K1630" s="13">
        <v>0.1</v>
      </c>
      <c r="L1630" s="12">
        <v>58.99</v>
      </c>
      <c r="M1630" s="14">
        <f>ROUND(tblSprzedaz[[#This Row],[Ilość]]*tblSprzedaz[[#This Row],[Cena netto jednostkowa]]*(1-tblSprzedaz[[#This Row],[Rabat %]]),2)</f>
        <v>1191.8699999999999</v>
      </c>
      <c r="N1630" s="14">
        <f>ROUND(tblSprzedaz[[#This Row],[Ilość]]*tblSprzedaz[[#This Row],[Koszt jednostkowy netto]],2)</f>
        <v>1002.83</v>
      </c>
      <c r="O1630" s="14">
        <f>tblSprzedaz[[#This Row],[Przychód netto]]-tblSprzedaz[[#This Row],[Koszt całkowity netto]]</f>
        <v>189.03999999999985</v>
      </c>
      <c r="P1630" s="15">
        <f>IFERROR(tblSprzedaz[[#This Row],[Marża kwotowa]]/tblSprzedaz[[#This Row],[Przychód netto]],0)</f>
        <v>0.15860790186849225</v>
      </c>
      <c r="Q1630" s="16">
        <f>YEAR(tblSprzedaz[[#This Row],[Data]])</f>
        <v>2026</v>
      </c>
      <c r="R1630" s="16">
        <f>MONTH(tblSprzedaz[[#This Row],[Data]])</f>
        <v>3</v>
      </c>
      <c r="S1630" s="9" t="str">
        <f>YEAR(tblSprzedaz[[#This Row],[Data]])&amp;"-"&amp;RIGHT("0"&amp;MONTH(tblSprzedaz[[#This Row],[Data]]),2)</f>
        <v>2026-03</v>
      </c>
    </row>
    <row r="1631" spans="1:19" x14ac:dyDescent="0.25">
      <c r="A1631" s="7" t="s">
        <v>3429</v>
      </c>
      <c r="B1631" s="10">
        <v>46094</v>
      </c>
      <c r="C1631" s="7" t="s">
        <v>3430</v>
      </c>
      <c r="D1631" s="8" t="s">
        <v>82</v>
      </c>
      <c r="E1631" s="8" t="s">
        <v>62</v>
      </c>
      <c r="F1631" s="8" t="s">
        <v>33</v>
      </c>
      <c r="G1631" s="8" t="s">
        <v>34</v>
      </c>
      <c r="H1631" s="8" t="s">
        <v>44</v>
      </c>
      <c r="I1631" s="11">
        <v>4</v>
      </c>
      <c r="J1631" s="12">
        <v>611.79999999999995</v>
      </c>
      <c r="K1631" s="13">
        <v>0</v>
      </c>
      <c r="L1631" s="12">
        <v>438.78</v>
      </c>
      <c r="M1631" s="14">
        <f>ROUND(tblSprzedaz[[#This Row],[Ilość]]*tblSprzedaz[[#This Row],[Cena netto jednostkowa]]*(1-tblSprzedaz[[#This Row],[Rabat %]]),2)</f>
        <v>2447.1999999999998</v>
      </c>
      <c r="N1631" s="14">
        <f>ROUND(tblSprzedaz[[#This Row],[Ilość]]*tblSprzedaz[[#This Row],[Koszt jednostkowy netto]],2)</f>
        <v>1755.12</v>
      </c>
      <c r="O1631" s="14">
        <f>tblSprzedaz[[#This Row],[Przychód netto]]-tblSprzedaz[[#This Row],[Koszt całkowity netto]]</f>
        <v>692.07999999999993</v>
      </c>
      <c r="P1631" s="15">
        <f>IFERROR(tblSprzedaz[[#This Row],[Marża kwotowa]]/tblSprzedaz[[#This Row],[Przychód netto]],0)</f>
        <v>0.28280483818241253</v>
      </c>
      <c r="Q1631" s="16">
        <f>YEAR(tblSprzedaz[[#This Row],[Data]])</f>
        <v>2026</v>
      </c>
      <c r="R1631" s="16">
        <f>MONTH(tblSprzedaz[[#This Row],[Data]])</f>
        <v>3</v>
      </c>
      <c r="S1631" s="9" t="str">
        <f>YEAR(tblSprzedaz[[#This Row],[Data]])&amp;"-"&amp;RIGHT("0"&amp;MONTH(tblSprzedaz[[#This Row],[Data]]),2)</f>
        <v>2026-03</v>
      </c>
    </row>
    <row r="1632" spans="1:19" x14ac:dyDescent="0.25">
      <c r="A1632" s="7" t="s">
        <v>3431</v>
      </c>
      <c r="B1632" s="10">
        <v>46094</v>
      </c>
      <c r="C1632" s="7" t="s">
        <v>3432</v>
      </c>
      <c r="D1632" s="8" t="s">
        <v>97</v>
      </c>
      <c r="E1632" s="8" t="s">
        <v>75</v>
      </c>
      <c r="F1632" s="8" t="s">
        <v>37</v>
      </c>
      <c r="G1632" s="8" t="s">
        <v>30</v>
      </c>
      <c r="H1632" s="8" t="s">
        <v>41</v>
      </c>
      <c r="I1632" s="11">
        <v>11</v>
      </c>
      <c r="J1632" s="12">
        <v>142.5</v>
      </c>
      <c r="K1632" s="13">
        <v>0</v>
      </c>
      <c r="L1632" s="12">
        <v>107.83</v>
      </c>
      <c r="M1632" s="14">
        <f>ROUND(tblSprzedaz[[#This Row],[Ilość]]*tblSprzedaz[[#This Row],[Cena netto jednostkowa]]*(1-tblSprzedaz[[#This Row],[Rabat %]]),2)</f>
        <v>1567.5</v>
      </c>
      <c r="N1632" s="14">
        <f>ROUND(tblSprzedaz[[#This Row],[Ilość]]*tblSprzedaz[[#This Row],[Koszt jednostkowy netto]],2)</f>
        <v>1186.1300000000001</v>
      </c>
      <c r="O1632" s="14">
        <f>tblSprzedaz[[#This Row],[Przychód netto]]-tblSprzedaz[[#This Row],[Koszt całkowity netto]]</f>
        <v>381.36999999999989</v>
      </c>
      <c r="P1632" s="15">
        <f>IFERROR(tblSprzedaz[[#This Row],[Marża kwotowa]]/tblSprzedaz[[#This Row],[Przychód netto]],0)</f>
        <v>0.24329824561403501</v>
      </c>
      <c r="Q1632" s="16">
        <f>YEAR(tblSprzedaz[[#This Row],[Data]])</f>
        <v>2026</v>
      </c>
      <c r="R1632" s="16">
        <f>MONTH(tblSprzedaz[[#This Row],[Data]])</f>
        <v>3</v>
      </c>
      <c r="S1632" s="9" t="str">
        <f>YEAR(tblSprzedaz[[#This Row],[Data]])&amp;"-"&amp;RIGHT("0"&amp;MONTH(tblSprzedaz[[#This Row],[Data]]),2)</f>
        <v>2026-03</v>
      </c>
    </row>
    <row r="1633" spans="1:19" x14ac:dyDescent="0.25">
      <c r="A1633" s="7" t="s">
        <v>3433</v>
      </c>
      <c r="B1633" s="10">
        <v>46095</v>
      </c>
      <c r="C1633" s="7" t="s">
        <v>3434</v>
      </c>
      <c r="D1633" s="8" t="s">
        <v>126</v>
      </c>
      <c r="E1633" s="8" t="s">
        <v>57</v>
      </c>
      <c r="F1633" s="8" t="s">
        <v>31</v>
      </c>
      <c r="G1633" s="8" t="s">
        <v>30</v>
      </c>
      <c r="H1633" s="8" t="s">
        <v>41</v>
      </c>
      <c r="I1633" s="11">
        <v>5</v>
      </c>
      <c r="J1633" s="12">
        <v>315</v>
      </c>
      <c r="K1633" s="13">
        <v>0.1</v>
      </c>
      <c r="L1633" s="12">
        <v>195.19</v>
      </c>
      <c r="M1633" s="14">
        <f>ROUND(tblSprzedaz[[#This Row],[Ilość]]*tblSprzedaz[[#This Row],[Cena netto jednostkowa]]*(1-tblSprzedaz[[#This Row],[Rabat %]]),2)</f>
        <v>1417.5</v>
      </c>
      <c r="N1633" s="14">
        <f>ROUND(tblSprzedaz[[#This Row],[Ilość]]*tblSprzedaz[[#This Row],[Koszt jednostkowy netto]],2)</f>
        <v>975.95</v>
      </c>
      <c r="O1633" s="14">
        <f>tblSprzedaz[[#This Row],[Przychód netto]]-tblSprzedaz[[#This Row],[Koszt całkowity netto]]</f>
        <v>441.54999999999995</v>
      </c>
      <c r="P1633" s="15">
        <f>IFERROR(tblSprzedaz[[#This Row],[Marża kwotowa]]/tblSprzedaz[[#This Row],[Przychód netto]],0)</f>
        <v>0.31149911816578479</v>
      </c>
      <c r="Q1633" s="16">
        <f>YEAR(tblSprzedaz[[#This Row],[Data]])</f>
        <v>2026</v>
      </c>
      <c r="R1633" s="16">
        <f>MONTH(tblSprzedaz[[#This Row],[Data]])</f>
        <v>3</v>
      </c>
      <c r="S1633" s="9" t="str">
        <f>YEAR(tblSprzedaz[[#This Row],[Data]])&amp;"-"&amp;RIGHT("0"&amp;MONTH(tblSprzedaz[[#This Row],[Data]]),2)</f>
        <v>2026-03</v>
      </c>
    </row>
    <row r="1634" spans="1:19" x14ac:dyDescent="0.25">
      <c r="A1634" s="7" t="s">
        <v>3435</v>
      </c>
      <c r="B1634" s="10">
        <v>46095</v>
      </c>
      <c r="C1634" s="7" t="s">
        <v>3436</v>
      </c>
      <c r="D1634" s="8" t="s">
        <v>117</v>
      </c>
      <c r="E1634" s="8" t="s">
        <v>50</v>
      </c>
      <c r="F1634" s="8" t="s">
        <v>29</v>
      </c>
      <c r="G1634" s="8" t="s">
        <v>34</v>
      </c>
      <c r="H1634" s="8" t="s">
        <v>44</v>
      </c>
      <c r="I1634" s="11">
        <v>7</v>
      </c>
      <c r="J1634" s="12">
        <v>45.22</v>
      </c>
      <c r="K1634" s="13">
        <v>0</v>
      </c>
      <c r="L1634" s="12">
        <v>27.53</v>
      </c>
      <c r="M1634" s="14">
        <f>ROUND(tblSprzedaz[[#This Row],[Ilość]]*tblSprzedaz[[#This Row],[Cena netto jednostkowa]]*(1-tblSprzedaz[[#This Row],[Rabat %]]),2)</f>
        <v>316.54000000000002</v>
      </c>
      <c r="N1634" s="14">
        <f>ROUND(tblSprzedaz[[#This Row],[Ilość]]*tblSprzedaz[[#This Row],[Koszt jednostkowy netto]],2)</f>
        <v>192.71</v>
      </c>
      <c r="O1634" s="14">
        <f>tblSprzedaz[[#This Row],[Przychód netto]]-tblSprzedaz[[#This Row],[Koszt całkowity netto]]</f>
        <v>123.83000000000001</v>
      </c>
      <c r="P1634" s="15">
        <f>IFERROR(tblSprzedaz[[#This Row],[Marża kwotowa]]/tblSprzedaz[[#This Row],[Przychód netto]],0)</f>
        <v>0.39119858469703672</v>
      </c>
      <c r="Q1634" s="16">
        <f>YEAR(tblSprzedaz[[#This Row],[Data]])</f>
        <v>2026</v>
      </c>
      <c r="R1634" s="16">
        <f>MONTH(tblSprzedaz[[#This Row],[Data]])</f>
        <v>3</v>
      </c>
      <c r="S1634" s="9" t="str">
        <f>YEAR(tblSprzedaz[[#This Row],[Data]])&amp;"-"&amp;RIGHT("0"&amp;MONTH(tblSprzedaz[[#This Row],[Data]]),2)</f>
        <v>2026-03</v>
      </c>
    </row>
    <row r="1635" spans="1:19" x14ac:dyDescent="0.25">
      <c r="A1635" s="7" t="s">
        <v>3437</v>
      </c>
      <c r="B1635" s="10">
        <v>46096</v>
      </c>
      <c r="C1635" s="7" t="s">
        <v>3438</v>
      </c>
      <c r="D1635" s="8" t="s">
        <v>84</v>
      </c>
      <c r="E1635" s="8" t="s">
        <v>57</v>
      </c>
      <c r="F1635" s="8" t="s">
        <v>31</v>
      </c>
      <c r="G1635" s="8" t="s">
        <v>34</v>
      </c>
      <c r="H1635" s="8" t="s">
        <v>45</v>
      </c>
      <c r="I1635" s="11">
        <v>8</v>
      </c>
      <c r="J1635" s="12">
        <v>315</v>
      </c>
      <c r="K1635" s="13">
        <v>0.15</v>
      </c>
      <c r="L1635" s="12">
        <v>209.89</v>
      </c>
      <c r="M1635" s="14">
        <f>ROUND(tblSprzedaz[[#This Row],[Ilość]]*tblSprzedaz[[#This Row],[Cena netto jednostkowa]]*(1-tblSprzedaz[[#This Row],[Rabat %]]),2)</f>
        <v>2142</v>
      </c>
      <c r="N1635" s="14">
        <f>ROUND(tblSprzedaz[[#This Row],[Ilość]]*tblSprzedaz[[#This Row],[Koszt jednostkowy netto]],2)</f>
        <v>1679.12</v>
      </c>
      <c r="O1635" s="14">
        <f>tblSprzedaz[[#This Row],[Przychód netto]]-tblSprzedaz[[#This Row],[Koszt całkowity netto]]</f>
        <v>462.88000000000011</v>
      </c>
      <c r="P1635" s="15">
        <f>IFERROR(tblSprzedaz[[#This Row],[Marża kwotowa]]/tblSprzedaz[[#This Row],[Przychód netto]],0)</f>
        <v>0.21609710550887026</v>
      </c>
      <c r="Q1635" s="16">
        <f>YEAR(tblSprzedaz[[#This Row],[Data]])</f>
        <v>2026</v>
      </c>
      <c r="R1635" s="16">
        <f>MONTH(tblSprzedaz[[#This Row],[Data]])</f>
        <v>3</v>
      </c>
      <c r="S1635" s="9" t="str">
        <f>YEAR(tblSprzedaz[[#This Row],[Data]])&amp;"-"&amp;RIGHT("0"&amp;MONTH(tblSprzedaz[[#This Row],[Data]]),2)</f>
        <v>2026-03</v>
      </c>
    </row>
    <row r="1636" spans="1:19" x14ac:dyDescent="0.25">
      <c r="A1636" s="7" t="s">
        <v>3439</v>
      </c>
      <c r="B1636" s="10">
        <v>46097</v>
      </c>
      <c r="C1636" s="7" t="s">
        <v>3440</v>
      </c>
      <c r="D1636" s="8" t="s">
        <v>98</v>
      </c>
      <c r="E1636" s="8" t="s">
        <v>67</v>
      </c>
      <c r="F1636" s="8" t="s">
        <v>35</v>
      </c>
      <c r="G1636" s="8" t="s">
        <v>36</v>
      </c>
      <c r="H1636" s="8" t="s">
        <v>46</v>
      </c>
      <c r="I1636" s="11">
        <v>5</v>
      </c>
      <c r="J1636" s="12">
        <v>78.88</v>
      </c>
      <c r="K1636" s="13">
        <v>0.1</v>
      </c>
      <c r="L1636" s="12">
        <v>59.85</v>
      </c>
      <c r="M1636" s="14">
        <f>ROUND(tblSprzedaz[[#This Row],[Ilość]]*tblSprzedaz[[#This Row],[Cena netto jednostkowa]]*(1-tblSprzedaz[[#This Row],[Rabat %]]),2)</f>
        <v>354.96</v>
      </c>
      <c r="N1636" s="14">
        <f>ROUND(tblSprzedaz[[#This Row],[Ilość]]*tblSprzedaz[[#This Row],[Koszt jednostkowy netto]],2)</f>
        <v>299.25</v>
      </c>
      <c r="O1636" s="14">
        <f>tblSprzedaz[[#This Row],[Przychód netto]]-tblSprzedaz[[#This Row],[Koszt całkowity netto]]</f>
        <v>55.70999999999998</v>
      </c>
      <c r="P1636" s="15">
        <f>IFERROR(tblSprzedaz[[#This Row],[Marża kwotowa]]/tblSprzedaz[[#This Row],[Przychód netto]],0)</f>
        <v>0.15694726166328596</v>
      </c>
      <c r="Q1636" s="16">
        <f>YEAR(tblSprzedaz[[#This Row],[Data]])</f>
        <v>2026</v>
      </c>
      <c r="R1636" s="16">
        <f>MONTH(tblSprzedaz[[#This Row],[Data]])</f>
        <v>3</v>
      </c>
      <c r="S1636" s="9" t="str">
        <f>YEAR(tblSprzedaz[[#This Row],[Data]])&amp;"-"&amp;RIGHT("0"&amp;MONTH(tblSprzedaz[[#This Row],[Data]]),2)</f>
        <v>2026-03</v>
      </c>
    </row>
    <row r="1637" spans="1:19" x14ac:dyDescent="0.25">
      <c r="A1637" s="7" t="s">
        <v>3441</v>
      </c>
      <c r="B1637" s="10">
        <v>46097</v>
      </c>
      <c r="C1637" s="7" t="s">
        <v>3442</v>
      </c>
      <c r="D1637" s="8" t="s">
        <v>78</v>
      </c>
      <c r="E1637" s="8" t="s">
        <v>70</v>
      </c>
      <c r="F1637" s="8" t="s">
        <v>35</v>
      </c>
      <c r="G1637" s="8" t="s">
        <v>34</v>
      </c>
      <c r="H1637" s="8" t="s">
        <v>45</v>
      </c>
      <c r="I1637" s="11">
        <v>4</v>
      </c>
      <c r="J1637" s="12">
        <v>113.56</v>
      </c>
      <c r="K1637" s="13">
        <v>0</v>
      </c>
      <c r="L1637" s="12">
        <v>85.38</v>
      </c>
      <c r="M1637" s="14">
        <f>ROUND(tblSprzedaz[[#This Row],[Ilość]]*tblSprzedaz[[#This Row],[Cena netto jednostkowa]]*(1-tblSprzedaz[[#This Row],[Rabat %]]),2)</f>
        <v>454.24</v>
      </c>
      <c r="N1637" s="14">
        <f>ROUND(tblSprzedaz[[#This Row],[Ilość]]*tblSprzedaz[[#This Row],[Koszt jednostkowy netto]],2)</f>
        <v>341.52</v>
      </c>
      <c r="O1637" s="14">
        <f>tblSprzedaz[[#This Row],[Przychód netto]]-tblSprzedaz[[#This Row],[Koszt całkowity netto]]</f>
        <v>112.72000000000003</v>
      </c>
      <c r="P1637" s="15">
        <f>IFERROR(tblSprzedaz[[#This Row],[Marża kwotowa]]/tblSprzedaz[[#This Row],[Przychód netto]],0)</f>
        <v>0.24815075730891165</v>
      </c>
      <c r="Q1637" s="16">
        <f>YEAR(tblSprzedaz[[#This Row],[Data]])</f>
        <v>2026</v>
      </c>
      <c r="R1637" s="16">
        <f>MONTH(tblSprzedaz[[#This Row],[Data]])</f>
        <v>3</v>
      </c>
      <c r="S1637" s="9" t="str">
        <f>YEAR(tblSprzedaz[[#This Row],[Data]])&amp;"-"&amp;RIGHT("0"&amp;MONTH(tblSprzedaz[[#This Row],[Data]]),2)</f>
        <v>2026-03</v>
      </c>
    </row>
    <row r="1638" spans="1:19" x14ac:dyDescent="0.25">
      <c r="A1638" s="7" t="s">
        <v>3443</v>
      </c>
      <c r="B1638" s="10">
        <v>46097</v>
      </c>
      <c r="C1638" s="7" t="s">
        <v>3444</v>
      </c>
      <c r="D1638" s="8" t="s">
        <v>115</v>
      </c>
      <c r="E1638" s="8" t="s">
        <v>52</v>
      </c>
      <c r="F1638" s="8" t="s">
        <v>29</v>
      </c>
      <c r="G1638" s="8" t="s">
        <v>28</v>
      </c>
      <c r="H1638" s="8" t="s">
        <v>38</v>
      </c>
      <c r="I1638" s="11">
        <v>2</v>
      </c>
      <c r="J1638" s="12">
        <v>56.78</v>
      </c>
      <c r="K1638" s="13">
        <v>0</v>
      </c>
      <c r="L1638" s="12">
        <v>35.770000000000003</v>
      </c>
      <c r="M1638" s="14">
        <f>ROUND(tblSprzedaz[[#This Row],[Ilość]]*tblSprzedaz[[#This Row],[Cena netto jednostkowa]]*(1-tblSprzedaz[[#This Row],[Rabat %]]),2)</f>
        <v>113.56</v>
      </c>
      <c r="N1638" s="14">
        <f>ROUND(tblSprzedaz[[#This Row],[Ilość]]*tblSprzedaz[[#This Row],[Koszt jednostkowy netto]],2)</f>
        <v>71.540000000000006</v>
      </c>
      <c r="O1638" s="14">
        <f>tblSprzedaz[[#This Row],[Przychód netto]]-tblSprzedaz[[#This Row],[Koszt całkowity netto]]</f>
        <v>42.019999999999996</v>
      </c>
      <c r="P1638" s="15">
        <f>IFERROR(tblSprzedaz[[#This Row],[Marża kwotowa]]/tblSprzedaz[[#This Row],[Przychód netto]],0)</f>
        <v>0.37002465656921446</v>
      </c>
      <c r="Q1638" s="16">
        <f>YEAR(tblSprzedaz[[#This Row],[Data]])</f>
        <v>2026</v>
      </c>
      <c r="R1638" s="16">
        <f>MONTH(tblSprzedaz[[#This Row],[Data]])</f>
        <v>3</v>
      </c>
      <c r="S1638" s="9" t="str">
        <f>YEAR(tblSprzedaz[[#This Row],[Data]])&amp;"-"&amp;RIGHT("0"&amp;MONTH(tblSprzedaz[[#This Row],[Data]]),2)</f>
        <v>2026-03</v>
      </c>
    </row>
    <row r="1639" spans="1:19" x14ac:dyDescent="0.25">
      <c r="A1639" s="7" t="s">
        <v>3445</v>
      </c>
      <c r="B1639" s="10">
        <v>46097</v>
      </c>
      <c r="C1639" s="7" t="s">
        <v>3446</v>
      </c>
      <c r="D1639" s="8" t="s">
        <v>114</v>
      </c>
      <c r="E1639" s="8" t="s">
        <v>63</v>
      </c>
      <c r="F1639" s="8" t="s">
        <v>33</v>
      </c>
      <c r="G1639" s="8" t="s">
        <v>28</v>
      </c>
      <c r="H1639" s="8" t="s">
        <v>38</v>
      </c>
      <c r="I1639" s="11">
        <v>12</v>
      </c>
      <c r="J1639" s="12">
        <v>690</v>
      </c>
      <c r="K1639" s="13">
        <v>0</v>
      </c>
      <c r="L1639" s="12">
        <v>485.36</v>
      </c>
      <c r="M1639" s="14">
        <f>ROUND(tblSprzedaz[[#This Row],[Ilość]]*tblSprzedaz[[#This Row],[Cena netto jednostkowa]]*(1-tblSprzedaz[[#This Row],[Rabat %]]),2)</f>
        <v>8280</v>
      </c>
      <c r="N1639" s="14">
        <f>ROUND(tblSprzedaz[[#This Row],[Ilość]]*tblSprzedaz[[#This Row],[Koszt jednostkowy netto]],2)</f>
        <v>5824.32</v>
      </c>
      <c r="O1639" s="14">
        <f>tblSprzedaz[[#This Row],[Przychód netto]]-tblSprzedaz[[#This Row],[Koszt całkowity netto]]</f>
        <v>2455.6800000000003</v>
      </c>
      <c r="P1639" s="15">
        <f>IFERROR(tblSprzedaz[[#This Row],[Marża kwotowa]]/tblSprzedaz[[#This Row],[Przychód netto]],0)</f>
        <v>0.29657971014492757</v>
      </c>
      <c r="Q1639" s="16">
        <f>YEAR(tblSprzedaz[[#This Row],[Data]])</f>
        <v>2026</v>
      </c>
      <c r="R1639" s="16">
        <f>MONTH(tblSprzedaz[[#This Row],[Data]])</f>
        <v>3</v>
      </c>
      <c r="S1639" s="9" t="str">
        <f>YEAR(tblSprzedaz[[#This Row],[Data]])&amp;"-"&amp;RIGHT("0"&amp;MONTH(tblSprzedaz[[#This Row],[Data]]),2)</f>
        <v>2026-03</v>
      </c>
    </row>
    <row r="1640" spans="1:19" x14ac:dyDescent="0.25">
      <c r="A1640" s="7" t="s">
        <v>3447</v>
      </c>
      <c r="B1640" s="10">
        <v>46098</v>
      </c>
      <c r="C1640" s="7" t="s">
        <v>3448</v>
      </c>
      <c r="D1640" s="8" t="s">
        <v>117</v>
      </c>
      <c r="E1640" s="8" t="s">
        <v>56</v>
      </c>
      <c r="F1640" s="8" t="s">
        <v>31</v>
      </c>
      <c r="G1640" s="8" t="s">
        <v>34</v>
      </c>
      <c r="H1640" s="8" t="s">
        <v>44</v>
      </c>
      <c r="I1640" s="11">
        <v>3</v>
      </c>
      <c r="J1640" s="12">
        <v>279.3</v>
      </c>
      <c r="K1640" s="13">
        <v>0.15</v>
      </c>
      <c r="L1640" s="12">
        <v>180.86</v>
      </c>
      <c r="M1640" s="14">
        <f>ROUND(tblSprzedaz[[#This Row],[Ilość]]*tblSprzedaz[[#This Row],[Cena netto jednostkowa]]*(1-tblSprzedaz[[#This Row],[Rabat %]]),2)</f>
        <v>712.22</v>
      </c>
      <c r="N1640" s="14">
        <f>ROUND(tblSprzedaz[[#This Row],[Ilość]]*tblSprzedaz[[#This Row],[Koszt jednostkowy netto]],2)</f>
        <v>542.58000000000004</v>
      </c>
      <c r="O1640" s="14">
        <f>tblSprzedaz[[#This Row],[Przychód netto]]-tblSprzedaz[[#This Row],[Koszt całkowity netto]]</f>
        <v>169.64</v>
      </c>
      <c r="P1640" s="15">
        <f>IFERROR(tblSprzedaz[[#This Row],[Marża kwotowa]]/tblSprzedaz[[#This Row],[Przychód netto]],0)</f>
        <v>0.23818483052989242</v>
      </c>
      <c r="Q1640" s="16">
        <f>YEAR(tblSprzedaz[[#This Row],[Data]])</f>
        <v>2026</v>
      </c>
      <c r="R1640" s="16">
        <f>MONTH(tblSprzedaz[[#This Row],[Data]])</f>
        <v>3</v>
      </c>
      <c r="S1640" s="9" t="str">
        <f>YEAR(tblSprzedaz[[#This Row],[Data]])&amp;"-"&amp;RIGHT("0"&amp;MONTH(tblSprzedaz[[#This Row],[Data]]),2)</f>
        <v>2026-03</v>
      </c>
    </row>
    <row r="1641" spans="1:19" x14ac:dyDescent="0.25">
      <c r="A1641" s="7" t="s">
        <v>3449</v>
      </c>
      <c r="B1641" s="10">
        <v>46098</v>
      </c>
      <c r="C1641" s="7" t="s">
        <v>3450</v>
      </c>
      <c r="D1641" s="8" t="s">
        <v>123</v>
      </c>
      <c r="E1641" s="8" t="s">
        <v>56</v>
      </c>
      <c r="F1641" s="8" t="s">
        <v>31</v>
      </c>
      <c r="G1641" s="8" t="s">
        <v>36</v>
      </c>
      <c r="H1641" s="8" t="s">
        <v>46</v>
      </c>
      <c r="I1641" s="11">
        <v>13</v>
      </c>
      <c r="J1641" s="12">
        <v>279.3</v>
      </c>
      <c r="K1641" s="13">
        <v>0.15</v>
      </c>
      <c r="L1641" s="12">
        <v>188.33</v>
      </c>
      <c r="M1641" s="14">
        <f>ROUND(tblSprzedaz[[#This Row],[Ilość]]*tblSprzedaz[[#This Row],[Cena netto jednostkowa]]*(1-tblSprzedaz[[#This Row],[Rabat %]]),2)</f>
        <v>3086.27</v>
      </c>
      <c r="N1641" s="14">
        <f>ROUND(tblSprzedaz[[#This Row],[Ilość]]*tblSprzedaz[[#This Row],[Koszt jednostkowy netto]],2)</f>
        <v>2448.29</v>
      </c>
      <c r="O1641" s="14">
        <f>tblSprzedaz[[#This Row],[Przychód netto]]-tblSprzedaz[[#This Row],[Koszt całkowity netto]]</f>
        <v>637.98</v>
      </c>
      <c r="P1641" s="15">
        <f>IFERROR(tblSprzedaz[[#This Row],[Marża kwotowa]]/tblSprzedaz[[#This Row],[Przychód netto]],0)</f>
        <v>0.20671554983847817</v>
      </c>
      <c r="Q1641" s="16">
        <f>YEAR(tblSprzedaz[[#This Row],[Data]])</f>
        <v>2026</v>
      </c>
      <c r="R1641" s="16">
        <f>MONTH(tblSprzedaz[[#This Row],[Data]])</f>
        <v>3</v>
      </c>
      <c r="S1641" s="9" t="str">
        <f>YEAR(tblSprzedaz[[#This Row],[Data]])&amp;"-"&amp;RIGHT("0"&amp;MONTH(tblSprzedaz[[#This Row],[Data]]),2)</f>
        <v>2026-03</v>
      </c>
    </row>
    <row r="1642" spans="1:19" x14ac:dyDescent="0.25">
      <c r="A1642" s="7" t="s">
        <v>3451</v>
      </c>
      <c r="B1642" s="10">
        <v>46098</v>
      </c>
      <c r="C1642" s="7" t="s">
        <v>3452</v>
      </c>
      <c r="D1642" s="8" t="s">
        <v>147</v>
      </c>
      <c r="E1642" s="8" t="s">
        <v>50</v>
      </c>
      <c r="F1642" s="8" t="s">
        <v>29</v>
      </c>
      <c r="G1642" s="8" t="s">
        <v>28</v>
      </c>
      <c r="H1642" s="8" t="s">
        <v>39</v>
      </c>
      <c r="I1642" s="11">
        <v>20</v>
      </c>
      <c r="J1642" s="12">
        <v>45.22</v>
      </c>
      <c r="K1642" s="13">
        <v>0.1</v>
      </c>
      <c r="L1642" s="12">
        <v>28.25</v>
      </c>
      <c r="M1642" s="14">
        <f>ROUND(tblSprzedaz[[#This Row],[Ilość]]*tblSprzedaz[[#This Row],[Cena netto jednostkowa]]*(1-tblSprzedaz[[#This Row],[Rabat %]]),2)</f>
        <v>813.96</v>
      </c>
      <c r="N1642" s="14">
        <f>ROUND(tblSprzedaz[[#This Row],[Ilość]]*tblSprzedaz[[#This Row],[Koszt jednostkowy netto]],2)</f>
        <v>565</v>
      </c>
      <c r="O1642" s="14">
        <f>tblSprzedaz[[#This Row],[Przychód netto]]-tblSprzedaz[[#This Row],[Koszt całkowity netto]]</f>
        <v>248.96000000000004</v>
      </c>
      <c r="P1642" s="15">
        <f>IFERROR(tblSprzedaz[[#This Row],[Marża kwotowa]]/tblSprzedaz[[#This Row],[Przychód netto]],0)</f>
        <v>0.30586269595557525</v>
      </c>
      <c r="Q1642" s="16">
        <f>YEAR(tblSprzedaz[[#This Row],[Data]])</f>
        <v>2026</v>
      </c>
      <c r="R1642" s="16">
        <f>MONTH(tblSprzedaz[[#This Row],[Data]])</f>
        <v>3</v>
      </c>
      <c r="S1642" s="9" t="str">
        <f>YEAR(tblSprzedaz[[#This Row],[Data]])&amp;"-"&amp;RIGHT("0"&amp;MONTH(tblSprzedaz[[#This Row],[Data]]),2)</f>
        <v>2026-03</v>
      </c>
    </row>
    <row r="1643" spans="1:19" x14ac:dyDescent="0.25">
      <c r="A1643" s="7" t="s">
        <v>3453</v>
      </c>
      <c r="B1643" s="10">
        <v>46098</v>
      </c>
      <c r="C1643" s="7" t="s">
        <v>3454</v>
      </c>
      <c r="D1643" s="8" t="s">
        <v>132</v>
      </c>
      <c r="E1643" s="8" t="s">
        <v>62</v>
      </c>
      <c r="F1643" s="8" t="s">
        <v>33</v>
      </c>
      <c r="G1643" s="8" t="s">
        <v>28</v>
      </c>
      <c r="H1643" s="8" t="s">
        <v>38</v>
      </c>
      <c r="I1643" s="11">
        <v>14</v>
      </c>
      <c r="J1643" s="12">
        <v>611.79999999999995</v>
      </c>
      <c r="K1643" s="13">
        <v>0</v>
      </c>
      <c r="L1643" s="12">
        <v>406.48</v>
      </c>
      <c r="M1643" s="14">
        <f>ROUND(tblSprzedaz[[#This Row],[Ilość]]*tblSprzedaz[[#This Row],[Cena netto jednostkowa]]*(1-tblSprzedaz[[#This Row],[Rabat %]]),2)</f>
        <v>8565.2000000000007</v>
      </c>
      <c r="N1643" s="14">
        <f>ROUND(tblSprzedaz[[#This Row],[Ilość]]*tblSprzedaz[[#This Row],[Koszt jednostkowy netto]],2)</f>
        <v>5690.72</v>
      </c>
      <c r="O1643" s="14">
        <f>tblSprzedaz[[#This Row],[Przychód netto]]-tblSprzedaz[[#This Row],[Koszt całkowity netto]]</f>
        <v>2874.4800000000005</v>
      </c>
      <c r="P1643" s="15">
        <f>IFERROR(tblSprzedaz[[#This Row],[Marża kwotowa]]/tblSprzedaz[[#This Row],[Przychód netto]],0)</f>
        <v>0.3355998692383132</v>
      </c>
      <c r="Q1643" s="16">
        <f>YEAR(tblSprzedaz[[#This Row],[Data]])</f>
        <v>2026</v>
      </c>
      <c r="R1643" s="16">
        <f>MONTH(tblSprzedaz[[#This Row],[Data]])</f>
        <v>3</v>
      </c>
      <c r="S1643" s="9" t="str">
        <f>YEAR(tblSprzedaz[[#This Row],[Data]])&amp;"-"&amp;RIGHT("0"&amp;MONTH(tblSprzedaz[[#This Row],[Data]]),2)</f>
        <v>2026-03</v>
      </c>
    </row>
    <row r="1644" spans="1:19" x14ac:dyDescent="0.25">
      <c r="A1644" s="7" t="s">
        <v>3455</v>
      </c>
      <c r="B1644" s="10">
        <v>46099</v>
      </c>
      <c r="C1644" s="7" t="s">
        <v>3456</v>
      </c>
      <c r="D1644" s="8" t="s">
        <v>134</v>
      </c>
      <c r="E1644" s="8" t="s">
        <v>49</v>
      </c>
      <c r="F1644" s="8" t="s">
        <v>29</v>
      </c>
      <c r="G1644" s="8" t="s">
        <v>34</v>
      </c>
      <c r="H1644" s="8" t="s">
        <v>44</v>
      </c>
      <c r="I1644" s="11">
        <v>1</v>
      </c>
      <c r="J1644" s="12">
        <v>39.44</v>
      </c>
      <c r="K1644" s="13">
        <v>0</v>
      </c>
      <c r="L1644" s="12">
        <v>22.38</v>
      </c>
      <c r="M1644" s="14">
        <f>ROUND(tblSprzedaz[[#This Row],[Ilość]]*tblSprzedaz[[#This Row],[Cena netto jednostkowa]]*(1-tblSprzedaz[[#This Row],[Rabat %]]),2)</f>
        <v>39.44</v>
      </c>
      <c r="N1644" s="14">
        <f>ROUND(tblSprzedaz[[#This Row],[Ilość]]*tblSprzedaz[[#This Row],[Koszt jednostkowy netto]],2)</f>
        <v>22.38</v>
      </c>
      <c r="O1644" s="14">
        <f>tblSprzedaz[[#This Row],[Przychód netto]]-tblSprzedaz[[#This Row],[Koszt całkowity netto]]</f>
        <v>17.059999999999999</v>
      </c>
      <c r="P1644" s="15">
        <f>IFERROR(tblSprzedaz[[#This Row],[Marża kwotowa]]/tblSprzedaz[[#This Row],[Przychód netto]],0)</f>
        <v>0.43255578093306285</v>
      </c>
      <c r="Q1644" s="16">
        <f>YEAR(tblSprzedaz[[#This Row],[Data]])</f>
        <v>2026</v>
      </c>
      <c r="R1644" s="16">
        <f>MONTH(tblSprzedaz[[#This Row],[Data]])</f>
        <v>3</v>
      </c>
      <c r="S1644" s="9" t="str">
        <f>YEAR(tblSprzedaz[[#This Row],[Data]])&amp;"-"&amp;RIGHT("0"&amp;MONTH(tblSprzedaz[[#This Row],[Data]]),2)</f>
        <v>2026-03</v>
      </c>
    </row>
    <row r="1645" spans="1:19" x14ac:dyDescent="0.25">
      <c r="A1645" s="7" t="s">
        <v>3457</v>
      </c>
      <c r="B1645" s="10">
        <v>46099</v>
      </c>
      <c r="C1645" s="7" t="s">
        <v>3458</v>
      </c>
      <c r="D1645" s="8" t="s">
        <v>90</v>
      </c>
      <c r="E1645" s="8" t="s">
        <v>74</v>
      </c>
      <c r="F1645" s="8" t="s">
        <v>37</v>
      </c>
      <c r="G1645" s="8" t="s">
        <v>36</v>
      </c>
      <c r="H1645" s="8" t="s">
        <v>46</v>
      </c>
      <c r="I1645" s="11">
        <v>11</v>
      </c>
      <c r="J1645" s="12">
        <v>126.35</v>
      </c>
      <c r="K1645" s="13">
        <v>0</v>
      </c>
      <c r="L1645" s="12">
        <v>100.99</v>
      </c>
      <c r="M1645" s="14">
        <f>ROUND(tblSprzedaz[[#This Row],[Ilość]]*tblSprzedaz[[#This Row],[Cena netto jednostkowa]]*(1-tblSprzedaz[[#This Row],[Rabat %]]),2)</f>
        <v>1389.85</v>
      </c>
      <c r="N1645" s="14">
        <f>ROUND(tblSprzedaz[[#This Row],[Ilość]]*tblSprzedaz[[#This Row],[Koszt jednostkowy netto]],2)</f>
        <v>1110.8900000000001</v>
      </c>
      <c r="O1645" s="14">
        <f>tblSprzedaz[[#This Row],[Przychód netto]]-tblSprzedaz[[#This Row],[Koszt całkowity netto]]</f>
        <v>278.95999999999981</v>
      </c>
      <c r="P1645" s="15">
        <f>IFERROR(tblSprzedaz[[#This Row],[Marża kwotowa]]/tblSprzedaz[[#This Row],[Przychód netto]],0)</f>
        <v>0.2007123070834981</v>
      </c>
      <c r="Q1645" s="16">
        <f>YEAR(tblSprzedaz[[#This Row],[Data]])</f>
        <v>2026</v>
      </c>
      <c r="R1645" s="16">
        <f>MONTH(tblSprzedaz[[#This Row],[Data]])</f>
        <v>3</v>
      </c>
      <c r="S1645" s="9" t="str">
        <f>YEAR(tblSprzedaz[[#This Row],[Data]])&amp;"-"&amp;RIGHT("0"&amp;MONTH(tblSprzedaz[[#This Row],[Data]]),2)</f>
        <v>2026-03</v>
      </c>
    </row>
    <row r="1646" spans="1:19" x14ac:dyDescent="0.25">
      <c r="A1646" s="7" t="s">
        <v>3459</v>
      </c>
      <c r="B1646" s="10">
        <v>46099</v>
      </c>
      <c r="C1646" s="7" t="s">
        <v>3460</v>
      </c>
      <c r="D1646" s="8" t="s">
        <v>105</v>
      </c>
      <c r="E1646" s="8" t="s">
        <v>54</v>
      </c>
      <c r="F1646" s="8" t="s">
        <v>31</v>
      </c>
      <c r="G1646" s="8" t="s">
        <v>32</v>
      </c>
      <c r="H1646" s="8" t="s">
        <v>42</v>
      </c>
      <c r="I1646" s="11">
        <v>6</v>
      </c>
      <c r="J1646" s="12">
        <v>207.9</v>
      </c>
      <c r="K1646" s="13">
        <v>0.15</v>
      </c>
      <c r="L1646" s="12">
        <v>124.98</v>
      </c>
      <c r="M1646" s="14">
        <f>ROUND(tblSprzedaz[[#This Row],[Ilość]]*tblSprzedaz[[#This Row],[Cena netto jednostkowa]]*(1-tblSprzedaz[[#This Row],[Rabat %]]),2)</f>
        <v>1060.29</v>
      </c>
      <c r="N1646" s="14">
        <f>ROUND(tblSprzedaz[[#This Row],[Ilość]]*tblSprzedaz[[#This Row],[Koszt jednostkowy netto]],2)</f>
        <v>749.88</v>
      </c>
      <c r="O1646" s="14">
        <f>tblSprzedaz[[#This Row],[Przychód netto]]-tblSprzedaz[[#This Row],[Koszt całkowity netto]]</f>
        <v>310.40999999999997</v>
      </c>
      <c r="P1646" s="15">
        <f>IFERROR(tblSprzedaz[[#This Row],[Marża kwotowa]]/tblSprzedaz[[#This Row],[Przychód netto]],0)</f>
        <v>0.29275952805364569</v>
      </c>
      <c r="Q1646" s="16">
        <f>YEAR(tblSprzedaz[[#This Row],[Data]])</f>
        <v>2026</v>
      </c>
      <c r="R1646" s="16">
        <f>MONTH(tblSprzedaz[[#This Row],[Data]])</f>
        <v>3</v>
      </c>
      <c r="S1646" s="9" t="str">
        <f>YEAR(tblSprzedaz[[#This Row],[Data]])&amp;"-"&amp;RIGHT("0"&amp;MONTH(tblSprzedaz[[#This Row],[Data]]),2)</f>
        <v>2026-03</v>
      </c>
    </row>
    <row r="1647" spans="1:19" x14ac:dyDescent="0.25">
      <c r="A1647" s="7" t="s">
        <v>3461</v>
      </c>
      <c r="B1647" s="10">
        <v>46099</v>
      </c>
      <c r="C1647" s="7" t="s">
        <v>3462</v>
      </c>
      <c r="D1647" s="8" t="s">
        <v>100</v>
      </c>
      <c r="E1647" s="8" t="s">
        <v>77</v>
      </c>
      <c r="F1647" s="8" t="s">
        <v>37</v>
      </c>
      <c r="G1647" s="8" t="s">
        <v>28</v>
      </c>
      <c r="H1647" s="8" t="s">
        <v>38</v>
      </c>
      <c r="I1647" s="11">
        <v>11</v>
      </c>
      <c r="J1647" s="12">
        <v>77.900000000000006</v>
      </c>
      <c r="K1647" s="13">
        <v>0.15</v>
      </c>
      <c r="L1647" s="12">
        <v>59.6</v>
      </c>
      <c r="M1647" s="14">
        <f>ROUND(tblSprzedaz[[#This Row],[Ilość]]*tblSprzedaz[[#This Row],[Cena netto jednostkowa]]*(1-tblSprzedaz[[#This Row],[Rabat %]]),2)</f>
        <v>728.37</v>
      </c>
      <c r="N1647" s="14">
        <f>ROUND(tblSprzedaz[[#This Row],[Ilość]]*tblSprzedaz[[#This Row],[Koszt jednostkowy netto]],2)</f>
        <v>655.6</v>
      </c>
      <c r="O1647" s="14">
        <f>tblSprzedaz[[#This Row],[Przychód netto]]-tblSprzedaz[[#This Row],[Koszt całkowity netto]]</f>
        <v>72.769999999999982</v>
      </c>
      <c r="P1647" s="15">
        <f>IFERROR(tblSprzedaz[[#This Row],[Marża kwotowa]]/tblSprzedaz[[#This Row],[Przychód netto]],0)</f>
        <v>9.9908013784203054E-2</v>
      </c>
      <c r="Q1647" s="16">
        <f>YEAR(tblSprzedaz[[#This Row],[Data]])</f>
        <v>2026</v>
      </c>
      <c r="R1647" s="16">
        <f>MONTH(tblSprzedaz[[#This Row],[Data]])</f>
        <v>3</v>
      </c>
      <c r="S1647" s="9" t="str">
        <f>YEAR(tblSprzedaz[[#This Row],[Data]])&amp;"-"&amp;RIGHT("0"&amp;MONTH(tblSprzedaz[[#This Row],[Data]]),2)</f>
        <v>2026-03</v>
      </c>
    </row>
    <row r="1648" spans="1:19" x14ac:dyDescent="0.25">
      <c r="A1648" s="7" t="s">
        <v>3463</v>
      </c>
      <c r="B1648" s="10">
        <v>46099</v>
      </c>
      <c r="C1648" s="7" t="s">
        <v>3464</v>
      </c>
      <c r="D1648" s="8" t="s">
        <v>97</v>
      </c>
      <c r="E1648" s="8" t="s">
        <v>71</v>
      </c>
      <c r="F1648" s="8" t="s">
        <v>35</v>
      </c>
      <c r="G1648" s="8" t="s">
        <v>36</v>
      </c>
      <c r="H1648" s="8" t="s">
        <v>47</v>
      </c>
      <c r="I1648" s="11">
        <v>21</v>
      </c>
      <c r="J1648" s="12">
        <v>55.76</v>
      </c>
      <c r="K1648" s="13">
        <v>0.15</v>
      </c>
      <c r="L1648" s="12">
        <v>42.58</v>
      </c>
      <c r="M1648" s="14">
        <f>ROUND(tblSprzedaz[[#This Row],[Ilość]]*tblSprzedaz[[#This Row],[Cena netto jednostkowa]]*(1-tblSprzedaz[[#This Row],[Rabat %]]),2)</f>
        <v>995.32</v>
      </c>
      <c r="N1648" s="14">
        <f>ROUND(tblSprzedaz[[#This Row],[Ilość]]*tblSprzedaz[[#This Row],[Koszt jednostkowy netto]],2)</f>
        <v>894.18</v>
      </c>
      <c r="O1648" s="14">
        <f>tblSprzedaz[[#This Row],[Przychód netto]]-tblSprzedaz[[#This Row],[Koszt całkowity netto]]</f>
        <v>101.1400000000001</v>
      </c>
      <c r="P1648" s="15">
        <f>IFERROR(tblSprzedaz[[#This Row],[Marża kwotowa]]/tblSprzedaz[[#This Row],[Przychód netto]],0)</f>
        <v>0.1016155608246595</v>
      </c>
      <c r="Q1648" s="16">
        <f>YEAR(tblSprzedaz[[#This Row],[Data]])</f>
        <v>2026</v>
      </c>
      <c r="R1648" s="16">
        <f>MONTH(tblSprzedaz[[#This Row],[Data]])</f>
        <v>3</v>
      </c>
      <c r="S1648" s="9" t="str">
        <f>YEAR(tblSprzedaz[[#This Row],[Data]])&amp;"-"&amp;RIGHT("0"&amp;MONTH(tblSprzedaz[[#This Row],[Data]]),2)</f>
        <v>2026-03</v>
      </c>
    </row>
    <row r="1649" spans="1:19" x14ac:dyDescent="0.25">
      <c r="A1649" s="7" t="s">
        <v>3465</v>
      </c>
      <c r="B1649" s="10">
        <v>46100</v>
      </c>
      <c r="C1649" s="7" t="s">
        <v>3466</v>
      </c>
      <c r="D1649" s="8" t="s">
        <v>97</v>
      </c>
      <c r="E1649" s="8" t="s">
        <v>66</v>
      </c>
      <c r="F1649" s="8" t="s">
        <v>35</v>
      </c>
      <c r="G1649" s="8" t="s">
        <v>34</v>
      </c>
      <c r="H1649" s="8" t="s">
        <v>44</v>
      </c>
      <c r="I1649" s="11">
        <v>3</v>
      </c>
      <c r="J1649" s="12">
        <v>67.319999999999993</v>
      </c>
      <c r="K1649" s="13">
        <v>0.05</v>
      </c>
      <c r="L1649" s="12">
        <v>46.93</v>
      </c>
      <c r="M1649" s="14">
        <f>ROUND(tblSprzedaz[[#This Row],[Ilość]]*tblSprzedaz[[#This Row],[Cena netto jednostkowa]]*(1-tblSprzedaz[[#This Row],[Rabat %]]),2)</f>
        <v>191.86</v>
      </c>
      <c r="N1649" s="14">
        <f>ROUND(tblSprzedaz[[#This Row],[Ilość]]*tblSprzedaz[[#This Row],[Koszt jednostkowy netto]],2)</f>
        <v>140.79</v>
      </c>
      <c r="O1649" s="14">
        <f>tblSprzedaz[[#This Row],[Przychód netto]]-tblSprzedaz[[#This Row],[Koszt całkowity netto]]</f>
        <v>51.070000000000022</v>
      </c>
      <c r="P1649" s="15">
        <f>IFERROR(tblSprzedaz[[#This Row],[Marża kwotowa]]/tblSprzedaz[[#This Row],[Przychód netto]],0)</f>
        <v>0.2661836755967894</v>
      </c>
      <c r="Q1649" s="16">
        <f>YEAR(tblSprzedaz[[#This Row],[Data]])</f>
        <v>2026</v>
      </c>
      <c r="R1649" s="16">
        <f>MONTH(tblSprzedaz[[#This Row],[Data]])</f>
        <v>3</v>
      </c>
      <c r="S1649" s="9" t="str">
        <f>YEAR(tblSprzedaz[[#This Row],[Data]])&amp;"-"&amp;RIGHT("0"&amp;MONTH(tblSprzedaz[[#This Row],[Data]]),2)</f>
        <v>2026-03</v>
      </c>
    </row>
    <row r="1650" spans="1:19" x14ac:dyDescent="0.25">
      <c r="A1650" s="7" t="s">
        <v>3467</v>
      </c>
      <c r="B1650" s="10">
        <v>46100</v>
      </c>
      <c r="C1650" s="7" t="s">
        <v>3468</v>
      </c>
      <c r="D1650" s="8" t="s">
        <v>151</v>
      </c>
      <c r="E1650" s="8" t="s">
        <v>60</v>
      </c>
      <c r="F1650" s="8" t="s">
        <v>33</v>
      </c>
      <c r="G1650" s="8" t="s">
        <v>34</v>
      </c>
      <c r="H1650" s="8" t="s">
        <v>44</v>
      </c>
      <c r="I1650" s="11">
        <v>7</v>
      </c>
      <c r="J1650" s="12">
        <v>455.4</v>
      </c>
      <c r="K1650" s="13">
        <v>0</v>
      </c>
      <c r="L1650" s="12">
        <v>296.98</v>
      </c>
      <c r="M1650" s="14">
        <f>ROUND(tblSprzedaz[[#This Row],[Ilość]]*tblSprzedaz[[#This Row],[Cena netto jednostkowa]]*(1-tblSprzedaz[[#This Row],[Rabat %]]),2)</f>
        <v>3187.8</v>
      </c>
      <c r="N1650" s="14">
        <f>ROUND(tblSprzedaz[[#This Row],[Ilość]]*tblSprzedaz[[#This Row],[Koszt jednostkowy netto]],2)</f>
        <v>2078.86</v>
      </c>
      <c r="O1650" s="14">
        <f>tblSprzedaz[[#This Row],[Przychód netto]]-tblSprzedaz[[#This Row],[Koszt całkowity netto]]</f>
        <v>1108.94</v>
      </c>
      <c r="P1650" s="15">
        <f>IFERROR(tblSprzedaz[[#This Row],[Marża kwotowa]]/tblSprzedaz[[#This Row],[Przychód netto]],0)</f>
        <v>0.34787000439174354</v>
      </c>
      <c r="Q1650" s="16">
        <f>YEAR(tblSprzedaz[[#This Row],[Data]])</f>
        <v>2026</v>
      </c>
      <c r="R1650" s="16">
        <f>MONTH(tblSprzedaz[[#This Row],[Data]])</f>
        <v>3</v>
      </c>
      <c r="S1650" s="9" t="str">
        <f>YEAR(tblSprzedaz[[#This Row],[Data]])&amp;"-"&amp;RIGHT("0"&amp;MONTH(tblSprzedaz[[#This Row],[Data]]),2)</f>
        <v>2026-03</v>
      </c>
    </row>
    <row r="1651" spans="1:19" x14ac:dyDescent="0.25">
      <c r="A1651" s="7" t="s">
        <v>3469</v>
      </c>
      <c r="B1651" s="10">
        <v>46100</v>
      </c>
      <c r="C1651" s="7" t="s">
        <v>3470</v>
      </c>
      <c r="D1651" s="8" t="s">
        <v>138</v>
      </c>
      <c r="E1651" s="8" t="s">
        <v>65</v>
      </c>
      <c r="F1651" s="8" t="s">
        <v>33</v>
      </c>
      <c r="G1651" s="8" t="s">
        <v>30</v>
      </c>
      <c r="H1651" s="8" t="s">
        <v>40</v>
      </c>
      <c r="I1651" s="11">
        <v>5</v>
      </c>
      <c r="J1651" s="12">
        <v>377.2</v>
      </c>
      <c r="K1651" s="13">
        <v>0</v>
      </c>
      <c r="L1651" s="12">
        <v>246.94</v>
      </c>
      <c r="M1651" s="14">
        <f>ROUND(tblSprzedaz[[#This Row],[Ilość]]*tblSprzedaz[[#This Row],[Cena netto jednostkowa]]*(1-tblSprzedaz[[#This Row],[Rabat %]]),2)</f>
        <v>1886</v>
      </c>
      <c r="N1651" s="14">
        <f>ROUND(tblSprzedaz[[#This Row],[Ilość]]*tblSprzedaz[[#This Row],[Koszt jednostkowy netto]],2)</f>
        <v>1234.7</v>
      </c>
      <c r="O1651" s="14">
        <f>tblSprzedaz[[#This Row],[Przychód netto]]-tblSprzedaz[[#This Row],[Koszt całkowity netto]]</f>
        <v>651.29999999999995</v>
      </c>
      <c r="P1651" s="15">
        <f>IFERROR(tblSprzedaz[[#This Row],[Marża kwotowa]]/tblSprzedaz[[#This Row],[Przychód netto]],0)</f>
        <v>0.34533404029692466</v>
      </c>
      <c r="Q1651" s="16">
        <f>YEAR(tblSprzedaz[[#This Row],[Data]])</f>
        <v>2026</v>
      </c>
      <c r="R1651" s="16">
        <f>MONTH(tblSprzedaz[[#This Row],[Data]])</f>
        <v>3</v>
      </c>
      <c r="S1651" s="9" t="str">
        <f>YEAR(tblSprzedaz[[#This Row],[Data]])&amp;"-"&amp;RIGHT("0"&amp;MONTH(tblSprzedaz[[#This Row],[Data]]),2)</f>
        <v>2026-03</v>
      </c>
    </row>
    <row r="1652" spans="1:19" x14ac:dyDescent="0.25">
      <c r="A1652" s="7" t="s">
        <v>3471</v>
      </c>
      <c r="B1652" s="10">
        <v>46100</v>
      </c>
      <c r="C1652" s="7" t="s">
        <v>3472</v>
      </c>
      <c r="D1652" s="8" t="s">
        <v>91</v>
      </c>
      <c r="E1652" s="8" t="s">
        <v>58</v>
      </c>
      <c r="F1652" s="8" t="s">
        <v>31</v>
      </c>
      <c r="G1652" s="8" t="s">
        <v>34</v>
      </c>
      <c r="H1652" s="8" t="s">
        <v>45</v>
      </c>
      <c r="I1652" s="11">
        <v>1</v>
      </c>
      <c r="J1652" s="12">
        <v>350.7</v>
      </c>
      <c r="K1652" s="13">
        <v>0.05</v>
      </c>
      <c r="L1652" s="12">
        <v>209.32</v>
      </c>
      <c r="M1652" s="14">
        <f>ROUND(tblSprzedaz[[#This Row],[Ilość]]*tblSprzedaz[[#This Row],[Cena netto jednostkowa]]*(1-tblSprzedaz[[#This Row],[Rabat %]]),2)</f>
        <v>333.17</v>
      </c>
      <c r="N1652" s="14">
        <f>ROUND(tblSprzedaz[[#This Row],[Ilość]]*tblSprzedaz[[#This Row],[Koszt jednostkowy netto]],2)</f>
        <v>209.32</v>
      </c>
      <c r="O1652" s="14">
        <f>tblSprzedaz[[#This Row],[Przychód netto]]-tblSprzedaz[[#This Row],[Koszt całkowity netto]]</f>
        <v>123.85000000000002</v>
      </c>
      <c r="P1652" s="15">
        <f>IFERROR(tblSprzedaz[[#This Row],[Marża kwotowa]]/tblSprzedaz[[#This Row],[Przychód netto]],0)</f>
        <v>0.37173214875288896</v>
      </c>
      <c r="Q1652" s="16">
        <f>YEAR(tblSprzedaz[[#This Row],[Data]])</f>
        <v>2026</v>
      </c>
      <c r="R1652" s="16">
        <f>MONTH(tblSprzedaz[[#This Row],[Data]])</f>
        <v>3</v>
      </c>
      <c r="S1652" s="9" t="str">
        <f>YEAR(tblSprzedaz[[#This Row],[Data]])&amp;"-"&amp;RIGHT("0"&amp;MONTH(tblSprzedaz[[#This Row],[Data]]),2)</f>
        <v>2026-03</v>
      </c>
    </row>
    <row r="1653" spans="1:19" x14ac:dyDescent="0.25">
      <c r="A1653" s="7" t="s">
        <v>3473</v>
      </c>
      <c r="B1653" s="10">
        <v>46100</v>
      </c>
      <c r="C1653" s="7" t="s">
        <v>3474</v>
      </c>
      <c r="D1653" s="8" t="s">
        <v>135</v>
      </c>
      <c r="E1653" s="8" t="s">
        <v>60</v>
      </c>
      <c r="F1653" s="8" t="s">
        <v>33</v>
      </c>
      <c r="G1653" s="8" t="s">
        <v>34</v>
      </c>
      <c r="H1653" s="8" t="s">
        <v>44</v>
      </c>
      <c r="I1653" s="11">
        <v>8</v>
      </c>
      <c r="J1653" s="12">
        <v>455.4</v>
      </c>
      <c r="K1653" s="13">
        <v>0</v>
      </c>
      <c r="L1653" s="12">
        <v>327.27</v>
      </c>
      <c r="M1653" s="14">
        <f>ROUND(tblSprzedaz[[#This Row],[Ilość]]*tblSprzedaz[[#This Row],[Cena netto jednostkowa]]*(1-tblSprzedaz[[#This Row],[Rabat %]]),2)</f>
        <v>3643.2</v>
      </c>
      <c r="N1653" s="14">
        <f>ROUND(tblSprzedaz[[#This Row],[Ilość]]*tblSprzedaz[[#This Row],[Koszt jednostkowy netto]],2)</f>
        <v>2618.16</v>
      </c>
      <c r="O1653" s="14">
        <f>tblSprzedaz[[#This Row],[Przychód netto]]-tblSprzedaz[[#This Row],[Koszt całkowity netto]]</f>
        <v>1025.04</v>
      </c>
      <c r="P1653" s="15">
        <f>IFERROR(tblSprzedaz[[#This Row],[Marża kwotowa]]/tblSprzedaz[[#This Row],[Przychód netto]],0)</f>
        <v>0.2813570487483531</v>
      </c>
      <c r="Q1653" s="16">
        <f>YEAR(tblSprzedaz[[#This Row],[Data]])</f>
        <v>2026</v>
      </c>
      <c r="R1653" s="16">
        <f>MONTH(tblSprzedaz[[#This Row],[Data]])</f>
        <v>3</v>
      </c>
      <c r="S1653" s="9" t="str">
        <f>YEAR(tblSprzedaz[[#This Row],[Data]])&amp;"-"&amp;RIGHT("0"&amp;MONTH(tblSprzedaz[[#This Row],[Data]]),2)</f>
        <v>2026-03</v>
      </c>
    </row>
    <row r="1654" spans="1:19" x14ac:dyDescent="0.25">
      <c r="A1654" s="7" t="s">
        <v>3475</v>
      </c>
      <c r="B1654" s="10">
        <v>46100</v>
      </c>
      <c r="C1654" s="7" t="s">
        <v>3476</v>
      </c>
      <c r="D1654" s="8" t="s">
        <v>138</v>
      </c>
      <c r="E1654" s="8" t="s">
        <v>68</v>
      </c>
      <c r="F1654" s="8" t="s">
        <v>35</v>
      </c>
      <c r="G1654" s="8" t="s">
        <v>28</v>
      </c>
      <c r="H1654" s="8" t="s">
        <v>38</v>
      </c>
      <c r="I1654" s="11">
        <v>13</v>
      </c>
      <c r="J1654" s="12">
        <v>90.44</v>
      </c>
      <c r="K1654" s="13">
        <v>0</v>
      </c>
      <c r="L1654" s="12">
        <v>62.87</v>
      </c>
      <c r="M1654" s="14">
        <f>ROUND(tblSprzedaz[[#This Row],[Ilość]]*tblSprzedaz[[#This Row],[Cena netto jednostkowa]]*(1-tblSprzedaz[[#This Row],[Rabat %]]),2)</f>
        <v>1175.72</v>
      </c>
      <c r="N1654" s="14">
        <f>ROUND(tblSprzedaz[[#This Row],[Ilość]]*tblSprzedaz[[#This Row],[Koszt jednostkowy netto]],2)</f>
        <v>817.31</v>
      </c>
      <c r="O1654" s="14">
        <f>tblSprzedaz[[#This Row],[Przychód netto]]-tblSprzedaz[[#This Row],[Koszt całkowity netto]]</f>
        <v>358.41000000000008</v>
      </c>
      <c r="P1654" s="15">
        <f>IFERROR(tblSprzedaz[[#This Row],[Marża kwotowa]]/tblSprzedaz[[#This Row],[Przychód netto]],0)</f>
        <v>0.30484298982751001</v>
      </c>
      <c r="Q1654" s="16">
        <f>YEAR(tblSprzedaz[[#This Row],[Data]])</f>
        <v>2026</v>
      </c>
      <c r="R1654" s="16">
        <f>MONTH(tblSprzedaz[[#This Row],[Data]])</f>
        <v>3</v>
      </c>
      <c r="S1654" s="9" t="str">
        <f>YEAR(tblSprzedaz[[#This Row],[Data]])&amp;"-"&amp;RIGHT("0"&amp;MONTH(tblSprzedaz[[#This Row],[Data]]),2)</f>
        <v>2026-03</v>
      </c>
    </row>
    <row r="1655" spans="1:19" x14ac:dyDescent="0.25">
      <c r="A1655" s="7" t="s">
        <v>3477</v>
      </c>
      <c r="B1655" s="10">
        <v>46101</v>
      </c>
      <c r="C1655" s="7" t="s">
        <v>3478</v>
      </c>
      <c r="D1655" s="8" t="s">
        <v>79</v>
      </c>
      <c r="E1655" s="8" t="s">
        <v>75</v>
      </c>
      <c r="F1655" s="8" t="s">
        <v>37</v>
      </c>
      <c r="G1655" s="8" t="s">
        <v>36</v>
      </c>
      <c r="H1655" s="8" t="s">
        <v>47</v>
      </c>
      <c r="I1655" s="11">
        <v>24</v>
      </c>
      <c r="J1655" s="12">
        <v>142.5</v>
      </c>
      <c r="K1655" s="13">
        <v>0</v>
      </c>
      <c r="L1655" s="12">
        <v>115.02</v>
      </c>
      <c r="M1655" s="14">
        <f>ROUND(tblSprzedaz[[#This Row],[Ilość]]*tblSprzedaz[[#This Row],[Cena netto jednostkowa]]*(1-tblSprzedaz[[#This Row],[Rabat %]]),2)</f>
        <v>3420</v>
      </c>
      <c r="N1655" s="14">
        <f>ROUND(tblSprzedaz[[#This Row],[Ilość]]*tblSprzedaz[[#This Row],[Koszt jednostkowy netto]],2)</f>
        <v>2760.48</v>
      </c>
      <c r="O1655" s="14">
        <f>tblSprzedaz[[#This Row],[Przychód netto]]-tblSprzedaz[[#This Row],[Koszt całkowity netto]]</f>
        <v>659.52</v>
      </c>
      <c r="P1655" s="15">
        <f>IFERROR(tblSprzedaz[[#This Row],[Marża kwotowa]]/tblSprzedaz[[#This Row],[Przychód netto]],0)</f>
        <v>0.1928421052631579</v>
      </c>
      <c r="Q1655" s="16">
        <f>YEAR(tblSprzedaz[[#This Row],[Data]])</f>
        <v>2026</v>
      </c>
      <c r="R1655" s="16">
        <f>MONTH(tblSprzedaz[[#This Row],[Data]])</f>
        <v>3</v>
      </c>
      <c r="S1655" s="9" t="str">
        <f>YEAR(tblSprzedaz[[#This Row],[Data]])&amp;"-"&amp;RIGHT("0"&amp;MONTH(tblSprzedaz[[#This Row],[Data]]),2)</f>
        <v>2026-03</v>
      </c>
    </row>
    <row r="1656" spans="1:19" x14ac:dyDescent="0.25">
      <c r="A1656" s="7" t="s">
        <v>3479</v>
      </c>
      <c r="B1656" s="10">
        <v>46101</v>
      </c>
      <c r="C1656" s="7" t="s">
        <v>3480</v>
      </c>
      <c r="D1656" s="8" t="s">
        <v>117</v>
      </c>
      <c r="E1656" s="8" t="s">
        <v>72</v>
      </c>
      <c r="F1656" s="8" t="s">
        <v>37</v>
      </c>
      <c r="G1656" s="8" t="s">
        <v>32</v>
      </c>
      <c r="H1656" s="8" t="s">
        <v>42</v>
      </c>
      <c r="I1656" s="11">
        <v>11</v>
      </c>
      <c r="J1656" s="12">
        <v>94.05</v>
      </c>
      <c r="K1656" s="13">
        <v>0</v>
      </c>
      <c r="L1656" s="12">
        <v>70.61</v>
      </c>
      <c r="M1656" s="14">
        <f>ROUND(tblSprzedaz[[#This Row],[Ilość]]*tblSprzedaz[[#This Row],[Cena netto jednostkowa]]*(1-tblSprzedaz[[#This Row],[Rabat %]]),2)</f>
        <v>1034.55</v>
      </c>
      <c r="N1656" s="14">
        <f>ROUND(tblSprzedaz[[#This Row],[Ilość]]*tblSprzedaz[[#This Row],[Koszt jednostkowy netto]],2)</f>
        <v>776.71</v>
      </c>
      <c r="O1656" s="14">
        <f>tblSprzedaz[[#This Row],[Przychód netto]]-tblSprzedaz[[#This Row],[Koszt całkowity netto]]</f>
        <v>257.83999999999992</v>
      </c>
      <c r="P1656" s="15">
        <f>IFERROR(tblSprzedaz[[#This Row],[Marża kwotowa]]/tblSprzedaz[[#This Row],[Przychód netto]],0)</f>
        <v>0.24922913343965969</v>
      </c>
      <c r="Q1656" s="16">
        <f>YEAR(tblSprzedaz[[#This Row],[Data]])</f>
        <v>2026</v>
      </c>
      <c r="R1656" s="16">
        <f>MONTH(tblSprzedaz[[#This Row],[Data]])</f>
        <v>3</v>
      </c>
      <c r="S1656" s="9" t="str">
        <f>YEAR(tblSprzedaz[[#This Row],[Data]])&amp;"-"&amp;RIGHT("0"&amp;MONTH(tblSprzedaz[[#This Row],[Data]]),2)</f>
        <v>2026-03</v>
      </c>
    </row>
    <row r="1657" spans="1:19" x14ac:dyDescent="0.25">
      <c r="A1657" s="7" t="s">
        <v>3481</v>
      </c>
      <c r="B1657" s="10">
        <v>46101</v>
      </c>
      <c r="C1657" s="7" t="s">
        <v>3482</v>
      </c>
      <c r="D1657" s="8" t="s">
        <v>136</v>
      </c>
      <c r="E1657" s="8" t="s">
        <v>55</v>
      </c>
      <c r="F1657" s="8" t="s">
        <v>31</v>
      </c>
      <c r="G1657" s="8" t="s">
        <v>28</v>
      </c>
      <c r="H1657" s="8" t="s">
        <v>38</v>
      </c>
      <c r="I1657" s="11">
        <v>17</v>
      </c>
      <c r="J1657" s="12">
        <v>243.6</v>
      </c>
      <c r="K1657" s="13">
        <v>0</v>
      </c>
      <c r="L1657" s="12">
        <v>153.97</v>
      </c>
      <c r="M1657" s="14">
        <f>ROUND(tblSprzedaz[[#This Row],[Ilość]]*tblSprzedaz[[#This Row],[Cena netto jednostkowa]]*(1-tblSprzedaz[[#This Row],[Rabat %]]),2)</f>
        <v>4141.2</v>
      </c>
      <c r="N1657" s="14">
        <f>ROUND(tblSprzedaz[[#This Row],[Ilość]]*tblSprzedaz[[#This Row],[Koszt jednostkowy netto]],2)</f>
        <v>2617.4899999999998</v>
      </c>
      <c r="O1657" s="14">
        <f>tblSprzedaz[[#This Row],[Przychód netto]]-tblSprzedaz[[#This Row],[Koszt całkowity netto]]</f>
        <v>1523.71</v>
      </c>
      <c r="P1657" s="15">
        <f>IFERROR(tblSprzedaz[[#This Row],[Marża kwotowa]]/tblSprzedaz[[#This Row],[Przychód netto]],0)</f>
        <v>0.36793924466338263</v>
      </c>
      <c r="Q1657" s="16">
        <f>YEAR(tblSprzedaz[[#This Row],[Data]])</f>
        <v>2026</v>
      </c>
      <c r="R1657" s="16">
        <f>MONTH(tblSprzedaz[[#This Row],[Data]])</f>
        <v>3</v>
      </c>
      <c r="S1657" s="9" t="str">
        <f>YEAR(tblSprzedaz[[#This Row],[Data]])&amp;"-"&amp;RIGHT("0"&amp;MONTH(tblSprzedaz[[#This Row],[Data]]),2)</f>
        <v>2026-03</v>
      </c>
    </row>
    <row r="1658" spans="1:19" x14ac:dyDescent="0.25">
      <c r="A1658" s="7" t="s">
        <v>3483</v>
      </c>
      <c r="B1658" s="10">
        <v>46101</v>
      </c>
      <c r="C1658" s="7" t="s">
        <v>3484</v>
      </c>
      <c r="D1658" s="8" t="s">
        <v>91</v>
      </c>
      <c r="E1658" s="8" t="s">
        <v>56</v>
      </c>
      <c r="F1658" s="8" t="s">
        <v>31</v>
      </c>
      <c r="G1658" s="8" t="s">
        <v>30</v>
      </c>
      <c r="H1658" s="8" t="s">
        <v>40</v>
      </c>
      <c r="I1658" s="11">
        <v>11</v>
      </c>
      <c r="J1658" s="12">
        <v>279.3</v>
      </c>
      <c r="K1658" s="13">
        <v>0.05</v>
      </c>
      <c r="L1658" s="12">
        <v>168.61</v>
      </c>
      <c r="M1658" s="14">
        <f>ROUND(tblSprzedaz[[#This Row],[Ilość]]*tblSprzedaz[[#This Row],[Cena netto jednostkowa]]*(1-tblSprzedaz[[#This Row],[Rabat %]]),2)</f>
        <v>2918.69</v>
      </c>
      <c r="N1658" s="14">
        <f>ROUND(tblSprzedaz[[#This Row],[Ilość]]*tblSprzedaz[[#This Row],[Koszt jednostkowy netto]],2)</f>
        <v>1854.71</v>
      </c>
      <c r="O1658" s="14">
        <f>tblSprzedaz[[#This Row],[Przychód netto]]-tblSprzedaz[[#This Row],[Koszt całkowity netto]]</f>
        <v>1063.98</v>
      </c>
      <c r="P1658" s="15">
        <f>IFERROR(tblSprzedaz[[#This Row],[Marża kwotowa]]/tblSprzedaz[[#This Row],[Przychód netto]],0)</f>
        <v>0.36454025607378654</v>
      </c>
      <c r="Q1658" s="16">
        <f>YEAR(tblSprzedaz[[#This Row],[Data]])</f>
        <v>2026</v>
      </c>
      <c r="R1658" s="16">
        <f>MONTH(tblSprzedaz[[#This Row],[Data]])</f>
        <v>3</v>
      </c>
      <c r="S1658" s="9" t="str">
        <f>YEAR(tblSprzedaz[[#This Row],[Data]])&amp;"-"&amp;RIGHT("0"&amp;MONTH(tblSprzedaz[[#This Row],[Data]]),2)</f>
        <v>2026-03</v>
      </c>
    </row>
    <row r="1659" spans="1:19" x14ac:dyDescent="0.25">
      <c r="A1659" s="7" t="s">
        <v>3485</v>
      </c>
      <c r="B1659" s="10">
        <v>46101</v>
      </c>
      <c r="C1659" s="7" t="s">
        <v>3486</v>
      </c>
      <c r="D1659" s="8" t="s">
        <v>107</v>
      </c>
      <c r="E1659" s="8" t="s">
        <v>72</v>
      </c>
      <c r="F1659" s="8" t="s">
        <v>37</v>
      </c>
      <c r="G1659" s="8" t="s">
        <v>30</v>
      </c>
      <c r="H1659" s="8" t="s">
        <v>40</v>
      </c>
      <c r="I1659" s="11">
        <v>5</v>
      </c>
      <c r="J1659" s="12">
        <v>94.05</v>
      </c>
      <c r="K1659" s="13">
        <v>0.15</v>
      </c>
      <c r="L1659" s="12">
        <v>70.61</v>
      </c>
      <c r="M1659" s="14">
        <f>ROUND(tblSprzedaz[[#This Row],[Ilość]]*tblSprzedaz[[#This Row],[Cena netto jednostkowa]]*(1-tblSprzedaz[[#This Row],[Rabat %]]),2)</f>
        <v>399.71</v>
      </c>
      <c r="N1659" s="14">
        <f>ROUND(tblSprzedaz[[#This Row],[Ilość]]*tblSprzedaz[[#This Row],[Koszt jednostkowy netto]],2)</f>
        <v>353.05</v>
      </c>
      <c r="O1659" s="14">
        <f>tblSprzedaz[[#This Row],[Przychód netto]]-tblSprzedaz[[#This Row],[Koszt całkowity netto]]</f>
        <v>46.659999999999968</v>
      </c>
      <c r="P1659" s="15">
        <f>IFERROR(tblSprzedaz[[#This Row],[Marża kwotowa]]/tblSprzedaz[[#This Row],[Przychód netto]],0)</f>
        <v>0.1167346326086412</v>
      </c>
      <c r="Q1659" s="16">
        <f>YEAR(tblSprzedaz[[#This Row],[Data]])</f>
        <v>2026</v>
      </c>
      <c r="R1659" s="16">
        <f>MONTH(tblSprzedaz[[#This Row],[Data]])</f>
        <v>3</v>
      </c>
      <c r="S1659" s="9" t="str">
        <f>YEAR(tblSprzedaz[[#This Row],[Data]])&amp;"-"&amp;RIGHT("0"&amp;MONTH(tblSprzedaz[[#This Row],[Data]]),2)</f>
        <v>2026-03</v>
      </c>
    </row>
    <row r="1660" spans="1:19" x14ac:dyDescent="0.25">
      <c r="A1660" s="7" t="s">
        <v>3487</v>
      </c>
      <c r="B1660" s="10">
        <v>46101</v>
      </c>
      <c r="C1660" s="7" t="s">
        <v>3488</v>
      </c>
      <c r="D1660" s="8" t="s">
        <v>104</v>
      </c>
      <c r="E1660" s="8" t="s">
        <v>63</v>
      </c>
      <c r="F1660" s="8" t="s">
        <v>33</v>
      </c>
      <c r="G1660" s="8" t="s">
        <v>36</v>
      </c>
      <c r="H1660" s="8" t="s">
        <v>46</v>
      </c>
      <c r="I1660" s="11">
        <v>8</v>
      </c>
      <c r="J1660" s="12">
        <v>690</v>
      </c>
      <c r="K1660" s="13">
        <v>0.15</v>
      </c>
      <c r="L1660" s="12">
        <v>494.42</v>
      </c>
      <c r="M1660" s="14">
        <f>ROUND(tblSprzedaz[[#This Row],[Ilość]]*tblSprzedaz[[#This Row],[Cena netto jednostkowa]]*(1-tblSprzedaz[[#This Row],[Rabat %]]),2)</f>
        <v>4692</v>
      </c>
      <c r="N1660" s="14">
        <f>ROUND(tblSprzedaz[[#This Row],[Ilość]]*tblSprzedaz[[#This Row],[Koszt jednostkowy netto]],2)</f>
        <v>3955.36</v>
      </c>
      <c r="O1660" s="14">
        <f>tblSprzedaz[[#This Row],[Przychód netto]]-tblSprzedaz[[#This Row],[Koszt całkowity netto]]</f>
        <v>736.63999999999987</v>
      </c>
      <c r="P1660" s="15">
        <f>IFERROR(tblSprzedaz[[#This Row],[Marża kwotowa]]/tblSprzedaz[[#This Row],[Przychód netto]],0)</f>
        <v>0.15699914748508095</v>
      </c>
      <c r="Q1660" s="16">
        <f>YEAR(tblSprzedaz[[#This Row],[Data]])</f>
        <v>2026</v>
      </c>
      <c r="R1660" s="16">
        <f>MONTH(tblSprzedaz[[#This Row],[Data]])</f>
        <v>3</v>
      </c>
      <c r="S1660" s="9" t="str">
        <f>YEAR(tblSprzedaz[[#This Row],[Data]])&amp;"-"&amp;RIGHT("0"&amp;MONTH(tblSprzedaz[[#This Row],[Data]]),2)</f>
        <v>2026-03</v>
      </c>
    </row>
    <row r="1661" spans="1:19" x14ac:dyDescent="0.25">
      <c r="A1661" s="7" t="s">
        <v>3489</v>
      </c>
      <c r="B1661" s="10">
        <v>46102</v>
      </c>
      <c r="C1661" s="7" t="s">
        <v>3490</v>
      </c>
      <c r="D1661" s="8" t="s">
        <v>101</v>
      </c>
      <c r="E1661" s="8" t="s">
        <v>76</v>
      </c>
      <c r="F1661" s="8" t="s">
        <v>37</v>
      </c>
      <c r="G1661" s="8" t="s">
        <v>28</v>
      </c>
      <c r="H1661" s="8" t="s">
        <v>39</v>
      </c>
      <c r="I1661" s="11">
        <v>5</v>
      </c>
      <c r="J1661" s="12">
        <v>158.65</v>
      </c>
      <c r="K1661" s="13">
        <v>0.05</v>
      </c>
      <c r="L1661" s="12">
        <v>126.12</v>
      </c>
      <c r="M1661" s="14">
        <f>ROUND(tblSprzedaz[[#This Row],[Ilość]]*tblSprzedaz[[#This Row],[Cena netto jednostkowa]]*(1-tblSprzedaz[[#This Row],[Rabat %]]),2)</f>
        <v>753.59</v>
      </c>
      <c r="N1661" s="14">
        <f>ROUND(tblSprzedaz[[#This Row],[Ilość]]*tblSprzedaz[[#This Row],[Koszt jednostkowy netto]],2)</f>
        <v>630.6</v>
      </c>
      <c r="O1661" s="14">
        <f>tblSprzedaz[[#This Row],[Przychód netto]]-tblSprzedaz[[#This Row],[Koszt całkowity netto]]</f>
        <v>122.99000000000001</v>
      </c>
      <c r="P1661" s="15">
        <f>IFERROR(tblSprzedaz[[#This Row],[Marża kwotowa]]/tblSprzedaz[[#This Row],[Przychód netto]],0)</f>
        <v>0.16320545654799029</v>
      </c>
      <c r="Q1661" s="16">
        <f>YEAR(tblSprzedaz[[#This Row],[Data]])</f>
        <v>2026</v>
      </c>
      <c r="R1661" s="16">
        <f>MONTH(tblSprzedaz[[#This Row],[Data]])</f>
        <v>3</v>
      </c>
      <c r="S1661" s="9" t="str">
        <f>YEAR(tblSprzedaz[[#This Row],[Data]])&amp;"-"&amp;RIGHT("0"&amp;MONTH(tblSprzedaz[[#This Row],[Data]]),2)</f>
        <v>2026-03</v>
      </c>
    </row>
    <row r="1662" spans="1:19" x14ac:dyDescent="0.25">
      <c r="A1662" s="7" t="s">
        <v>3491</v>
      </c>
      <c r="B1662" s="10">
        <v>46102</v>
      </c>
      <c r="C1662" s="7" t="s">
        <v>3492</v>
      </c>
      <c r="D1662" s="8" t="s">
        <v>125</v>
      </c>
      <c r="E1662" s="8" t="s">
        <v>69</v>
      </c>
      <c r="F1662" s="8" t="s">
        <v>35</v>
      </c>
      <c r="G1662" s="8" t="s">
        <v>32</v>
      </c>
      <c r="H1662" s="8" t="s">
        <v>42</v>
      </c>
      <c r="I1662" s="11">
        <v>2</v>
      </c>
      <c r="J1662" s="12">
        <v>102</v>
      </c>
      <c r="K1662" s="13">
        <v>0</v>
      </c>
      <c r="L1662" s="12">
        <v>76.61</v>
      </c>
      <c r="M1662" s="14">
        <f>ROUND(tblSprzedaz[[#This Row],[Ilość]]*tblSprzedaz[[#This Row],[Cena netto jednostkowa]]*(1-tblSprzedaz[[#This Row],[Rabat %]]),2)</f>
        <v>204</v>
      </c>
      <c r="N1662" s="14">
        <f>ROUND(tblSprzedaz[[#This Row],[Ilość]]*tblSprzedaz[[#This Row],[Koszt jednostkowy netto]],2)</f>
        <v>153.22</v>
      </c>
      <c r="O1662" s="14">
        <f>tblSprzedaz[[#This Row],[Przychód netto]]-tblSprzedaz[[#This Row],[Koszt całkowity netto]]</f>
        <v>50.78</v>
      </c>
      <c r="P1662" s="15">
        <f>IFERROR(tblSprzedaz[[#This Row],[Marża kwotowa]]/tblSprzedaz[[#This Row],[Przychód netto]],0)</f>
        <v>0.24892156862745099</v>
      </c>
      <c r="Q1662" s="16">
        <f>YEAR(tblSprzedaz[[#This Row],[Data]])</f>
        <v>2026</v>
      </c>
      <c r="R1662" s="16">
        <f>MONTH(tblSprzedaz[[#This Row],[Data]])</f>
        <v>3</v>
      </c>
      <c r="S1662" s="9" t="str">
        <f>YEAR(tblSprzedaz[[#This Row],[Data]])&amp;"-"&amp;RIGHT("0"&amp;MONTH(tblSprzedaz[[#This Row],[Data]]),2)</f>
        <v>2026-03</v>
      </c>
    </row>
    <row r="1663" spans="1:19" x14ac:dyDescent="0.25">
      <c r="A1663" s="7" t="s">
        <v>3493</v>
      </c>
      <c r="B1663" s="10">
        <v>46103</v>
      </c>
      <c r="C1663" s="7" t="s">
        <v>3494</v>
      </c>
      <c r="D1663" s="8" t="s">
        <v>116</v>
      </c>
      <c r="E1663" s="8" t="s">
        <v>52</v>
      </c>
      <c r="F1663" s="8" t="s">
        <v>29</v>
      </c>
      <c r="G1663" s="8" t="s">
        <v>36</v>
      </c>
      <c r="H1663" s="8" t="s">
        <v>46</v>
      </c>
      <c r="I1663" s="11">
        <v>21</v>
      </c>
      <c r="J1663" s="12">
        <v>56.78</v>
      </c>
      <c r="K1663" s="13">
        <v>0.05</v>
      </c>
      <c r="L1663" s="12">
        <v>31.85</v>
      </c>
      <c r="M1663" s="14">
        <f>ROUND(tblSprzedaz[[#This Row],[Ilość]]*tblSprzedaz[[#This Row],[Cena netto jednostkowa]]*(1-tblSprzedaz[[#This Row],[Rabat %]]),2)</f>
        <v>1132.76</v>
      </c>
      <c r="N1663" s="14">
        <f>ROUND(tblSprzedaz[[#This Row],[Ilość]]*tblSprzedaz[[#This Row],[Koszt jednostkowy netto]],2)</f>
        <v>668.85</v>
      </c>
      <c r="O1663" s="14">
        <f>tblSprzedaz[[#This Row],[Przychód netto]]-tblSprzedaz[[#This Row],[Koszt całkowity netto]]</f>
        <v>463.90999999999997</v>
      </c>
      <c r="P1663" s="15">
        <f>IFERROR(tblSprzedaz[[#This Row],[Marża kwotowa]]/tblSprzedaz[[#This Row],[Przychód netto]],0)</f>
        <v>0.40953953176312718</v>
      </c>
      <c r="Q1663" s="16">
        <f>YEAR(tblSprzedaz[[#This Row],[Data]])</f>
        <v>2026</v>
      </c>
      <c r="R1663" s="16">
        <f>MONTH(tblSprzedaz[[#This Row],[Data]])</f>
        <v>3</v>
      </c>
      <c r="S1663" s="9" t="str">
        <f>YEAR(tblSprzedaz[[#This Row],[Data]])&amp;"-"&amp;RIGHT("0"&amp;MONTH(tblSprzedaz[[#This Row],[Data]]),2)</f>
        <v>2026-03</v>
      </c>
    </row>
    <row r="1664" spans="1:19" x14ac:dyDescent="0.25">
      <c r="A1664" s="7" t="s">
        <v>3495</v>
      </c>
      <c r="B1664" s="10">
        <v>46103</v>
      </c>
      <c r="C1664" s="7" t="s">
        <v>3496</v>
      </c>
      <c r="D1664" s="8" t="s">
        <v>149</v>
      </c>
      <c r="E1664" s="8" t="s">
        <v>63</v>
      </c>
      <c r="F1664" s="8" t="s">
        <v>33</v>
      </c>
      <c r="G1664" s="8" t="s">
        <v>36</v>
      </c>
      <c r="H1664" s="8" t="s">
        <v>46</v>
      </c>
      <c r="I1664" s="11">
        <v>18</v>
      </c>
      <c r="J1664" s="12">
        <v>690</v>
      </c>
      <c r="K1664" s="13">
        <v>0.1</v>
      </c>
      <c r="L1664" s="12">
        <v>452.98</v>
      </c>
      <c r="M1664" s="14">
        <f>ROUND(tblSprzedaz[[#This Row],[Ilość]]*tblSprzedaz[[#This Row],[Cena netto jednostkowa]]*(1-tblSprzedaz[[#This Row],[Rabat %]]),2)</f>
        <v>11178</v>
      </c>
      <c r="N1664" s="14">
        <f>ROUND(tblSprzedaz[[#This Row],[Ilość]]*tblSprzedaz[[#This Row],[Koszt jednostkowy netto]],2)</f>
        <v>8153.64</v>
      </c>
      <c r="O1664" s="14">
        <f>tblSprzedaz[[#This Row],[Przychód netto]]-tblSprzedaz[[#This Row],[Koszt całkowity netto]]</f>
        <v>3024.3599999999997</v>
      </c>
      <c r="P1664" s="15">
        <f>IFERROR(tblSprzedaz[[#This Row],[Marża kwotowa]]/tblSprzedaz[[#This Row],[Przychód netto]],0)</f>
        <v>0.27056360708534621</v>
      </c>
      <c r="Q1664" s="16">
        <f>YEAR(tblSprzedaz[[#This Row],[Data]])</f>
        <v>2026</v>
      </c>
      <c r="R1664" s="16">
        <f>MONTH(tblSprzedaz[[#This Row],[Data]])</f>
        <v>3</v>
      </c>
      <c r="S1664" s="9" t="str">
        <f>YEAR(tblSprzedaz[[#This Row],[Data]])&amp;"-"&amp;RIGHT("0"&amp;MONTH(tblSprzedaz[[#This Row],[Data]]),2)</f>
        <v>2026-03</v>
      </c>
    </row>
    <row r="1665" spans="1:19" x14ac:dyDescent="0.25">
      <c r="A1665" s="7" t="s">
        <v>3497</v>
      </c>
      <c r="B1665" s="10">
        <v>46104</v>
      </c>
      <c r="C1665" s="7" t="s">
        <v>3498</v>
      </c>
      <c r="D1665" s="8" t="s">
        <v>129</v>
      </c>
      <c r="E1665" s="8" t="s">
        <v>59</v>
      </c>
      <c r="F1665" s="8" t="s">
        <v>31</v>
      </c>
      <c r="G1665" s="8" t="s">
        <v>36</v>
      </c>
      <c r="H1665" s="8" t="s">
        <v>46</v>
      </c>
      <c r="I1665" s="11">
        <v>14</v>
      </c>
      <c r="J1665" s="12">
        <v>172.2</v>
      </c>
      <c r="K1665" s="13">
        <v>0</v>
      </c>
      <c r="L1665" s="12">
        <v>112.46</v>
      </c>
      <c r="M1665" s="14">
        <f>ROUND(tblSprzedaz[[#This Row],[Ilość]]*tblSprzedaz[[#This Row],[Cena netto jednostkowa]]*(1-tblSprzedaz[[#This Row],[Rabat %]]),2)</f>
        <v>2410.8000000000002</v>
      </c>
      <c r="N1665" s="14">
        <f>ROUND(tblSprzedaz[[#This Row],[Ilość]]*tblSprzedaz[[#This Row],[Koszt jednostkowy netto]],2)</f>
        <v>1574.44</v>
      </c>
      <c r="O1665" s="14">
        <f>tblSprzedaz[[#This Row],[Przychód netto]]-tblSprzedaz[[#This Row],[Koszt całkowity netto]]</f>
        <v>836.36000000000013</v>
      </c>
      <c r="P1665" s="15">
        <f>IFERROR(tblSprzedaz[[#This Row],[Marża kwotowa]]/tblSprzedaz[[#This Row],[Przychód netto]],0)</f>
        <v>0.34692218350754939</v>
      </c>
      <c r="Q1665" s="16">
        <f>YEAR(tblSprzedaz[[#This Row],[Data]])</f>
        <v>2026</v>
      </c>
      <c r="R1665" s="16">
        <f>MONTH(tblSprzedaz[[#This Row],[Data]])</f>
        <v>3</v>
      </c>
      <c r="S1665" s="9" t="str">
        <f>YEAR(tblSprzedaz[[#This Row],[Data]])&amp;"-"&amp;RIGHT("0"&amp;MONTH(tblSprzedaz[[#This Row],[Data]]),2)</f>
        <v>2026-03</v>
      </c>
    </row>
    <row r="1666" spans="1:19" x14ac:dyDescent="0.25">
      <c r="A1666" s="7" t="s">
        <v>3499</v>
      </c>
      <c r="B1666" s="10">
        <v>46104</v>
      </c>
      <c r="C1666" s="7" t="s">
        <v>3500</v>
      </c>
      <c r="D1666" s="8" t="s">
        <v>98</v>
      </c>
      <c r="E1666" s="8" t="s">
        <v>67</v>
      </c>
      <c r="F1666" s="8" t="s">
        <v>35</v>
      </c>
      <c r="G1666" s="8" t="s">
        <v>34</v>
      </c>
      <c r="H1666" s="8" t="s">
        <v>45</v>
      </c>
      <c r="I1666" s="11">
        <v>1</v>
      </c>
      <c r="J1666" s="12">
        <v>78.88</v>
      </c>
      <c r="K1666" s="13">
        <v>0.05</v>
      </c>
      <c r="L1666" s="12">
        <v>59.28</v>
      </c>
      <c r="M1666" s="14">
        <f>ROUND(tblSprzedaz[[#This Row],[Ilość]]*tblSprzedaz[[#This Row],[Cena netto jednostkowa]]*(1-tblSprzedaz[[#This Row],[Rabat %]]),2)</f>
        <v>74.94</v>
      </c>
      <c r="N1666" s="14">
        <f>ROUND(tblSprzedaz[[#This Row],[Ilość]]*tblSprzedaz[[#This Row],[Koszt jednostkowy netto]],2)</f>
        <v>59.28</v>
      </c>
      <c r="O1666" s="14">
        <f>tblSprzedaz[[#This Row],[Przychód netto]]-tblSprzedaz[[#This Row],[Koszt całkowity netto]]</f>
        <v>15.659999999999997</v>
      </c>
      <c r="P1666" s="15">
        <f>IFERROR(tblSprzedaz[[#This Row],[Marża kwotowa]]/tblSprzedaz[[#This Row],[Przychód netto]],0)</f>
        <v>0.20896717373899115</v>
      </c>
      <c r="Q1666" s="16">
        <f>YEAR(tblSprzedaz[[#This Row],[Data]])</f>
        <v>2026</v>
      </c>
      <c r="R1666" s="16">
        <f>MONTH(tblSprzedaz[[#This Row],[Data]])</f>
        <v>3</v>
      </c>
      <c r="S1666" s="9" t="str">
        <f>YEAR(tblSprzedaz[[#This Row],[Data]])&amp;"-"&amp;RIGHT("0"&amp;MONTH(tblSprzedaz[[#This Row],[Data]]),2)</f>
        <v>2026-03</v>
      </c>
    </row>
    <row r="1667" spans="1:19" x14ac:dyDescent="0.25">
      <c r="A1667" s="7" t="s">
        <v>3501</v>
      </c>
      <c r="B1667" s="10">
        <v>46104</v>
      </c>
      <c r="C1667" s="7" t="s">
        <v>3502</v>
      </c>
      <c r="D1667" s="8" t="s">
        <v>108</v>
      </c>
      <c r="E1667" s="8" t="s">
        <v>76</v>
      </c>
      <c r="F1667" s="8" t="s">
        <v>37</v>
      </c>
      <c r="G1667" s="8" t="s">
        <v>34</v>
      </c>
      <c r="H1667" s="8" t="s">
        <v>45</v>
      </c>
      <c r="I1667" s="11">
        <v>9</v>
      </c>
      <c r="J1667" s="12">
        <v>158.65</v>
      </c>
      <c r="K1667" s="13">
        <v>0.1</v>
      </c>
      <c r="L1667" s="12">
        <v>123.89</v>
      </c>
      <c r="M1667" s="14">
        <f>ROUND(tblSprzedaz[[#This Row],[Ilość]]*tblSprzedaz[[#This Row],[Cena netto jednostkowa]]*(1-tblSprzedaz[[#This Row],[Rabat %]]),2)</f>
        <v>1285.07</v>
      </c>
      <c r="N1667" s="14">
        <f>ROUND(tblSprzedaz[[#This Row],[Ilość]]*tblSprzedaz[[#This Row],[Koszt jednostkowy netto]],2)</f>
        <v>1115.01</v>
      </c>
      <c r="O1667" s="14">
        <f>tblSprzedaz[[#This Row],[Przychód netto]]-tblSprzedaz[[#This Row],[Koszt całkowity netto]]</f>
        <v>170.05999999999995</v>
      </c>
      <c r="P1667" s="15">
        <f>IFERROR(tblSprzedaz[[#This Row],[Marża kwotowa]]/tblSprzedaz[[#This Row],[Przychód netto]],0)</f>
        <v>0.13233520352976877</v>
      </c>
      <c r="Q1667" s="16">
        <f>YEAR(tblSprzedaz[[#This Row],[Data]])</f>
        <v>2026</v>
      </c>
      <c r="R1667" s="16">
        <f>MONTH(tblSprzedaz[[#This Row],[Data]])</f>
        <v>3</v>
      </c>
      <c r="S1667" s="9" t="str">
        <f>YEAR(tblSprzedaz[[#This Row],[Data]])&amp;"-"&amp;RIGHT("0"&amp;MONTH(tblSprzedaz[[#This Row],[Data]]),2)</f>
        <v>2026-03</v>
      </c>
    </row>
    <row r="1668" spans="1:19" x14ac:dyDescent="0.25">
      <c r="A1668" s="7" t="s">
        <v>3503</v>
      </c>
      <c r="B1668" s="10">
        <v>46105</v>
      </c>
      <c r="C1668" s="7" t="s">
        <v>3504</v>
      </c>
      <c r="D1668" s="8" t="s">
        <v>95</v>
      </c>
      <c r="E1668" s="8" t="s">
        <v>63</v>
      </c>
      <c r="F1668" s="8" t="s">
        <v>33</v>
      </c>
      <c r="G1668" s="8" t="s">
        <v>30</v>
      </c>
      <c r="H1668" s="8" t="s">
        <v>41</v>
      </c>
      <c r="I1668" s="11">
        <v>21</v>
      </c>
      <c r="J1668" s="12">
        <v>690</v>
      </c>
      <c r="K1668" s="13">
        <v>0.1</v>
      </c>
      <c r="L1668" s="12">
        <v>450.08</v>
      </c>
      <c r="M1668" s="14">
        <f>ROUND(tblSprzedaz[[#This Row],[Ilość]]*tblSprzedaz[[#This Row],[Cena netto jednostkowa]]*(1-tblSprzedaz[[#This Row],[Rabat %]]),2)</f>
        <v>13041</v>
      </c>
      <c r="N1668" s="14">
        <f>ROUND(tblSprzedaz[[#This Row],[Ilość]]*tblSprzedaz[[#This Row],[Koszt jednostkowy netto]],2)</f>
        <v>9451.68</v>
      </c>
      <c r="O1668" s="14">
        <f>tblSprzedaz[[#This Row],[Przychód netto]]-tblSprzedaz[[#This Row],[Koszt całkowity netto]]</f>
        <v>3589.3199999999997</v>
      </c>
      <c r="P1668" s="15">
        <f>IFERROR(tblSprzedaz[[#This Row],[Marża kwotowa]]/tblSprzedaz[[#This Row],[Przychód netto]],0)</f>
        <v>0.27523349436392913</v>
      </c>
      <c r="Q1668" s="16">
        <f>YEAR(tblSprzedaz[[#This Row],[Data]])</f>
        <v>2026</v>
      </c>
      <c r="R1668" s="16">
        <f>MONTH(tblSprzedaz[[#This Row],[Data]])</f>
        <v>3</v>
      </c>
      <c r="S1668" s="9" t="str">
        <f>YEAR(tblSprzedaz[[#This Row],[Data]])&amp;"-"&amp;RIGHT("0"&amp;MONTH(tblSprzedaz[[#This Row],[Data]]),2)</f>
        <v>2026-03</v>
      </c>
    </row>
    <row r="1669" spans="1:19" x14ac:dyDescent="0.25">
      <c r="A1669" s="7" t="s">
        <v>3505</v>
      </c>
      <c r="B1669" s="10">
        <v>46105</v>
      </c>
      <c r="C1669" s="7" t="s">
        <v>3506</v>
      </c>
      <c r="D1669" s="8" t="s">
        <v>130</v>
      </c>
      <c r="E1669" s="8" t="s">
        <v>64</v>
      </c>
      <c r="F1669" s="8" t="s">
        <v>33</v>
      </c>
      <c r="G1669" s="8" t="s">
        <v>34</v>
      </c>
      <c r="H1669" s="8" t="s">
        <v>44</v>
      </c>
      <c r="I1669" s="11">
        <v>3</v>
      </c>
      <c r="J1669" s="12">
        <v>768.2</v>
      </c>
      <c r="K1669" s="13">
        <v>0.1</v>
      </c>
      <c r="L1669" s="12">
        <v>507.07</v>
      </c>
      <c r="M1669" s="14">
        <f>ROUND(tblSprzedaz[[#This Row],[Ilość]]*tblSprzedaz[[#This Row],[Cena netto jednostkowa]]*(1-tblSprzedaz[[#This Row],[Rabat %]]),2)</f>
        <v>2074.14</v>
      </c>
      <c r="N1669" s="14">
        <f>ROUND(tblSprzedaz[[#This Row],[Ilość]]*tblSprzedaz[[#This Row],[Koszt jednostkowy netto]],2)</f>
        <v>1521.21</v>
      </c>
      <c r="O1669" s="14">
        <f>tblSprzedaz[[#This Row],[Przychód netto]]-tblSprzedaz[[#This Row],[Koszt całkowity netto]]</f>
        <v>552.92999999999984</v>
      </c>
      <c r="P1669" s="15">
        <f>IFERROR(tblSprzedaz[[#This Row],[Marża kwotowa]]/tblSprzedaz[[#This Row],[Przychód netto]],0)</f>
        <v>0.2665827764760334</v>
      </c>
      <c r="Q1669" s="16">
        <f>YEAR(tblSprzedaz[[#This Row],[Data]])</f>
        <v>2026</v>
      </c>
      <c r="R1669" s="16">
        <f>MONTH(tblSprzedaz[[#This Row],[Data]])</f>
        <v>3</v>
      </c>
      <c r="S1669" s="9" t="str">
        <f>YEAR(tblSprzedaz[[#This Row],[Data]])&amp;"-"&amp;RIGHT("0"&amp;MONTH(tblSprzedaz[[#This Row],[Data]]),2)</f>
        <v>2026-03</v>
      </c>
    </row>
    <row r="1670" spans="1:19" x14ac:dyDescent="0.25">
      <c r="A1670" s="7" t="s">
        <v>3507</v>
      </c>
      <c r="B1670" s="10">
        <v>46105</v>
      </c>
      <c r="C1670" s="7" t="s">
        <v>3508</v>
      </c>
      <c r="D1670" s="8" t="s">
        <v>140</v>
      </c>
      <c r="E1670" s="8" t="s">
        <v>49</v>
      </c>
      <c r="F1670" s="8" t="s">
        <v>29</v>
      </c>
      <c r="G1670" s="8" t="s">
        <v>36</v>
      </c>
      <c r="H1670" s="8" t="s">
        <v>46</v>
      </c>
      <c r="I1670" s="11">
        <v>16</v>
      </c>
      <c r="J1670" s="12">
        <v>39.44</v>
      </c>
      <c r="K1670" s="13">
        <v>0</v>
      </c>
      <c r="L1670" s="12">
        <v>22.49</v>
      </c>
      <c r="M1670" s="14">
        <f>ROUND(tblSprzedaz[[#This Row],[Ilość]]*tblSprzedaz[[#This Row],[Cena netto jednostkowa]]*(1-tblSprzedaz[[#This Row],[Rabat %]]),2)</f>
        <v>631.04</v>
      </c>
      <c r="N1670" s="14">
        <f>ROUND(tblSprzedaz[[#This Row],[Ilość]]*tblSprzedaz[[#This Row],[Koszt jednostkowy netto]],2)</f>
        <v>359.84</v>
      </c>
      <c r="O1670" s="14">
        <f>tblSprzedaz[[#This Row],[Przychód netto]]-tblSprzedaz[[#This Row],[Koszt całkowity netto]]</f>
        <v>271.2</v>
      </c>
      <c r="P1670" s="15">
        <f>IFERROR(tblSprzedaz[[#This Row],[Marża kwotowa]]/tblSprzedaz[[#This Row],[Przychód netto]],0)</f>
        <v>0.42976673427991885</v>
      </c>
      <c r="Q1670" s="16">
        <f>YEAR(tblSprzedaz[[#This Row],[Data]])</f>
        <v>2026</v>
      </c>
      <c r="R1670" s="16">
        <f>MONTH(tblSprzedaz[[#This Row],[Data]])</f>
        <v>3</v>
      </c>
      <c r="S1670" s="9" t="str">
        <f>YEAR(tblSprzedaz[[#This Row],[Data]])&amp;"-"&amp;RIGHT("0"&amp;MONTH(tblSprzedaz[[#This Row],[Data]]),2)</f>
        <v>2026-03</v>
      </c>
    </row>
    <row r="1671" spans="1:19" x14ac:dyDescent="0.25">
      <c r="A1671" s="7" t="s">
        <v>3509</v>
      </c>
      <c r="B1671" s="10">
        <v>46105</v>
      </c>
      <c r="C1671" s="7" t="s">
        <v>3510</v>
      </c>
      <c r="D1671" s="8" t="s">
        <v>135</v>
      </c>
      <c r="E1671" s="8" t="s">
        <v>63</v>
      </c>
      <c r="F1671" s="8" t="s">
        <v>33</v>
      </c>
      <c r="G1671" s="8" t="s">
        <v>36</v>
      </c>
      <c r="H1671" s="8" t="s">
        <v>46</v>
      </c>
      <c r="I1671" s="11">
        <v>14</v>
      </c>
      <c r="J1671" s="12">
        <v>690</v>
      </c>
      <c r="K1671" s="13">
        <v>0.05</v>
      </c>
      <c r="L1671" s="12">
        <v>489.44</v>
      </c>
      <c r="M1671" s="14">
        <f>ROUND(tblSprzedaz[[#This Row],[Ilość]]*tblSprzedaz[[#This Row],[Cena netto jednostkowa]]*(1-tblSprzedaz[[#This Row],[Rabat %]]),2)</f>
        <v>9177</v>
      </c>
      <c r="N1671" s="14">
        <f>ROUND(tblSprzedaz[[#This Row],[Ilość]]*tblSprzedaz[[#This Row],[Koszt jednostkowy netto]],2)</f>
        <v>6852.16</v>
      </c>
      <c r="O1671" s="14">
        <f>tblSprzedaz[[#This Row],[Przychód netto]]-tblSprzedaz[[#This Row],[Koszt całkowity netto]]</f>
        <v>2324.84</v>
      </c>
      <c r="P1671" s="15">
        <f>IFERROR(tblSprzedaz[[#This Row],[Marża kwotowa]]/tblSprzedaz[[#This Row],[Przychód netto]],0)</f>
        <v>0.25333333333333335</v>
      </c>
      <c r="Q1671" s="16">
        <f>YEAR(tblSprzedaz[[#This Row],[Data]])</f>
        <v>2026</v>
      </c>
      <c r="R1671" s="16">
        <f>MONTH(tblSprzedaz[[#This Row],[Data]])</f>
        <v>3</v>
      </c>
      <c r="S1671" s="9" t="str">
        <f>YEAR(tblSprzedaz[[#This Row],[Data]])&amp;"-"&amp;RIGHT("0"&amp;MONTH(tblSprzedaz[[#This Row],[Data]]),2)</f>
        <v>2026-03</v>
      </c>
    </row>
    <row r="1672" spans="1:19" x14ac:dyDescent="0.25">
      <c r="A1672" s="7" t="s">
        <v>3511</v>
      </c>
      <c r="B1672" s="10">
        <v>46105</v>
      </c>
      <c r="C1672" s="7" t="s">
        <v>3512</v>
      </c>
      <c r="D1672" s="8" t="s">
        <v>86</v>
      </c>
      <c r="E1672" s="8" t="s">
        <v>64</v>
      </c>
      <c r="F1672" s="8" t="s">
        <v>33</v>
      </c>
      <c r="G1672" s="8" t="s">
        <v>28</v>
      </c>
      <c r="H1672" s="8" t="s">
        <v>39</v>
      </c>
      <c r="I1672" s="11">
        <v>11</v>
      </c>
      <c r="J1672" s="12">
        <v>768.2</v>
      </c>
      <c r="K1672" s="13">
        <v>0.1</v>
      </c>
      <c r="L1672" s="12">
        <v>540.49</v>
      </c>
      <c r="M1672" s="14">
        <f>ROUND(tblSprzedaz[[#This Row],[Ilość]]*tblSprzedaz[[#This Row],[Cena netto jednostkowa]]*(1-tblSprzedaz[[#This Row],[Rabat %]]),2)</f>
        <v>7605.18</v>
      </c>
      <c r="N1672" s="14">
        <f>ROUND(tblSprzedaz[[#This Row],[Ilość]]*tblSprzedaz[[#This Row],[Koszt jednostkowy netto]],2)</f>
        <v>5945.39</v>
      </c>
      <c r="O1672" s="14">
        <f>tblSprzedaz[[#This Row],[Przychód netto]]-tblSprzedaz[[#This Row],[Koszt całkowity netto]]</f>
        <v>1659.79</v>
      </c>
      <c r="P1672" s="15">
        <f>IFERROR(tblSprzedaz[[#This Row],[Marża kwotowa]]/tblSprzedaz[[#This Row],[Przychód netto]],0)</f>
        <v>0.21824467008012957</v>
      </c>
      <c r="Q1672" s="16">
        <f>YEAR(tblSprzedaz[[#This Row],[Data]])</f>
        <v>2026</v>
      </c>
      <c r="R1672" s="16">
        <f>MONTH(tblSprzedaz[[#This Row],[Data]])</f>
        <v>3</v>
      </c>
      <c r="S1672" s="9" t="str">
        <f>YEAR(tblSprzedaz[[#This Row],[Data]])&amp;"-"&amp;RIGHT("0"&amp;MONTH(tblSprzedaz[[#This Row],[Data]]),2)</f>
        <v>2026-03</v>
      </c>
    </row>
    <row r="1673" spans="1:19" x14ac:dyDescent="0.25">
      <c r="A1673" s="7" t="s">
        <v>3513</v>
      </c>
      <c r="B1673" s="10">
        <v>46105</v>
      </c>
      <c r="C1673" s="7" t="s">
        <v>3514</v>
      </c>
      <c r="D1673" s="8" t="s">
        <v>96</v>
      </c>
      <c r="E1673" s="8" t="s">
        <v>48</v>
      </c>
      <c r="F1673" s="8" t="s">
        <v>29</v>
      </c>
      <c r="G1673" s="8" t="s">
        <v>36</v>
      </c>
      <c r="H1673" s="8" t="s">
        <v>46</v>
      </c>
      <c r="I1673" s="11">
        <v>20</v>
      </c>
      <c r="J1673" s="12">
        <v>33.659999999999997</v>
      </c>
      <c r="K1673" s="13">
        <v>0</v>
      </c>
      <c r="L1673" s="12">
        <v>19.03</v>
      </c>
      <c r="M1673" s="14">
        <f>ROUND(tblSprzedaz[[#This Row],[Ilość]]*tblSprzedaz[[#This Row],[Cena netto jednostkowa]]*(1-tblSprzedaz[[#This Row],[Rabat %]]),2)</f>
        <v>673.2</v>
      </c>
      <c r="N1673" s="14">
        <f>ROUND(tblSprzedaz[[#This Row],[Ilość]]*tblSprzedaz[[#This Row],[Koszt jednostkowy netto]],2)</f>
        <v>380.6</v>
      </c>
      <c r="O1673" s="14">
        <f>tblSprzedaz[[#This Row],[Przychód netto]]-tblSprzedaz[[#This Row],[Koszt całkowity netto]]</f>
        <v>292.60000000000002</v>
      </c>
      <c r="P1673" s="15">
        <f>IFERROR(tblSprzedaz[[#This Row],[Marża kwotowa]]/tblSprzedaz[[#This Row],[Przychód netto]],0)</f>
        <v>0.434640522875817</v>
      </c>
      <c r="Q1673" s="16">
        <f>YEAR(tblSprzedaz[[#This Row],[Data]])</f>
        <v>2026</v>
      </c>
      <c r="R1673" s="16">
        <f>MONTH(tblSprzedaz[[#This Row],[Data]])</f>
        <v>3</v>
      </c>
      <c r="S1673" s="9" t="str">
        <f>YEAR(tblSprzedaz[[#This Row],[Data]])&amp;"-"&amp;RIGHT("0"&amp;MONTH(tblSprzedaz[[#This Row],[Data]]),2)</f>
        <v>2026-03</v>
      </c>
    </row>
    <row r="1674" spans="1:19" x14ac:dyDescent="0.25">
      <c r="A1674" s="7" t="s">
        <v>3515</v>
      </c>
      <c r="B1674" s="10">
        <v>46106</v>
      </c>
      <c r="C1674" s="7" t="s">
        <v>3516</v>
      </c>
      <c r="D1674" s="8" t="s">
        <v>96</v>
      </c>
      <c r="E1674" s="8" t="s">
        <v>48</v>
      </c>
      <c r="F1674" s="8" t="s">
        <v>29</v>
      </c>
      <c r="G1674" s="8" t="s">
        <v>34</v>
      </c>
      <c r="H1674" s="8" t="s">
        <v>45</v>
      </c>
      <c r="I1674" s="11">
        <v>1</v>
      </c>
      <c r="J1674" s="12">
        <v>33.659999999999997</v>
      </c>
      <c r="K1674" s="13">
        <v>0.1</v>
      </c>
      <c r="L1674" s="12">
        <v>20.91</v>
      </c>
      <c r="M1674" s="14">
        <f>ROUND(tblSprzedaz[[#This Row],[Ilość]]*tblSprzedaz[[#This Row],[Cena netto jednostkowa]]*(1-tblSprzedaz[[#This Row],[Rabat %]]),2)</f>
        <v>30.29</v>
      </c>
      <c r="N1674" s="14">
        <f>ROUND(tblSprzedaz[[#This Row],[Ilość]]*tblSprzedaz[[#This Row],[Koszt jednostkowy netto]],2)</f>
        <v>20.91</v>
      </c>
      <c r="O1674" s="14">
        <f>tblSprzedaz[[#This Row],[Przychód netto]]-tblSprzedaz[[#This Row],[Koszt całkowity netto]]</f>
        <v>9.379999999999999</v>
      </c>
      <c r="P1674" s="15">
        <f>IFERROR(tblSprzedaz[[#This Row],[Marża kwotowa]]/tblSprzedaz[[#This Row],[Przychód netto]],0)</f>
        <v>0.30967315945856716</v>
      </c>
      <c r="Q1674" s="16">
        <f>YEAR(tblSprzedaz[[#This Row],[Data]])</f>
        <v>2026</v>
      </c>
      <c r="R1674" s="16">
        <f>MONTH(tblSprzedaz[[#This Row],[Data]])</f>
        <v>3</v>
      </c>
      <c r="S1674" s="9" t="str">
        <f>YEAR(tblSprzedaz[[#This Row],[Data]])&amp;"-"&amp;RIGHT("0"&amp;MONTH(tblSprzedaz[[#This Row],[Data]]),2)</f>
        <v>2026-03</v>
      </c>
    </row>
    <row r="1675" spans="1:19" x14ac:dyDescent="0.25">
      <c r="A1675" s="7" t="s">
        <v>3517</v>
      </c>
      <c r="B1675" s="10">
        <v>46106</v>
      </c>
      <c r="C1675" s="7" t="s">
        <v>3518</v>
      </c>
      <c r="D1675" s="8" t="s">
        <v>119</v>
      </c>
      <c r="E1675" s="8" t="s">
        <v>61</v>
      </c>
      <c r="F1675" s="8" t="s">
        <v>33</v>
      </c>
      <c r="G1675" s="8" t="s">
        <v>34</v>
      </c>
      <c r="H1675" s="8" t="s">
        <v>45</v>
      </c>
      <c r="I1675" s="11">
        <v>2</v>
      </c>
      <c r="J1675" s="12">
        <v>533.6</v>
      </c>
      <c r="K1675" s="13">
        <v>0.05</v>
      </c>
      <c r="L1675" s="12">
        <v>368.21</v>
      </c>
      <c r="M1675" s="14">
        <f>ROUND(tblSprzedaz[[#This Row],[Ilość]]*tblSprzedaz[[#This Row],[Cena netto jednostkowa]]*(1-tblSprzedaz[[#This Row],[Rabat %]]),2)</f>
        <v>1013.84</v>
      </c>
      <c r="N1675" s="14">
        <f>ROUND(tblSprzedaz[[#This Row],[Ilość]]*tblSprzedaz[[#This Row],[Koszt jednostkowy netto]],2)</f>
        <v>736.42</v>
      </c>
      <c r="O1675" s="14">
        <f>tblSprzedaz[[#This Row],[Przychód netto]]-tblSprzedaz[[#This Row],[Koszt całkowity netto]]</f>
        <v>277.42000000000007</v>
      </c>
      <c r="P1675" s="15">
        <f>IFERROR(tblSprzedaz[[#This Row],[Marża kwotowa]]/tblSprzedaz[[#This Row],[Przychód netto]],0)</f>
        <v>0.27363292038191439</v>
      </c>
      <c r="Q1675" s="16">
        <f>YEAR(tblSprzedaz[[#This Row],[Data]])</f>
        <v>2026</v>
      </c>
      <c r="R1675" s="16">
        <f>MONTH(tblSprzedaz[[#This Row],[Data]])</f>
        <v>3</v>
      </c>
      <c r="S1675" s="9" t="str">
        <f>YEAR(tblSprzedaz[[#This Row],[Data]])&amp;"-"&amp;RIGHT("0"&amp;MONTH(tblSprzedaz[[#This Row],[Data]]),2)</f>
        <v>2026-03</v>
      </c>
    </row>
    <row r="1676" spans="1:19" x14ac:dyDescent="0.25">
      <c r="A1676" s="7" t="s">
        <v>3519</v>
      </c>
      <c r="B1676" s="10">
        <v>46106</v>
      </c>
      <c r="C1676" s="7" t="s">
        <v>3520</v>
      </c>
      <c r="D1676" s="8" t="s">
        <v>133</v>
      </c>
      <c r="E1676" s="8" t="s">
        <v>70</v>
      </c>
      <c r="F1676" s="8" t="s">
        <v>35</v>
      </c>
      <c r="G1676" s="8" t="s">
        <v>32</v>
      </c>
      <c r="H1676" s="8" t="s">
        <v>43</v>
      </c>
      <c r="I1676" s="11">
        <v>3</v>
      </c>
      <c r="J1676" s="12">
        <v>113.56</v>
      </c>
      <c r="K1676" s="13">
        <v>0</v>
      </c>
      <c r="L1676" s="12">
        <v>81.8</v>
      </c>
      <c r="M1676" s="14">
        <f>ROUND(tblSprzedaz[[#This Row],[Ilość]]*tblSprzedaz[[#This Row],[Cena netto jednostkowa]]*(1-tblSprzedaz[[#This Row],[Rabat %]]),2)</f>
        <v>340.68</v>
      </c>
      <c r="N1676" s="14">
        <f>ROUND(tblSprzedaz[[#This Row],[Ilość]]*tblSprzedaz[[#This Row],[Koszt jednostkowy netto]],2)</f>
        <v>245.4</v>
      </c>
      <c r="O1676" s="14">
        <f>tblSprzedaz[[#This Row],[Przychód netto]]-tblSprzedaz[[#This Row],[Koszt całkowity netto]]</f>
        <v>95.28</v>
      </c>
      <c r="P1676" s="15">
        <f>IFERROR(tblSprzedaz[[#This Row],[Marża kwotowa]]/tblSprzedaz[[#This Row],[Przychód netto]],0)</f>
        <v>0.27967594223318071</v>
      </c>
      <c r="Q1676" s="16">
        <f>YEAR(tblSprzedaz[[#This Row],[Data]])</f>
        <v>2026</v>
      </c>
      <c r="R1676" s="16">
        <f>MONTH(tblSprzedaz[[#This Row],[Data]])</f>
        <v>3</v>
      </c>
      <c r="S1676" s="9" t="str">
        <f>YEAR(tblSprzedaz[[#This Row],[Data]])&amp;"-"&amp;RIGHT("0"&amp;MONTH(tblSprzedaz[[#This Row],[Data]]),2)</f>
        <v>2026-03</v>
      </c>
    </row>
    <row r="1677" spans="1:19" x14ac:dyDescent="0.25">
      <c r="A1677" s="7" t="s">
        <v>3521</v>
      </c>
      <c r="B1677" s="10">
        <v>46106</v>
      </c>
      <c r="C1677" s="7" t="s">
        <v>3522</v>
      </c>
      <c r="D1677" s="8" t="s">
        <v>96</v>
      </c>
      <c r="E1677" s="8" t="s">
        <v>63</v>
      </c>
      <c r="F1677" s="8" t="s">
        <v>33</v>
      </c>
      <c r="G1677" s="8" t="s">
        <v>32</v>
      </c>
      <c r="H1677" s="8" t="s">
        <v>43</v>
      </c>
      <c r="I1677" s="11">
        <v>6</v>
      </c>
      <c r="J1677" s="12">
        <v>690</v>
      </c>
      <c r="K1677" s="13">
        <v>0.1</v>
      </c>
      <c r="L1677" s="12">
        <v>444.64</v>
      </c>
      <c r="M1677" s="14">
        <f>ROUND(tblSprzedaz[[#This Row],[Ilość]]*tblSprzedaz[[#This Row],[Cena netto jednostkowa]]*(1-tblSprzedaz[[#This Row],[Rabat %]]),2)</f>
        <v>3726</v>
      </c>
      <c r="N1677" s="14">
        <f>ROUND(tblSprzedaz[[#This Row],[Ilość]]*tblSprzedaz[[#This Row],[Koszt jednostkowy netto]],2)</f>
        <v>2667.84</v>
      </c>
      <c r="O1677" s="14">
        <f>tblSprzedaz[[#This Row],[Przychód netto]]-tblSprzedaz[[#This Row],[Koszt całkowity netto]]</f>
        <v>1058.1599999999999</v>
      </c>
      <c r="P1677" s="15">
        <f>IFERROR(tblSprzedaz[[#This Row],[Marża kwotowa]]/tblSprzedaz[[#This Row],[Przychód netto]],0)</f>
        <v>0.28399355877616744</v>
      </c>
      <c r="Q1677" s="16">
        <f>YEAR(tblSprzedaz[[#This Row],[Data]])</f>
        <v>2026</v>
      </c>
      <c r="R1677" s="16">
        <f>MONTH(tblSprzedaz[[#This Row],[Data]])</f>
        <v>3</v>
      </c>
      <c r="S1677" s="9" t="str">
        <f>YEAR(tblSprzedaz[[#This Row],[Data]])&amp;"-"&amp;RIGHT("0"&amp;MONTH(tblSprzedaz[[#This Row],[Data]]),2)</f>
        <v>2026-03</v>
      </c>
    </row>
    <row r="1678" spans="1:19" x14ac:dyDescent="0.25">
      <c r="A1678" s="7" t="s">
        <v>3523</v>
      </c>
      <c r="B1678" s="10">
        <v>46106</v>
      </c>
      <c r="C1678" s="7" t="s">
        <v>3524</v>
      </c>
      <c r="D1678" s="8" t="s">
        <v>130</v>
      </c>
      <c r="E1678" s="8" t="s">
        <v>50</v>
      </c>
      <c r="F1678" s="8" t="s">
        <v>29</v>
      </c>
      <c r="G1678" s="8" t="s">
        <v>36</v>
      </c>
      <c r="H1678" s="8" t="s">
        <v>47</v>
      </c>
      <c r="I1678" s="11">
        <v>12</v>
      </c>
      <c r="J1678" s="12">
        <v>45.22</v>
      </c>
      <c r="K1678" s="13">
        <v>0.1</v>
      </c>
      <c r="L1678" s="12">
        <v>24.91</v>
      </c>
      <c r="M1678" s="14">
        <f>ROUND(tblSprzedaz[[#This Row],[Ilość]]*tblSprzedaz[[#This Row],[Cena netto jednostkowa]]*(1-tblSprzedaz[[#This Row],[Rabat %]]),2)</f>
        <v>488.38</v>
      </c>
      <c r="N1678" s="14">
        <f>ROUND(tblSprzedaz[[#This Row],[Ilość]]*tblSprzedaz[[#This Row],[Koszt jednostkowy netto]],2)</f>
        <v>298.92</v>
      </c>
      <c r="O1678" s="14">
        <f>tblSprzedaz[[#This Row],[Przychód netto]]-tblSprzedaz[[#This Row],[Koszt całkowity netto]]</f>
        <v>189.45999999999998</v>
      </c>
      <c r="P1678" s="15">
        <f>IFERROR(tblSprzedaz[[#This Row],[Marża kwotowa]]/tblSprzedaz[[#This Row],[Przychód netto]],0)</f>
        <v>0.38793562389942254</v>
      </c>
      <c r="Q1678" s="16">
        <f>YEAR(tblSprzedaz[[#This Row],[Data]])</f>
        <v>2026</v>
      </c>
      <c r="R1678" s="16">
        <f>MONTH(tblSprzedaz[[#This Row],[Data]])</f>
        <v>3</v>
      </c>
      <c r="S1678" s="9" t="str">
        <f>YEAR(tblSprzedaz[[#This Row],[Data]])&amp;"-"&amp;RIGHT("0"&amp;MONTH(tblSprzedaz[[#This Row],[Data]]),2)</f>
        <v>2026-03</v>
      </c>
    </row>
    <row r="1679" spans="1:19" x14ac:dyDescent="0.25">
      <c r="A1679" s="7" t="s">
        <v>3525</v>
      </c>
      <c r="B1679" s="10">
        <v>46106</v>
      </c>
      <c r="C1679" s="7" t="s">
        <v>3526</v>
      </c>
      <c r="D1679" s="8" t="s">
        <v>82</v>
      </c>
      <c r="E1679" s="8" t="s">
        <v>61</v>
      </c>
      <c r="F1679" s="8" t="s">
        <v>33</v>
      </c>
      <c r="G1679" s="8" t="s">
        <v>32</v>
      </c>
      <c r="H1679" s="8" t="s">
        <v>42</v>
      </c>
      <c r="I1679" s="11">
        <v>5</v>
      </c>
      <c r="J1679" s="12">
        <v>533.6</v>
      </c>
      <c r="K1679" s="13">
        <v>0</v>
      </c>
      <c r="L1679" s="12">
        <v>356.01</v>
      </c>
      <c r="M1679" s="14">
        <f>ROUND(tblSprzedaz[[#This Row],[Ilość]]*tblSprzedaz[[#This Row],[Cena netto jednostkowa]]*(1-tblSprzedaz[[#This Row],[Rabat %]]),2)</f>
        <v>2668</v>
      </c>
      <c r="N1679" s="14">
        <f>ROUND(tblSprzedaz[[#This Row],[Ilość]]*tblSprzedaz[[#This Row],[Koszt jednostkowy netto]],2)</f>
        <v>1780.05</v>
      </c>
      <c r="O1679" s="14">
        <f>tblSprzedaz[[#This Row],[Przychód netto]]-tblSprzedaz[[#This Row],[Koszt całkowity netto]]</f>
        <v>887.95</v>
      </c>
      <c r="P1679" s="15">
        <f>IFERROR(tblSprzedaz[[#This Row],[Marża kwotowa]]/tblSprzedaz[[#This Row],[Przychód netto]],0)</f>
        <v>0.33281484257871063</v>
      </c>
      <c r="Q1679" s="16">
        <f>YEAR(tblSprzedaz[[#This Row],[Data]])</f>
        <v>2026</v>
      </c>
      <c r="R1679" s="16">
        <f>MONTH(tblSprzedaz[[#This Row],[Data]])</f>
        <v>3</v>
      </c>
      <c r="S1679" s="9" t="str">
        <f>YEAR(tblSprzedaz[[#This Row],[Data]])&amp;"-"&amp;RIGHT("0"&amp;MONTH(tblSprzedaz[[#This Row],[Data]]),2)</f>
        <v>2026-03</v>
      </c>
    </row>
    <row r="1680" spans="1:19" x14ac:dyDescent="0.25">
      <c r="A1680" s="7" t="s">
        <v>3527</v>
      </c>
      <c r="B1680" s="10">
        <v>46107</v>
      </c>
      <c r="C1680" s="7" t="s">
        <v>3528</v>
      </c>
      <c r="D1680" s="8" t="s">
        <v>85</v>
      </c>
      <c r="E1680" s="8" t="s">
        <v>55</v>
      </c>
      <c r="F1680" s="8" t="s">
        <v>31</v>
      </c>
      <c r="G1680" s="8" t="s">
        <v>36</v>
      </c>
      <c r="H1680" s="8" t="s">
        <v>47</v>
      </c>
      <c r="I1680" s="11">
        <v>11</v>
      </c>
      <c r="J1680" s="12">
        <v>243.6</v>
      </c>
      <c r="K1680" s="13">
        <v>0</v>
      </c>
      <c r="L1680" s="12">
        <v>160.63999999999999</v>
      </c>
      <c r="M1680" s="14">
        <f>ROUND(tblSprzedaz[[#This Row],[Ilość]]*tblSprzedaz[[#This Row],[Cena netto jednostkowa]]*(1-tblSprzedaz[[#This Row],[Rabat %]]),2)</f>
        <v>2679.6</v>
      </c>
      <c r="N1680" s="14">
        <f>ROUND(tblSprzedaz[[#This Row],[Ilość]]*tblSprzedaz[[#This Row],[Koszt jednostkowy netto]],2)</f>
        <v>1767.04</v>
      </c>
      <c r="O1680" s="14">
        <f>tblSprzedaz[[#This Row],[Przychód netto]]-tblSprzedaz[[#This Row],[Koszt całkowity netto]]</f>
        <v>912.56</v>
      </c>
      <c r="P1680" s="15">
        <f>IFERROR(tblSprzedaz[[#This Row],[Marża kwotowa]]/tblSprzedaz[[#This Row],[Przychód netto]],0)</f>
        <v>0.34055829228243023</v>
      </c>
      <c r="Q1680" s="16">
        <f>YEAR(tblSprzedaz[[#This Row],[Data]])</f>
        <v>2026</v>
      </c>
      <c r="R1680" s="16">
        <f>MONTH(tblSprzedaz[[#This Row],[Data]])</f>
        <v>3</v>
      </c>
      <c r="S1680" s="9" t="str">
        <f>YEAR(tblSprzedaz[[#This Row],[Data]])&amp;"-"&amp;RIGHT("0"&amp;MONTH(tblSprzedaz[[#This Row],[Data]]),2)</f>
        <v>2026-03</v>
      </c>
    </row>
    <row r="1681" spans="1:19" x14ac:dyDescent="0.25">
      <c r="A1681" s="7" t="s">
        <v>3529</v>
      </c>
      <c r="B1681" s="10">
        <v>46107</v>
      </c>
      <c r="C1681" s="7" t="s">
        <v>3530</v>
      </c>
      <c r="D1681" s="8" t="s">
        <v>97</v>
      </c>
      <c r="E1681" s="8" t="s">
        <v>54</v>
      </c>
      <c r="F1681" s="8" t="s">
        <v>31</v>
      </c>
      <c r="G1681" s="8" t="s">
        <v>32</v>
      </c>
      <c r="H1681" s="8" t="s">
        <v>43</v>
      </c>
      <c r="I1681" s="11">
        <v>11</v>
      </c>
      <c r="J1681" s="12">
        <v>207.9</v>
      </c>
      <c r="K1681" s="13">
        <v>0.15</v>
      </c>
      <c r="L1681" s="12">
        <v>132.54</v>
      </c>
      <c r="M1681" s="14">
        <f>ROUND(tblSprzedaz[[#This Row],[Ilość]]*tblSprzedaz[[#This Row],[Cena netto jednostkowa]]*(1-tblSprzedaz[[#This Row],[Rabat %]]),2)</f>
        <v>1943.87</v>
      </c>
      <c r="N1681" s="14">
        <f>ROUND(tblSprzedaz[[#This Row],[Ilość]]*tblSprzedaz[[#This Row],[Koszt jednostkowy netto]],2)</f>
        <v>1457.94</v>
      </c>
      <c r="O1681" s="14">
        <f>tblSprzedaz[[#This Row],[Przychód netto]]-tblSprzedaz[[#This Row],[Koszt całkowity netto]]</f>
        <v>485.92999999999984</v>
      </c>
      <c r="P1681" s="15">
        <f>IFERROR(tblSprzedaz[[#This Row],[Marża kwotowa]]/tblSprzedaz[[#This Row],[Przychód netto]],0)</f>
        <v>0.24998070858647947</v>
      </c>
      <c r="Q1681" s="16">
        <f>YEAR(tblSprzedaz[[#This Row],[Data]])</f>
        <v>2026</v>
      </c>
      <c r="R1681" s="16">
        <f>MONTH(tblSprzedaz[[#This Row],[Data]])</f>
        <v>3</v>
      </c>
      <c r="S1681" s="9" t="str">
        <f>YEAR(tblSprzedaz[[#This Row],[Data]])&amp;"-"&amp;RIGHT("0"&amp;MONTH(tblSprzedaz[[#This Row],[Data]]),2)</f>
        <v>2026-03</v>
      </c>
    </row>
    <row r="1682" spans="1:19" x14ac:dyDescent="0.25">
      <c r="A1682" s="7" t="s">
        <v>3531</v>
      </c>
      <c r="B1682" s="10">
        <v>46107</v>
      </c>
      <c r="C1682" s="7" t="s">
        <v>3532</v>
      </c>
      <c r="D1682" s="8" t="s">
        <v>109</v>
      </c>
      <c r="E1682" s="8" t="s">
        <v>70</v>
      </c>
      <c r="F1682" s="8" t="s">
        <v>35</v>
      </c>
      <c r="G1682" s="8" t="s">
        <v>32</v>
      </c>
      <c r="H1682" s="8" t="s">
        <v>42</v>
      </c>
      <c r="I1682" s="11">
        <v>25</v>
      </c>
      <c r="J1682" s="12">
        <v>113.56</v>
      </c>
      <c r="K1682" s="13">
        <v>0</v>
      </c>
      <c r="L1682" s="12">
        <v>79.25</v>
      </c>
      <c r="M1682" s="14">
        <f>ROUND(tblSprzedaz[[#This Row],[Ilość]]*tblSprzedaz[[#This Row],[Cena netto jednostkowa]]*(1-tblSprzedaz[[#This Row],[Rabat %]]),2)</f>
        <v>2839</v>
      </c>
      <c r="N1682" s="14">
        <f>ROUND(tblSprzedaz[[#This Row],[Ilość]]*tblSprzedaz[[#This Row],[Koszt jednostkowy netto]],2)</f>
        <v>1981.25</v>
      </c>
      <c r="O1682" s="14">
        <f>tblSprzedaz[[#This Row],[Przychód netto]]-tblSprzedaz[[#This Row],[Koszt całkowity netto]]</f>
        <v>857.75</v>
      </c>
      <c r="P1682" s="15">
        <f>IFERROR(tblSprzedaz[[#This Row],[Marża kwotowa]]/tblSprzedaz[[#This Row],[Przychód netto]],0)</f>
        <v>0.30213103205353997</v>
      </c>
      <c r="Q1682" s="16">
        <f>YEAR(tblSprzedaz[[#This Row],[Data]])</f>
        <v>2026</v>
      </c>
      <c r="R1682" s="16">
        <f>MONTH(tblSprzedaz[[#This Row],[Data]])</f>
        <v>3</v>
      </c>
      <c r="S1682" s="9" t="str">
        <f>YEAR(tblSprzedaz[[#This Row],[Data]])&amp;"-"&amp;RIGHT("0"&amp;MONTH(tblSprzedaz[[#This Row],[Data]]),2)</f>
        <v>2026-03</v>
      </c>
    </row>
    <row r="1683" spans="1:19" x14ac:dyDescent="0.25">
      <c r="A1683" s="7" t="s">
        <v>3533</v>
      </c>
      <c r="B1683" s="10">
        <v>46107</v>
      </c>
      <c r="C1683" s="7" t="s">
        <v>3534</v>
      </c>
      <c r="D1683" s="8" t="s">
        <v>133</v>
      </c>
      <c r="E1683" s="8" t="s">
        <v>48</v>
      </c>
      <c r="F1683" s="8" t="s">
        <v>29</v>
      </c>
      <c r="G1683" s="8" t="s">
        <v>36</v>
      </c>
      <c r="H1683" s="8" t="s">
        <v>47</v>
      </c>
      <c r="I1683" s="11">
        <v>18</v>
      </c>
      <c r="J1683" s="12">
        <v>33.659999999999997</v>
      </c>
      <c r="K1683" s="13">
        <v>0</v>
      </c>
      <c r="L1683" s="12">
        <v>20.3</v>
      </c>
      <c r="M1683" s="14">
        <f>ROUND(tblSprzedaz[[#This Row],[Ilość]]*tblSprzedaz[[#This Row],[Cena netto jednostkowa]]*(1-tblSprzedaz[[#This Row],[Rabat %]]),2)</f>
        <v>605.88</v>
      </c>
      <c r="N1683" s="14">
        <f>ROUND(tblSprzedaz[[#This Row],[Ilość]]*tblSprzedaz[[#This Row],[Koszt jednostkowy netto]],2)</f>
        <v>365.4</v>
      </c>
      <c r="O1683" s="14">
        <f>tblSprzedaz[[#This Row],[Przychód netto]]-tblSprzedaz[[#This Row],[Koszt całkowity netto]]</f>
        <v>240.48000000000002</v>
      </c>
      <c r="P1683" s="15">
        <f>IFERROR(tblSprzedaz[[#This Row],[Marża kwotowa]]/tblSprzedaz[[#This Row],[Przychód netto]],0)</f>
        <v>0.39691027926322048</v>
      </c>
      <c r="Q1683" s="16">
        <f>YEAR(tblSprzedaz[[#This Row],[Data]])</f>
        <v>2026</v>
      </c>
      <c r="R1683" s="16">
        <f>MONTH(tblSprzedaz[[#This Row],[Data]])</f>
        <v>3</v>
      </c>
      <c r="S1683" s="9" t="str">
        <f>YEAR(tblSprzedaz[[#This Row],[Data]])&amp;"-"&amp;RIGHT("0"&amp;MONTH(tblSprzedaz[[#This Row],[Data]]),2)</f>
        <v>2026-03</v>
      </c>
    </row>
    <row r="1684" spans="1:19" x14ac:dyDescent="0.25">
      <c r="A1684" s="7" t="s">
        <v>3535</v>
      </c>
      <c r="B1684" s="10">
        <v>46107</v>
      </c>
      <c r="C1684" s="7" t="s">
        <v>3536</v>
      </c>
      <c r="D1684" s="8" t="s">
        <v>116</v>
      </c>
      <c r="E1684" s="8" t="s">
        <v>56</v>
      </c>
      <c r="F1684" s="8" t="s">
        <v>31</v>
      </c>
      <c r="G1684" s="8" t="s">
        <v>30</v>
      </c>
      <c r="H1684" s="8" t="s">
        <v>40</v>
      </c>
      <c r="I1684" s="11">
        <v>3</v>
      </c>
      <c r="J1684" s="12">
        <v>279.3</v>
      </c>
      <c r="K1684" s="13">
        <v>0</v>
      </c>
      <c r="L1684" s="12">
        <v>177.79</v>
      </c>
      <c r="M1684" s="14">
        <f>ROUND(tblSprzedaz[[#This Row],[Ilość]]*tblSprzedaz[[#This Row],[Cena netto jednostkowa]]*(1-tblSprzedaz[[#This Row],[Rabat %]]),2)</f>
        <v>837.9</v>
      </c>
      <c r="N1684" s="14">
        <f>ROUND(tblSprzedaz[[#This Row],[Ilość]]*tblSprzedaz[[#This Row],[Koszt jednostkowy netto]],2)</f>
        <v>533.37</v>
      </c>
      <c r="O1684" s="14">
        <f>tblSprzedaz[[#This Row],[Przychód netto]]-tblSprzedaz[[#This Row],[Koszt całkowity netto]]</f>
        <v>304.52999999999997</v>
      </c>
      <c r="P1684" s="15">
        <f>IFERROR(tblSprzedaz[[#This Row],[Marża kwotowa]]/tblSprzedaz[[#This Row],[Przychód netto]],0)</f>
        <v>0.36344432509846042</v>
      </c>
      <c r="Q1684" s="16">
        <f>YEAR(tblSprzedaz[[#This Row],[Data]])</f>
        <v>2026</v>
      </c>
      <c r="R1684" s="16">
        <f>MONTH(tblSprzedaz[[#This Row],[Data]])</f>
        <v>3</v>
      </c>
      <c r="S1684" s="9" t="str">
        <f>YEAR(tblSprzedaz[[#This Row],[Data]])&amp;"-"&amp;RIGHT("0"&amp;MONTH(tblSprzedaz[[#This Row],[Data]]),2)</f>
        <v>2026-03</v>
      </c>
    </row>
    <row r="1685" spans="1:19" x14ac:dyDescent="0.25">
      <c r="A1685" s="7" t="s">
        <v>3537</v>
      </c>
      <c r="B1685" s="10">
        <v>46108</v>
      </c>
      <c r="C1685" s="7" t="s">
        <v>3538</v>
      </c>
      <c r="D1685" s="8" t="s">
        <v>96</v>
      </c>
      <c r="E1685" s="8" t="s">
        <v>50</v>
      </c>
      <c r="F1685" s="8" t="s">
        <v>29</v>
      </c>
      <c r="G1685" s="8" t="s">
        <v>30</v>
      </c>
      <c r="H1685" s="8" t="s">
        <v>41</v>
      </c>
      <c r="I1685" s="11">
        <v>21</v>
      </c>
      <c r="J1685" s="12">
        <v>45.22</v>
      </c>
      <c r="K1685" s="13">
        <v>0.1</v>
      </c>
      <c r="L1685" s="12">
        <v>27.44</v>
      </c>
      <c r="M1685" s="14">
        <f>ROUND(tblSprzedaz[[#This Row],[Ilość]]*tblSprzedaz[[#This Row],[Cena netto jednostkowa]]*(1-tblSprzedaz[[#This Row],[Rabat %]]),2)</f>
        <v>854.66</v>
      </c>
      <c r="N1685" s="14">
        <f>ROUND(tblSprzedaz[[#This Row],[Ilość]]*tblSprzedaz[[#This Row],[Koszt jednostkowy netto]],2)</f>
        <v>576.24</v>
      </c>
      <c r="O1685" s="14">
        <f>tblSprzedaz[[#This Row],[Przychód netto]]-tblSprzedaz[[#This Row],[Koszt całkowity netto]]</f>
        <v>278.41999999999996</v>
      </c>
      <c r="P1685" s="15">
        <f>IFERROR(tblSprzedaz[[#This Row],[Marża kwotowa]]/tblSprzedaz[[#This Row],[Przychód netto]],0)</f>
        <v>0.32576697166124535</v>
      </c>
      <c r="Q1685" s="16">
        <f>YEAR(tblSprzedaz[[#This Row],[Data]])</f>
        <v>2026</v>
      </c>
      <c r="R1685" s="16">
        <f>MONTH(tblSprzedaz[[#This Row],[Data]])</f>
        <v>3</v>
      </c>
      <c r="S1685" s="9" t="str">
        <f>YEAR(tblSprzedaz[[#This Row],[Data]])&amp;"-"&amp;RIGHT("0"&amp;MONTH(tblSprzedaz[[#This Row],[Data]]),2)</f>
        <v>2026-03</v>
      </c>
    </row>
    <row r="1686" spans="1:19" x14ac:dyDescent="0.25">
      <c r="A1686" s="7" t="s">
        <v>3539</v>
      </c>
      <c r="B1686" s="10">
        <v>46108</v>
      </c>
      <c r="C1686" s="7" t="s">
        <v>3540</v>
      </c>
      <c r="D1686" s="8" t="s">
        <v>137</v>
      </c>
      <c r="E1686" s="8" t="s">
        <v>75</v>
      </c>
      <c r="F1686" s="8" t="s">
        <v>37</v>
      </c>
      <c r="G1686" s="8" t="s">
        <v>30</v>
      </c>
      <c r="H1686" s="8" t="s">
        <v>40</v>
      </c>
      <c r="I1686" s="11">
        <v>9</v>
      </c>
      <c r="J1686" s="12">
        <v>142.5</v>
      </c>
      <c r="K1686" s="13">
        <v>0</v>
      </c>
      <c r="L1686" s="12">
        <v>107.72</v>
      </c>
      <c r="M1686" s="14">
        <f>ROUND(tblSprzedaz[[#This Row],[Ilość]]*tblSprzedaz[[#This Row],[Cena netto jednostkowa]]*(1-tblSprzedaz[[#This Row],[Rabat %]]),2)</f>
        <v>1282.5</v>
      </c>
      <c r="N1686" s="14">
        <f>ROUND(tblSprzedaz[[#This Row],[Ilość]]*tblSprzedaz[[#This Row],[Koszt jednostkowy netto]],2)</f>
        <v>969.48</v>
      </c>
      <c r="O1686" s="14">
        <f>tblSprzedaz[[#This Row],[Przychód netto]]-tblSprzedaz[[#This Row],[Koszt całkowity netto]]</f>
        <v>313.02</v>
      </c>
      <c r="P1686" s="15">
        <f>IFERROR(tblSprzedaz[[#This Row],[Marża kwotowa]]/tblSprzedaz[[#This Row],[Przychód netto]],0)</f>
        <v>0.24407017543859647</v>
      </c>
      <c r="Q1686" s="16">
        <f>YEAR(tblSprzedaz[[#This Row],[Data]])</f>
        <v>2026</v>
      </c>
      <c r="R1686" s="16">
        <f>MONTH(tblSprzedaz[[#This Row],[Data]])</f>
        <v>3</v>
      </c>
      <c r="S1686" s="9" t="str">
        <f>YEAR(tblSprzedaz[[#This Row],[Data]])&amp;"-"&amp;RIGHT("0"&amp;MONTH(tblSprzedaz[[#This Row],[Data]]),2)</f>
        <v>2026-03</v>
      </c>
    </row>
    <row r="1687" spans="1:19" x14ac:dyDescent="0.25">
      <c r="A1687" s="7" t="s">
        <v>3541</v>
      </c>
      <c r="B1687" s="10">
        <v>46108</v>
      </c>
      <c r="C1687" s="7" t="s">
        <v>3542</v>
      </c>
      <c r="D1687" s="8" t="s">
        <v>97</v>
      </c>
      <c r="E1687" s="8" t="s">
        <v>66</v>
      </c>
      <c r="F1687" s="8" t="s">
        <v>35</v>
      </c>
      <c r="G1687" s="8" t="s">
        <v>28</v>
      </c>
      <c r="H1687" s="8" t="s">
        <v>39</v>
      </c>
      <c r="I1687" s="11">
        <v>5</v>
      </c>
      <c r="J1687" s="12">
        <v>67.319999999999993</v>
      </c>
      <c r="K1687" s="13">
        <v>0.1</v>
      </c>
      <c r="L1687" s="12">
        <v>46.52</v>
      </c>
      <c r="M1687" s="14">
        <f>ROUND(tblSprzedaz[[#This Row],[Ilość]]*tblSprzedaz[[#This Row],[Cena netto jednostkowa]]*(1-tblSprzedaz[[#This Row],[Rabat %]]),2)</f>
        <v>302.94</v>
      </c>
      <c r="N1687" s="14">
        <f>ROUND(tblSprzedaz[[#This Row],[Ilość]]*tblSprzedaz[[#This Row],[Koszt jednostkowy netto]],2)</f>
        <v>232.6</v>
      </c>
      <c r="O1687" s="14">
        <f>tblSprzedaz[[#This Row],[Przychód netto]]-tblSprzedaz[[#This Row],[Koszt całkowity netto]]</f>
        <v>70.34</v>
      </c>
      <c r="P1687" s="15">
        <f>IFERROR(tblSprzedaz[[#This Row],[Marża kwotowa]]/tblSprzedaz[[#This Row],[Przychód netto]],0)</f>
        <v>0.23219119297550672</v>
      </c>
      <c r="Q1687" s="16">
        <f>YEAR(tblSprzedaz[[#This Row],[Data]])</f>
        <v>2026</v>
      </c>
      <c r="R1687" s="16">
        <f>MONTH(tblSprzedaz[[#This Row],[Data]])</f>
        <v>3</v>
      </c>
      <c r="S1687" s="9" t="str">
        <f>YEAR(tblSprzedaz[[#This Row],[Data]])&amp;"-"&amp;RIGHT("0"&amp;MONTH(tblSprzedaz[[#This Row],[Data]]),2)</f>
        <v>2026-03</v>
      </c>
    </row>
    <row r="1688" spans="1:19" x14ac:dyDescent="0.25">
      <c r="A1688" s="7" t="s">
        <v>3543</v>
      </c>
      <c r="B1688" s="10">
        <v>46108</v>
      </c>
      <c r="C1688" s="7" t="s">
        <v>3544</v>
      </c>
      <c r="D1688" s="8" t="s">
        <v>81</v>
      </c>
      <c r="E1688" s="8" t="s">
        <v>55</v>
      </c>
      <c r="F1688" s="8" t="s">
        <v>31</v>
      </c>
      <c r="G1688" s="8" t="s">
        <v>28</v>
      </c>
      <c r="H1688" s="8" t="s">
        <v>38</v>
      </c>
      <c r="I1688" s="11">
        <v>16</v>
      </c>
      <c r="J1688" s="12">
        <v>243.6</v>
      </c>
      <c r="K1688" s="13">
        <v>0</v>
      </c>
      <c r="L1688" s="12">
        <v>162.61000000000001</v>
      </c>
      <c r="M1688" s="14">
        <f>ROUND(tblSprzedaz[[#This Row],[Ilość]]*tblSprzedaz[[#This Row],[Cena netto jednostkowa]]*(1-tblSprzedaz[[#This Row],[Rabat %]]),2)</f>
        <v>3897.6</v>
      </c>
      <c r="N1688" s="14">
        <f>ROUND(tblSprzedaz[[#This Row],[Ilość]]*tblSprzedaz[[#This Row],[Koszt jednostkowy netto]],2)</f>
        <v>2601.7600000000002</v>
      </c>
      <c r="O1688" s="14">
        <f>tblSprzedaz[[#This Row],[Przychód netto]]-tblSprzedaz[[#This Row],[Koszt całkowity netto]]</f>
        <v>1295.8399999999997</v>
      </c>
      <c r="P1688" s="15">
        <f>IFERROR(tblSprzedaz[[#This Row],[Marża kwotowa]]/tblSprzedaz[[#This Row],[Przychód netto]],0)</f>
        <v>0.33247126436781604</v>
      </c>
      <c r="Q1688" s="16">
        <f>YEAR(tblSprzedaz[[#This Row],[Data]])</f>
        <v>2026</v>
      </c>
      <c r="R1688" s="16">
        <f>MONTH(tblSprzedaz[[#This Row],[Data]])</f>
        <v>3</v>
      </c>
      <c r="S1688" s="9" t="str">
        <f>YEAR(tblSprzedaz[[#This Row],[Data]])&amp;"-"&amp;RIGHT("0"&amp;MONTH(tblSprzedaz[[#This Row],[Data]]),2)</f>
        <v>2026-03</v>
      </c>
    </row>
    <row r="1689" spans="1:19" x14ac:dyDescent="0.25">
      <c r="A1689" s="7" t="s">
        <v>3545</v>
      </c>
      <c r="B1689" s="10">
        <v>46109</v>
      </c>
      <c r="C1689" s="7" t="s">
        <v>3546</v>
      </c>
      <c r="D1689" s="8" t="s">
        <v>107</v>
      </c>
      <c r="E1689" s="8" t="s">
        <v>77</v>
      </c>
      <c r="F1689" s="8" t="s">
        <v>37</v>
      </c>
      <c r="G1689" s="8" t="s">
        <v>36</v>
      </c>
      <c r="H1689" s="8" t="s">
        <v>46</v>
      </c>
      <c r="I1689" s="11">
        <v>13</v>
      </c>
      <c r="J1689" s="12">
        <v>77.900000000000006</v>
      </c>
      <c r="K1689" s="13">
        <v>0.05</v>
      </c>
      <c r="L1689" s="12">
        <v>57.15</v>
      </c>
      <c r="M1689" s="14">
        <f>ROUND(tblSprzedaz[[#This Row],[Ilość]]*tblSprzedaz[[#This Row],[Cena netto jednostkowa]]*(1-tblSprzedaz[[#This Row],[Rabat %]]),2)</f>
        <v>962.07</v>
      </c>
      <c r="N1689" s="14">
        <f>ROUND(tblSprzedaz[[#This Row],[Ilość]]*tblSprzedaz[[#This Row],[Koszt jednostkowy netto]],2)</f>
        <v>742.95</v>
      </c>
      <c r="O1689" s="14">
        <f>tblSprzedaz[[#This Row],[Przychód netto]]-tblSprzedaz[[#This Row],[Koszt całkowity netto]]</f>
        <v>219.12</v>
      </c>
      <c r="P1689" s="15">
        <f>IFERROR(tblSprzedaz[[#This Row],[Marża kwotowa]]/tblSprzedaz[[#This Row],[Przychód netto]],0)</f>
        <v>0.22775889488290871</v>
      </c>
      <c r="Q1689" s="16">
        <f>YEAR(tblSprzedaz[[#This Row],[Data]])</f>
        <v>2026</v>
      </c>
      <c r="R1689" s="16">
        <f>MONTH(tblSprzedaz[[#This Row],[Data]])</f>
        <v>3</v>
      </c>
      <c r="S1689" s="9" t="str">
        <f>YEAR(tblSprzedaz[[#This Row],[Data]])&amp;"-"&amp;RIGHT("0"&amp;MONTH(tblSprzedaz[[#This Row],[Data]]),2)</f>
        <v>2026-03</v>
      </c>
    </row>
    <row r="1690" spans="1:19" x14ac:dyDescent="0.25">
      <c r="A1690" s="7" t="s">
        <v>3547</v>
      </c>
      <c r="B1690" s="10">
        <v>46110</v>
      </c>
      <c r="C1690" s="7" t="s">
        <v>3548</v>
      </c>
      <c r="D1690" s="8" t="s">
        <v>108</v>
      </c>
      <c r="E1690" s="8" t="s">
        <v>67</v>
      </c>
      <c r="F1690" s="8" t="s">
        <v>35</v>
      </c>
      <c r="G1690" s="8" t="s">
        <v>36</v>
      </c>
      <c r="H1690" s="8" t="s">
        <v>47</v>
      </c>
      <c r="I1690" s="11">
        <v>21</v>
      </c>
      <c r="J1690" s="12">
        <v>78.88</v>
      </c>
      <c r="K1690" s="13">
        <v>0.05</v>
      </c>
      <c r="L1690" s="12">
        <v>54.14</v>
      </c>
      <c r="M1690" s="14">
        <f>ROUND(tblSprzedaz[[#This Row],[Ilość]]*tblSprzedaz[[#This Row],[Cena netto jednostkowa]]*(1-tblSprzedaz[[#This Row],[Rabat %]]),2)</f>
        <v>1573.66</v>
      </c>
      <c r="N1690" s="14">
        <f>ROUND(tblSprzedaz[[#This Row],[Ilość]]*tblSprzedaz[[#This Row],[Koszt jednostkowy netto]],2)</f>
        <v>1136.94</v>
      </c>
      <c r="O1690" s="14">
        <f>tblSprzedaz[[#This Row],[Przychód netto]]-tblSprzedaz[[#This Row],[Koszt całkowity netto]]</f>
        <v>436.72</v>
      </c>
      <c r="P1690" s="15">
        <f>IFERROR(tblSprzedaz[[#This Row],[Marża kwotowa]]/tblSprzedaz[[#This Row],[Przychód netto]],0)</f>
        <v>0.27751865078860743</v>
      </c>
      <c r="Q1690" s="16">
        <f>YEAR(tblSprzedaz[[#This Row],[Data]])</f>
        <v>2026</v>
      </c>
      <c r="R1690" s="16">
        <f>MONTH(tblSprzedaz[[#This Row],[Data]])</f>
        <v>3</v>
      </c>
      <c r="S1690" s="9" t="str">
        <f>YEAR(tblSprzedaz[[#This Row],[Data]])&amp;"-"&amp;RIGHT("0"&amp;MONTH(tblSprzedaz[[#This Row],[Data]]),2)</f>
        <v>2026-03</v>
      </c>
    </row>
    <row r="1691" spans="1:19" x14ac:dyDescent="0.25">
      <c r="A1691" s="7" t="s">
        <v>3549</v>
      </c>
      <c r="B1691" s="10">
        <v>46110</v>
      </c>
      <c r="C1691" s="7" t="s">
        <v>3550</v>
      </c>
      <c r="D1691" s="8" t="s">
        <v>87</v>
      </c>
      <c r="E1691" s="8" t="s">
        <v>61</v>
      </c>
      <c r="F1691" s="8" t="s">
        <v>33</v>
      </c>
      <c r="G1691" s="8" t="s">
        <v>36</v>
      </c>
      <c r="H1691" s="8" t="s">
        <v>46</v>
      </c>
      <c r="I1691" s="11">
        <v>8</v>
      </c>
      <c r="J1691" s="12">
        <v>533.6</v>
      </c>
      <c r="K1691" s="13">
        <v>0</v>
      </c>
      <c r="L1691" s="12">
        <v>342.48</v>
      </c>
      <c r="M1691" s="14">
        <f>ROUND(tblSprzedaz[[#This Row],[Ilość]]*tblSprzedaz[[#This Row],[Cena netto jednostkowa]]*(1-tblSprzedaz[[#This Row],[Rabat %]]),2)</f>
        <v>4268.8</v>
      </c>
      <c r="N1691" s="14">
        <f>ROUND(tblSprzedaz[[#This Row],[Ilość]]*tblSprzedaz[[#This Row],[Koszt jednostkowy netto]],2)</f>
        <v>2739.84</v>
      </c>
      <c r="O1691" s="14">
        <f>tblSprzedaz[[#This Row],[Przychód netto]]-tblSprzedaz[[#This Row],[Koszt całkowity netto]]</f>
        <v>1528.96</v>
      </c>
      <c r="P1691" s="15">
        <f>IFERROR(tblSprzedaz[[#This Row],[Marża kwotowa]]/tblSprzedaz[[#This Row],[Przychód netto]],0)</f>
        <v>0.35817091454272865</v>
      </c>
      <c r="Q1691" s="16">
        <f>YEAR(tblSprzedaz[[#This Row],[Data]])</f>
        <v>2026</v>
      </c>
      <c r="R1691" s="16">
        <f>MONTH(tblSprzedaz[[#This Row],[Data]])</f>
        <v>3</v>
      </c>
      <c r="S1691" s="9" t="str">
        <f>YEAR(tblSprzedaz[[#This Row],[Data]])&amp;"-"&amp;RIGHT("0"&amp;MONTH(tblSprzedaz[[#This Row],[Data]]),2)</f>
        <v>2026-03</v>
      </c>
    </row>
    <row r="1692" spans="1:19" x14ac:dyDescent="0.25">
      <c r="A1692" s="7" t="s">
        <v>3551</v>
      </c>
      <c r="B1692" s="10">
        <v>46111</v>
      </c>
      <c r="C1692" s="7" t="s">
        <v>3552</v>
      </c>
      <c r="D1692" s="8" t="s">
        <v>128</v>
      </c>
      <c r="E1692" s="8" t="s">
        <v>69</v>
      </c>
      <c r="F1692" s="8" t="s">
        <v>35</v>
      </c>
      <c r="G1692" s="8" t="s">
        <v>34</v>
      </c>
      <c r="H1692" s="8" t="s">
        <v>44</v>
      </c>
      <c r="I1692" s="11">
        <v>11</v>
      </c>
      <c r="J1692" s="12">
        <v>102</v>
      </c>
      <c r="K1692" s="13">
        <v>0.1</v>
      </c>
      <c r="L1692" s="12">
        <v>72.02</v>
      </c>
      <c r="M1692" s="14">
        <f>ROUND(tblSprzedaz[[#This Row],[Ilość]]*tblSprzedaz[[#This Row],[Cena netto jednostkowa]]*(1-tblSprzedaz[[#This Row],[Rabat %]]),2)</f>
        <v>1009.8</v>
      </c>
      <c r="N1692" s="14">
        <f>ROUND(tblSprzedaz[[#This Row],[Ilość]]*tblSprzedaz[[#This Row],[Koszt jednostkowy netto]],2)</f>
        <v>792.22</v>
      </c>
      <c r="O1692" s="14">
        <f>tblSprzedaz[[#This Row],[Przychód netto]]-tblSprzedaz[[#This Row],[Koszt całkowity netto]]</f>
        <v>217.57999999999993</v>
      </c>
      <c r="P1692" s="15">
        <f>IFERROR(tblSprzedaz[[#This Row],[Marża kwotowa]]/tblSprzedaz[[#This Row],[Przychód netto]],0)</f>
        <v>0.21546840958605659</v>
      </c>
      <c r="Q1692" s="16">
        <f>YEAR(tblSprzedaz[[#This Row],[Data]])</f>
        <v>2026</v>
      </c>
      <c r="R1692" s="16">
        <f>MONTH(tblSprzedaz[[#This Row],[Data]])</f>
        <v>3</v>
      </c>
      <c r="S1692" s="9" t="str">
        <f>YEAR(tblSprzedaz[[#This Row],[Data]])&amp;"-"&amp;RIGHT("0"&amp;MONTH(tblSprzedaz[[#This Row],[Data]]),2)</f>
        <v>2026-03</v>
      </c>
    </row>
    <row r="1693" spans="1:19" x14ac:dyDescent="0.25">
      <c r="A1693" s="7" t="s">
        <v>3553</v>
      </c>
      <c r="B1693" s="10">
        <v>46111</v>
      </c>
      <c r="C1693" s="7" t="s">
        <v>3554</v>
      </c>
      <c r="D1693" s="8" t="s">
        <v>93</v>
      </c>
      <c r="E1693" s="8" t="s">
        <v>53</v>
      </c>
      <c r="F1693" s="8" t="s">
        <v>29</v>
      </c>
      <c r="G1693" s="8" t="s">
        <v>32</v>
      </c>
      <c r="H1693" s="8" t="s">
        <v>42</v>
      </c>
      <c r="I1693" s="11">
        <v>17</v>
      </c>
      <c r="J1693" s="12">
        <v>27.88</v>
      </c>
      <c r="K1693" s="13">
        <v>0.05</v>
      </c>
      <c r="L1693" s="12">
        <v>15.66</v>
      </c>
      <c r="M1693" s="14">
        <f>ROUND(tblSprzedaz[[#This Row],[Ilość]]*tblSprzedaz[[#This Row],[Cena netto jednostkowa]]*(1-tblSprzedaz[[#This Row],[Rabat %]]),2)</f>
        <v>450.26</v>
      </c>
      <c r="N1693" s="14">
        <f>ROUND(tblSprzedaz[[#This Row],[Ilość]]*tblSprzedaz[[#This Row],[Koszt jednostkowy netto]],2)</f>
        <v>266.22000000000003</v>
      </c>
      <c r="O1693" s="14">
        <f>tblSprzedaz[[#This Row],[Przychód netto]]-tblSprzedaz[[#This Row],[Koszt całkowity netto]]</f>
        <v>184.03999999999996</v>
      </c>
      <c r="P1693" s="15">
        <f>IFERROR(tblSprzedaz[[#This Row],[Marża kwotowa]]/tblSprzedaz[[#This Row],[Przychód netto]],0)</f>
        <v>0.40874161595522579</v>
      </c>
      <c r="Q1693" s="16">
        <f>YEAR(tblSprzedaz[[#This Row],[Data]])</f>
        <v>2026</v>
      </c>
      <c r="R1693" s="16">
        <f>MONTH(tblSprzedaz[[#This Row],[Data]])</f>
        <v>3</v>
      </c>
      <c r="S1693" s="9" t="str">
        <f>YEAR(tblSprzedaz[[#This Row],[Data]])&amp;"-"&amp;RIGHT("0"&amp;MONTH(tblSprzedaz[[#This Row],[Data]]),2)</f>
        <v>2026-03</v>
      </c>
    </row>
    <row r="1694" spans="1:19" x14ac:dyDescent="0.25">
      <c r="A1694" s="7" t="s">
        <v>3555</v>
      </c>
      <c r="B1694" s="10">
        <v>46111</v>
      </c>
      <c r="C1694" s="7" t="s">
        <v>3556</v>
      </c>
      <c r="D1694" s="8" t="s">
        <v>104</v>
      </c>
      <c r="E1694" s="8" t="s">
        <v>66</v>
      </c>
      <c r="F1694" s="8" t="s">
        <v>35</v>
      </c>
      <c r="G1694" s="8" t="s">
        <v>34</v>
      </c>
      <c r="H1694" s="8" t="s">
        <v>44</v>
      </c>
      <c r="I1694" s="11">
        <v>7</v>
      </c>
      <c r="J1694" s="12">
        <v>67.319999999999993</v>
      </c>
      <c r="K1694" s="13">
        <v>0.1</v>
      </c>
      <c r="L1694" s="12">
        <v>47.89</v>
      </c>
      <c r="M1694" s="14">
        <f>ROUND(tblSprzedaz[[#This Row],[Ilość]]*tblSprzedaz[[#This Row],[Cena netto jednostkowa]]*(1-tblSprzedaz[[#This Row],[Rabat %]]),2)</f>
        <v>424.12</v>
      </c>
      <c r="N1694" s="14">
        <f>ROUND(tblSprzedaz[[#This Row],[Ilość]]*tblSprzedaz[[#This Row],[Koszt jednostkowy netto]],2)</f>
        <v>335.23</v>
      </c>
      <c r="O1694" s="14">
        <f>tblSprzedaz[[#This Row],[Przychód netto]]-tblSprzedaz[[#This Row],[Koszt całkowity netto]]</f>
        <v>88.889999999999986</v>
      </c>
      <c r="P1694" s="15">
        <f>IFERROR(tblSprzedaz[[#This Row],[Marża kwotowa]]/tblSprzedaz[[#This Row],[Przychód netto]],0)</f>
        <v>0.20958690936527394</v>
      </c>
      <c r="Q1694" s="16">
        <f>YEAR(tblSprzedaz[[#This Row],[Data]])</f>
        <v>2026</v>
      </c>
      <c r="R1694" s="16">
        <f>MONTH(tblSprzedaz[[#This Row],[Data]])</f>
        <v>3</v>
      </c>
      <c r="S1694" s="9" t="str">
        <f>YEAR(tblSprzedaz[[#This Row],[Data]])&amp;"-"&amp;RIGHT("0"&amp;MONTH(tblSprzedaz[[#This Row],[Data]]),2)</f>
        <v>2026-03</v>
      </c>
    </row>
    <row r="1695" spans="1:19" x14ac:dyDescent="0.25">
      <c r="A1695" s="7" t="s">
        <v>3557</v>
      </c>
      <c r="B1695" s="10">
        <v>46112</v>
      </c>
      <c r="C1695" s="7" t="s">
        <v>3558</v>
      </c>
      <c r="D1695" s="8" t="s">
        <v>126</v>
      </c>
      <c r="E1695" s="8" t="s">
        <v>57</v>
      </c>
      <c r="F1695" s="8" t="s">
        <v>31</v>
      </c>
      <c r="G1695" s="8" t="s">
        <v>30</v>
      </c>
      <c r="H1695" s="8" t="s">
        <v>41</v>
      </c>
      <c r="I1695" s="11">
        <v>3</v>
      </c>
      <c r="J1695" s="12">
        <v>315</v>
      </c>
      <c r="K1695" s="13">
        <v>0.15</v>
      </c>
      <c r="L1695" s="12">
        <v>204.26</v>
      </c>
      <c r="M1695" s="14">
        <f>ROUND(tblSprzedaz[[#This Row],[Ilość]]*tblSprzedaz[[#This Row],[Cena netto jednostkowa]]*(1-tblSprzedaz[[#This Row],[Rabat %]]),2)</f>
        <v>803.25</v>
      </c>
      <c r="N1695" s="14">
        <f>ROUND(tblSprzedaz[[#This Row],[Ilość]]*tblSprzedaz[[#This Row],[Koszt jednostkowy netto]],2)</f>
        <v>612.78</v>
      </c>
      <c r="O1695" s="14">
        <f>tblSprzedaz[[#This Row],[Przychód netto]]-tblSprzedaz[[#This Row],[Koszt całkowity netto]]</f>
        <v>190.47000000000003</v>
      </c>
      <c r="P1695" s="15">
        <f>IFERROR(tblSprzedaz[[#This Row],[Marża kwotowa]]/tblSprzedaz[[#This Row],[Przychód netto]],0)</f>
        <v>0.23712418300653598</v>
      </c>
      <c r="Q1695" s="16">
        <f>YEAR(tblSprzedaz[[#This Row],[Data]])</f>
        <v>2026</v>
      </c>
      <c r="R1695" s="16">
        <f>MONTH(tblSprzedaz[[#This Row],[Data]])</f>
        <v>3</v>
      </c>
      <c r="S1695" s="9" t="str">
        <f>YEAR(tblSprzedaz[[#This Row],[Data]])&amp;"-"&amp;RIGHT("0"&amp;MONTH(tblSprzedaz[[#This Row],[Data]]),2)</f>
        <v>2026-03</v>
      </c>
    </row>
    <row r="1696" spans="1:19" x14ac:dyDescent="0.25">
      <c r="A1696" s="7" t="s">
        <v>3559</v>
      </c>
      <c r="B1696" s="10">
        <v>46112</v>
      </c>
      <c r="C1696" s="7" t="s">
        <v>3560</v>
      </c>
      <c r="D1696" s="8" t="s">
        <v>120</v>
      </c>
      <c r="E1696" s="8" t="s">
        <v>69</v>
      </c>
      <c r="F1696" s="8" t="s">
        <v>35</v>
      </c>
      <c r="G1696" s="8" t="s">
        <v>30</v>
      </c>
      <c r="H1696" s="8" t="s">
        <v>41</v>
      </c>
      <c r="I1696" s="11">
        <v>2</v>
      </c>
      <c r="J1696" s="12">
        <v>102</v>
      </c>
      <c r="K1696" s="13">
        <v>0</v>
      </c>
      <c r="L1696" s="12">
        <v>76.28</v>
      </c>
      <c r="M1696" s="14">
        <f>ROUND(tblSprzedaz[[#This Row],[Ilość]]*tblSprzedaz[[#This Row],[Cena netto jednostkowa]]*(1-tblSprzedaz[[#This Row],[Rabat %]]),2)</f>
        <v>204</v>
      </c>
      <c r="N1696" s="14">
        <f>ROUND(tblSprzedaz[[#This Row],[Ilość]]*tblSprzedaz[[#This Row],[Koszt jednostkowy netto]],2)</f>
        <v>152.56</v>
      </c>
      <c r="O1696" s="14">
        <f>tblSprzedaz[[#This Row],[Przychód netto]]-tblSprzedaz[[#This Row],[Koszt całkowity netto]]</f>
        <v>51.44</v>
      </c>
      <c r="P1696" s="15">
        <f>IFERROR(tblSprzedaz[[#This Row],[Marża kwotowa]]/tblSprzedaz[[#This Row],[Przychód netto]],0)</f>
        <v>0.25215686274509802</v>
      </c>
      <c r="Q1696" s="16">
        <f>YEAR(tblSprzedaz[[#This Row],[Data]])</f>
        <v>2026</v>
      </c>
      <c r="R1696" s="16">
        <f>MONTH(tblSprzedaz[[#This Row],[Data]])</f>
        <v>3</v>
      </c>
      <c r="S1696" s="9" t="str">
        <f>YEAR(tblSprzedaz[[#This Row],[Data]])&amp;"-"&amp;RIGHT("0"&amp;MONTH(tblSprzedaz[[#This Row],[Data]]),2)</f>
        <v>2026-03</v>
      </c>
    </row>
    <row r="1697" spans="1:19" x14ac:dyDescent="0.25">
      <c r="A1697" s="7" t="s">
        <v>3561</v>
      </c>
      <c r="B1697" s="10">
        <v>46112</v>
      </c>
      <c r="C1697" s="7" t="s">
        <v>3562</v>
      </c>
      <c r="D1697" s="8" t="s">
        <v>133</v>
      </c>
      <c r="E1697" s="8" t="s">
        <v>53</v>
      </c>
      <c r="F1697" s="8" t="s">
        <v>29</v>
      </c>
      <c r="G1697" s="8" t="s">
        <v>30</v>
      </c>
      <c r="H1697" s="8" t="s">
        <v>40</v>
      </c>
      <c r="I1697" s="11">
        <v>3</v>
      </c>
      <c r="J1697" s="12">
        <v>27.88</v>
      </c>
      <c r="K1697" s="13">
        <v>0</v>
      </c>
      <c r="L1697" s="12">
        <v>17.329999999999998</v>
      </c>
      <c r="M1697" s="14">
        <f>ROUND(tblSprzedaz[[#This Row],[Ilość]]*tblSprzedaz[[#This Row],[Cena netto jednostkowa]]*(1-tblSprzedaz[[#This Row],[Rabat %]]),2)</f>
        <v>83.64</v>
      </c>
      <c r="N1697" s="14">
        <f>ROUND(tblSprzedaz[[#This Row],[Ilość]]*tblSprzedaz[[#This Row],[Koszt jednostkowy netto]],2)</f>
        <v>51.99</v>
      </c>
      <c r="O1697" s="14">
        <f>tblSprzedaz[[#This Row],[Przychód netto]]-tblSprzedaz[[#This Row],[Koszt całkowity netto]]</f>
        <v>31.65</v>
      </c>
      <c r="P1697" s="15">
        <f>IFERROR(tblSprzedaz[[#This Row],[Marża kwotowa]]/tblSprzedaz[[#This Row],[Przychód netto]],0)</f>
        <v>0.37840746054519364</v>
      </c>
      <c r="Q1697" s="16">
        <f>YEAR(tblSprzedaz[[#This Row],[Data]])</f>
        <v>2026</v>
      </c>
      <c r="R1697" s="16">
        <f>MONTH(tblSprzedaz[[#This Row],[Data]])</f>
        <v>3</v>
      </c>
      <c r="S1697" s="9" t="str">
        <f>YEAR(tblSprzedaz[[#This Row],[Data]])&amp;"-"&amp;RIGHT("0"&amp;MONTH(tblSprzedaz[[#This Row],[Data]]),2)</f>
        <v>2026-03</v>
      </c>
    </row>
    <row r="1698" spans="1:19" x14ac:dyDescent="0.25">
      <c r="A1698" s="7" t="s">
        <v>3563</v>
      </c>
      <c r="B1698" s="10">
        <v>46112</v>
      </c>
      <c r="C1698" s="7" t="s">
        <v>3564</v>
      </c>
      <c r="D1698" s="8" t="s">
        <v>88</v>
      </c>
      <c r="E1698" s="8" t="s">
        <v>69</v>
      </c>
      <c r="F1698" s="8" t="s">
        <v>35</v>
      </c>
      <c r="G1698" s="8" t="s">
        <v>28</v>
      </c>
      <c r="H1698" s="8" t="s">
        <v>38</v>
      </c>
      <c r="I1698" s="11">
        <v>17</v>
      </c>
      <c r="J1698" s="12">
        <v>102</v>
      </c>
      <c r="K1698" s="13">
        <v>0.05</v>
      </c>
      <c r="L1698" s="12">
        <v>76.42</v>
      </c>
      <c r="M1698" s="14">
        <f>ROUND(tblSprzedaz[[#This Row],[Ilość]]*tblSprzedaz[[#This Row],[Cena netto jednostkowa]]*(1-tblSprzedaz[[#This Row],[Rabat %]]),2)</f>
        <v>1647.3</v>
      </c>
      <c r="N1698" s="14">
        <f>ROUND(tblSprzedaz[[#This Row],[Ilość]]*tblSprzedaz[[#This Row],[Koszt jednostkowy netto]],2)</f>
        <v>1299.1400000000001</v>
      </c>
      <c r="O1698" s="14">
        <f>tblSprzedaz[[#This Row],[Przychód netto]]-tblSprzedaz[[#This Row],[Koszt całkowity netto]]</f>
        <v>348.15999999999985</v>
      </c>
      <c r="P1698" s="15">
        <f>IFERROR(tblSprzedaz[[#This Row],[Marża kwotowa]]/tblSprzedaz[[#This Row],[Przychód netto]],0)</f>
        <v>0.21135190918472643</v>
      </c>
      <c r="Q1698" s="16">
        <f>YEAR(tblSprzedaz[[#This Row],[Data]])</f>
        <v>2026</v>
      </c>
      <c r="R1698" s="16">
        <f>MONTH(tblSprzedaz[[#This Row],[Data]])</f>
        <v>3</v>
      </c>
      <c r="S1698" s="9" t="str">
        <f>YEAR(tblSprzedaz[[#This Row],[Data]])&amp;"-"&amp;RIGHT("0"&amp;MONTH(tblSprzedaz[[#This Row],[Data]]),2)</f>
        <v>2026-03</v>
      </c>
    </row>
    <row r="1699" spans="1:19" x14ac:dyDescent="0.25">
      <c r="A1699" s="7" t="s">
        <v>3565</v>
      </c>
      <c r="B1699" s="10">
        <v>46112</v>
      </c>
      <c r="C1699" s="7" t="s">
        <v>3566</v>
      </c>
      <c r="D1699" s="8" t="s">
        <v>103</v>
      </c>
      <c r="E1699" s="8" t="s">
        <v>62</v>
      </c>
      <c r="F1699" s="8" t="s">
        <v>33</v>
      </c>
      <c r="G1699" s="8" t="s">
        <v>28</v>
      </c>
      <c r="H1699" s="8" t="s">
        <v>39</v>
      </c>
      <c r="I1699" s="11">
        <v>2</v>
      </c>
      <c r="J1699" s="12">
        <v>611.79999999999995</v>
      </c>
      <c r="K1699" s="13">
        <v>0.05</v>
      </c>
      <c r="L1699" s="12">
        <v>410.78</v>
      </c>
      <c r="M1699" s="14">
        <f>ROUND(tblSprzedaz[[#This Row],[Ilość]]*tblSprzedaz[[#This Row],[Cena netto jednostkowa]]*(1-tblSprzedaz[[#This Row],[Rabat %]]),2)</f>
        <v>1162.42</v>
      </c>
      <c r="N1699" s="14">
        <f>ROUND(tblSprzedaz[[#This Row],[Ilość]]*tblSprzedaz[[#This Row],[Koszt jednostkowy netto]],2)</f>
        <v>821.56</v>
      </c>
      <c r="O1699" s="14">
        <f>tblSprzedaz[[#This Row],[Przychód netto]]-tblSprzedaz[[#This Row],[Koszt całkowity netto]]</f>
        <v>340.86000000000013</v>
      </c>
      <c r="P1699" s="15">
        <f>IFERROR(tblSprzedaz[[#This Row],[Marża kwotowa]]/tblSprzedaz[[#This Row],[Przychód netto]],0)</f>
        <v>0.29323308270676701</v>
      </c>
      <c r="Q1699" s="16">
        <f>YEAR(tblSprzedaz[[#This Row],[Data]])</f>
        <v>2026</v>
      </c>
      <c r="R1699" s="16">
        <f>MONTH(tblSprzedaz[[#This Row],[Data]])</f>
        <v>3</v>
      </c>
      <c r="S1699" s="9" t="str">
        <f>YEAR(tblSprzedaz[[#This Row],[Data]])&amp;"-"&amp;RIGHT("0"&amp;MONTH(tblSprzedaz[[#This Row],[Data]]),2)</f>
        <v>2026-03</v>
      </c>
    </row>
    <row r="1700" spans="1:19" x14ac:dyDescent="0.25">
      <c r="A1700" s="7" t="s">
        <v>3567</v>
      </c>
      <c r="B1700" s="10">
        <v>46113</v>
      </c>
      <c r="C1700" s="7" t="s">
        <v>3568</v>
      </c>
      <c r="D1700" s="8" t="s">
        <v>152</v>
      </c>
      <c r="E1700" s="8" t="s">
        <v>76</v>
      </c>
      <c r="F1700" s="8" t="s">
        <v>37</v>
      </c>
      <c r="G1700" s="8" t="s">
        <v>34</v>
      </c>
      <c r="H1700" s="8" t="s">
        <v>45</v>
      </c>
      <c r="I1700" s="11">
        <v>5</v>
      </c>
      <c r="J1700" s="12">
        <v>158.65</v>
      </c>
      <c r="K1700" s="13">
        <v>0.15</v>
      </c>
      <c r="L1700" s="12">
        <v>117.22</v>
      </c>
      <c r="M1700" s="14">
        <f>ROUND(tblSprzedaz[[#This Row],[Ilość]]*tblSprzedaz[[#This Row],[Cena netto jednostkowa]]*(1-tblSprzedaz[[#This Row],[Rabat %]]),2)</f>
        <v>674.26</v>
      </c>
      <c r="N1700" s="14">
        <f>ROUND(tblSprzedaz[[#This Row],[Ilość]]*tblSprzedaz[[#This Row],[Koszt jednostkowy netto]],2)</f>
        <v>586.1</v>
      </c>
      <c r="O1700" s="14">
        <f>tblSprzedaz[[#This Row],[Przychód netto]]-tblSprzedaz[[#This Row],[Koszt całkowity netto]]</f>
        <v>88.159999999999968</v>
      </c>
      <c r="P1700" s="15">
        <f>IFERROR(tblSprzedaz[[#This Row],[Marża kwotowa]]/tblSprzedaz[[#This Row],[Przychód netto]],0)</f>
        <v>0.1307507489692403</v>
      </c>
      <c r="Q1700" s="16">
        <f>YEAR(tblSprzedaz[[#This Row],[Data]])</f>
        <v>2026</v>
      </c>
      <c r="R1700" s="16">
        <f>MONTH(tblSprzedaz[[#This Row],[Data]])</f>
        <v>4</v>
      </c>
      <c r="S1700" s="9" t="str">
        <f>YEAR(tblSprzedaz[[#This Row],[Data]])&amp;"-"&amp;RIGHT("0"&amp;MONTH(tblSprzedaz[[#This Row],[Data]]),2)</f>
        <v>2026-04</v>
      </c>
    </row>
    <row r="1701" spans="1:19" x14ac:dyDescent="0.25">
      <c r="A1701" s="7" t="s">
        <v>3569</v>
      </c>
      <c r="B1701" s="10">
        <v>46113</v>
      </c>
      <c r="C1701" s="7" t="s">
        <v>3570</v>
      </c>
      <c r="D1701" s="8" t="s">
        <v>81</v>
      </c>
      <c r="E1701" s="8" t="s">
        <v>59</v>
      </c>
      <c r="F1701" s="8" t="s">
        <v>31</v>
      </c>
      <c r="G1701" s="8" t="s">
        <v>28</v>
      </c>
      <c r="H1701" s="8" t="s">
        <v>38</v>
      </c>
      <c r="I1701" s="11">
        <v>11</v>
      </c>
      <c r="J1701" s="12">
        <v>172.2</v>
      </c>
      <c r="K1701" s="13">
        <v>0.15</v>
      </c>
      <c r="L1701" s="12">
        <v>111.99</v>
      </c>
      <c r="M1701" s="14">
        <f>ROUND(tblSprzedaz[[#This Row],[Ilość]]*tblSprzedaz[[#This Row],[Cena netto jednostkowa]]*(1-tblSprzedaz[[#This Row],[Rabat %]]),2)</f>
        <v>1610.07</v>
      </c>
      <c r="N1701" s="14">
        <f>ROUND(tblSprzedaz[[#This Row],[Ilość]]*tblSprzedaz[[#This Row],[Koszt jednostkowy netto]],2)</f>
        <v>1231.8900000000001</v>
      </c>
      <c r="O1701" s="14">
        <f>tblSprzedaz[[#This Row],[Przychód netto]]-tblSprzedaz[[#This Row],[Koszt całkowity netto]]</f>
        <v>378.17999999999984</v>
      </c>
      <c r="P1701" s="15">
        <f>IFERROR(tblSprzedaz[[#This Row],[Marża kwotowa]]/tblSprzedaz[[#This Row],[Przychód netto]],0)</f>
        <v>0.23488419758147153</v>
      </c>
      <c r="Q1701" s="16">
        <f>YEAR(tblSprzedaz[[#This Row],[Data]])</f>
        <v>2026</v>
      </c>
      <c r="R1701" s="16">
        <f>MONTH(tblSprzedaz[[#This Row],[Data]])</f>
        <v>4</v>
      </c>
      <c r="S1701" s="9" t="str">
        <f>YEAR(tblSprzedaz[[#This Row],[Data]])&amp;"-"&amp;RIGHT("0"&amp;MONTH(tblSprzedaz[[#This Row],[Data]]),2)</f>
        <v>2026-04</v>
      </c>
    </row>
    <row r="1702" spans="1:19" x14ac:dyDescent="0.25">
      <c r="A1702" s="7" t="s">
        <v>3571</v>
      </c>
      <c r="B1702" s="10">
        <v>46113</v>
      </c>
      <c r="C1702" s="7" t="s">
        <v>3572</v>
      </c>
      <c r="D1702" s="8" t="s">
        <v>80</v>
      </c>
      <c r="E1702" s="8" t="s">
        <v>75</v>
      </c>
      <c r="F1702" s="8" t="s">
        <v>37</v>
      </c>
      <c r="G1702" s="8" t="s">
        <v>34</v>
      </c>
      <c r="H1702" s="8" t="s">
        <v>45</v>
      </c>
      <c r="I1702" s="11">
        <v>2</v>
      </c>
      <c r="J1702" s="12">
        <v>142.5</v>
      </c>
      <c r="K1702" s="13">
        <v>0</v>
      </c>
      <c r="L1702" s="12">
        <v>105.4</v>
      </c>
      <c r="M1702" s="14">
        <f>ROUND(tblSprzedaz[[#This Row],[Ilość]]*tblSprzedaz[[#This Row],[Cena netto jednostkowa]]*(1-tblSprzedaz[[#This Row],[Rabat %]]),2)</f>
        <v>285</v>
      </c>
      <c r="N1702" s="14">
        <f>ROUND(tblSprzedaz[[#This Row],[Ilość]]*tblSprzedaz[[#This Row],[Koszt jednostkowy netto]],2)</f>
        <v>210.8</v>
      </c>
      <c r="O1702" s="14">
        <f>tblSprzedaz[[#This Row],[Przychód netto]]-tblSprzedaz[[#This Row],[Koszt całkowity netto]]</f>
        <v>74.199999999999989</v>
      </c>
      <c r="P1702" s="15">
        <f>IFERROR(tblSprzedaz[[#This Row],[Marża kwotowa]]/tblSprzedaz[[#This Row],[Przychód netto]],0)</f>
        <v>0.26035087719298244</v>
      </c>
      <c r="Q1702" s="16">
        <f>YEAR(tblSprzedaz[[#This Row],[Data]])</f>
        <v>2026</v>
      </c>
      <c r="R1702" s="16">
        <f>MONTH(tblSprzedaz[[#This Row],[Data]])</f>
        <v>4</v>
      </c>
      <c r="S1702" s="9" t="str">
        <f>YEAR(tblSprzedaz[[#This Row],[Data]])&amp;"-"&amp;RIGHT("0"&amp;MONTH(tblSprzedaz[[#This Row],[Data]]),2)</f>
        <v>2026-04</v>
      </c>
    </row>
    <row r="1703" spans="1:19" x14ac:dyDescent="0.25">
      <c r="A1703" s="7" t="s">
        <v>3573</v>
      </c>
      <c r="B1703" s="10">
        <v>46113</v>
      </c>
      <c r="C1703" s="7" t="s">
        <v>3574</v>
      </c>
      <c r="D1703" s="8" t="s">
        <v>101</v>
      </c>
      <c r="E1703" s="8" t="s">
        <v>63</v>
      </c>
      <c r="F1703" s="8" t="s">
        <v>33</v>
      </c>
      <c r="G1703" s="8" t="s">
        <v>32</v>
      </c>
      <c r="H1703" s="8" t="s">
        <v>42</v>
      </c>
      <c r="I1703" s="11">
        <v>29</v>
      </c>
      <c r="J1703" s="12">
        <v>690</v>
      </c>
      <c r="K1703" s="13">
        <v>0.15</v>
      </c>
      <c r="L1703" s="12">
        <v>482.34</v>
      </c>
      <c r="M1703" s="14">
        <f>ROUND(tblSprzedaz[[#This Row],[Ilość]]*tblSprzedaz[[#This Row],[Cena netto jednostkowa]]*(1-tblSprzedaz[[#This Row],[Rabat %]]),2)</f>
        <v>17008.5</v>
      </c>
      <c r="N1703" s="14">
        <f>ROUND(tblSprzedaz[[#This Row],[Ilość]]*tblSprzedaz[[#This Row],[Koszt jednostkowy netto]],2)</f>
        <v>13987.86</v>
      </c>
      <c r="O1703" s="14">
        <f>tblSprzedaz[[#This Row],[Przychód netto]]-tblSprzedaz[[#This Row],[Koszt całkowity netto]]</f>
        <v>3020.6399999999994</v>
      </c>
      <c r="P1703" s="15">
        <f>IFERROR(tblSprzedaz[[#This Row],[Marża kwotowa]]/tblSprzedaz[[#This Row],[Przychód netto]],0)</f>
        <v>0.17759590792838872</v>
      </c>
      <c r="Q1703" s="16">
        <f>YEAR(tblSprzedaz[[#This Row],[Data]])</f>
        <v>2026</v>
      </c>
      <c r="R1703" s="16">
        <f>MONTH(tblSprzedaz[[#This Row],[Data]])</f>
        <v>4</v>
      </c>
      <c r="S1703" s="9" t="str">
        <f>YEAR(tblSprzedaz[[#This Row],[Data]])&amp;"-"&amp;RIGHT("0"&amp;MONTH(tblSprzedaz[[#This Row],[Data]]),2)</f>
        <v>2026-04</v>
      </c>
    </row>
    <row r="1704" spans="1:19" x14ac:dyDescent="0.25">
      <c r="A1704" s="7" t="s">
        <v>3575</v>
      </c>
      <c r="B1704" s="10">
        <v>46113</v>
      </c>
      <c r="C1704" s="7" t="s">
        <v>3576</v>
      </c>
      <c r="D1704" s="8" t="s">
        <v>137</v>
      </c>
      <c r="E1704" s="8" t="s">
        <v>76</v>
      </c>
      <c r="F1704" s="8" t="s">
        <v>37</v>
      </c>
      <c r="G1704" s="8" t="s">
        <v>32</v>
      </c>
      <c r="H1704" s="8" t="s">
        <v>42</v>
      </c>
      <c r="I1704" s="11">
        <v>13</v>
      </c>
      <c r="J1704" s="12">
        <v>158.65</v>
      </c>
      <c r="K1704" s="13">
        <v>0.1</v>
      </c>
      <c r="L1704" s="12">
        <v>124.97</v>
      </c>
      <c r="M1704" s="14">
        <f>ROUND(tblSprzedaz[[#This Row],[Ilość]]*tblSprzedaz[[#This Row],[Cena netto jednostkowa]]*(1-tblSprzedaz[[#This Row],[Rabat %]]),2)</f>
        <v>1856.21</v>
      </c>
      <c r="N1704" s="14">
        <f>ROUND(tblSprzedaz[[#This Row],[Ilość]]*tblSprzedaz[[#This Row],[Koszt jednostkowy netto]],2)</f>
        <v>1624.61</v>
      </c>
      <c r="O1704" s="14">
        <f>tblSprzedaz[[#This Row],[Przychód netto]]-tblSprzedaz[[#This Row],[Koszt całkowity netto]]</f>
        <v>231.60000000000014</v>
      </c>
      <c r="P1704" s="15">
        <f>IFERROR(tblSprzedaz[[#This Row],[Marża kwotowa]]/tblSprzedaz[[#This Row],[Przychód netto]],0)</f>
        <v>0.1247703654220159</v>
      </c>
      <c r="Q1704" s="16">
        <f>YEAR(tblSprzedaz[[#This Row],[Data]])</f>
        <v>2026</v>
      </c>
      <c r="R1704" s="16">
        <f>MONTH(tblSprzedaz[[#This Row],[Data]])</f>
        <v>4</v>
      </c>
      <c r="S1704" s="9" t="str">
        <f>YEAR(tblSprzedaz[[#This Row],[Data]])&amp;"-"&amp;RIGHT("0"&amp;MONTH(tblSprzedaz[[#This Row],[Data]]),2)</f>
        <v>2026-04</v>
      </c>
    </row>
    <row r="1705" spans="1:19" x14ac:dyDescent="0.25">
      <c r="A1705" s="7" t="s">
        <v>3577</v>
      </c>
      <c r="B1705" s="10">
        <v>46113</v>
      </c>
      <c r="C1705" s="7" t="s">
        <v>3578</v>
      </c>
      <c r="D1705" s="8" t="s">
        <v>113</v>
      </c>
      <c r="E1705" s="8" t="s">
        <v>76</v>
      </c>
      <c r="F1705" s="8" t="s">
        <v>37</v>
      </c>
      <c r="G1705" s="8" t="s">
        <v>32</v>
      </c>
      <c r="H1705" s="8" t="s">
        <v>42</v>
      </c>
      <c r="I1705" s="11">
        <v>11</v>
      </c>
      <c r="J1705" s="12">
        <v>158.65</v>
      </c>
      <c r="K1705" s="13">
        <v>0</v>
      </c>
      <c r="L1705" s="12">
        <v>124.33</v>
      </c>
      <c r="M1705" s="14">
        <f>ROUND(tblSprzedaz[[#This Row],[Ilość]]*tblSprzedaz[[#This Row],[Cena netto jednostkowa]]*(1-tblSprzedaz[[#This Row],[Rabat %]]),2)</f>
        <v>1745.15</v>
      </c>
      <c r="N1705" s="14">
        <f>ROUND(tblSprzedaz[[#This Row],[Ilość]]*tblSprzedaz[[#This Row],[Koszt jednostkowy netto]],2)</f>
        <v>1367.63</v>
      </c>
      <c r="O1705" s="14">
        <f>tblSprzedaz[[#This Row],[Przychód netto]]-tblSprzedaz[[#This Row],[Koszt całkowity netto]]</f>
        <v>377.52</v>
      </c>
      <c r="P1705" s="15">
        <f>IFERROR(tblSprzedaz[[#This Row],[Marża kwotowa]]/tblSprzedaz[[#This Row],[Przychód netto]],0)</f>
        <v>0.2163252442483454</v>
      </c>
      <c r="Q1705" s="16">
        <f>YEAR(tblSprzedaz[[#This Row],[Data]])</f>
        <v>2026</v>
      </c>
      <c r="R1705" s="16">
        <f>MONTH(tblSprzedaz[[#This Row],[Data]])</f>
        <v>4</v>
      </c>
      <c r="S1705" s="9" t="str">
        <f>YEAR(tblSprzedaz[[#This Row],[Data]])&amp;"-"&amp;RIGHT("0"&amp;MONTH(tblSprzedaz[[#This Row],[Data]]),2)</f>
        <v>2026-04</v>
      </c>
    </row>
    <row r="1706" spans="1:19" x14ac:dyDescent="0.25">
      <c r="A1706" s="7" t="s">
        <v>3579</v>
      </c>
      <c r="B1706" s="10">
        <v>46114</v>
      </c>
      <c r="C1706" s="7" t="s">
        <v>3580</v>
      </c>
      <c r="D1706" s="8" t="s">
        <v>91</v>
      </c>
      <c r="E1706" s="8" t="s">
        <v>51</v>
      </c>
      <c r="F1706" s="8" t="s">
        <v>29</v>
      </c>
      <c r="G1706" s="8" t="s">
        <v>36</v>
      </c>
      <c r="H1706" s="8" t="s">
        <v>47</v>
      </c>
      <c r="I1706" s="11">
        <v>12</v>
      </c>
      <c r="J1706" s="12">
        <v>51</v>
      </c>
      <c r="K1706" s="13">
        <v>0.05</v>
      </c>
      <c r="L1706" s="12">
        <v>29.07</v>
      </c>
      <c r="M1706" s="14">
        <f>ROUND(tblSprzedaz[[#This Row],[Ilość]]*tblSprzedaz[[#This Row],[Cena netto jednostkowa]]*(1-tblSprzedaz[[#This Row],[Rabat %]]),2)</f>
        <v>581.4</v>
      </c>
      <c r="N1706" s="14">
        <f>ROUND(tblSprzedaz[[#This Row],[Ilość]]*tblSprzedaz[[#This Row],[Koszt jednostkowy netto]],2)</f>
        <v>348.84</v>
      </c>
      <c r="O1706" s="14">
        <f>tblSprzedaz[[#This Row],[Przychód netto]]-tblSprzedaz[[#This Row],[Koszt całkowity netto]]</f>
        <v>232.56</v>
      </c>
      <c r="P1706" s="15">
        <f>IFERROR(tblSprzedaz[[#This Row],[Marża kwotowa]]/tblSprzedaz[[#This Row],[Przychód netto]],0)</f>
        <v>0.4</v>
      </c>
      <c r="Q1706" s="16">
        <f>YEAR(tblSprzedaz[[#This Row],[Data]])</f>
        <v>2026</v>
      </c>
      <c r="R1706" s="16">
        <f>MONTH(tblSprzedaz[[#This Row],[Data]])</f>
        <v>4</v>
      </c>
      <c r="S1706" s="9" t="str">
        <f>YEAR(tblSprzedaz[[#This Row],[Data]])&amp;"-"&amp;RIGHT("0"&amp;MONTH(tblSprzedaz[[#This Row],[Data]]),2)</f>
        <v>2026-04</v>
      </c>
    </row>
    <row r="1707" spans="1:19" x14ac:dyDescent="0.25">
      <c r="A1707" s="7" t="s">
        <v>3581</v>
      </c>
      <c r="B1707" s="10">
        <v>46114</v>
      </c>
      <c r="C1707" s="7" t="s">
        <v>3582</v>
      </c>
      <c r="D1707" s="8" t="s">
        <v>150</v>
      </c>
      <c r="E1707" s="8" t="s">
        <v>67</v>
      </c>
      <c r="F1707" s="8" t="s">
        <v>35</v>
      </c>
      <c r="G1707" s="8" t="s">
        <v>30</v>
      </c>
      <c r="H1707" s="8" t="s">
        <v>41</v>
      </c>
      <c r="I1707" s="11">
        <v>25</v>
      </c>
      <c r="J1707" s="12">
        <v>78.88</v>
      </c>
      <c r="K1707" s="13">
        <v>0.05</v>
      </c>
      <c r="L1707" s="12">
        <v>58.67</v>
      </c>
      <c r="M1707" s="14">
        <f>ROUND(tblSprzedaz[[#This Row],[Ilość]]*tblSprzedaz[[#This Row],[Cena netto jednostkowa]]*(1-tblSprzedaz[[#This Row],[Rabat %]]),2)</f>
        <v>1873.4</v>
      </c>
      <c r="N1707" s="14">
        <f>ROUND(tblSprzedaz[[#This Row],[Ilość]]*tblSprzedaz[[#This Row],[Koszt jednostkowy netto]],2)</f>
        <v>1466.75</v>
      </c>
      <c r="O1707" s="14">
        <f>tblSprzedaz[[#This Row],[Przychód netto]]-tblSprzedaz[[#This Row],[Koszt całkowity netto]]</f>
        <v>406.65000000000009</v>
      </c>
      <c r="P1707" s="15">
        <f>IFERROR(tblSprzedaz[[#This Row],[Marża kwotowa]]/tblSprzedaz[[#This Row],[Przychód netto]],0)</f>
        <v>0.21706522899540945</v>
      </c>
      <c r="Q1707" s="16">
        <f>YEAR(tblSprzedaz[[#This Row],[Data]])</f>
        <v>2026</v>
      </c>
      <c r="R1707" s="16">
        <f>MONTH(tblSprzedaz[[#This Row],[Data]])</f>
        <v>4</v>
      </c>
      <c r="S1707" s="9" t="str">
        <f>YEAR(tblSprzedaz[[#This Row],[Data]])&amp;"-"&amp;RIGHT("0"&amp;MONTH(tblSprzedaz[[#This Row],[Data]]),2)</f>
        <v>2026-04</v>
      </c>
    </row>
    <row r="1708" spans="1:19" x14ac:dyDescent="0.25">
      <c r="A1708" s="7" t="s">
        <v>3583</v>
      </c>
      <c r="B1708" s="10">
        <v>46114</v>
      </c>
      <c r="C1708" s="7" t="s">
        <v>3584</v>
      </c>
      <c r="D1708" s="8" t="s">
        <v>95</v>
      </c>
      <c r="E1708" s="8" t="s">
        <v>77</v>
      </c>
      <c r="F1708" s="8" t="s">
        <v>37</v>
      </c>
      <c r="G1708" s="8" t="s">
        <v>30</v>
      </c>
      <c r="H1708" s="8" t="s">
        <v>40</v>
      </c>
      <c r="I1708" s="11">
        <v>24</v>
      </c>
      <c r="J1708" s="12">
        <v>77.900000000000006</v>
      </c>
      <c r="K1708" s="13">
        <v>0</v>
      </c>
      <c r="L1708" s="12">
        <v>57.55</v>
      </c>
      <c r="M1708" s="14">
        <f>ROUND(tblSprzedaz[[#This Row],[Ilość]]*tblSprzedaz[[#This Row],[Cena netto jednostkowa]]*(1-tblSprzedaz[[#This Row],[Rabat %]]),2)</f>
        <v>1869.6</v>
      </c>
      <c r="N1708" s="14">
        <f>ROUND(tblSprzedaz[[#This Row],[Ilość]]*tblSprzedaz[[#This Row],[Koszt jednostkowy netto]],2)</f>
        <v>1381.2</v>
      </c>
      <c r="O1708" s="14">
        <f>tblSprzedaz[[#This Row],[Przychód netto]]-tblSprzedaz[[#This Row],[Koszt całkowity netto]]</f>
        <v>488.39999999999986</v>
      </c>
      <c r="P1708" s="15">
        <f>IFERROR(tblSprzedaz[[#This Row],[Marża kwotowa]]/tblSprzedaz[[#This Row],[Przychód netto]],0)</f>
        <v>0.26123234916559684</v>
      </c>
      <c r="Q1708" s="16">
        <f>YEAR(tblSprzedaz[[#This Row],[Data]])</f>
        <v>2026</v>
      </c>
      <c r="R1708" s="16">
        <f>MONTH(tblSprzedaz[[#This Row],[Data]])</f>
        <v>4</v>
      </c>
      <c r="S1708" s="9" t="str">
        <f>YEAR(tblSprzedaz[[#This Row],[Data]])&amp;"-"&amp;RIGHT("0"&amp;MONTH(tblSprzedaz[[#This Row],[Data]]),2)</f>
        <v>2026-04</v>
      </c>
    </row>
    <row r="1709" spans="1:19" x14ac:dyDescent="0.25">
      <c r="A1709" s="7" t="s">
        <v>3585</v>
      </c>
      <c r="B1709" s="10">
        <v>46114</v>
      </c>
      <c r="C1709" s="7" t="s">
        <v>3586</v>
      </c>
      <c r="D1709" s="8" t="s">
        <v>108</v>
      </c>
      <c r="E1709" s="8" t="s">
        <v>71</v>
      </c>
      <c r="F1709" s="8" t="s">
        <v>35</v>
      </c>
      <c r="G1709" s="8" t="s">
        <v>28</v>
      </c>
      <c r="H1709" s="8" t="s">
        <v>38</v>
      </c>
      <c r="I1709" s="11">
        <v>20</v>
      </c>
      <c r="J1709" s="12">
        <v>55.76</v>
      </c>
      <c r="K1709" s="13">
        <v>0.05</v>
      </c>
      <c r="L1709" s="12">
        <v>39.15</v>
      </c>
      <c r="M1709" s="14">
        <f>ROUND(tblSprzedaz[[#This Row],[Ilość]]*tblSprzedaz[[#This Row],[Cena netto jednostkowa]]*(1-tblSprzedaz[[#This Row],[Rabat %]]),2)</f>
        <v>1059.44</v>
      </c>
      <c r="N1709" s="14">
        <f>ROUND(tblSprzedaz[[#This Row],[Ilość]]*tblSprzedaz[[#This Row],[Koszt jednostkowy netto]],2)</f>
        <v>783</v>
      </c>
      <c r="O1709" s="14">
        <f>tblSprzedaz[[#This Row],[Przychód netto]]-tblSprzedaz[[#This Row],[Koszt całkowity netto]]</f>
        <v>276.44000000000005</v>
      </c>
      <c r="P1709" s="15">
        <f>IFERROR(tblSprzedaz[[#This Row],[Marża kwotowa]]/tblSprzedaz[[#This Row],[Przychód netto]],0)</f>
        <v>0.26093030280148005</v>
      </c>
      <c r="Q1709" s="16">
        <f>YEAR(tblSprzedaz[[#This Row],[Data]])</f>
        <v>2026</v>
      </c>
      <c r="R1709" s="16">
        <f>MONTH(tblSprzedaz[[#This Row],[Data]])</f>
        <v>4</v>
      </c>
      <c r="S1709" s="9" t="str">
        <f>YEAR(tblSprzedaz[[#This Row],[Data]])&amp;"-"&amp;RIGHT("0"&amp;MONTH(tblSprzedaz[[#This Row],[Data]]),2)</f>
        <v>2026-04</v>
      </c>
    </row>
    <row r="1710" spans="1:19" x14ac:dyDescent="0.25">
      <c r="A1710" s="7" t="s">
        <v>3587</v>
      </c>
      <c r="B1710" s="10">
        <v>46114</v>
      </c>
      <c r="C1710" s="7" t="s">
        <v>3588</v>
      </c>
      <c r="D1710" s="8" t="s">
        <v>108</v>
      </c>
      <c r="E1710" s="8" t="s">
        <v>53</v>
      </c>
      <c r="F1710" s="8" t="s">
        <v>29</v>
      </c>
      <c r="G1710" s="8" t="s">
        <v>34</v>
      </c>
      <c r="H1710" s="8" t="s">
        <v>44</v>
      </c>
      <c r="I1710" s="11">
        <v>3</v>
      </c>
      <c r="J1710" s="12">
        <v>27.88</v>
      </c>
      <c r="K1710" s="13">
        <v>0</v>
      </c>
      <c r="L1710" s="12">
        <v>16.66</v>
      </c>
      <c r="M1710" s="14">
        <f>ROUND(tblSprzedaz[[#This Row],[Ilość]]*tblSprzedaz[[#This Row],[Cena netto jednostkowa]]*(1-tblSprzedaz[[#This Row],[Rabat %]]),2)</f>
        <v>83.64</v>
      </c>
      <c r="N1710" s="14">
        <f>ROUND(tblSprzedaz[[#This Row],[Ilość]]*tblSprzedaz[[#This Row],[Koszt jednostkowy netto]],2)</f>
        <v>49.98</v>
      </c>
      <c r="O1710" s="14">
        <f>tblSprzedaz[[#This Row],[Przychód netto]]-tblSprzedaz[[#This Row],[Koszt całkowity netto]]</f>
        <v>33.660000000000004</v>
      </c>
      <c r="P1710" s="15">
        <f>IFERROR(tblSprzedaz[[#This Row],[Marża kwotowa]]/tblSprzedaz[[#This Row],[Przychód netto]],0)</f>
        <v>0.40243902439024393</v>
      </c>
      <c r="Q1710" s="16">
        <f>YEAR(tblSprzedaz[[#This Row],[Data]])</f>
        <v>2026</v>
      </c>
      <c r="R1710" s="16">
        <f>MONTH(tblSprzedaz[[#This Row],[Data]])</f>
        <v>4</v>
      </c>
      <c r="S1710" s="9" t="str">
        <f>YEAR(tblSprzedaz[[#This Row],[Data]])&amp;"-"&amp;RIGHT("0"&amp;MONTH(tblSprzedaz[[#This Row],[Data]]),2)</f>
        <v>2026-04</v>
      </c>
    </row>
    <row r="1711" spans="1:19" x14ac:dyDescent="0.25">
      <c r="A1711" s="7" t="s">
        <v>3589</v>
      </c>
      <c r="B1711" s="10">
        <v>46114</v>
      </c>
      <c r="C1711" s="7" t="s">
        <v>3590</v>
      </c>
      <c r="D1711" s="8" t="s">
        <v>129</v>
      </c>
      <c r="E1711" s="8" t="s">
        <v>76</v>
      </c>
      <c r="F1711" s="8" t="s">
        <v>37</v>
      </c>
      <c r="G1711" s="8" t="s">
        <v>34</v>
      </c>
      <c r="H1711" s="8" t="s">
        <v>45</v>
      </c>
      <c r="I1711" s="11">
        <v>4</v>
      </c>
      <c r="J1711" s="12">
        <v>158.65</v>
      </c>
      <c r="K1711" s="13">
        <v>0.1</v>
      </c>
      <c r="L1711" s="12">
        <v>117.2</v>
      </c>
      <c r="M1711" s="14">
        <f>ROUND(tblSprzedaz[[#This Row],[Ilość]]*tblSprzedaz[[#This Row],[Cena netto jednostkowa]]*(1-tblSprzedaz[[#This Row],[Rabat %]]),2)</f>
        <v>571.14</v>
      </c>
      <c r="N1711" s="14">
        <f>ROUND(tblSprzedaz[[#This Row],[Ilość]]*tblSprzedaz[[#This Row],[Koszt jednostkowy netto]],2)</f>
        <v>468.8</v>
      </c>
      <c r="O1711" s="14">
        <f>tblSprzedaz[[#This Row],[Przychód netto]]-tblSprzedaz[[#This Row],[Koszt całkowity netto]]</f>
        <v>102.33999999999997</v>
      </c>
      <c r="P1711" s="15">
        <f>IFERROR(tblSprzedaz[[#This Row],[Marża kwotowa]]/tblSprzedaz[[#This Row],[Przychód netto]],0)</f>
        <v>0.17918548867177922</v>
      </c>
      <c r="Q1711" s="16">
        <f>YEAR(tblSprzedaz[[#This Row],[Data]])</f>
        <v>2026</v>
      </c>
      <c r="R1711" s="16">
        <f>MONTH(tblSprzedaz[[#This Row],[Data]])</f>
        <v>4</v>
      </c>
      <c r="S1711" s="9" t="str">
        <f>YEAR(tblSprzedaz[[#This Row],[Data]])&amp;"-"&amp;RIGHT("0"&amp;MONTH(tblSprzedaz[[#This Row],[Data]]),2)</f>
        <v>2026-04</v>
      </c>
    </row>
    <row r="1712" spans="1:19" x14ac:dyDescent="0.25">
      <c r="A1712" s="7" t="s">
        <v>3591</v>
      </c>
      <c r="B1712" s="10">
        <v>46114</v>
      </c>
      <c r="C1712" s="7" t="s">
        <v>3592</v>
      </c>
      <c r="D1712" s="8" t="s">
        <v>109</v>
      </c>
      <c r="E1712" s="8" t="s">
        <v>71</v>
      </c>
      <c r="F1712" s="8" t="s">
        <v>35</v>
      </c>
      <c r="G1712" s="8" t="s">
        <v>32</v>
      </c>
      <c r="H1712" s="8" t="s">
        <v>42</v>
      </c>
      <c r="I1712" s="11">
        <v>20</v>
      </c>
      <c r="J1712" s="12">
        <v>55.76</v>
      </c>
      <c r="K1712" s="13">
        <v>0</v>
      </c>
      <c r="L1712" s="12">
        <v>39.08</v>
      </c>
      <c r="M1712" s="14">
        <f>ROUND(tblSprzedaz[[#This Row],[Ilość]]*tblSprzedaz[[#This Row],[Cena netto jednostkowa]]*(1-tblSprzedaz[[#This Row],[Rabat %]]),2)</f>
        <v>1115.2</v>
      </c>
      <c r="N1712" s="14">
        <f>ROUND(tblSprzedaz[[#This Row],[Ilość]]*tblSprzedaz[[#This Row],[Koszt jednostkowy netto]],2)</f>
        <v>781.6</v>
      </c>
      <c r="O1712" s="14">
        <f>tblSprzedaz[[#This Row],[Przychód netto]]-tblSprzedaz[[#This Row],[Koszt całkowity netto]]</f>
        <v>333.6</v>
      </c>
      <c r="P1712" s="15">
        <f>IFERROR(tblSprzedaz[[#This Row],[Marża kwotowa]]/tblSprzedaz[[#This Row],[Przychód netto]],0)</f>
        <v>0.29913916786226685</v>
      </c>
      <c r="Q1712" s="16">
        <f>YEAR(tblSprzedaz[[#This Row],[Data]])</f>
        <v>2026</v>
      </c>
      <c r="R1712" s="16">
        <f>MONTH(tblSprzedaz[[#This Row],[Data]])</f>
        <v>4</v>
      </c>
      <c r="S1712" s="9" t="str">
        <f>YEAR(tblSprzedaz[[#This Row],[Data]])&amp;"-"&amp;RIGHT("0"&amp;MONTH(tblSprzedaz[[#This Row],[Data]]),2)</f>
        <v>2026-04</v>
      </c>
    </row>
    <row r="1713" spans="1:19" x14ac:dyDescent="0.25">
      <c r="A1713" s="7" t="s">
        <v>3593</v>
      </c>
      <c r="B1713" s="10">
        <v>46115</v>
      </c>
      <c r="C1713" s="7" t="s">
        <v>3594</v>
      </c>
      <c r="D1713" s="8" t="s">
        <v>152</v>
      </c>
      <c r="E1713" s="8" t="s">
        <v>63</v>
      </c>
      <c r="F1713" s="8" t="s">
        <v>33</v>
      </c>
      <c r="G1713" s="8" t="s">
        <v>36</v>
      </c>
      <c r="H1713" s="8" t="s">
        <v>46</v>
      </c>
      <c r="I1713" s="11">
        <v>25</v>
      </c>
      <c r="J1713" s="12">
        <v>690</v>
      </c>
      <c r="K1713" s="13">
        <v>0.15</v>
      </c>
      <c r="L1713" s="12">
        <v>481.78</v>
      </c>
      <c r="M1713" s="14">
        <f>ROUND(tblSprzedaz[[#This Row],[Ilość]]*tblSprzedaz[[#This Row],[Cena netto jednostkowa]]*(1-tblSprzedaz[[#This Row],[Rabat %]]),2)</f>
        <v>14662.5</v>
      </c>
      <c r="N1713" s="14">
        <f>ROUND(tblSprzedaz[[#This Row],[Ilość]]*tblSprzedaz[[#This Row],[Koszt jednostkowy netto]],2)</f>
        <v>12044.5</v>
      </c>
      <c r="O1713" s="14">
        <f>tblSprzedaz[[#This Row],[Przychód netto]]-tblSprzedaz[[#This Row],[Koszt całkowity netto]]</f>
        <v>2618</v>
      </c>
      <c r="P1713" s="15">
        <f>IFERROR(tblSprzedaz[[#This Row],[Marża kwotowa]]/tblSprzedaz[[#This Row],[Przychód netto]],0)</f>
        <v>0.17855072463768115</v>
      </c>
      <c r="Q1713" s="16">
        <f>YEAR(tblSprzedaz[[#This Row],[Data]])</f>
        <v>2026</v>
      </c>
      <c r="R1713" s="16">
        <f>MONTH(tblSprzedaz[[#This Row],[Data]])</f>
        <v>4</v>
      </c>
      <c r="S1713" s="9" t="str">
        <f>YEAR(tblSprzedaz[[#This Row],[Data]])&amp;"-"&amp;RIGHT("0"&amp;MONTH(tblSprzedaz[[#This Row],[Data]]),2)</f>
        <v>2026-04</v>
      </c>
    </row>
    <row r="1714" spans="1:19" x14ac:dyDescent="0.25">
      <c r="A1714" s="7" t="s">
        <v>3595</v>
      </c>
      <c r="B1714" s="10">
        <v>46115</v>
      </c>
      <c r="C1714" s="7" t="s">
        <v>3596</v>
      </c>
      <c r="D1714" s="8" t="s">
        <v>78</v>
      </c>
      <c r="E1714" s="8" t="s">
        <v>72</v>
      </c>
      <c r="F1714" s="8" t="s">
        <v>37</v>
      </c>
      <c r="G1714" s="8" t="s">
        <v>28</v>
      </c>
      <c r="H1714" s="8" t="s">
        <v>38</v>
      </c>
      <c r="I1714" s="11">
        <v>14</v>
      </c>
      <c r="J1714" s="12">
        <v>94.05</v>
      </c>
      <c r="K1714" s="13">
        <v>0.1</v>
      </c>
      <c r="L1714" s="12">
        <v>70.290000000000006</v>
      </c>
      <c r="M1714" s="14">
        <f>ROUND(tblSprzedaz[[#This Row],[Ilość]]*tblSprzedaz[[#This Row],[Cena netto jednostkowa]]*(1-tblSprzedaz[[#This Row],[Rabat %]]),2)</f>
        <v>1185.03</v>
      </c>
      <c r="N1714" s="14">
        <f>ROUND(tblSprzedaz[[#This Row],[Ilość]]*tblSprzedaz[[#This Row],[Koszt jednostkowy netto]],2)</f>
        <v>984.06</v>
      </c>
      <c r="O1714" s="14">
        <f>tblSprzedaz[[#This Row],[Przychód netto]]-tblSprzedaz[[#This Row],[Koszt całkowity netto]]</f>
        <v>200.97000000000003</v>
      </c>
      <c r="P1714" s="15">
        <f>IFERROR(tblSprzedaz[[#This Row],[Marża kwotowa]]/tblSprzedaz[[#This Row],[Przychód netto]],0)</f>
        <v>0.16959064327485382</v>
      </c>
      <c r="Q1714" s="16">
        <f>YEAR(tblSprzedaz[[#This Row],[Data]])</f>
        <v>2026</v>
      </c>
      <c r="R1714" s="16">
        <f>MONTH(tblSprzedaz[[#This Row],[Data]])</f>
        <v>4</v>
      </c>
      <c r="S1714" s="9" t="str">
        <f>YEAR(tblSprzedaz[[#This Row],[Data]])&amp;"-"&amp;RIGHT("0"&amp;MONTH(tblSprzedaz[[#This Row],[Data]]),2)</f>
        <v>2026-04</v>
      </c>
    </row>
    <row r="1715" spans="1:19" x14ac:dyDescent="0.25">
      <c r="A1715" s="7" t="s">
        <v>3597</v>
      </c>
      <c r="B1715" s="10">
        <v>46115</v>
      </c>
      <c r="C1715" s="7" t="s">
        <v>3598</v>
      </c>
      <c r="D1715" s="8" t="s">
        <v>96</v>
      </c>
      <c r="E1715" s="8" t="s">
        <v>68</v>
      </c>
      <c r="F1715" s="8" t="s">
        <v>35</v>
      </c>
      <c r="G1715" s="8" t="s">
        <v>36</v>
      </c>
      <c r="H1715" s="8" t="s">
        <v>46</v>
      </c>
      <c r="I1715" s="11">
        <v>20</v>
      </c>
      <c r="J1715" s="12">
        <v>90.44</v>
      </c>
      <c r="K1715" s="13">
        <v>0.05</v>
      </c>
      <c r="L1715" s="12">
        <v>64.81</v>
      </c>
      <c r="M1715" s="14">
        <f>ROUND(tblSprzedaz[[#This Row],[Ilość]]*tblSprzedaz[[#This Row],[Cena netto jednostkowa]]*(1-tblSprzedaz[[#This Row],[Rabat %]]),2)</f>
        <v>1718.36</v>
      </c>
      <c r="N1715" s="14">
        <f>ROUND(tblSprzedaz[[#This Row],[Ilość]]*tblSprzedaz[[#This Row],[Koszt jednostkowy netto]],2)</f>
        <v>1296.2</v>
      </c>
      <c r="O1715" s="14">
        <f>tblSprzedaz[[#This Row],[Przychód netto]]-tblSprzedaz[[#This Row],[Koszt całkowity netto]]</f>
        <v>422.15999999999985</v>
      </c>
      <c r="P1715" s="15">
        <f>IFERROR(tblSprzedaz[[#This Row],[Marża kwotowa]]/tblSprzedaz[[#This Row],[Przychód netto]],0)</f>
        <v>0.24567610977909163</v>
      </c>
      <c r="Q1715" s="16">
        <f>YEAR(tblSprzedaz[[#This Row],[Data]])</f>
        <v>2026</v>
      </c>
      <c r="R1715" s="16">
        <f>MONTH(tblSprzedaz[[#This Row],[Data]])</f>
        <v>4</v>
      </c>
      <c r="S1715" s="9" t="str">
        <f>YEAR(tblSprzedaz[[#This Row],[Data]])&amp;"-"&amp;RIGHT("0"&amp;MONTH(tblSprzedaz[[#This Row],[Data]]),2)</f>
        <v>2026-04</v>
      </c>
    </row>
    <row r="1716" spans="1:19" x14ac:dyDescent="0.25">
      <c r="A1716" s="7" t="s">
        <v>3599</v>
      </c>
      <c r="B1716" s="10">
        <v>46115</v>
      </c>
      <c r="C1716" s="7" t="s">
        <v>3600</v>
      </c>
      <c r="D1716" s="8" t="s">
        <v>111</v>
      </c>
      <c r="E1716" s="8" t="s">
        <v>68</v>
      </c>
      <c r="F1716" s="8" t="s">
        <v>35</v>
      </c>
      <c r="G1716" s="8" t="s">
        <v>36</v>
      </c>
      <c r="H1716" s="8" t="s">
        <v>47</v>
      </c>
      <c r="I1716" s="11">
        <v>4</v>
      </c>
      <c r="J1716" s="12">
        <v>90.44</v>
      </c>
      <c r="K1716" s="13">
        <v>0.05</v>
      </c>
      <c r="L1716" s="12">
        <v>68.08</v>
      </c>
      <c r="M1716" s="14">
        <f>ROUND(tblSprzedaz[[#This Row],[Ilość]]*tblSprzedaz[[#This Row],[Cena netto jednostkowa]]*(1-tblSprzedaz[[#This Row],[Rabat %]]),2)</f>
        <v>343.67</v>
      </c>
      <c r="N1716" s="14">
        <f>ROUND(tblSprzedaz[[#This Row],[Ilość]]*tblSprzedaz[[#This Row],[Koszt jednostkowy netto]],2)</f>
        <v>272.32</v>
      </c>
      <c r="O1716" s="14">
        <f>tblSprzedaz[[#This Row],[Przychód netto]]-tblSprzedaz[[#This Row],[Koszt całkowity netto]]</f>
        <v>71.350000000000023</v>
      </c>
      <c r="P1716" s="15">
        <f>IFERROR(tblSprzedaz[[#This Row],[Marża kwotowa]]/tblSprzedaz[[#This Row],[Przychód netto]],0)</f>
        <v>0.20761195332731988</v>
      </c>
      <c r="Q1716" s="16">
        <f>YEAR(tblSprzedaz[[#This Row],[Data]])</f>
        <v>2026</v>
      </c>
      <c r="R1716" s="16">
        <f>MONTH(tblSprzedaz[[#This Row],[Data]])</f>
        <v>4</v>
      </c>
      <c r="S1716" s="9" t="str">
        <f>YEAR(tblSprzedaz[[#This Row],[Data]])&amp;"-"&amp;RIGHT("0"&amp;MONTH(tblSprzedaz[[#This Row],[Data]]),2)</f>
        <v>2026-04</v>
      </c>
    </row>
    <row r="1717" spans="1:19" x14ac:dyDescent="0.25">
      <c r="A1717" s="7" t="s">
        <v>3601</v>
      </c>
      <c r="B1717" s="10">
        <v>46116</v>
      </c>
      <c r="C1717" s="7" t="s">
        <v>3602</v>
      </c>
      <c r="D1717" s="8" t="s">
        <v>143</v>
      </c>
      <c r="E1717" s="8" t="s">
        <v>62</v>
      </c>
      <c r="F1717" s="8" t="s">
        <v>33</v>
      </c>
      <c r="G1717" s="8" t="s">
        <v>30</v>
      </c>
      <c r="H1717" s="8" t="s">
        <v>41</v>
      </c>
      <c r="I1717" s="11">
        <v>18</v>
      </c>
      <c r="J1717" s="12">
        <v>611.79999999999995</v>
      </c>
      <c r="K1717" s="13">
        <v>0</v>
      </c>
      <c r="L1717" s="12">
        <v>408.48</v>
      </c>
      <c r="M1717" s="14">
        <f>ROUND(tblSprzedaz[[#This Row],[Ilość]]*tblSprzedaz[[#This Row],[Cena netto jednostkowa]]*(1-tblSprzedaz[[#This Row],[Rabat %]]),2)</f>
        <v>11012.4</v>
      </c>
      <c r="N1717" s="14">
        <f>ROUND(tblSprzedaz[[#This Row],[Ilość]]*tblSprzedaz[[#This Row],[Koszt jednostkowy netto]],2)</f>
        <v>7352.64</v>
      </c>
      <c r="O1717" s="14">
        <f>tblSprzedaz[[#This Row],[Przychód netto]]-tblSprzedaz[[#This Row],[Koszt całkowity netto]]</f>
        <v>3659.7599999999993</v>
      </c>
      <c r="P1717" s="15">
        <f>IFERROR(tblSprzedaz[[#This Row],[Marża kwotowa]]/tblSprzedaz[[#This Row],[Przychód netto]],0)</f>
        <v>0.33233082706766914</v>
      </c>
      <c r="Q1717" s="16">
        <f>YEAR(tblSprzedaz[[#This Row],[Data]])</f>
        <v>2026</v>
      </c>
      <c r="R1717" s="16">
        <f>MONTH(tblSprzedaz[[#This Row],[Data]])</f>
        <v>4</v>
      </c>
      <c r="S1717" s="9" t="str">
        <f>YEAR(tblSprzedaz[[#This Row],[Data]])&amp;"-"&amp;RIGHT("0"&amp;MONTH(tblSprzedaz[[#This Row],[Data]]),2)</f>
        <v>2026-04</v>
      </c>
    </row>
    <row r="1718" spans="1:19" x14ac:dyDescent="0.25">
      <c r="A1718" s="7" t="s">
        <v>3603</v>
      </c>
      <c r="B1718" s="10">
        <v>46117</v>
      </c>
      <c r="C1718" s="7" t="s">
        <v>3604</v>
      </c>
      <c r="D1718" s="8" t="s">
        <v>101</v>
      </c>
      <c r="E1718" s="8" t="s">
        <v>71</v>
      </c>
      <c r="F1718" s="8" t="s">
        <v>35</v>
      </c>
      <c r="G1718" s="8" t="s">
        <v>32</v>
      </c>
      <c r="H1718" s="8" t="s">
        <v>42</v>
      </c>
      <c r="I1718" s="11">
        <v>5</v>
      </c>
      <c r="J1718" s="12">
        <v>55.76</v>
      </c>
      <c r="K1718" s="13">
        <v>0.1</v>
      </c>
      <c r="L1718" s="12">
        <v>38.299999999999997</v>
      </c>
      <c r="M1718" s="14">
        <f>ROUND(tblSprzedaz[[#This Row],[Ilość]]*tblSprzedaz[[#This Row],[Cena netto jednostkowa]]*(1-tblSprzedaz[[#This Row],[Rabat %]]),2)</f>
        <v>250.92</v>
      </c>
      <c r="N1718" s="14">
        <f>ROUND(tblSprzedaz[[#This Row],[Ilość]]*tblSprzedaz[[#This Row],[Koszt jednostkowy netto]],2)</f>
        <v>191.5</v>
      </c>
      <c r="O1718" s="14">
        <f>tblSprzedaz[[#This Row],[Przychód netto]]-tblSprzedaz[[#This Row],[Koszt całkowity netto]]</f>
        <v>59.419999999999987</v>
      </c>
      <c r="P1718" s="15">
        <f>IFERROR(tblSprzedaz[[#This Row],[Marża kwotowa]]/tblSprzedaz[[#This Row],[Przychód netto]],0)</f>
        <v>0.23680854455603376</v>
      </c>
      <c r="Q1718" s="16">
        <f>YEAR(tblSprzedaz[[#This Row],[Data]])</f>
        <v>2026</v>
      </c>
      <c r="R1718" s="16">
        <f>MONTH(tblSprzedaz[[#This Row],[Data]])</f>
        <v>4</v>
      </c>
      <c r="S1718" s="9" t="str">
        <f>YEAR(tblSprzedaz[[#This Row],[Data]])&amp;"-"&amp;RIGHT("0"&amp;MONTH(tblSprzedaz[[#This Row],[Data]]),2)</f>
        <v>2026-04</v>
      </c>
    </row>
    <row r="1719" spans="1:19" x14ac:dyDescent="0.25">
      <c r="A1719" s="7" t="s">
        <v>3605</v>
      </c>
      <c r="B1719" s="10">
        <v>46117</v>
      </c>
      <c r="C1719" s="7" t="s">
        <v>3606</v>
      </c>
      <c r="D1719" s="8" t="s">
        <v>105</v>
      </c>
      <c r="E1719" s="8" t="s">
        <v>53</v>
      </c>
      <c r="F1719" s="8" t="s">
        <v>29</v>
      </c>
      <c r="G1719" s="8" t="s">
        <v>36</v>
      </c>
      <c r="H1719" s="8" t="s">
        <v>46</v>
      </c>
      <c r="I1719" s="11">
        <v>25</v>
      </c>
      <c r="J1719" s="12">
        <v>27.88</v>
      </c>
      <c r="K1719" s="13">
        <v>0</v>
      </c>
      <c r="L1719" s="12">
        <v>15.52</v>
      </c>
      <c r="M1719" s="14">
        <f>ROUND(tblSprzedaz[[#This Row],[Ilość]]*tblSprzedaz[[#This Row],[Cena netto jednostkowa]]*(1-tblSprzedaz[[#This Row],[Rabat %]]),2)</f>
        <v>697</v>
      </c>
      <c r="N1719" s="14">
        <f>ROUND(tblSprzedaz[[#This Row],[Ilość]]*tblSprzedaz[[#This Row],[Koszt jednostkowy netto]],2)</f>
        <v>388</v>
      </c>
      <c r="O1719" s="14">
        <f>tblSprzedaz[[#This Row],[Przychód netto]]-tblSprzedaz[[#This Row],[Koszt całkowity netto]]</f>
        <v>309</v>
      </c>
      <c r="P1719" s="15">
        <f>IFERROR(tblSprzedaz[[#This Row],[Marża kwotowa]]/tblSprzedaz[[#This Row],[Przychód netto]],0)</f>
        <v>0.44332855093256812</v>
      </c>
      <c r="Q1719" s="16">
        <f>YEAR(tblSprzedaz[[#This Row],[Data]])</f>
        <v>2026</v>
      </c>
      <c r="R1719" s="16">
        <f>MONTH(tblSprzedaz[[#This Row],[Data]])</f>
        <v>4</v>
      </c>
      <c r="S1719" s="9" t="str">
        <f>YEAR(tblSprzedaz[[#This Row],[Data]])&amp;"-"&amp;RIGHT("0"&amp;MONTH(tblSprzedaz[[#This Row],[Data]]),2)</f>
        <v>2026-04</v>
      </c>
    </row>
    <row r="1720" spans="1:19" x14ac:dyDescent="0.25">
      <c r="A1720" s="7" t="s">
        <v>3607</v>
      </c>
      <c r="B1720" s="10">
        <v>46118</v>
      </c>
      <c r="C1720" s="7" t="s">
        <v>3608</v>
      </c>
      <c r="D1720" s="8" t="s">
        <v>125</v>
      </c>
      <c r="E1720" s="8" t="s">
        <v>60</v>
      </c>
      <c r="F1720" s="8" t="s">
        <v>33</v>
      </c>
      <c r="G1720" s="8" t="s">
        <v>30</v>
      </c>
      <c r="H1720" s="8" t="s">
        <v>41</v>
      </c>
      <c r="I1720" s="11">
        <v>18</v>
      </c>
      <c r="J1720" s="12">
        <v>455.4</v>
      </c>
      <c r="K1720" s="13">
        <v>0</v>
      </c>
      <c r="L1720" s="12">
        <v>314.77</v>
      </c>
      <c r="M1720" s="14">
        <f>ROUND(tblSprzedaz[[#This Row],[Ilość]]*tblSprzedaz[[#This Row],[Cena netto jednostkowa]]*(1-tblSprzedaz[[#This Row],[Rabat %]]),2)</f>
        <v>8197.2000000000007</v>
      </c>
      <c r="N1720" s="14">
        <f>ROUND(tblSprzedaz[[#This Row],[Ilość]]*tblSprzedaz[[#This Row],[Koszt jednostkowy netto]],2)</f>
        <v>5665.86</v>
      </c>
      <c r="O1720" s="14">
        <f>tblSprzedaz[[#This Row],[Przychód netto]]-tblSprzedaz[[#This Row],[Koszt całkowity netto]]</f>
        <v>2531.3400000000011</v>
      </c>
      <c r="P1720" s="15">
        <f>IFERROR(tblSprzedaz[[#This Row],[Marża kwotowa]]/tblSprzedaz[[#This Row],[Przychód netto]],0)</f>
        <v>0.30880544576196761</v>
      </c>
      <c r="Q1720" s="16">
        <f>YEAR(tblSprzedaz[[#This Row],[Data]])</f>
        <v>2026</v>
      </c>
      <c r="R1720" s="16">
        <f>MONTH(tblSprzedaz[[#This Row],[Data]])</f>
        <v>4</v>
      </c>
      <c r="S1720" s="9" t="str">
        <f>YEAR(tblSprzedaz[[#This Row],[Data]])&amp;"-"&amp;RIGHT("0"&amp;MONTH(tblSprzedaz[[#This Row],[Data]]),2)</f>
        <v>2026-04</v>
      </c>
    </row>
    <row r="1721" spans="1:19" x14ac:dyDescent="0.25">
      <c r="A1721" s="7" t="s">
        <v>3609</v>
      </c>
      <c r="B1721" s="10">
        <v>46118</v>
      </c>
      <c r="C1721" s="7" t="s">
        <v>3610</v>
      </c>
      <c r="D1721" s="8" t="s">
        <v>118</v>
      </c>
      <c r="E1721" s="8" t="s">
        <v>56</v>
      </c>
      <c r="F1721" s="8" t="s">
        <v>31</v>
      </c>
      <c r="G1721" s="8" t="s">
        <v>30</v>
      </c>
      <c r="H1721" s="8" t="s">
        <v>40</v>
      </c>
      <c r="I1721" s="11">
        <v>4</v>
      </c>
      <c r="J1721" s="12">
        <v>279.3</v>
      </c>
      <c r="K1721" s="13">
        <v>0.15</v>
      </c>
      <c r="L1721" s="12">
        <v>182.44</v>
      </c>
      <c r="M1721" s="14">
        <f>ROUND(tblSprzedaz[[#This Row],[Ilość]]*tblSprzedaz[[#This Row],[Cena netto jednostkowa]]*(1-tblSprzedaz[[#This Row],[Rabat %]]),2)</f>
        <v>949.62</v>
      </c>
      <c r="N1721" s="14">
        <f>ROUND(tblSprzedaz[[#This Row],[Ilość]]*tblSprzedaz[[#This Row],[Koszt jednostkowy netto]],2)</f>
        <v>729.76</v>
      </c>
      <c r="O1721" s="14">
        <f>tblSprzedaz[[#This Row],[Przychód netto]]-tblSprzedaz[[#This Row],[Koszt całkowity netto]]</f>
        <v>219.86</v>
      </c>
      <c r="P1721" s="15">
        <f>IFERROR(tblSprzedaz[[#This Row],[Marża kwotowa]]/tblSprzedaz[[#This Row],[Przychód netto]],0)</f>
        <v>0.23152418862281757</v>
      </c>
      <c r="Q1721" s="16">
        <f>YEAR(tblSprzedaz[[#This Row],[Data]])</f>
        <v>2026</v>
      </c>
      <c r="R1721" s="16">
        <f>MONTH(tblSprzedaz[[#This Row],[Data]])</f>
        <v>4</v>
      </c>
      <c r="S1721" s="9" t="str">
        <f>YEAR(tblSprzedaz[[#This Row],[Data]])&amp;"-"&amp;RIGHT("0"&amp;MONTH(tblSprzedaz[[#This Row],[Data]]),2)</f>
        <v>2026-04</v>
      </c>
    </row>
    <row r="1722" spans="1:19" x14ac:dyDescent="0.25">
      <c r="A1722" s="7" t="s">
        <v>3611</v>
      </c>
      <c r="B1722" s="10">
        <v>46118</v>
      </c>
      <c r="C1722" s="7" t="s">
        <v>3612</v>
      </c>
      <c r="D1722" s="8" t="s">
        <v>98</v>
      </c>
      <c r="E1722" s="8" t="s">
        <v>67</v>
      </c>
      <c r="F1722" s="8" t="s">
        <v>35</v>
      </c>
      <c r="G1722" s="8" t="s">
        <v>32</v>
      </c>
      <c r="H1722" s="8" t="s">
        <v>42</v>
      </c>
      <c r="I1722" s="11">
        <v>16</v>
      </c>
      <c r="J1722" s="12">
        <v>78.88</v>
      </c>
      <c r="K1722" s="13">
        <v>0.1</v>
      </c>
      <c r="L1722" s="12">
        <v>57.8</v>
      </c>
      <c r="M1722" s="14">
        <f>ROUND(tblSprzedaz[[#This Row],[Ilość]]*tblSprzedaz[[#This Row],[Cena netto jednostkowa]]*(1-tblSprzedaz[[#This Row],[Rabat %]]),2)</f>
        <v>1135.8699999999999</v>
      </c>
      <c r="N1722" s="14">
        <f>ROUND(tblSprzedaz[[#This Row],[Ilość]]*tblSprzedaz[[#This Row],[Koszt jednostkowy netto]],2)</f>
        <v>924.8</v>
      </c>
      <c r="O1722" s="14">
        <f>tblSprzedaz[[#This Row],[Przychód netto]]-tblSprzedaz[[#This Row],[Koszt całkowity netto]]</f>
        <v>211.06999999999994</v>
      </c>
      <c r="P1722" s="15">
        <f>IFERROR(tblSprzedaz[[#This Row],[Marża kwotowa]]/tblSprzedaz[[#This Row],[Przychód netto]],0)</f>
        <v>0.18582232121633635</v>
      </c>
      <c r="Q1722" s="16">
        <f>YEAR(tblSprzedaz[[#This Row],[Data]])</f>
        <v>2026</v>
      </c>
      <c r="R1722" s="16">
        <f>MONTH(tblSprzedaz[[#This Row],[Data]])</f>
        <v>4</v>
      </c>
      <c r="S1722" s="9" t="str">
        <f>YEAR(tblSprzedaz[[#This Row],[Data]])&amp;"-"&amp;RIGHT("0"&amp;MONTH(tblSprzedaz[[#This Row],[Data]]),2)</f>
        <v>2026-04</v>
      </c>
    </row>
    <row r="1723" spans="1:19" x14ac:dyDescent="0.25">
      <c r="A1723" s="7" t="s">
        <v>3613</v>
      </c>
      <c r="B1723" s="10">
        <v>46119</v>
      </c>
      <c r="C1723" s="7" t="s">
        <v>3614</v>
      </c>
      <c r="D1723" s="8" t="s">
        <v>106</v>
      </c>
      <c r="E1723" s="8" t="s">
        <v>51</v>
      </c>
      <c r="F1723" s="8" t="s">
        <v>29</v>
      </c>
      <c r="G1723" s="8" t="s">
        <v>32</v>
      </c>
      <c r="H1723" s="8" t="s">
        <v>42</v>
      </c>
      <c r="I1723" s="11">
        <v>21</v>
      </c>
      <c r="J1723" s="12">
        <v>51</v>
      </c>
      <c r="K1723" s="13">
        <v>0.15</v>
      </c>
      <c r="L1723" s="12">
        <v>28.88</v>
      </c>
      <c r="M1723" s="14">
        <f>ROUND(tblSprzedaz[[#This Row],[Ilość]]*tblSprzedaz[[#This Row],[Cena netto jednostkowa]]*(1-tblSprzedaz[[#This Row],[Rabat %]]),2)</f>
        <v>910.35</v>
      </c>
      <c r="N1723" s="14">
        <f>ROUND(tblSprzedaz[[#This Row],[Ilość]]*tblSprzedaz[[#This Row],[Koszt jednostkowy netto]],2)</f>
        <v>606.48</v>
      </c>
      <c r="O1723" s="14">
        <f>tblSprzedaz[[#This Row],[Przychód netto]]-tblSprzedaz[[#This Row],[Koszt całkowity netto]]</f>
        <v>303.87</v>
      </c>
      <c r="P1723" s="15">
        <f>IFERROR(tblSprzedaz[[#This Row],[Marża kwotowa]]/tblSprzedaz[[#This Row],[Przychód netto]],0)</f>
        <v>0.33379469434832754</v>
      </c>
      <c r="Q1723" s="16">
        <f>YEAR(tblSprzedaz[[#This Row],[Data]])</f>
        <v>2026</v>
      </c>
      <c r="R1723" s="16">
        <f>MONTH(tblSprzedaz[[#This Row],[Data]])</f>
        <v>4</v>
      </c>
      <c r="S1723" s="9" t="str">
        <f>YEAR(tblSprzedaz[[#This Row],[Data]])&amp;"-"&amp;RIGHT("0"&amp;MONTH(tblSprzedaz[[#This Row],[Data]]),2)</f>
        <v>2026-04</v>
      </c>
    </row>
    <row r="1724" spans="1:19" x14ac:dyDescent="0.25">
      <c r="A1724" s="7" t="s">
        <v>3615</v>
      </c>
      <c r="B1724" s="10">
        <v>46119</v>
      </c>
      <c r="C1724" s="7" t="s">
        <v>3616</v>
      </c>
      <c r="D1724" s="8" t="s">
        <v>144</v>
      </c>
      <c r="E1724" s="8" t="s">
        <v>71</v>
      </c>
      <c r="F1724" s="8" t="s">
        <v>35</v>
      </c>
      <c r="G1724" s="8" t="s">
        <v>28</v>
      </c>
      <c r="H1724" s="8" t="s">
        <v>38</v>
      </c>
      <c r="I1724" s="11">
        <v>2</v>
      </c>
      <c r="J1724" s="12">
        <v>55.76</v>
      </c>
      <c r="K1724" s="13">
        <v>0</v>
      </c>
      <c r="L1724" s="12">
        <v>41.54</v>
      </c>
      <c r="M1724" s="14">
        <f>ROUND(tblSprzedaz[[#This Row],[Ilość]]*tblSprzedaz[[#This Row],[Cena netto jednostkowa]]*(1-tblSprzedaz[[#This Row],[Rabat %]]),2)</f>
        <v>111.52</v>
      </c>
      <c r="N1724" s="14">
        <f>ROUND(tblSprzedaz[[#This Row],[Ilość]]*tblSprzedaz[[#This Row],[Koszt jednostkowy netto]],2)</f>
        <v>83.08</v>
      </c>
      <c r="O1724" s="14">
        <f>tblSprzedaz[[#This Row],[Przychód netto]]-tblSprzedaz[[#This Row],[Koszt całkowity netto]]</f>
        <v>28.439999999999998</v>
      </c>
      <c r="P1724" s="15">
        <f>IFERROR(tblSprzedaz[[#This Row],[Marża kwotowa]]/tblSprzedaz[[#This Row],[Przychód netto]],0)</f>
        <v>0.25502152080344331</v>
      </c>
      <c r="Q1724" s="16">
        <f>YEAR(tblSprzedaz[[#This Row],[Data]])</f>
        <v>2026</v>
      </c>
      <c r="R1724" s="16">
        <f>MONTH(tblSprzedaz[[#This Row],[Data]])</f>
        <v>4</v>
      </c>
      <c r="S1724" s="9" t="str">
        <f>YEAR(tblSprzedaz[[#This Row],[Data]])&amp;"-"&amp;RIGHT("0"&amp;MONTH(tblSprzedaz[[#This Row],[Data]]),2)</f>
        <v>2026-04</v>
      </c>
    </row>
    <row r="1725" spans="1:19" x14ac:dyDescent="0.25">
      <c r="A1725" s="7" t="s">
        <v>3617</v>
      </c>
      <c r="B1725" s="10">
        <v>46119</v>
      </c>
      <c r="C1725" s="7" t="s">
        <v>3618</v>
      </c>
      <c r="D1725" s="8" t="s">
        <v>113</v>
      </c>
      <c r="E1725" s="8" t="s">
        <v>52</v>
      </c>
      <c r="F1725" s="8" t="s">
        <v>29</v>
      </c>
      <c r="G1725" s="8" t="s">
        <v>34</v>
      </c>
      <c r="H1725" s="8" t="s">
        <v>44</v>
      </c>
      <c r="I1725" s="11">
        <v>9</v>
      </c>
      <c r="J1725" s="12">
        <v>56.78</v>
      </c>
      <c r="K1725" s="13">
        <v>0</v>
      </c>
      <c r="L1725" s="12">
        <v>35.31</v>
      </c>
      <c r="M1725" s="14">
        <f>ROUND(tblSprzedaz[[#This Row],[Ilość]]*tblSprzedaz[[#This Row],[Cena netto jednostkowa]]*(1-tblSprzedaz[[#This Row],[Rabat %]]),2)</f>
        <v>511.02</v>
      </c>
      <c r="N1725" s="14">
        <f>ROUND(tblSprzedaz[[#This Row],[Ilość]]*tblSprzedaz[[#This Row],[Koszt jednostkowy netto]],2)</f>
        <v>317.79000000000002</v>
      </c>
      <c r="O1725" s="14">
        <f>tblSprzedaz[[#This Row],[Przychód netto]]-tblSprzedaz[[#This Row],[Koszt całkowity netto]]</f>
        <v>193.22999999999996</v>
      </c>
      <c r="P1725" s="15">
        <f>IFERROR(tblSprzedaz[[#This Row],[Marża kwotowa]]/tblSprzedaz[[#This Row],[Przychód netto]],0)</f>
        <v>0.37812610073969699</v>
      </c>
      <c r="Q1725" s="16">
        <f>YEAR(tblSprzedaz[[#This Row],[Data]])</f>
        <v>2026</v>
      </c>
      <c r="R1725" s="16">
        <f>MONTH(tblSprzedaz[[#This Row],[Data]])</f>
        <v>4</v>
      </c>
      <c r="S1725" s="9" t="str">
        <f>YEAR(tblSprzedaz[[#This Row],[Data]])&amp;"-"&amp;RIGHT("0"&amp;MONTH(tblSprzedaz[[#This Row],[Data]]),2)</f>
        <v>2026-04</v>
      </c>
    </row>
    <row r="1726" spans="1:19" x14ac:dyDescent="0.25">
      <c r="A1726" s="7" t="s">
        <v>3619</v>
      </c>
      <c r="B1726" s="10">
        <v>46120</v>
      </c>
      <c r="C1726" s="7" t="s">
        <v>3620</v>
      </c>
      <c r="D1726" s="8" t="s">
        <v>134</v>
      </c>
      <c r="E1726" s="8" t="s">
        <v>56</v>
      </c>
      <c r="F1726" s="8" t="s">
        <v>31</v>
      </c>
      <c r="G1726" s="8" t="s">
        <v>30</v>
      </c>
      <c r="H1726" s="8" t="s">
        <v>41</v>
      </c>
      <c r="I1726" s="11">
        <v>13</v>
      </c>
      <c r="J1726" s="12">
        <v>279.3</v>
      </c>
      <c r="K1726" s="13">
        <v>0.05</v>
      </c>
      <c r="L1726" s="12">
        <v>182.71</v>
      </c>
      <c r="M1726" s="14">
        <f>ROUND(tblSprzedaz[[#This Row],[Ilość]]*tblSprzedaz[[#This Row],[Cena netto jednostkowa]]*(1-tblSprzedaz[[#This Row],[Rabat %]]),2)</f>
        <v>3449.36</v>
      </c>
      <c r="N1726" s="14">
        <f>ROUND(tblSprzedaz[[#This Row],[Ilość]]*tblSprzedaz[[#This Row],[Koszt jednostkowy netto]],2)</f>
        <v>2375.23</v>
      </c>
      <c r="O1726" s="14">
        <f>tblSprzedaz[[#This Row],[Przychód netto]]-tblSprzedaz[[#This Row],[Koszt całkowity netto]]</f>
        <v>1074.1300000000001</v>
      </c>
      <c r="P1726" s="15">
        <f>IFERROR(tblSprzedaz[[#This Row],[Marża kwotowa]]/tblSprzedaz[[#This Row],[Przychód netto]],0)</f>
        <v>0.31139979590416778</v>
      </c>
      <c r="Q1726" s="16">
        <f>YEAR(tblSprzedaz[[#This Row],[Data]])</f>
        <v>2026</v>
      </c>
      <c r="R1726" s="16">
        <f>MONTH(tblSprzedaz[[#This Row],[Data]])</f>
        <v>4</v>
      </c>
      <c r="S1726" s="9" t="str">
        <f>YEAR(tblSprzedaz[[#This Row],[Data]])&amp;"-"&amp;RIGHT("0"&amp;MONTH(tblSprzedaz[[#This Row],[Data]]),2)</f>
        <v>2026-04</v>
      </c>
    </row>
    <row r="1727" spans="1:19" x14ac:dyDescent="0.25">
      <c r="A1727" s="7" t="s">
        <v>3621</v>
      </c>
      <c r="B1727" s="10">
        <v>46120</v>
      </c>
      <c r="C1727" s="7" t="s">
        <v>3622</v>
      </c>
      <c r="D1727" s="8" t="s">
        <v>105</v>
      </c>
      <c r="E1727" s="8" t="s">
        <v>48</v>
      </c>
      <c r="F1727" s="8" t="s">
        <v>29</v>
      </c>
      <c r="G1727" s="8" t="s">
        <v>30</v>
      </c>
      <c r="H1727" s="8" t="s">
        <v>40</v>
      </c>
      <c r="I1727" s="11">
        <v>21</v>
      </c>
      <c r="J1727" s="12">
        <v>33.659999999999997</v>
      </c>
      <c r="K1727" s="13">
        <v>0.1</v>
      </c>
      <c r="L1727" s="12">
        <v>19.350000000000001</v>
      </c>
      <c r="M1727" s="14">
        <f>ROUND(tblSprzedaz[[#This Row],[Ilość]]*tblSprzedaz[[#This Row],[Cena netto jednostkowa]]*(1-tblSprzedaz[[#This Row],[Rabat %]]),2)</f>
        <v>636.16999999999996</v>
      </c>
      <c r="N1727" s="14">
        <f>ROUND(tblSprzedaz[[#This Row],[Ilość]]*tblSprzedaz[[#This Row],[Koszt jednostkowy netto]],2)</f>
        <v>406.35</v>
      </c>
      <c r="O1727" s="14">
        <f>tblSprzedaz[[#This Row],[Przychód netto]]-tblSprzedaz[[#This Row],[Koszt całkowity netto]]</f>
        <v>229.81999999999994</v>
      </c>
      <c r="P1727" s="15">
        <f>IFERROR(tblSprzedaz[[#This Row],[Marża kwotowa]]/tblSprzedaz[[#This Row],[Przychód netto]],0)</f>
        <v>0.36125563921593279</v>
      </c>
      <c r="Q1727" s="16">
        <f>YEAR(tblSprzedaz[[#This Row],[Data]])</f>
        <v>2026</v>
      </c>
      <c r="R1727" s="16">
        <f>MONTH(tblSprzedaz[[#This Row],[Data]])</f>
        <v>4</v>
      </c>
      <c r="S1727" s="9" t="str">
        <f>YEAR(tblSprzedaz[[#This Row],[Data]])&amp;"-"&amp;RIGHT("0"&amp;MONTH(tblSprzedaz[[#This Row],[Data]]),2)</f>
        <v>2026-04</v>
      </c>
    </row>
    <row r="1728" spans="1:19" x14ac:dyDescent="0.25">
      <c r="A1728" s="7" t="s">
        <v>3623</v>
      </c>
      <c r="B1728" s="10">
        <v>46120</v>
      </c>
      <c r="C1728" s="7" t="s">
        <v>3624</v>
      </c>
      <c r="D1728" s="8" t="s">
        <v>132</v>
      </c>
      <c r="E1728" s="8" t="s">
        <v>56</v>
      </c>
      <c r="F1728" s="8" t="s">
        <v>31</v>
      </c>
      <c r="G1728" s="8" t="s">
        <v>34</v>
      </c>
      <c r="H1728" s="8" t="s">
        <v>44</v>
      </c>
      <c r="I1728" s="11">
        <v>1</v>
      </c>
      <c r="J1728" s="12">
        <v>279.3</v>
      </c>
      <c r="K1728" s="13">
        <v>0.1</v>
      </c>
      <c r="L1728" s="12">
        <v>177.58</v>
      </c>
      <c r="M1728" s="14">
        <f>ROUND(tblSprzedaz[[#This Row],[Ilość]]*tblSprzedaz[[#This Row],[Cena netto jednostkowa]]*(1-tblSprzedaz[[#This Row],[Rabat %]]),2)</f>
        <v>251.37</v>
      </c>
      <c r="N1728" s="14">
        <f>ROUND(tblSprzedaz[[#This Row],[Ilość]]*tblSprzedaz[[#This Row],[Koszt jednostkowy netto]],2)</f>
        <v>177.58</v>
      </c>
      <c r="O1728" s="14">
        <f>tblSprzedaz[[#This Row],[Przychód netto]]-tblSprzedaz[[#This Row],[Koszt całkowity netto]]</f>
        <v>73.789999999999992</v>
      </c>
      <c r="P1728" s="15">
        <f>IFERROR(tblSprzedaz[[#This Row],[Marża kwotowa]]/tblSprzedaz[[#This Row],[Przychód netto]],0)</f>
        <v>0.29355133866412059</v>
      </c>
      <c r="Q1728" s="16">
        <f>YEAR(tblSprzedaz[[#This Row],[Data]])</f>
        <v>2026</v>
      </c>
      <c r="R1728" s="16">
        <f>MONTH(tblSprzedaz[[#This Row],[Data]])</f>
        <v>4</v>
      </c>
      <c r="S1728" s="9" t="str">
        <f>YEAR(tblSprzedaz[[#This Row],[Data]])&amp;"-"&amp;RIGHT("0"&amp;MONTH(tblSprzedaz[[#This Row],[Data]]),2)</f>
        <v>2026-04</v>
      </c>
    </row>
    <row r="1729" spans="1:19" x14ac:dyDescent="0.25">
      <c r="A1729" s="7" t="s">
        <v>3625</v>
      </c>
      <c r="B1729" s="10">
        <v>46120</v>
      </c>
      <c r="C1729" s="7" t="s">
        <v>3626</v>
      </c>
      <c r="D1729" s="8" t="s">
        <v>126</v>
      </c>
      <c r="E1729" s="8" t="s">
        <v>48</v>
      </c>
      <c r="F1729" s="8" t="s">
        <v>29</v>
      </c>
      <c r="G1729" s="8" t="s">
        <v>30</v>
      </c>
      <c r="H1729" s="8" t="s">
        <v>40</v>
      </c>
      <c r="I1729" s="11">
        <v>27</v>
      </c>
      <c r="J1729" s="12">
        <v>33.659999999999997</v>
      </c>
      <c r="K1729" s="13">
        <v>0</v>
      </c>
      <c r="L1729" s="12">
        <v>19.079999999999998</v>
      </c>
      <c r="M1729" s="14">
        <f>ROUND(tblSprzedaz[[#This Row],[Ilość]]*tblSprzedaz[[#This Row],[Cena netto jednostkowa]]*(1-tblSprzedaz[[#This Row],[Rabat %]]),2)</f>
        <v>908.82</v>
      </c>
      <c r="N1729" s="14">
        <f>ROUND(tblSprzedaz[[#This Row],[Ilość]]*tblSprzedaz[[#This Row],[Koszt jednostkowy netto]],2)</f>
        <v>515.16</v>
      </c>
      <c r="O1729" s="14">
        <f>tblSprzedaz[[#This Row],[Przychód netto]]-tblSprzedaz[[#This Row],[Koszt całkowity netto]]</f>
        <v>393.66000000000008</v>
      </c>
      <c r="P1729" s="15">
        <f>IFERROR(tblSprzedaz[[#This Row],[Marża kwotowa]]/tblSprzedaz[[#This Row],[Przychód netto]],0)</f>
        <v>0.43315508021390381</v>
      </c>
      <c r="Q1729" s="16">
        <f>YEAR(tblSprzedaz[[#This Row],[Data]])</f>
        <v>2026</v>
      </c>
      <c r="R1729" s="16">
        <f>MONTH(tblSprzedaz[[#This Row],[Data]])</f>
        <v>4</v>
      </c>
      <c r="S1729" s="9" t="str">
        <f>YEAR(tblSprzedaz[[#This Row],[Data]])&amp;"-"&amp;RIGHT("0"&amp;MONTH(tblSprzedaz[[#This Row],[Data]]),2)</f>
        <v>2026-04</v>
      </c>
    </row>
    <row r="1730" spans="1:19" x14ac:dyDescent="0.25">
      <c r="A1730" s="7" t="s">
        <v>3627</v>
      </c>
      <c r="B1730" s="10">
        <v>46121</v>
      </c>
      <c r="C1730" s="7" t="s">
        <v>3628</v>
      </c>
      <c r="D1730" s="8" t="s">
        <v>87</v>
      </c>
      <c r="E1730" s="8" t="s">
        <v>68</v>
      </c>
      <c r="F1730" s="8" t="s">
        <v>35</v>
      </c>
      <c r="G1730" s="8" t="s">
        <v>28</v>
      </c>
      <c r="H1730" s="8" t="s">
        <v>39</v>
      </c>
      <c r="I1730" s="11">
        <v>6</v>
      </c>
      <c r="J1730" s="12">
        <v>90.44</v>
      </c>
      <c r="K1730" s="13">
        <v>0.05</v>
      </c>
      <c r="L1730" s="12">
        <v>67.3</v>
      </c>
      <c r="M1730" s="14">
        <f>ROUND(tblSprzedaz[[#This Row],[Ilość]]*tblSprzedaz[[#This Row],[Cena netto jednostkowa]]*(1-tblSprzedaz[[#This Row],[Rabat %]]),2)</f>
        <v>515.51</v>
      </c>
      <c r="N1730" s="14">
        <f>ROUND(tblSprzedaz[[#This Row],[Ilość]]*tblSprzedaz[[#This Row],[Koszt jednostkowy netto]],2)</f>
        <v>403.8</v>
      </c>
      <c r="O1730" s="14">
        <f>tblSprzedaz[[#This Row],[Przychód netto]]-tblSprzedaz[[#This Row],[Koszt całkowity netto]]</f>
        <v>111.70999999999998</v>
      </c>
      <c r="P1730" s="15">
        <f>IFERROR(tblSprzedaz[[#This Row],[Marża kwotowa]]/tblSprzedaz[[#This Row],[Przychód netto]],0)</f>
        <v>0.2166980271963686</v>
      </c>
      <c r="Q1730" s="16">
        <f>YEAR(tblSprzedaz[[#This Row],[Data]])</f>
        <v>2026</v>
      </c>
      <c r="R1730" s="16">
        <f>MONTH(tblSprzedaz[[#This Row],[Data]])</f>
        <v>4</v>
      </c>
      <c r="S1730" s="9" t="str">
        <f>YEAR(tblSprzedaz[[#This Row],[Data]])&amp;"-"&amp;RIGHT("0"&amp;MONTH(tblSprzedaz[[#This Row],[Data]]),2)</f>
        <v>2026-04</v>
      </c>
    </row>
    <row r="1731" spans="1:19" x14ac:dyDescent="0.25">
      <c r="A1731" s="7" t="s">
        <v>3629</v>
      </c>
      <c r="B1731" s="10">
        <v>46121</v>
      </c>
      <c r="C1731" s="7" t="s">
        <v>3630</v>
      </c>
      <c r="D1731" s="8" t="s">
        <v>122</v>
      </c>
      <c r="E1731" s="8" t="s">
        <v>56</v>
      </c>
      <c r="F1731" s="8" t="s">
        <v>31</v>
      </c>
      <c r="G1731" s="8" t="s">
        <v>34</v>
      </c>
      <c r="H1731" s="8" t="s">
        <v>44</v>
      </c>
      <c r="I1731" s="11">
        <v>8</v>
      </c>
      <c r="J1731" s="12">
        <v>279.3</v>
      </c>
      <c r="K1731" s="13">
        <v>0</v>
      </c>
      <c r="L1731" s="12">
        <v>166.53</v>
      </c>
      <c r="M1731" s="14">
        <f>ROUND(tblSprzedaz[[#This Row],[Ilość]]*tblSprzedaz[[#This Row],[Cena netto jednostkowa]]*(1-tblSprzedaz[[#This Row],[Rabat %]]),2)</f>
        <v>2234.4</v>
      </c>
      <c r="N1731" s="14">
        <f>ROUND(tblSprzedaz[[#This Row],[Ilość]]*tblSprzedaz[[#This Row],[Koszt jednostkowy netto]],2)</f>
        <v>1332.24</v>
      </c>
      <c r="O1731" s="14">
        <f>tblSprzedaz[[#This Row],[Przychód netto]]-tblSprzedaz[[#This Row],[Koszt całkowity netto]]</f>
        <v>902.16000000000008</v>
      </c>
      <c r="P1731" s="15">
        <f>IFERROR(tblSprzedaz[[#This Row],[Marża kwotowa]]/tblSprzedaz[[#This Row],[Przychód netto]],0)</f>
        <v>0.4037593984962406</v>
      </c>
      <c r="Q1731" s="16">
        <f>YEAR(tblSprzedaz[[#This Row],[Data]])</f>
        <v>2026</v>
      </c>
      <c r="R1731" s="16">
        <f>MONTH(tblSprzedaz[[#This Row],[Data]])</f>
        <v>4</v>
      </c>
      <c r="S1731" s="9" t="str">
        <f>YEAR(tblSprzedaz[[#This Row],[Data]])&amp;"-"&amp;RIGHT("0"&amp;MONTH(tblSprzedaz[[#This Row],[Data]]),2)</f>
        <v>2026-04</v>
      </c>
    </row>
    <row r="1732" spans="1:19" x14ac:dyDescent="0.25">
      <c r="A1732" s="7" t="s">
        <v>3631</v>
      </c>
      <c r="B1732" s="10">
        <v>46121</v>
      </c>
      <c r="C1732" s="7" t="s">
        <v>3632</v>
      </c>
      <c r="D1732" s="8" t="s">
        <v>98</v>
      </c>
      <c r="E1732" s="8" t="s">
        <v>54</v>
      </c>
      <c r="F1732" s="8" t="s">
        <v>31</v>
      </c>
      <c r="G1732" s="8" t="s">
        <v>28</v>
      </c>
      <c r="H1732" s="8" t="s">
        <v>38</v>
      </c>
      <c r="I1732" s="11">
        <v>16</v>
      </c>
      <c r="J1732" s="12">
        <v>207.9</v>
      </c>
      <c r="K1732" s="13">
        <v>0.15</v>
      </c>
      <c r="L1732" s="12">
        <v>137.96</v>
      </c>
      <c r="M1732" s="14">
        <f>ROUND(tblSprzedaz[[#This Row],[Ilość]]*tblSprzedaz[[#This Row],[Cena netto jednostkowa]]*(1-tblSprzedaz[[#This Row],[Rabat %]]),2)</f>
        <v>2827.44</v>
      </c>
      <c r="N1732" s="14">
        <f>ROUND(tblSprzedaz[[#This Row],[Ilość]]*tblSprzedaz[[#This Row],[Koszt jednostkowy netto]],2)</f>
        <v>2207.36</v>
      </c>
      <c r="O1732" s="14">
        <f>tblSprzedaz[[#This Row],[Przychód netto]]-tblSprzedaz[[#This Row],[Koszt całkowity netto]]</f>
        <v>620.07999999999993</v>
      </c>
      <c r="P1732" s="15">
        <f>IFERROR(tblSprzedaz[[#This Row],[Marża kwotowa]]/tblSprzedaz[[#This Row],[Przychód netto]],0)</f>
        <v>0.21930792519027811</v>
      </c>
      <c r="Q1732" s="16">
        <f>YEAR(tblSprzedaz[[#This Row],[Data]])</f>
        <v>2026</v>
      </c>
      <c r="R1732" s="16">
        <f>MONTH(tblSprzedaz[[#This Row],[Data]])</f>
        <v>4</v>
      </c>
      <c r="S1732" s="9" t="str">
        <f>YEAR(tblSprzedaz[[#This Row],[Data]])&amp;"-"&amp;RIGHT("0"&amp;MONTH(tblSprzedaz[[#This Row],[Data]]),2)</f>
        <v>2026-04</v>
      </c>
    </row>
    <row r="1733" spans="1:19" x14ac:dyDescent="0.25">
      <c r="A1733" s="7" t="s">
        <v>3633</v>
      </c>
      <c r="B1733" s="10">
        <v>46121</v>
      </c>
      <c r="C1733" s="7" t="s">
        <v>3634</v>
      </c>
      <c r="D1733" s="8" t="s">
        <v>115</v>
      </c>
      <c r="E1733" s="8" t="s">
        <v>49</v>
      </c>
      <c r="F1733" s="8" t="s">
        <v>29</v>
      </c>
      <c r="G1733" s="8" t="s">
        <v>28</v>
      </c>
      <c r="H1733" s="8" t="s">
        <v>38</v>
      </c>
      <c r="I1733" s="11">
        <v>21</v>
      </c>
      <c r="J1733" s="12">
        <v>39.44</v>
      </c>
      <c r="K1733" s="13">
        <v>0.1</v>
      </c>
      <c r="L1733" s="12">
        <v>23.85</v>
      </c>
      <c r="M1733" s="14">
        <f>ROUND(tblSprzedaz[[#This Row],[Ilość]]*tblSprzedaz[[#This Row],[Cena netto jednostkowa]]*(1-tblSprzedaz[[#This Row],[Rabat %]]),2)</f>
        <v>745.42</v>
      </c>
      <c r="N1733" s="14">
        <f>ROUND(tblSprzedaz[[#This Row],[Ilość]]*tblSprzedaz[[#This Row],[Koszt jednostkowy netto]],2)</f>
        <v>500.85</v>
      </c>
      <c r="O1733" s="14">
        <f>tblSprzedaz[[#This Row],[Przychód netto]]-tblSprzedaz[[#This Row],[Koszt całkowity netto]]</f>
        <v>244.56999999999994</v>
      </c>
      <c r="P1733" s="15">
        <f>IFERROR(tblSprzedaz[[#This Row],[Marża kwotowa]]/tblSprzedaz[[#This Row],[Przychód netto]],0)</f>
        <v>0.32809691180810813</v>
      </c>
      <c r="Q1733" s="16">
        <f>YEAR(tblSprzedaz[[#This Row],[Data]])</f>
        <v>2026</v>
      </c>
      <c r="R1733" s="16">
        <f>MONTH(tblSprzedaz[[#This Row],[Data]])</f>
        <v>4</v>
      </c>
      <c r="S1733" s="9" t="str">
        <f>YEAR(tblSprzedaz[[#This Row],[Data]])&amp;"-"&amp;RIGHT("0"&amp;MONTH(tblSprzedaz[[#This Row],[Data]]),2)</f>
        <v>2026-04</v>
      </c>
    </row>
    <row r="1734" spans="1:19" x14ac:dyDescent="0.25">
      <c r="A1734" s="7" t="s">
        <v>3635</v>
      </c>
      <c r="B1734" s="10">
        <v>46121</v>
      </c>
      <c r="C1734" s="7" t="s">
        <v>3636</v>
      </c>
      <c r="D1734" s="8" t="s">
        <v>142</v>
      </c>
      <c r="E1734" s="8" t="s">
        <v>69</v>
      </c>
      <c r="F1734" s="8" t="s">
        <v>35</v>
      </c>
      <c r="G1734" s="8" t="s">
        <v>32</v>
      </c>
      <c r="H1734" s="8" t="s">
        <v>42</v>
      </c>
      <c r="I1734" s="11">
        <v>31</v>
      </c>
      <c r="J1734" s="12">
        <v>102</v>
      </c>
      <c r="K1734" s="13">
        <v>0</v>
      </c>
      <c r="L1734" s="12">
        <v>70.260000000000005</v>
      </c>
      <c r="M1734" s="14">
        <f>ROUND(tblSprzedaz[[#This Row],[Ilość]]*tblSprzedaz[[#This Row],[Cena netto jednostkowa]]*(1-tblSprzedaz[[#This Row],[Rabat %]]),2)</f>
        <v>3162</v>
      </c>
      <c r="N1734" s="14">
        <f>ROUND(tblSprzedaz[[#This Row],[Ilość]]*tblSprzedaz[[#This Row],[Koszt jednostkowy netto]],2)</f>
        <v>2178.06</v>
      </c>
      <c r="O1734" s="14">
        <f>tblSprzedaz[[#This Row],[Przychód netto]]-tblSprzedaz[[#This Row],[Koszt całkowity netto]]</f>
        <v>983.94</v>
      </c>
      <c r="P1734" s="15">
        <f>IFERROR(tblSprzedaz[[#This Row],[Marża kwotowa]]/tblSprzedaz[[#This Row],[Przychód netto]],0)</f>
        <v>0.31117647058823533</v>
      </c>
      <c r="Q1734" s="16">
        <f>YEAR(tblSprzedaz[[#This Row],[Data]])</f>
        <v>2026</v>
      </c>
      <c r="R1734" s="16">
        <f>MONTH(tblSprzedaz[[#This Row],[Data]])</f>
        <v>4</v>
      </c>
      <c r="S1734" s="9" t="str">
        <f>YEAR(tblSprzedaz[[#This Row],[Data]])&amp;"-"&amp;RIGHT("0"&amp;MONTH(tblSprzedaz[[#This Row],[Data]]),2)</f>
        <v>2026-04</v>
      </c>
    </row>
    <row r="1735" spans="1:19" x14ac:dyDescent="0.25">
      <c r="A1735" s="7" t="s">
        <v>3637</v>
      </c>
      <c r="B1735" s="10">
        <v>46121</v>
      </c>
      <c r="C1735" s="7" t="s">
        <v>3638</v>
      </c>
      <c r="D1735" s="8" t="s">
        <v>116</v>
      </c>
      <c r="E1735" s="8" t="s">
        <v>56</v>
      </c>
      <c r="F1735" s="8" t="s">
        <v>31</v>
      </c>
      <c r="G1735" s="8" t="s">
        <v>30</v>
      </c>
      <c r="H1735" s="8" t="s">
        <v>40</v>
      </c>
      <c r="I1735" s="11">
        <v>23</v>
      </c>
      <c r="J1735" s="12">
        <v>279.3</v>
      </c>
      <c r="K1735" s="13">
        <v>0.1</v>
      </c>
      <c r="L1735" s="12">
        <v>179.61</v>
      </c>
      <c r="M1735" s="14">
        <f>ROUND(tblSprzedaz[[#This Row],[Ilość]]*tblSprzedaz[[#This Row],[Cena netto jednostkowa]]*(1-tblSprzedaz[[#This Row],[Rabat %]]),2)</f>
        <v>5781.51</v>
      </c>
      <c r="N1735" s="14">
        <f>ROUND(tblSprzedaz[[#This Row],[Ilość]]*tblSprzedaz[[#This Row],[Koszt jednostkowy netto]],2)</f>
        <v>4131.03</v>
      </c>
      <c r="O1735" s="14">
        <f>tblSprzedaz[[#This Row],[Przychód netto]]-tblSprzedaz[[#This Row],[Koszt całkowity netto]]</f>
        <v>1650.4800000000005</v>
      </c>
      <c r="P1735" s="15">
        <f>IFERROR(tblSprzedaz[[#This Row],[Marża kwotowa]]/tblSprzedaz[[#This Row],[Przychód netto]],0)</f>
        <v>0.28547559374627052</v>
      </c>
      <c r="Q1735" s="16">
        <f>YEAR(tblSprzedaz[[#This Row],[Data]])</f>
        <v>2026</v>
      </c>
      <c r="R1735" s="16">
        <f>MONTH(tblSprzedaz[[#This Row],[Data]])</f>
        <v>4</v>
      </c>
      <c r="S1735" s="9" t="str">
        <f>YEAR(tblSprzedaz[[#This Row],[Data]])&amp;"-"&amp;RIGHT("0"&amp;MONTH(tblSprzedaz[[#This Row],[Data]]),2)</f>
        <v>2026-04</v>
      </c>
    </row>
    <row r="1736" spans="1:19" x14ac:dyDescent="0.25">
      <c r="A1736" s="7" t="s">
        <v>3639</v>
      </c>
      <c r="B1736" s="10">
        <v>46122</v>
      </c>
      <c r="C1736" s="7" t="s">
        <v>3640</v>
      </c>
      <c r="D1736" s="8" t="s">
        <v>83</v>
      </c>
      <c r="E1736" s="8" t="s">
        <v>68</v>
      </c>
      <c r="F1736" s="8" t="s">
        <v>35</v>
      </c>
      <c r="G1736" s="8" t="s">
        <v>36</v>
      </c>
      <c r="H1736" s="8" t="s">
        <v>46</v>
      </c>
      <c r="I1736" s="11">
        <v>12</v>
      </c>
      <c r="J1736" s="12">
        <v>90.44</v>
      </c>
      <c r="K1736" s="13">
        <v>0.15</v>
      </c>
      <c r="L1736" s="12">
        <v>62.3</v>
      </c>
      <c r="M1736" s="14">
        <f>ROUND(tblSprzedaz[[#This Row],[Ilość]]*tblSprzedaz[[#This Row],[Cena netto jednostkowa]]*(1-tblSprzedaz[[#This Row],[Rabat %]]),2)</f>
        <v>922.49</v>
      </c>
      <c r="N1736" s="14">
        <f>ROUND(tblSprzedaz[[#This Row],[Ilość]]*tblSprzedaz[[#This Row],[Koszt jednostkowy netto]],2)</f>
        <v>747.6</v>
      </c>
      <c r="O1736" s="14">
        <f>tblSprzedaz[[#This Row],[Przychód netto]]-tblSprzedaz[[#This Row],[Koszt całkowity netto]]</f>
        <v>174.89</v>
      </c>
      <c r="P1736" s="15">
        <f>IFERROR(tblSprzedaz[[#This Row],[Marża kwotowa]]/tblSprzedaz[[#This Row],[Przychód netto]],0)</f>
        <v>0.18958471094537607</v>
      </c>
      <c r="Q1736" s="16">
        <f>YEAR(tblSprzedaz[[#This Row],[Data]])</f>
        <v>2026</v>
      </c>
      <c r="R1736" s="16">
        <f>MONTH(tblSprzedaz[[#This Row],[Data]])</f>
        <v>4</v>
      </c>
      <c r="S1736" s="9" t="str">
        <f>YEAR(tblSprzedaz[[#This Row],[Data]])&amp;"-"&amp;RIGHT("0"&amp;MONTH(tblSprzedaz[[#This Row],[Data]]),2)</f>
        <v>2026-04</v>
      </c>
    </row>
    <row r="1737" spans="1:19" x14ac:dyDescent="0.25">
      <c r="A1737" s="7" t="s">
        <v>3641</v>
      </c>
      <c r="B1737" s="10">
        <v>46122</v>
      </c>
      <c r="C1737" s="7" t="s">
        <v>3642</v>
      </c>
      <c r="D1737" s="8" t="s">
        <v>148</v>
      </c>
      <c r="E1737" s="8" t="s">
        <v>53</v>
      </c>
      <c r="F1737" s="8" t="s">
        <v>29</v>
      </c>
      <c r="G1737" s="8" t="s">
        <v>30</v>
      </c>
      <c r="H1737" s="8" t="s">
        <v>40</v>
      </c>
      <c r="I1737" s="11">
        <v>2</v>
      </c>
      <c r="J1737" s="12">
        <v>27.88</v>
      </c>
      <c r="K1737" s="13">
        <v>0.1</v>
      </c>
      <c r="L1737" s="12">
        <v>17.02</v>
      </c>
      <c r="M1737" s="14">
        <f>ROUND(tblSprzedaz[[#This Row],[Ilość]]*tblSprzedaz[[#This Row],[Cena netto jednostkowa]]*(1-tblSprzedaz[[#This Row],[Rabat %]]),2)</f>
        <v>50.18</v>
      </c>
      <c r="N1737" s="14">
        <f>ROUND(tblSprzedaz[[#This Row],[Ilość]]*tblSprzedaz[[#This Row],[Koszt jednostkowy netto]],2)</f>
        <v>34.04</v>
      </c>
      <c r="O1737" s="14">
        <f>tblSprzedaz[[#This Row],[Przychód netto]]-tblSprzedaz[[#This Row],[Koszt całkowity netto]]</f>
        <v>16.14</v>
      </c>
      <c r="P1737" s="15">
        <f>IFERROR(tblSprzedaz[[#This Row],[Marża kwotowa]]/tblSprzedaz[[#This Row],[Przychód netto]],0)</f>
        <v>0.32164208848146675</v>
      </c>
      <c r="Q1737" s="16">
        <f>YEAR(tblSprzedaz[[#This Row],[Data]])</f>
        <v>2026</v>
      </c>
      <c r="R1737" s="16">
        <f>MONTH(tblSprzedaz[[#This Row],[Data]])</f>
        <v>4</v>
      </c>
      <c r="S1737" s="9" t="str">
        <f>YEAR(tblSprzedaz[[#This Row],[Data]])&amp;"-"&amp;RIGHT("0"&amp;MONTH(tblSprzedaz[[#This Row],[Data]]),2)</f>
        <v>2026-04</v>
      </c>
    </row>
    <row r="1738" spans="1:19" x14ac:dyDescent="0.25">
      <c r="A1738" s="7" t="s">
        <v>3643</v>
      </c>
      <c r="B1738" s="10">
        <v>46122</v>
      </c>
      <c r="C1738" s="7" t="s">
        <v>3644</v>
      </c>
      <c r="D1738" s="8" t="s">
        <v>133</v>
      </c>
      <c r="E1738" s="8" t="s">
        <v>55</v>
      </c>
      <c r="F1738" s="8" t="s">
        <v>31</v>
      </c>
      <c r="G1738" s="8" t="s">
        <v>36</v>
      </c>
      <c r="H1738" s="8" t="s">
        <v>46</v>
      </c>
      <c r="I1738" s="11">
        <v>15</v>
      </c>
      <c r="J1738" s="12">
        <v>243.6</v>
      </c>
      <c r="K1738" s="13">
        <v>0</v>
      </c>
      <c r="L1738" s="12">
        <v>151.24</v>
      </c>
      <c r="M1738" s="14">
        <f>ROUND(tblSprzedaz[[#This Row],[Ilość]]*tblSprzedaz[[#This Row],[Cena netto jednostkowa]]*(1-tblSprzedaz[[#This Row],[Rabat %]]),2)</f>
        <v>3654</v>
      </c>
      <c r="N1738" s="14">
        <f>ROUND(tblSprzedaz[[#This Row],[Ilość]]*tblSprzedaz[[#This Row],[Koszt jednostkowy netto]],2)</f>
        <v>2268.6</v>
      </c>
      <c r="O1738" s="14">
        <f>tblSprzedaz[[#This Row],[Przychód netto]]-tblSprzedaz[[#This Row],[Koszt całkowity netto]]</f>
        <v>1385.4</v>
      </c>
      <c r="P1738" s="15">
        <f>IFERROR(tblSprzedaz[[#This Row],[Marża kwotowa]]/tblSprzedaz[[#This Row],[Przychód netto]],0)</f>
        <v>0.37914614121510676</v>
      </c>
      <c r="Q1738" s="16">
        <f>YEAR(tblSprzedaz[[#This Row],[Data]])</f>
        <v>2026</v>
      </c>
      <c r="R1738" s="16">
        <f>MONTH(tblSprzedaz[[#This Row],[Data]])</f>
        <v>4</v>
      </c>
      <c r="S1738" s="9" t="str">
        <f>YEAR(tblSprzedaz[[#This Row],[Data]])&amp;"-"&amp;RIGHT("0"&amp;MONTH(tblSprzedaz[[#This Row],[Data]]),2)</f>
        <v>2026-04</v>
      </c>
    </row>
    <row r="1739" spans="1:19" x14ac:dyDescent="0.25">
      <c r="A1739" s="7" t="s">
        <v>3645</v>
      </c>
      <c r="B1739" s="10">
        <v>46122</v>
      </c>
      <c r="C1739" s="7" t="s">
        <v>3646</v>
      </c>
      <c r="D1739" s="8" t="s">
        <v>151</v>
      </c>
      <c r="E1739" s="8" t="s">
        <v>71</v>
      </c>
      <c r="F1739" s="8" t="s">
        <v>35</v>
      </c>
      <c r="G1739" s="8" t="s">
        <v>32</v>
      </c>
      <c r="H1739" s="8" t="s">
        <v>43</v>
      </c>
      <c r="I1739" s="11">
        <v>22</v>
      </c>
      <c r="J1739" s="12">
        <v>55.76</v>
      </c>
      <c r="K1739" s="13">
        <v>0</v>
      </c>
      <c r="L1739" s="12">
        <v>41.72</v>
      </c>
      <c r="M1739" s="14">
        <f>ROUND(tblSprzedaz[[#This Row],[Ilość]]*tblSprzedaz[[#This Row],[Cena netto jednostkowa]]*(1-tblSprzedaz[[#This Row],[Rabat %]]),2)</f>
        <v>1226.72</v>
      </c>
      <c r="N1739" s="14">
        <f>ROUND(tblSprzedaz[[#This Row],[Ilość]]*tblSprzedaz[[#This Row],[Koszt jednostkowy netto]],2)</f>
        <v>917.84</v>
      </c>
      <c r="O1739" s="14">
        <f>tblSprzedaz[[#This Row],[Przychód netto]]-tblSprzedaz[[#This Row],[Koszt całkowity netto]]</f>
        <v>308.88</v>
      </c>
      <c r="P1739" s="15">
        <f>IFERROR(tblSprzedaz[[#This Row],[Marża kwotowa]]/tblSprzedaz[[#This Row],[Przychód netto]],0)</f>
        <v>0.25179340028694402</v>
      </c>
      <c r="Q1739" s="16">
        <f>YEAR(tblSprzedaz[[#This Row],[Data]])</f>
        <v>2026</v>
      </c>
      <c r="R1739" s="16">
        <f>MONTH(tblSprzedaz[[#This Row],[Data]])</f>
        <v>4</v>
      </c>
      <c r="S1739" s="9" t="str">
        <f>YEAR(tblSprzedaz[[#This Row],[Data]])&amp;"-"&amp;RIGHT("0"&amp;MONTH(tblSprzedaz[[#This Row],[Data]]),2)</f>
        <v>2026-04</v>
      </c>
    </row>
    <row r="1740" spans="1:19" x14ac:dyDescent="0.25">
      <c r="A1740" s="7" t="s">
        <v>3647</v>
      </c>
      <c r="B1740" s="10">
        <v>46122</v>
      </c>
      <c r="C1740" s="7" t="s">
        <v>3648</v>
      </c>
      <c r="D1740" s="8" t="s">
        <v>126</v>
      </c>
      <c r="E1740" s="8" t="s">
        <v>61</v>
      </c>
      <c r="F1740" s="8" t="s">
        <v>33</v>
      </c>
      <c r="G1740" s="8" t="s">
        <v>32</v>
      </c>
      <c r="H1740" s="8" t="s">
        <v>42</v>
      </c>
      <c r="I1740" s="11">
        <v>12</v>
      </c>
      <c r="J1740" s="12">
        <v>533.6</v>
      </c>
      <c r="K1740" s="13">
        <v>0.15</v>
      </c>
      <c r="L1740" s="12">
        <v>362.16</v>
      </c>
      <c r="M1740" s="14">
        <f>ROUND(tblSprzedaz[[#This Row],[Ilość]]*tblSprzedaz[[#This Row],[Cena netto jednostkowa]]*(1-tblSprzedaz[[#This Row],[Rabat %]]),2)</f>
        <v>5442.72</v>
      </c>
      <c r="N1740" s="14">
        <f>ROUND(tblSprzedaz[[#This Row],[Ilość]]*tblSprzedaz[[#This Row],[Koszt jednostkowy netto]],2)</f>
        <v>4345.92</v>
      </c>
      <c r="O1740" s="14">
        <f>tblSprzedaz[[#This Row],[Przychód netto]]-tblSprzedaz[[#This Row],[Koszt całkowity netto]]</f>
        <v>1096.8000000000002</v>
      </c>
      <c r="P1740" s="15">
        <f>IFERROR(tblSprzedaz[[#This Row],[Marża kwotowa]]/tblSprzedaz[[#This Row],[Przychód netto]],0)</f>
        <v>0.2015168886145163</v>
      </c>
      <c r="Q1740" s="16">
        <f>YEAR(tblSprzedaz[[#This Row],[Data]])</f>
        <v>2026</v>
      </c>
      <c r="R1740" s="16">
        <f>MONTH(tblSprzedaz[[#This Row],[Data]])</f>
        <v>4</v>
      </c>
      <c r="S1740" s="9" t="str">
        <f>YEAR(tblSprzedaz[[#This Row],[Data]])&amp;"-"&amp;RIGHT("0"&amp;MONTH(tblSprzedaz[[#This Row],[Data]]),2)</f>
        <v>2026-04</v>
      </c>
    </row>
    <row r="1741" spans="1:19" x14ac:dyDescent="0.25">
      <c r="A1741" s="7" t="s">
        <v>3649</v>
      </c>
      <c r="B1741" s="10">
        <v>46122</v>
      </c>
      <c r="C1741" s="7" t="s">
        <v>3650</v>
      </c>
      <c r="D1741" s="8" t="s">
        <v>103</v>
      </c>
      <c r="E1741" s="8" t="s">
        <v>69</v>
      </c>
      <c r="F1741" s="8" t="s">
        <v>35</v>
      </c>
      <c r="G1741" s="8" t="s">
        <v>36</v>
      </c>
      <c r="H1741" s="8" t="s">
        <v>46</v>
      </c>
      <c r="I1741" s="11">
        <v>14</v>
      </c>
      <c r="J1741" s="12">
        <v>102</v>
      </c>
      <c r="K1741" s="13">
        <v>0.15</v>
      </c>
      <c r="L1741" s="12">
        <v>77.989999999999995</v>
      </c>
      <c r="M1741" s="14">
        <f>ROUND(tblSprzedaz[[#This Row],[Ilość]]*tblSprzedaz[[#This Row],[Cena netto jednostkowa]]*(1-tblSprzedaz[[#This Row],[Rabat %]]),2)</f>
        <v>1213.8</v>
      </c>
      <c r="N1741" s="14">
        <f>ROUND(tblSprzedaz[[#This Row],[Ilość]]*tblSprzedaz[[#This Row],[Koszt jednostkowy netto]],2)</f>
        <v>1091.8599999999999</v>
      </c>
      <c r="O1741" s="14">
        <f>tblSprzedaz[[#This Row],[Przychód netto]]-tblSprzedaz[[#This Row],[Koszt całkowity netto]]</f>
        <v>121.94000000000005</v>
      </c>
      <c r="P1741" s="15">
        <f>IFERROR(tblSprzedaz[[#This Row],[Marża kwotowa]]/tblSprzedaz[[#This Row],[Przychód netto]],0)</f>
        <v>0.10046136101499428</v>
      </c>
      <c r="Q1741" s="16">
        <f>YEAR(tblSprzedaz[[#This Row],[Data]])</f>
        <v>2026</v>
      </c>
      <c r="R1741" s="16">
        <f>MONTH(tblSprzedaz[[#This Row],[Data]])</f>
        <v>4</v>
      </c>
      <c r="S1741" s="9" t="str">
        <f>YEAR(tblSprzedaz[[#This Row],[Data]])&amp;"-"&amp;RIGHT("0"&amp;MONTH(tblSprzedaz[[#This Row],[Data]]),2)</f>
        <v>2026-04</v>
      </c>
    </row>
    <row r="1742" spans="1:19" x14ac:dyDescent="0.25">
      <c r="A1742" s="7" t="s">
        <v>3651</v>
      </c>
      <c r="B1742" s="10">
        <v>46123</v>
      </c>
      <c r="C1742" s="7" t="s">
        <v>3652</v>
      </c>
      <c r="D1742" s="8" t="s">
        <v>95</v>
      </c>
      <c r="E1742" s="8" t="s">
        <v>75</v>
      </c>
      <c r="F1742" s="8" t="s">
        <v>37</v>
      </c>
      <c r="G1742" s="8" t="s">
        <v>28</v>
      </c>
      <c r="H1742" s="8" t="s">
        <v>38</v>
      </c>
      <c r="I1742" s="11">
        <v>14</v>
      </c>
      <c r="J1742" s="12">
        <v>142.5</v>
      </c>
      <c r="K1742" s="13">
        <v>0.15</v>
      </c>
      <c r="L1742" s="12">
        <v>104.89</v>
      </c>
      <c r="M1742" s="14">
        <f>ROUND(tblSprzedaz[[#This Row],[Ilość]]*tblSprzedaz[[#This Row],[Cena netto jednostkowa]]*(1-tblSprzedaz[[#This Row],[Rabat %]]),2)</f>
        <v>1695.75</v>
      </c>
      <c r="N1742" s="14">
        <f>ROUND(tblSprzedaz[[#This Row],[Ilość]]*tblSprzedaz[[#This Row],[Koszt jednostkowy netto]],2)</f>
        <v>1468.46</v>
      </c>
      <c r="O1742" s="14">
        <f>tblSprzedaz[[#This Row],[Przychód netto]]-tblSprzedaz[[#This Row],[Koszt całkowity netto]]</f>
        <v>227.28999999999996</v>
      </c>
      <c r="P1742" s="15">
        <f>IFERROR(tblSprzedaz[[#This Row],[Marża kwotowa]]/tblSprzedaz[[#This Row],[Przychód netto]],0)</f>
        <v>0.13403508771929823</v>
      </c>
      <c r="Q1742" s="16">
        <f>YEAR(tblSprzedaz[[#This Row],[Data]])</f>
        <v>2026</v>
      </c>
      <c r="R1742" s="16">
        <f>MONTH(tblSprzedaz[[#This Row],[Data]])</f>
        <v>4</v>
      </c>
      <c r="S1742" s="9" t="str">
        <f>YEAR(tblSprzedaz[[#This Row],[Data]])&amp;"-"&amp;RIGHT("0"&amp;MONTH(tblSprzedaz[[#This Row],[Data]]),2)</f>
        <v>2026-04</v>
      </c>
    </row>
    <row r="1743" spans="1:19" x14ac:dyDescent="0.25">
      <c r="A1743" s="7" t="s">
        <v>3653</v>
      </c>
      <c r="B1743" s="10">
        <v>46123</v>
      </c>
      <c r="C1743" s="7" t="s">
        <v>3654</v>
      </c>
      <c r="D1743" s="8" t="s">
        <v>141</v>
      </c>
      <c r="E1743" s="8" t="s">
        <v>58</v>
      </c>
      <c r="F1743" s="8" t="s">
        <v>31</v>
      </c>
      <c r="G1743" s="8" t="s">
        <v>30</v>
      </c>
      <c r="H1743" s="8" t="s">
        <v>40</v>
      </c>
      <c r="I1743" s="11">
        <v>17</v>
      </c>
      <c r="J1743" s="12">
        <v>350.7</v>
      </c>
      <c r="K1743" s="13">
        <v>0.1</v>
      </c>
      <c r="L1743" s="12">
        <v>218.37</v>
      </c>
      <c r="M1743" s="14">
        <f>ROUND(tblSprzedaz[[#This Row],[Ilość]]*tblSprzedaz[[#This Row],[Cena netto jednostkowa]]*(1-tblSprzedaz[[#This Row],[Rabat %]]),2)</f>
        <v>5365.71</v>
      </c>
      <c r="N1743" s="14">
        <f>ROUND(tblSprzedaz[[#This Row],[Ilość]]*tblSprzedaz[[#This Row],[Koszt jednostkowy netto]],2)</f>
        <v>3712.29</v>
      </c>
      <c r="O1743" s="14">
        <f>tblSprzedaz[[#This Row],[Przychód netto]]-tblSprzedaz[[#This Row],[Koszt całkowity netto]]</f>
        <v>1653.42</v>
      </c>
      <c r="P1743" s="15">
        <f>IFERROR(tblSprzedaz[[#This Row],[Marża kwotowa]]/tblSprzedaz[[#This Row],[Przychód netto]],0)</f>
        <v>0.30814561353483511</v>
      </c>
      <c r="Q1743" s="16">
        <f>YEAR(tblSprzedaz[[#This Row],[Data]])</f>
        <v>2026</v>
      </c>
      <c r="R1743" s="16">
        <f>MONTH(tblSprzedaz[[#This Row],[Data]])</f>
        <v>4</v>
      </c>
      <c r="S1743" s="9" t="str">
        <f>YEAR(tblSprzedaz[[#This Row],[Data]])&amp;"-"&amp;RIGHT("0"&amp;MONTH(tblSprzedaz[[#This Row],[Data]]),2)</f>
        <v>2026-04</v>
      </c>
    </row>
    <row r="1744" spans="1:19" x14ac:dyDescent="0.25">
      <c r="A1744" s="7" t="s">
        <v>3655</v>
      </c>
      <c r="B1744" s="10">
        <v>46124</v>
      </c>
      <c r="C1744" s="7" t="s">
        <v>3656</v>
      </c>
      <c r="D1744" s="8" t="s">
        <v>136</v>
      </c>
      <c r="E1744" s="8" t="s">
        <v>49</v>
      </c>
      <c r="F1744" s="8" t="s">
        <v>29</v>
      </c>
      <c r="G1744" s="8" t="s">
        <v>36</v>
      </c>
      <c r="H1744" s="8" t="s">
        <v>47</v>
      </c>
      <c r="I1744" s="11">
        <v>17</v>
      </c>
      <c r="J1744" s="12">
        <v>39.44</v>
      </c>
      <c r="K1744" s="13">
        <v>0</v>
      </c>
      <c r="L1744" s="12">
        <v>24.75</v>
      </c>
      <c r="M1744" s="14">
        <f>ROUND(tblSprzedaz[[#This Row],[Ilość]]*tblSprzedaz[[#This Row],[Cena netto jednostkowa]]*(1-tblSprzedaz[[#This Row],[Rabat %]]),2)</f>
        <v>670.48</v>
      </c>
      <c r="N1744" s="14">
        <f>ROUND(tblSprzedaz[[#This Row],[Ilość]]*tblSprzedaz[[#This Row],[Koszt jednostkowy netto]],2)</f>
        <v>420.75</v>
      </c>
      <c r="O1744" s="14">
        <f>tblSprzedaz[[#This Row],[Przychód netto]]-tblSprzedaz[[#This Row],[Koszt całkowity netto]]</f>
        <v>249.73000000000002</v>
      </c>
      <c r="P1744" s="15">
        <f>IFERROR(tblSprzedaz[[#This Row],[Marża kwotowa]]/tblSprzedaz[[#This Row],[Przychód netto]],0)</f>
        <v>0.37246450304259637</v>
      </c>
      <c r="Q1744" s="16">
        <f>YEAR(tblSprzedaz[[#This Row],[Data]])</f>
        <v>2026</v>
      </c>
      <c r="R1744" s="16">
        <f>MONTH(tblSprzedaz[[#This Row],[Data]])</f>
        <v>4</v>
      </c>
      <c r="S1744" s="9" t="str">
        <f>YEAR(tblSprzedaz[[#This Row],[Data]])&amp;"-"&amp;RIGHT("0"&amp;MONTH(tblSprzedaz[[#This Row],[Data]]),2)</f>
        <v>2026-04</v>
      </c>
    </row>
    <row r="1745" spans="1:19" x14ac:dyDescent="0.25">
      <c r="A1745" s="7" t="s">
        <v>3657</v>
      </c>
      <c r="B1745" s="10">
        <v>46124</v>
      </c>
      <c r="C1745" s="7" t="s">
        <v>3658</v>
      </c>
      <c r="D1745" s="8" t="s">
        <v>138</v>
      </c>
      <c r="E1745" s="8" t="s">
        <v>69</v>
      </c>
      <c r="F1745" s="8" t="s">
        <v>35</v>
      </c>
      <c r="G1745" s="8" t="s">
        <v>34</v>
      </c>
      <c r="H1745" s="8" t="s">
        <v>44</v>
      </c>
      <c r="I1745" s="11">
        <v>4</v>
      </c>
      <c r="J1745" s="12">
        <v>102</v>
      </c>
      <c r="K1745" s="13">
        <v>0</v>
      </c>
      <c r="L1745" s="12">
        <v>75.319999999999993</v>
      </c>
      <c r="M1745" s="14">
        <f>ROUND(tblSprzedaz[[#This Row],[Ilość]]*tblSprzedaz[[#This Row],[Cena netto jednostkowa]]*(1-tblSprzedaz[[#This Row],[Rabat %]]),2)</f>
        <v>408</v>
      </c>
      <c r="N1745" s="14">
        <f>ROUND(tblSprzedaz[[#This Row],[Ilość]]*tblSprzedaz[[#This Row],[Koszt jednostkowy netto]],2)</f>
        <v>301.27999999999997</v>
      </c>
      <c r="O1745" s="14">
        <f>tblSprzedaz[[#This Row],[Przychód netto]]-tblSprzedaz[[#This Row],[Koszt całkowity netto]]</f>
        <v>106.72000000000003</v>
      </c>
      <c r="P1745" s="15">
        <f>IFERROR(tblSprzedaz[[#This Row],[Marża kwotowa]]/tblSprzedaz[[#This Row],[Przychód netto]],0)</f>
        <v>0.26156862745098047</v>
      </c>
      <c r="Q1745" s="16">
        <f>YEAR(tblSprzedaz[[#This Row],[Data]])</f>
        <v>2026</v>
      </c>
      <c r="R1745" s="16">
        <f>MONTH(tblSprzedaz[[#This Row],[Data]])</f>
        <v>4</v>
      </c>
      <c r="S1745" s="9" t="str">
        <f>YEAR(tblSprzedaz[[#This Row],[Data]])&amp;"-"&amp;RIGHT("0"&amp;MONTH(tblSprzedaz[[#This Row],[Data]]),2)</f>
        <v>2026-04</v>
      </c>
    </row>
    <row r="1746" spans="1:19" x14ac:dyDescent="0.25">
      <c r="A1746" s="7" t="s">
        <v>3659</v>
      </c>
      <c r="B1746" s="10">
        <v>46125</v>
      </c>
      <c r="C1746" s="7" t="s">
        <v>3660</v>
      </c>
      <c r="D1746" s="8" t="s">
        <v>137</v>
      </c>
      <c r="E1746" s="8" t="s">
        <v>69</v>
      </c>
      <c r="F1746" s="8" t="s">
        <v>35</v>
      </c>
      <c r="G1746" s="8" t="s">
        <v>32</v>
      </c>
      <c r="H1746" s="8" t="s">
        <v>42</v>
      </c>
      <c r="I1746" s="11">
        <v>31</v>
      </c>
      <c r="J1746" s="12">
        <v>102</v>
      </c>
      <c r="K1746" s="13">
        <v>0.1</v>
      </c>
      <c r="L1746" s="12">
        <v>71.98</v>
      </c>
      <c r="M1746" s="14">
        <f>ROUND(tblSprzedaz[[#This Row],[Ilość]]*tblSprzedaz[[#This Row],[Cena netto jednostkowa]]*(1-tblSprzedaz[[#This Row],[Rabat %]]),2)</f>
        <v>2845.8</v>
      </c>
      <c r="N1746" s="14">
        <f>ROUND(tblSprzedaz[[#This Row],[Ilość]]*tblSprzedaz[[#This Row],[Koszt jednostkowy netto]],2)</f>
        <v>2231.38</v>
      </c>
      <c r="O1746" s="14">
        <f>tblSprzedaz[[#This Row],[Przychód netto]]-tblSprzedaz[[#This Row],[Koszt całkowity netto]]</f>
        <v>614.42000000000007</v>
      </c>
      <c r="P1746" s="15">
        <f>IFERROR(tblSprzedaz[[#This Row],[Marża kwotowa]]/tblSprzedaz[[#This Row],[Przychód netto]],0)</f>
        <v>0.21590413943355122</v>
      </c>
      <c r="Q1746" s="16">
        <f>YEAR(tblSprzedaz[[#This Row],[Data]])</f>
        <v>2026</v>
      </c>
      <c r="R1746" s="16">
        <f>MONTH(tblSprzedaz[[#This Row],[Data]])</f>
        <v>4</v>
      </c>
      <c r="S1746" s="9" t="str">
        <f>YEAR(tblSprzedaz[[#This Row],[Data]])&amp;"-"&amp;RIGHT("0"&amp;MONTH(tblSprzedaz[[#This Row],[Data]]),2)</f>
        <v>2026-04</v>
      </c>
    </row>
    <row r="1747" spans="1:19" x14ac:dyDescent="0.25">
      <c r="A1747" s="7" t="s">
        <v>3661</v>
      </c>
      <c r="B1747" s="10">
        <v>46125</v>
      </c>
      <c r="C1747" s="7" t="s">
        <v>3662</v>
      </c>
      <c r="D1747" s="8" t="s">
        <v>147</v>
      </c>
      <c r="E1747" s="8" t="s">
        <v>70</v>
      </c>
      <c r="F1747" s="8" t="s">
        <v>35</v>
      </c>
      <c r="G1747" s="8" t="s">
        <v>30</v>
      </c>
      <c r="H1747" s="8" t="s">
        <v>41</v>
      </c>
      <c r="I1747" s="11">
        <v>26</v>
      </c>
      <c r="J1747" s="12">
        <v>113.56</v>
      </c>
      <c r="K1747" s="13">
        <v>0</v>
      </c>
      <c r="L1747" s="12">
        <v>78.790000000000006</v>
      </c>
      <c r="M1747" s="14">
        <f>ROUND(tblSprzedaz[[#This Row],[Ilość]]*tblSprzedaz[[#This Row],[Cena netto jednostkowa]]*(1-tblSprzedaz[[#This Row],[Rabat %]]),2)</f>
        <v>2952.56</v>
      </c>
      <c r="N1747" s="14">
        <f>ROUND(tblSprzedaz[[#This Row],[Ilość]]*tblSprzedaz[[#This Row],[Koszt jednostkowy netto]],2)</f>
        <v>2048.54</v>
      </c>
      <c r="O1747" s="14">
        <f>tblSprzedaz[[#This Row],[Przychód netto]]-tblSprzedaz[[#This Row],[Koszt całkowity netto]]</f>
        <v>904.02</v>
      </c>
      <c r="P1747" s="15">
        <f>IFERROR(tblSprzedaz[[#This Row],[Marża kwotowa]]/tblSprzedaz[[#This Row],[Przychód netto]],0)</f>
        <v>0.30618175413878124</v>
      </c>
      <c r="Q1747" s="16">
        <f>YEAR(tblSprzedaz[[#This Row],[Data]])</f>
        <v>2026</v>
      </c>
      <c r="R1747" s="16">
        <f>MONTH(tblSprzedaz[[#This Row],[Data]])</f>
        <v>4</v>
      </c>
      <c r="S1747" s="9" t="str">
        <f>YEAR(tblSprzedaz[[#This Row],[Data]])&amp;"-"&amp;RIGHT("0"&amp;MONTH(tblSprzedaz[[#This Row],[Data]]),2)</f>
        <v>2026-04</v>
      </c>
    </row>
    <row r="1748" spans="1:19" x14ac:dyDescent="0.25">
      <c r="A1748" s="7" t="s">
        <v>3663</v>
      </c>
      <c r="B1748" s="10">
        <v>46125</v>
      </c>
      <c r="C1748" s="7" t="s">
        <v>3664</v>
      </c>
      <c r="D1748" s="8" t="s">
        <v>151</v>
      </c>
      <c r="E1748" s="8" t="s">
        <v>71</v>
      </c>
      <c r="F1748" s="8" t="s">
        <v>35</v>
      </c>
      <c r="G1748" s="8" t="s">
        <v>28</v>
      </c>
      <c r="H1748" s="8" t="s">
        <v>39</v>
      </c>
      <c r="I1748" s="11">
        <v>9</v>
      </c>
      <c r="J1748" s="12">
        <v>55.76</v>
      </c>
      <c r="K1748" s="13">
        <v>0.05</v>
      </c>
      <c r="L1748" s="12">
        <v>41.04</v>
      </c>
      <c r="M1748" s="14">
        <f>ROUND(tblSprzedaz[[#This Row],[Ilość]]*tblSprzedaz[[#This Row],[Cena netto jednostkowa]]*(1-tblSprzedaz[[#This Row],[Rabat %]]),2)</f>
        <v>476.75</v>
      </c>
      <c r="N1748" s="14">
        <f>ROUND(tblSprzedaz[[#This Row],[Ilość]]*tblSprzedaz[[#This Row],[Koszt jednostkowy netto]],2)</f>
        <v>369.36</v>
      </c>
      <c r="O1748" s="14">
        <f>tblSprzedaz[[#This Row],[Przychód netto]]-tblSprzedaz[[#This Row],[Koszt całkowity netto]]</f>
        <v>107.38999999999999</v>
      </c>
      <c r="P1748" s="15">
        <f>IFERROR(tblSprzedaz[[#This Row],[Marża kwotowa]]/tblSprzedaz[[#This Row],[Przychód netto]],0)</f>
        <v>0.22525432616675403</v>
      </c>
      <c r="Q1748" s="16">
        <f>YEAR(tblSprzedaz[[#This Row],[Data]])</f>
        <v>2026</v>
      </c>
      <c r="R1748" s="16">
        <f>MONTH(tblSprzedaz[[#This Row],[Data]])</f>
        <v>4</v>
      </c>
      <c r="S1748" s="9" t="str">
        <f>YEAR(tblSprzedaz[[#This Row],[Data]])&amp;"-"&amp;RIGHT("0"&amp;MONTH(tblSprzedaz[[#This Row],[Data]]),2)</f>
        <v>2026-04</v>
      </c>
    </row>
    <row r="1749" spans="1:19" x14ac:dyDescent="0.25">
      <c r="A1749" s="7" t="s">
        <v>3665</v>
      </c>
      <c r="B1749" s="10">
        <v>46126</v>
      </c>
      <c r="C1749" s="7" t="s">
        <v>3666</v>
      </c>
      <c r="D1749" s="8" t="s">
        <v>109</v>
      </c>
      <c r="E1749" s="8" t="s">
        <v>50</v>
      </c>
      <c r="F1749" s="8" t="s">
        <v>29</v>
      </c>
      <c r="G1749" s="8" t="s">
        <v>36</v>
      </c>
      <c r="H1749" s="8" t="s">
        <v>46</v>
      </c>
      <c r="I1749" s="11">
        <v>5</v>
      </c>
      <c r="J1749" s="12">
        <v>45.22</v>
      </c>
      <c r="K1749" s="13">
        <v>0.15</v>
      </c>
      <c r="L1749" s="12">
        <v>27.17</v>
      </c>
      <c r="M1749" s="14">
        <f>ROUND(tblSprzedaz[[#This Row],[Ilość]]*tblSprzedaz[[#This Row],[Cena netto jednostkowa]]*(1-tblSprzedaz[[#This Row],[Rabat %]]),2)</f>
        <v>192.19</v>
      </c>
      <c r="N1749" s="14">
        <f>ROUND(tblSprzedaz[[#This Row],[Ilość]]*tblSprzedaz[[#This Row],[Koszt jednostkowy netto]],2)</f>
        <v>135.85</v>
      </c>
      <c r="O1749" s="14">
        <f>tblSprzedaz[[#This Row],[Przychód netto]]-tblSprzedaz[[#This Row],[Koszt całkowity netto]]</f>
        <v>56.34</v>
      </c>
      <c r="P1749" s="15">
        <f>IFERROR(tblSprzedaz[[#This Row],[Marża kwotowa]]/tblSprzedaz[[#This Row],[Przychód netto]],0)</f>
        <v>0.29314740621260216</v>
      </c>
      <c r="Q1749" s="16">
        <f>YEAR(tblSprzedaz[[#This Row],[Data]])</f>
        <v>2026</v>
      </c>
      <c r="R1749" s="16">
        <f>MONTH(tblSprzedaz[[#This Row],[Data]])</f>
        <v>4</v>
      </c>
      <c r="S1749" s="9" t="str">
        <f>YEAR(tblSprzedaz[[#This Row],[Data]])&amp;"-"&amp;RIGHT("0"&amp;MONTH(tblSprzedaz[[#This Row],[Data]]),2)</f>
        <v>2026-04</v>
      </c>
    </row>
    <row r="1750" spans="1:19" x14ac:dyDescent="0.25">
      <c r="A1750" s="7" t="s">
        <v>3667</v>
      </c>
      <c r="B1750" s="10">
        <v>46126</v>
      </c>
      <c r="C1750" s="7" t="s">
        <v>3668</v>
      </c>
      <c r="D1750" s="8" t="s">
        <v>152</v>
      </c>
      <c r="E1750" s="8" t="s">
        <v>49</v>
      </c>
      <c r="F1750" s="8" t="s">
        <v>29</v>
      </c>
      <c r="G1750" s="8" t="s">
        <v>34</v>
      </c>
      <c r="H1750" s="8" t="s">
        <v>45</v>
      </c>
      <c r="I1750" s="11">
        <v>1</v>
      </c>
      <c r="J1750" s="12">
        <v>39.44</v>
      </c>
      <c r="K1750" s="13">
        <v>0</v>
      </c>
      <c r="L1750" s="12">
        <v>23.24</v>
      </c>
      <c r="M1750" s="14">
        <f>ROUND(tblSprzedaz[[#This Row],[Ilość]]*tblSprzedaz[[#This Row],[Cena netto jednostkowa]]*(1-tblSprzedaz[[#This Row],[Rabat %]]),2)</f>
        <v>39.44</v>
      </c>
      <c r="N1750" s="14">
        <f>ROUND(tblSprzedaz[[#This Row],[Ilość]]*tblSprzedaz[[#This Row],[Koszt jednostkowy netto]],2)</f>
        <v>23.24</v>
      </c>
      <c r="O1750" s="14">
        <f>tblSprzedaz[[#This Row],[Przychód netto]]-tblSprzedaz[[#This Row],[Koszt całkowity netto]]</f>
        <v>16.2</v>
      </c>
      <c r="P1750" s="15">
        <f>IFERROR(tblSprzedaz[[#This Row],[Marża kwotowa]]/tblSprzedaz[[#This Row],[Przychód netto]],0)</f>
        <v>0.41075050709939148</v>
      </c>
      <c r="Q1750" s="16">
        <f>YEAR(tblSprzedaz[[#This Row],[Data]])</f>
        <v>2026</v>
      </c>
      <c r="R1750" s="16">
        <f>MONTH(tblSprzedaz[[#This Row],[Data]])</f>
        <v>4</v>
      </c>
      <c r="S1750" s="9" t="str">
        <f>YEAR(tblSprzedaz[[#This Row],[Data]])&amp;"-"&amp;RIGHT("0"&amp;MONTH(tblSprzedaz[[#This Row],[Data]]),2)</f>
        <v>2026-04</v>
      </c>
    </row>
    <row r="1751" spans="1:19" x14ac:dyDescent="0.25">
      <c r="A1751" s="7" t="s">
        <v>3669</v>
      </c>
      <c r="B1751" s="10">
        <v>46126</v>
      </c>
      <c r="C1751" s="7" t="s">
        <v>3670</v>
      </c>
      <c r="D1751" s="8" t="s">
        <v>98</v>
      </c>
      <c r="E1751" s="8" t="s">
        <v>54</v>
      </c>
      <c r="F1751" s="8" t="s">
        <v>31</v>
      </c>
      <c r="G1751" s="8" t="s">
        <v>28</v>
      </c>
      <c r="H1751" s="8" t="s">
        <v>38</v>
      </c>
      <c r="I1751" s="11">
        <v>8</v>
      </c>
      <c r="J1751" s="12">
        <v>207.9</v>
      </c>
      <c r="K1751" s="13">
        <v>0.15</v>
      </c>
      <c r="L1751" s="12">
        <v>136.79</v>
      </c>
      <c r="M1751" s="14">
        <f>ROUND(tblSprzedaz[[#This Row],[Ilość]]*tblSprzedaz[[#This Row],[Cena netto jednostkowa]]*(1-tblSprzedaz[[#This Row],[Rabat %]]),2)</f>
        <v>1413.72</v>
      </c>
      <c r="N1751" s="14">
        <f>ROUND(tblSprzedaz[[#This Row],[Ilość]]*tblSprzedaz[[#This Row],[Koszt jednostkowy netto]],2)</f>
        <v>1094.32</v>
      </c>
      <c r="O1751" s="14">
        <f>tblSprzedaz[[#This Row],[Przychód netto]]-tblSprzedaz[[#This Row],[Koszt całkowity netto]]</f>
        <v>319.40000000000009</v>
      </c>
      <c r="P1751" s="15">
        <f>IFERROR(tblSprzedaz[[#This Row],[Marża kwotowa]]/tblSprzedaz[[#This Row],[Przychód netto]],0)</f>
        <v>0.22592875534052009</v>
      </c>
      <c r="Q1751" s="16">
        <f>YEAR(tblSprzedaz[[#This Row],[Data]])</f>
        <v>2026</v>
      </c>
      <c r="R1751" s="16">
        <f>MONTH(tblSprzedaz[[#This Row],[Data]])</f>
        <v>4</v>
      </c>
      <c r="S1751" s="9" t="str">
        <f>YEAR(tblSprzedaz[[#This Row],[Data]])&amp;"-"&amp;RIGHT("0"&amp;MONTH(tblSprzedaz[[#This Row],[Data]]),2)</f>
        <v>2026-04</v>
      </c>
    </row>
    <row r="1752" spans="1:19" x14ac:dyDescent="0.25">
      <c r="A1752" s="7" t="s">
        <v>3671</v>
      </c>
      <c r="B1752" s="10">
        <v>46126</v>
      </c>
      <c r="C1752" s="7" t="s">
        <v>3672</v>
      </c>
      <c r="D1752" s="8" t="s">
        <v>130</v>
      </c>
      <c r="E1752" s="8" t="s">
        <v>50</v>
      </c>
      <c r="F1752" s="8" t="s">
        <v>29</v>
      </c>
      <c r="G1752" s="8" t="s">
        <v>36</v>
      </c>
      <c r="H1752" s="8" t="s">
        <v>46</v>
      </c>
      <c r="I1752" s="11">
        <v>13</v>
      </c>
      <c r="J1752" s="12">
        <v>45.22</v>
      </c>
      <c r="K1752" s="13">
        <v>0.15</v>
      </c>
      <c r="L1752" s="12">
        <v>25.91</v>
      </c>
      <c r="M1752" s="14">
        <f>ROUND(tblSprzedaz[[#This Row],[Ilość]]*tblSprzedaz[[#This Row],[Cena netto jednostkowa]]*(1-tblSprzedaz[[#This Row],[Rabat %]]),2)</f>
        <v>499.68</v>
      </c>
      <c r="N1752" s="14">
        <f>ROUND(tblSprzedaz[[#This Row],[Ilość]]*tblSprzedaz[[#This Row],[Koszt jednostkowy netto]],2)</f>
        <v>336.83</v>
      </c>
      <c r="O1752" s="14">
        <f>tblSprzedaz[[#This Row],[Przychód netto]]-tblSprzedaz[[#This Row],[Koszt całkowity netto]]</f>
        <v>162.85000000000002</v>
      </c>
      <c r="P1752" s="15">
        <f>IFERROR(tblSprzedaz[[#This Row],[Marża kwotowa]]/tblSprzedaz[[#This Row],[Przychód netto]],0)</f>
        <v>0.32590858149215501</v>
      </c>
      <c r="Q1752" s="16">
        <f>YEAR(tblSprzedaz[[#This Row],[Data]])</f>
        <v>2026</v>
      </c>
      <c r="R1752" s="16">
        <f>MONTH(tblSprzedaz[[#This Row],[Data]])</f>
        <v>4</v>
      </c>
      <c r="S1752" s="9" t="str">
        <f>YEAR(tblSprzedaz[[#This Row],[Data]])&amp;"-"&amp;RIGHT("0"&amp;MONTH(tblSprzedaz[[#This Row],[Data]]),2)</f>
        <v>2026-04</v>
      </c>
    </row>
    <row r="1753" spans="1:19" x14ac:dyDescent="0.25">
      <c r="A1753" s="7" t="s">
        <v>3673</v>
      </c>
      <c r="B1753" s="10">
        <v>46127</v>
      </c>
      <c r="C1753" s="7" t="s">
        <v>3674</v>
      </c>
      <c r="D1753" s="8" t="s">
        <v>101</v>
      </c>
      <c r="E1753" s="8" t="s">
        <v>65</v>
      </c>
      <c r="F1753" s="8" t="s">
        <v>33</v>
      </c>
      <c r="G1753" s="8" t="s">
        <v>34</v>
      </c>
      <c r="H1753" s="8" t="s">
        <v>45</v>
      </c>
      <c r="I1753" s="11">
        <v>5</v>
      </c>
      <c r="J1753" s="12">
        <v>377.2</v>
      </c>
      <c r="K1753" s="13">
        <v>0</v>
      </c>
      <c r="L1753" s="12">
        <v>266.57</v>
      </c>
      <c r="M1753" s="14">
        <f>ROUND(tblSprzedaz[[#This Row],[Ilość]]*tblSprzedaz[[#This Row],[Cena netto jednostkowa]]*(1-tblSprzedaz[[#This Row],[Rabat %]]),2)</f>
        <v>1886</v>
      </c>
      <c r="N1753" s="14">
        <f>ROUND(tblSprzedaz[[#This Row],[Ilość]]*tblSprzedaz[[#This Row],[Koszt jednostkowy netto]],2)</f>
        <v>1332.85</v>
      </c>
      <c r="O1753" s="14">
        <f>tblSprzedaz[[#This Row],[Przychód netto]]-tblSprzedaz[[#This Row],[Koszt całkowity netto]]</f>
        <v>553.15000000000009</v>
      </c>
      <c r="P1753" s="15">
        <f>IFERROR(tblSprzedaz[[#This Row],[Marża kwotowa]]/tblSprzedaz[[#This Row],[Przychód netto]],0)</f>
        <v>0.29329268292682931</v>
      </c>
      <c r="Q1753" s="16">
        <f>YEAR(tblSprzedaz[[#This Row],[Data]])</f>
        <v>2026</v>
      </c>
      <c r="R1753" s="16">
        <f>MONTH(tblSprzedaz[[#This Row],[Data]])</f>
        <v>4</v>
      </c>
      <c r="S1753" s="9" t="str">
        <f>YEAR(tblSprzedaz[[#This Row],[Data]])&amp;"-"&amp;RIGHT("0"&amp;MONTH(tblSprzedaz[[#This Row],[Data]]),2)</f>
        <v>2026-04</v>
      </c>
    </row>
    <row r="1754" spans="1:19" x14ac:dyDescent="0.25">
      <c r="A1754" s="7" t="s">
        <v>3675</v>
      </c>
      <c r="B1754" s="10">
        <v>46127</v>
      </c>
      <c r="C1754" s="7" t="s">
        <v>3676</v>
      </c>
      <c r="D1754" s="8" t="s">
        <v>114</v>
      </c>
      <c r="E1754" s="8" t="s">
        <v>77</v>
      </c>
      <c r="F1754" s="8" t="s">
        <v>37</v>
      </c>
      <c r="G1754" s="8" t="s">
        <v>36</v>
      </c>
      <c r="H1754" s="8" t="s">
        <v>46</v>
      </c>
      <c r="I1754" s="11">
        <v>7</v>
      </c>
      <c r="J1754" s="12">
        <v>77.900000000000006</v>
      </c>
      <c r="K1754" s="13">
        <v>0</v>
      </c>
      <c r="L1754" s="12">
        <v>59.4</v>
      </c>
      <c r="M1754" s="14">
        <f>ROUND(tblSprzedaz[[#This Row],[Ilość]]*tblSprzedaz[[#This Row],[Cena netto jednostkowa]]*(1-tblSprzedaz[[#This Row],[Rabat %]]),2)</f>
        <v>545.29999999999995</v>
      </c>
      <c r="N1754" s="14">
        <f>ROUND(tblSprzedaz[[#This Row],[Ilość]]*tblSprzedaz[[#This Row],[Koszt jednostkowy netto]],2)</f>
        <v>415.8</v>
      </c>
      <c r="O1754" s="14">
        <f>tblSprzedaz[[#This Row],[Przychód netto]]-tblSprzedaz[[#This Row],[Koszt całkowity netto]]</f>
        <v>129.49999999999994</v>
      </c>
      <c r="P1754" s="15">
        <f>IFERROR(tblSprzedaz[[#This Row],[Marża kwotowa]]/tblSprzedaz[[#This Row],[Przychód netto]],0)</f>
        <v>0.2374839537869062</v>
      </c>
      <c r="Q1754" s="16">
        <f>YEAR(tblSprzedaz[[#This Row],[Data]])</f>
        <v>2026</v>
      </c>
      <c r="R1754" s="16">
        <f>MONTH(tblSprzedaz[[#This Row],[Data]])</f>
        <v>4</v>
      </c>
      <c r="S1754" s="9" t="str">
        <f>YEAR(tblSprzedaz[[#This Row],[Data]])&amp;"-"&amp;RIGHT("0"&amp;MONTH(tblSprzedaz[[#This Row],[Data]]),2)</f>
        <v>2026-04</v>
      </c>
    </row>
    <row r="1755" spans="1:19" x14ac:dyDescent="0.25">
      <c r="A1755" s="7" t="s">
        <v>3677</v>
      </c>
      <c r="B1755" s="10">
        <v>46127</v>
      </c>
      <c r="C1755" s="7" t="s">
        <v>3678</v>
      </c>
      <c r="D1755" s="8" t="s">
        <v>131</v>
      </c>
      <c r="E1755" s="8" t="s">
        <v>72</v>
      </c>
      <c r="F1755" s="8" t="s">
        <v>37</v>
      </c>
      <c r="G1755" s="8" t="s">
        <v>36</v>
      </c>
      <c r="H1755" s="8" t="s">
        <v>46</v>
      </c>
      <c r="I1755" s="11">
        <v>18</v>
      </c>
      <c r="J1755" s="12">
        <v>94.05</v>
      </c>
      <c r="K1755" s="13">
        <v>0</v>
      </c>
      <c r="L1755" s="12">
        <v>69.569999999999993</v>
      </c>
      <c r="M1755" s="14">
        <f>ROUND(tblSprzedaz[[#This Row],[Ilość]]*tblSprzedaz[[#This Row],[Cena netto jednostkowa]]*(1-tblSprzedaz[[#This Row],[Rabat %]]),2)</f>
        <v>1692.9</v>
      </c>
      <c r="N1755" s="14">
        <f>ROUND(tblSprzedaz[[#This Row],[Ilość]]*tblSprzedaz[[#This Row],[Koszt jednostkowy netto]],2)</f>
        <v>1252.26</v>
      </c>
      <c r="O1755" s="14">
        <f>tblSprzedaz[[#This Row],[Przychód netto]]-tblSprzedaz[[#This Row],[Koszt całkowity netto]]</f>
        <v>440.6400000000001</v>
      </c>
      <c r="P1755" s="15">
        <f>IFERROR(tblSprzedaz[[#This Row],[Marża kwotowa]]/tblSprzedaz[[#This Row],[Przychód netto]],0)</f>
        <v>0.26028708133971296</v>
      </c>
      <c r="Q1755" s="16">
        <f>YEAR(tblSprzedaz[[#This Row],[Data]])</f>
        <v>2026</v>
      </c>
      <c r="R1755" s="16">
        <f>MONTH(tblSprzedaz[[#This Row],[Data]])</f>
        <v>4</v>
      </c>
      <c r="S1755" s="9" t="str">
        <f>YEAR(tblSprzedaz[[#This Row],[Data]])&amp;"-"&amp;RIGHT("0"&amp;MONTH(tblSprzedaz[[#This Row],[Data]]),2)</f>
        <v>2026-04</v>
      </c>
    </row>
    <row r="1756" spans="1:19" x14ac:dyDescent="0.25">
      <c r="A1756" s="7" t="s">
        <v>3679</v>
      </c>
      <c r="B1756" s="10">
        <v>46127</v>
      </c>
      <c r="C1756" s="7" t="s">
        <v>3680</v>
      </c>
      <c r="D1756" s="8" t="s">
        <v>127</v>
      </c>
      <c r="E1756" s="8" t="s">
        <v>67</v>
      </c>
      <c r="F1756" s="8" t="s">
        <v>35</v>
      </c>
      <c r="G1756" s="8" t="s">
        <v>28</v>
      </c>
      <c r="H1756" s="8" t="s">
        <v>38</v>
      </c>
      <c r="I1756" s="11">
        <v>21</v>
      </c>
      <c r="J1756" s="12">
        <v>78.88</v>
      </c>
      <c r="K1756" s="13">
        <v>0</v>
      </c>
      <c r="L1756" s="12">
        <v>59.52</v>
      </c>
      <c r="M1756" s="14">
        <f>ROUND(tblSprzedaz[[#This Row],[Ilość]]*tblSprzedaz[[#This Row],[Cena netto jednostkowa]]*(1-tblSprzedaz[[#This Row],[Rabat %]]),2)</f>
        <v>1656.48</v>
      </c>
      <c r="N1756" s="14">
        <f>ROUND(tblSprzedaz[[#This Row],[Ilość]]*tblSprzedaz[[#This Row],[Koszt jednostkowy netto]],2)</f>
        <v>1249.92</v>
      </c>
      <c r="O1756" s="14">
        <f>tblSprzedaz[[#This Row],[Przychód netto]]-tblSprzedaz[[#This Row],[Koszt całkowity netto]]</f>
        <v>406.55999999999995</v>
      </c>
      <c r="P1756" s="15">
        <f>IFERROR(tblSprzedaz[[#This Row],[Marża kwotowa]]/tblSprzedaz[[#This Row],[Przychód netto]],0)</f>
        <v>0.24543610547667338</v>
      </c>
      <c r="Q1756" s="16">
        <f>YEAR(tblSprzedaz[[#This Row],[Data]])</f>
        <v>2026</v>
      </c>
      <c r="R1756" s="16">
        <f>MONTH(tblSprzedaz[[#This Row],[Data]])</f>
        <v>4</v>
      </c>
      <c r="S1756" s="9" t="str">
        <f>YEAR(tblSprzedaz[[#This Row],[Data]])&amp;"-"&amp;RIGHT("0"&amp;MONTH(tblSprzedaz[[#This Row],[Data]]),2)</f>
        <v>2026-04</v>
      </c>
    </row>
    <row r="1757" spans="1:19" x14ac:dyDescent="0.25">
      <c r="A1757" s="7" t="s">
        <v>3681</v>
      </c>
      <c r="B1757" s="10">
        <v>46127</v>
      </c>
      <c r="C1757" s="7" t="s">
        <v>3682</v>
      </c>
      <c r="D1757" s="8" t="s">
        <v>88</v>
      </c>
      <c r="E1757" s="8" t="s">
        <v>73</v>
      </c>
      <c r="F1757" s="8" t="s">
        <v>37</v>
      </c>
      <c r="G1757" s="8" t="s">
        <v>34</v>
      </c>
      <c r="H1757" s="8" t="s">
        <v>44</v>
      </c>
      <c r="I1757" s="11">
        <v>1</v>
      </c>
      <c r="J1757" s="12">
        <v>110.2</v>
      </c>
      <c r="K1757" s="13">
        <v>0.1</v>
      </c>
      <c r="L1757" s="12">
        <v>85.37</v>
      </c>
      <c r="M1757" s="14">
        <f>ROUND(tblSprzedaz[[#This Row],[Ilość]]*tblSprzedaz[[#This Row],[Cena netto jednostkowa]]*(1-tblSprzedaz[[#This Row],[Rabat %]]),2)</f>
        <v>99.18</v>
      </c>
      <c r="N1757" s="14">
        <f>ROUND(tblSprzedaz[[#This Row],[Ilość]]*tblSprzedaz[[#This Row],[Koszt jednostkowy netto]],2)</f>
        <v>85.37</v>
      </c>
      <c r="O1757" s="14">
        <f>tblSprzedaz[[#This Row],[Przychód netto]]-tblSprzedaz[[#This Row],[Koszt całkowity netto]]</f>
        <v>13.810000000000002</v>
      </c>
      <c r="P1757" s="15">
        <f>IFERROR(tblSprzedaz[[#This Row],[Marża kwotowa]]/tblSprzedaz[[#This Row],[Przychód netto]],0)</f>
        <v>0.1392417826174632</v>
      </c>
      <c r="Q1757" s="16">
        <f>YEAR(tblSprzedaz[[#This Row],[Data]])</f>
        <v>2026</v>
      </c>
      <c r="R1757" s="16">
        <f>MONTH(tblSprzedaz[[#This Row],[Data]])</f>
        <v>4</v>
      </c>
      <c r="S1757" s="9" t="str">
        <f>YEAR(tblSprzedaz[[#This Row],[Data]])&amp;"-"&amp;RIGHT("0"&amp;MONTH(tblSprzedaz[[#This Row],[Data]]),2)</f>
        <v>2026-04</v>
      </c>
    </row>
    <row r="1758" spans="1:19" x14ac:dyDescent="0.25">
      <c r="A1758" s="7" t="s">
        <v>3683</v>
      </c>
      <c r="B1758" s="10">
        <v>46128</v>
      </c>
      <c r="C1758" s="7" t="s">
        <v>3684</v>
      </c>
      <c r="D1758" s="8" t="s">
        <v>111</v>
      </c>
      <c r="E1758" s="8" t="s">
        <v>58</v>
      </c>
      <c r="F1758" s="8" t="s">
        <v>31</v>
      </c>
      <c r="G1758" s="8" t="s">
        <v>28</v>
      </c>
      <c r="H1758" s="8" t="s">
        <v>38</v>
      </c>
      <c r="I1758" s="11">
        <v>14</v>
      </c>
      <c r="J1758" s="12">
        <v>350.7</v>
      </c>
      <c r="K1758" s="13">
        <v>0</v>
      </c>
      <c r="L1758" s="12">
        <v>228.62</v>
      </c>
      <c r="M1758" s="14">
        <f>ROUND(tblSprzedaz[[#This Row],[Ilość]]*tblSprzedaz[[#This Row],[Cena netto jednostkowa]]*(1-tblSprzedaz[[#This Row],[Rabat %]]),2)</f>
        <v>4909.8</v>
      </c>
      <c r="N1758" s="14">
        <f>ROUND(tblSprzedaz[[#This Row],[Ilość]]*tblSprzedaz[[#This Row],[Koszt jednostkowy netto]],2)</f>
        <v>3200.68</v>
      </c>
      <c r="O1758" s="14">
        <f>tblSprzedaz[[#This Row],[Przychód netto]]-tblSprzedaz[[#This Row],[Koszt całkowity netto]]</f>
        <v>1709.1200000000003</v>
      </c>
      <c r="P1758" s="15">
        <f>IFERROR(tblSprzedaz[[#This Row],[Marża kwotowa]]/tblSprzedaz[[#This Row],[Przychód netto]],0)</f>
        <v>0.3481037924151697</v>
      </c>
      <c r="Q1758" s="16">
        <f>YEAR(tblSprzedaz[[#This Row],[Data]])</f>
        <v>2026</v>
      </c>
      <c r="R1758" s="16">
        <f>MONTH(tblSprzedaz[[#This Row],[Data]])</f>
        <v>4</v>
      </c>
      <c r="S1758" s="9" t="str">
        <f>YEAR(tblSprzedaz[[#This Row],[Data]])&amp;"-"&amp;RIGHT("0"&amp;MONTH(tblSprzedaz[[#This Row],[Data]]),2)</f>
        <v>2026-04</v>
      </c>
    </row>
    <row r="1759" spans="1:19" x14ac:dyDescent="0.25">
      <c r="A1759" s="7" t="s">
        <v>3685</v>
      </c>
      <c r="B1759" s="10">
        <v>46128</v>
      </c>
      <c r="C1759" s="7" t="s">
        <v>3686</v>
      </c>
      <c r="D1759" s="8" t="s">
        <v>114</v>
      </c>
      <c r="E1759" s="8" t="s">
        <v>73</v>
      </c>
      <c r="F1759" s="8" t="s">
        <v>37</v>
      </c>
      <c r="G1759" s="8" t="s">
        <v>36</v>
      </c>
      <c r="H1759" s="8" t="s">
        <v>47</v>
      </c>
      <c r="I1759" s="11">
        <v>9</v>
      </c>
      <c r="J1759" s="12">
        <v>110.2</v>
      </c>
      <c r="K1759" s="13">
        <v>0.05</v>
      </c>
      <c r="L1759" s="12">
        <v>80.95</v>
      </c>
      <c r="M1759" s="14">
        <f>ROUND(tblSprzedaz[[#This Row],[Ilość]]*tblSprzedaz[[#This Row],[Cena netto jednostkowa]]*(1-tblSprzedaz[[#This Row],[Rabat %]]),2)</f>
        <v>942.21</v>
      </c>
      <c r="N1759" s="14">
        <f>ROUND(tblSprzedaz[[#This Row],[Ilość]]*tblSprzedaz[[#This Row],[Koszt jednostkowy netto]],2)</f>
        <v>728.55</v>
      </c>
      <c r="O1759" s="14">
        <f>tblSprzedaz[[#This Row],[Przychód netto]]-tblSprzedaz[[#This Row],[Koszt całkowity netto]]</f>
        <v>213.66000000000008</v>
      </c>
      <c r="P1759" s="15">
        <f>IFERROR(tblSprzedaz[[#This Row],[Marża kwotowa]]/tblSprzedaz[[#This Row],[Przychód netto]],0)</f>
        <v>0.22676473397650213</v>
      </c>
      <c r="Q1759" s="16">
        <f>YEAR(tblSprzedaz[[#This Row],[Data]])</f>
        <v>2026</v>
      </c>
      <c r="R1759" s="16">
        <f>MONTH(tblSprzedaz[[#This Row],[Data]])</f>
        <v>4</v>
      </c>
      <c r="S1759" s="9" t="str">
        <f>YEAR(tblSprzedaz[[#This Row],[Data]])&amp;"-"&amp;RIGHT("0"&amp;MONTH(tblSprzedaz[[#This Row],[Data]]),2)</f>
        <v>2026-04</v>
      </c>
    </row>
    <row r="1760" spans="1:19" x14ac:dyDescent="0.25">
      <c r="A1760" s="7" t="s">
        <v>3687</v>
      </c>
      <c r="B1760" s="10">
        <v>46128</v>
      </c>
      <c r="C1760" s="7" t="s">
        <v>3688</v>
      </c>
      <c r="D1760" s="8" t="s">
        <v>101</v>
      </c>
      <c r="E1760" s="8" t="s">
        <v>61</v>
      </c>
      <c r="F1760" s="8" t="s">
        <v>33</v>
      </c>
      <c r="G1760" s="8" t="s">
        <v>28</v>
      </c>
      <c r="H1760" s="8" t="s">
        <v>38</v>
      </c>
      <c r="I1760" s="11">
        <v>22</v>
      </c>
      <c r="J1760" s="12">
        <v>533.6</v>
      </c>
      <c r="K1760" s="13">
        <v>0.15</v>
      </c>
      <c r="L1760" s="12">
        <v>372.43</v>
      </c>
      <c r="M1760" s="14">
        <f>ROUND(tblSprzedaz[[#This Row],[Ilość]]*tblSprzedaz[[#This Row],[Cena netto jednostkowa]]*(1-tblSprzedaz[[#This Row],[Rabat %]]),2)</f>
        <v>9978.32</v>
      </c>
      <c r="N1760" s="14">
        <f>ROUND(tblSprzedaz[[#This Row],[Ilość]]*tblSprzedaz[[#This Row],[Koszt jednostkowy netto]],2)</f>
        <v>8193.4599999999991</v>
      </c>
      <c r="O1760" s="14">
        <f>tblSprzedaz[[#This Row],[Przychód netto]]-tblSprzedaz[[#This Row],[Koszt całkowity netto]]</f>
        <v>1784.8600000000006</v>
      </c>
      <c r="P1760" s="15">
        <f>IFERROR(tblSprzedaz[[#This Row],[Marża kwotowa]]/tblSprzedaz[[#This Row],[Przychód netto]],0)</f>
        <v>0.17887379839492026</v>
      </c>
      <c r="Q1760" s="16">
        <f>YEAR(tblSprzedaz[[#This Row],[Data]])</f>
        <v>2026</v>
      </c>
      <c r="R1760" s="16">
        <f>MONTH(tblSprzedaz[[#This Row],[Data]])</f>
        <v>4</v>
      </c>
      <c r="S1760" s="9" t="str">
        <f>YEAR(tblSprzedaz[[#This Row],[Data]])&amp;"-"&amp;RIGHT("0"&amp;MONTH(tblSprzedaz[[#This Row],[Data]]),2)</f>
        <v>2026-04</v>
      </c>
    </row>
    <row r="1761" spans="1:19" x14ac:dyDescent="0.25">
      <c r="A1761" s="7" t="s">
        <v>3689</v>
      </c>
      <c r="B1761" s="10">
        <v>46128</v>
      </c>
      <c r="C1761" s="7" t="s">
        <v>3690</v>
      </c>
      <c r="D1761" s="8" t="s">
        <v>108</v>
      </c>
      <c r="E1761" s="8" t="s">
        <v>73</v>
      </c>
      <c r="F1761" s="8" t="s">
        <v>37</v>
      </c>
      <c r="G1761" s="8" t="s">
        <v>28</v>
      </c>
      <c r="H1761" s="8" t="s">
        <v>39</v>
      </c>
      <c r="I1761" s="11">
        <v>4</v>
      </c>
      <c r="J1761" s="12">
        <v>110.2</v>
      </c>
      <c r="K1761" s="13">
        <v>0</v>
      </c>
      <c r="L1761" s="12">
        <v>81.67</v>
      </c>
      <c r="M1761" s="14">
        <f>ROUND(tblSprzedaz[[#This Row],[Ilość]]*tblSprzedaz[[#This Row],[Cena netto jednostkowa]]*(1-tblSprzedaz[[#This Row],[Rabat %]]),2)</f>
        <v>440.8</v>
      </c>
      <c r="N1761" s="14">
        <f>ROUND(tblSprzedaz[[#This Row],[Ilość]]*tblSprzedaz[[#This Row],[Koszt jednostkowy netto]],2)</f>
        <v>326.68</v>
      </c>
      <c r="O1761" s="14">
        <f>tblSprzedaz[[#This Row],[Przychód netto]]-tblSprzedaz[[#This Row],[Koszt całkowity netto]]</f>
        <v>114.12</v>
      </c>
      <c r="P1761" s="15">
        <f>IFERROR(tblSprzedaz[[#This Row],[Marża kwotowa]]/tblSprzedaz[[#This Row],[Przychód netto]],0)</f>
        <v>0.25889292196007258</v>
      </c>
      <c r="Q1761" s="16">
        <f>YEAR(tblSprzedaz[[#This Row],[Data]])</f>
        <v>2026</v>
      </c>
      <c r="R1761" s="16">
        <f>MONTH(tblSprzedaz[[#This Row],[Data]])</f>
        <v>4</v>
      </c>
      <c r="S1761" s="9" t="str">
        <f>YEAR(tblSprzedaz[[#This Row],[Data]])&amp;"-"&amp;RIGHT("0"&amp;MONTH(tblSprzedaz[[#This Row],[Data]]),2)</f>
        <v>2026-04</v>
      </c>
    </row>
    <row r="1762" spans="1:19" x14ac:dyDescent="0.25">
      <c r="A1762" s="7" t="s">
        <v>3691</v>
      </c>
      <c r="B1762" s="10">
        <v>46128</v>
      </c>
      <c r="C1762" s="7" t="s">
        <v>3692</v>
      </c>
      <c r="D1762" s="8" t="s">
        <v>150</v>
      </c>
      <c r="E1762" s="8" t="s">
        <v>59</v>
      </c>
      <c r="F1762" s="8" t="s">
        <v>31</v>
      </c>
      <c r="G1762" s="8" t="s">
        <v>36</v>
      </c>
      <c r="H1762" s="8" t="s">
        <v>46</v>
      </c>
      <c r="I1762" s="11">
        <v>23</v>
      </c>
      <c r="J1762" s="12">
        <v>172.2</v>
      </c>
      <c r="K1762" s="13">
        <v>0.15</v>
      </c>
      <c r="L1762" s="12">
        <v>111.13</v>
      </c>
      <c r="M1762" s="14">
        <f>ROUND(tblSprzedaz[[#This Row],[Ilość]]*tblSprzedaz[[#This Row],[Cena netto jednostkowa]]*(1-tblSprzedaz[[#This Row],[Rabat %]]),2)</f>
        <v>3366.51</v>
      </c>
      <c r="N1762" s="14">
        <f>ROUND(tblSprzedaz[[#This Row],[Ilość]]*tblSprzedaz[[#This Row],[Koszt jednostkowy netto]],2)</f>
        <v>2555.9899999999998</v>
      </c>
      <c r="O1762" s="14">
        <f>tblSprzedaz[[#This Row],[Przychód netto]]-tblSprzedaz[[#This Row],[Koszt całkowity netto]]</f>
        <v>810.52000000000044</v>
      </c>
      <c r="P1762" s="15">
        <f>IFERROR(tblSprzedaz[[#This Row],[Marża kwotowa]]/tblSprzedaz[[#This Row],[Przychód netto]],0)</f>
        <v>0.24075971852155509</v>
      </c>
      <c r="Q1762" s="16">
        <f>YEAR(tblSprzedaz[[#This Row],[Data]])</f>
        <v>2026</v>
      </c>
      <c r="R1762" s="16">
        <f>MONTH(tblSprzedaz[[#This Row],[Data]])</f>
        <v>4</v>
      </c>
      <c r="S1762" s="9" t="str">
        <f>YEAR(tblSprzedaz[[#This Row],[Data]])&amp;"-"&amp;RIGHT("0"&amp;MONTH(tblSprzedaz[[#This Row],[Data]]),2)</f>
        <v>2026-04</v>
      </c>
    </row>
    <row r="1763" spans="1:19" x14ac:dyDescent="0.25">
      <c r="A1763" s="7" t="s">
        <v>3693</v>
      </c>
      <c r="B1763" s="10">
        <v>46128</v>
      </c>
      <c r="C1763" s="7" t="s">
        <v>3694</v>
      </c>
      <c r="D1763" s="8" t="s">
        <v>131</v>
      </c>
      <c r="E1763" s="8" t="s">
        <v>75</v>
      </c>
      <c r="F1763" s="8" t="s">
        <v>37</v>
      </c>
      <c r="G1763" s="8" t="s">
        <v>34</v>
      </c>
      <c r="H1763" s="8" t="s">
        <v>44</v>
      </c>
      <c r="I1763" s="11">
        <v>4</v>
      </c>
      <c r="J1763" s="12">
        <v>142.5</v>
      </c>
      <c r="K1763" s="13">
        <v>0.1</v>
      </c>
      <c r="L1763" s="12">
        <v>108.31</v>
      </c>
      <c r="M1763" s="14">
        <f>ROUND(tblSprzedaz[[#This Row],[Ilość]]*tblSprzedaz[[#This Row],[Cena netto jednostkowa]]*(1-tblSprzedaz[[#This Row],[Rabat %]]),2)</f>
        <v>513</v>
      </c>
      <c r="N1763" s="14">
        <f>ROUND(tblSprzedaz[[#This Row],[Ilość]]*tblSprzedaz[[#This Row],[Koszt jednostkowy netto]],2)</f>
        <v>433.24</v>
      </c>
      <c r="O1763" s="14">
        <f>tblSprzedaz[[#This Row],[Przychód netto]]-tblSprzedaz[[#This Row],[Koszt całkowity netto]]</f>
        <v>79.759999999999991</v>
      </c>
      <c r="P1763" s="15">
        <f>IFERROR(tblSprzedaz[[#This Row],[Marża kwotowa]]/tblSprzedaz[[#This Row],[Przychód netto]],0)</f>
        <v>0.15547758284600388</v>
      </c>
      <c r="Q1763" s="16">
        <f>YEAR(tblSprzedaz[[#This Row],[Data]])</f>
        <v>2026</v>
      </c>
      <c r="R1763" s="16">
        <f>MONTH(tblSprzedaz[[#This Row],[Data]])</f>
        <v>4</v>
      </c>
      <c r="S1763" s="9" t="str">
        <f>YEAR(tblSprzedaz[[#This Row],[Data]])&amp;"-"&amp;RIGHT("0"&amp;MONTH(tblSprzedaz[[#This Row],[Data]]),2)</f>
        <v>2026-04</v>
      </c>
    </row>
    <row r="1764" spans="1:19" x14ac:dyDescent="0.25">
      <c r="A1764" s="7" t="s">
        <v>3695</v>
      </c>
      <c r="B1764" s="10">
        <v>46129</v>
      </c>
      <c r="C1764" s="7" t="s">
        <v>3696</v>
      </c>
      <c r="D1764" s="8" t="s">
        <v>88</v>
      </c>
      <c r="E1764" s="8" t="s">
        <v>50</v>
      </c>
      <c r="F1764" s="8" t="s">
        <v>29</v>
      </c>
      <c r="G1764" s="8" t="s">
        <v>36</v>
      </c>
      <c r="H1764" s="8" t="s">
        <v>46</v>
      </c>
      <c r="I1764" s="11">
        <v>16</v>
      </c>
      <c r="J1764" s="12">
        <v>45.22</v>
      </c>
      <c r="K1764" s="13">
        <v>0.05</v>
      </c>
      <c r="L1764" s="12">
        <v>26.4</v>
      </c>
      <c r="M1764" s="14">
        <f>ROUND(tblSprzedaz[[#This Row],[Ilość]]*tblSprzedaz[[#This Row],[Cena netto jednostkowa]]*(1-tblSprzedaz[[#This Row],[Rabat %]]),2)</f>
        <v>687.34</v>
      </c>
      <c r="N1764" s="14">
        <f>ROUND(tblSprzedaz[[#This Row],[Ilość]]*tblSprzedaz[[#This Row],[Koszt jednostkowy netto]],2)</f>
        <v>422.4</v>
      </c>
      <c r="O1764" s="14">
        <f>tblSprzedaz[[#This Row],[Przychód netto]]-tblSprzedaz[[#This Row],[Koszt całkowity netto]]</f>
        <v>264.94000000000005</v>
      </c>
      <c r="P1764" s="15">
        <f>IFERROR(tblSprzedaz[[#This Row],[Marża kwotowa]]/tblSprzedaz[[#This Row],[Przychód netto]],0)</f>
        <v>0.38545697907876747</v>
      </c>
      <c r="Q1764" s="16">
        <f>YEAR(tblSprzedaz[[#This Row],[Data]])</f>
        <v>2026</v>
      </c>
      <c r="R1764" s="16">
        <f>MONTH(tblSprzedaz[[#This Row],[Data]])</f>
        <v>4</v>
      </c>
      <c r="S1764" s="9" t="str">
        <f>YEAR(tblSprzedaz[[#This Row],[Data]])&amp;"-"&amp;RIGHT("0"&amp;MONTH(tblSprzedaz[[#This Row],[Data]]),2)</f>
        <v>2026-04</v>
      </c>
    </row>
    <row r="1765" spans="1:19" x14ac:dyDescent="0.25">
      <c r="A1765" s="7" t="s">
        <v>3697</v>
      </c>
      <c r="B1765" s="10">
        <v>46129</v>
      </c>
      <c r="C1765" s="7" t="s">
        <v>3698</v>
      </c>
      <c r="D1765" s="8" t="s">
        <v>126</v>
      </c>
      <c r="E1765" s="8" t="s">
        <v>62</v>
      </c>
      <c r="F1765" s="8" t="s">
        <v>33</v>
      </c>
      <c r="G1765" s="8" t="s">
        <v>28</v>
      </c>
      <c r="H1765" s="8" t="s">
        <v>38</v>
      </c>
      <c r="I1765" s="11">
        <v>13</v>
      </c>
      <c r="J1765" s="12">
        <v>611.79999999999995</v>
      </c>
      <c r="K1765" s="13">
        <v>0</v>
      </c>
      <c r="L1765" s="12">
        <v>413.71</v>
      </c>
      <c r="M1765" s="14">
        <f>ROUND(tblSprzedaz[[#This Row],[Ilość]]*tblSprzedaz[[#This Row],[Cena netto jednostkowa]]*(1-tblSprzedaz[[#This Row],[Rabat %]]),2)</f>
        <v>7953.4</v>
      </c>
      <c r="N1765" s="14">
        <f>ROUND(tblSprzedaz[[#This Row],[Ilość]]*tblSprzedaz[[#This Row],[Koszt jednostkowy netto]],2)</f>
        <v>5378.23</v>
      </c>
      <c r="O1765" s="14">
        <f>tblSprzedaz[[#This Row],[Przychód netto]]-tblSprzedaz[[#This Row],[Koszt całkowity netto]]</f>
        <v>2575.17</v>
      </c>
      <c r="P1765" s="15">
        <f>IFERROR(tblSprzedaz[[#This Row],[Marża kwotowa]]/tblSprzedaz[[#This Row],[Przychód netto]],0)</f>
        <v>0.32378228179143514</v>
      </c>
      <c r="Q1765" s="16">
        <f>YEAR(tblSprzedaz[[#This Row],[Data]])</f>
        <v>2026</v>
      </c>
      <c r="R1765" s="16">
        <f>MONTH(tblSprzedaz[[#This Row],[Data]])</f>
        <v>4</v>
      </c>
      <c r="S1765" s="9" t="str">
        <f>YEAR(tblSprzedaz[[#This Row],[Data]])&amp;"-"&amp;RIGHT("0"&amp;MONTH(tblSprzedaz[[#This Row],[Data]]),2)</f>
        <v>2026-04</v>
      </c>
    </row>
    <row r="1766" spans="1:19" x14ac:dyDescent="0.25">
      <c r="A1766" s="7" t="s">
        <v>3699</v>
      </c>
      <c r="B1766" s="10">
        <v>46129</v>
      </c>
      <c r="C1766" s="7" t="s">
        <v>3700</v>
      </c>
      <c r="D1766" s="8" t="s">
        <v>80</v>
      </c>
      <c r="E1766" s="8" t="s">
        <v>68</v>
      </c>
      <c r="F1766" s="8" t="s">
        <v>35</v>
      </c>
      <c r="G1766" s="8" t="s">
        <v>32</v>
      </c>
      <c r="H1766" s="8" t="s">
        <v>42</v>
      </c>
      <c r="I1766" s="11">
        <v>21</v>
      </c>
      <c r="J1766" s="12">
        <v>90.44</v>
      </c>
      <c r="K1766" s="13">
        <v>0.1</v>
      </c>
      <c r="L1766" s="12">
        <v>68.19</v>
      </c>
      <c r="M1766" s="14">
        <f>ROUND(tblSprzedaz[[#This Row],[Ilość]]*tblSprzedaz[[#This Row],[Cena netto jednostkowa]]*(1-tblSprzedaz[[#This Row],[Rabat %]]),2)</f>
        <v>1709.32</v>
      </c>
      <c r="N1766" s="14">
        <f>ROUND(tblSprzedaz[[#This Row],[Ilość]]*tblSprzedaz[[#This Row],[Koszt jednostkowy netto]],2)</f>
        <v>1431.99</v>
      </c>
      <c r="O1766" s="14">
        <f>tblSprzedaz[[#This Row],[Przychód netto]]-tblSprzedaz[[#This Row],[Koszt całkowity netto]]</f>
        <v>277.32999999999993</v>
      </c>
      <c r="P1766" s="15">
        <f>IFERROR(tblSprzedaz[[#This Row],[Marża kwotowa]]/tblSprzedaz[[#This Row],[Przychód netto]],0)</f>
        <v>0.16224580534949568</v>
      </c>
      <c r="Q1766" s="16">
        <f>YEAR(tblSprzedaz[[#This Row],[Data]])</f>
        <v>2026</v>
      </c>
      <c r="R1766" s="16">
        <f>MONTH(tblSprzedaz[[#This Row],[Data]])</f>
        <v>4</v>
      </c>
      <c r="S1766" s="9" t="str">
        <f>YEAR(tblSprzedaz[[#This Row],[Data]])&amp;"-"&amp;RIGHT("0"&amp;MONTH(tblSprzedaz[[#This Row],[Data]]),2)</f>
        <v>2026-04</v>
      </c>
    </row>
    <row r="1767" spans="1:19" x14ac:dyDescent="0.25">
      <c r="A1767" s="7" t="s">
        <v>3701</v>
      </c>
      <c r="B1767" s="10">
        <v>46129</v>
      </c>
      <c r="C1767" s="7" t="s">
        <v>3702</v>
      </c>
      <c r="D1767" s="8" t="s">
        <v>94</v>
      </c>
      <c r="E1767" s="8" t="s">
        <v>58</v>
      </c>
      <c r="F1767" s="8" t="s">
        <v>31</v>
      </c>
      <c r="G1767" s="8" t="s">
        <v>36</v>
      </c>
      <c r="H1767" s="8" t="s">
        <v>47</v>
      </c>
      <c r="I1767" s="11">
        <v>2</v>
      </c>
      <c r="J1767" s="12">
        <v>350.7</v>
      </c>
      <c r="K1767" s="13">
        <v>0</v>
      </c>
      <c r="L1767" s="12">
        <v>218.5</v>
      </c>
      <c r="M1767" s="14">
        <f>ROUND(tblSprzedaz[[#This Row],[Ilość]]*tblSprzedaz[[#This Row],[Cena netto jednostkowa]]*(1-tblSprzedaz[[#This Row],[Rabat %]]),2)</f>
        <v>701.4</v>
      </c>
      <c r="N1767" s="14">
        <f>ROUND(tblSprzedaz[[#This Row],[Ilość]]*tblSprzedaz[[#This Row],[Koszt jednostkowy netto]],2)</f>
        <v>437</v>
      </c>
      <c r="O1767" s="14">
        <f>tblSprzedaz[[#This Row],[Przychód netto]]-tblSprzedaz[[#This Row],[Koszt całkowity netto]]</f>
        <v>264.39999999999998</v>
      </c>
      <c r="P1767" s="15">
        <f>IFERROR(tblSprzedaz[[#This Row],[Marża kwotowa]]/tblSprzedaz[[#This Row],[Przychód netto]],0)</f>
        <v>0.37696036498431706</v>
      </c>
      <c r="Q1767" s="16">
        <f>YEAR(tblSprzedaz[[#This Row],[Data]])</f>
        <v>2026</v>
      </c>
      <c r="R1767" s="16">
        <f>MONTH(tblSprzedaz[[#This Row],[Data]])</f>
        <v>4</v>
      </c>
      <c r="S1767" s="9" t="str">
        <f>YEAR(tblSprzedaz[[#This Row],[Data]])&amp;"-"&amp;RIGHT("0"&amp;MONTH(tblSprzedaz[[#This Row],[Data]]),2)</f>
        <v>2026-04</v>
      </c>
    </row>
    <row r="1768" spans="1:19" x14ac:dyDescent="0.25">
      <c r="A1768" s="7" t="s">
        <v>3703</v>
      </c>
      <c r="B1768" s="10">
        <v>46129</v>
      </c>
      <c r="C1768" s="7" t="s">
        <v>3704</v>
      </c>
      <c r="D1768" s="8" t="s">
        <v>112</v>
      </c>
      <c r="E1768" s="8" t="s">
        <v>52</v>
      </c>
      <c r="F1768" s="8" t="s">
        <v>29</v>
      </c>
      <c r="G1768" s="8" t="s">
        <v>34</v>
      </c>
      <c r="H1768" s="8" t="s">
        <v>44</v>
      </c>
      <c r="I1768" s="11">
        <v>3</v>
      </c>
      <c r="J1768" s="12">
        <v>56.78</v>
      </c>
      <c r="K1768" s="13">
        <v>0</v>
      </c>
      <c r="L1768" s="12">
        <v>35.75</v>
      </c>
      <c r="M1768" s="14">
        <f>ROUND(tblSprzedaz[[#This Row],[Ilość]]*tblSprzedaz[[#This Row],[Cena netto jednostkowa]]*(1-tblSprzedaz[[#This Row],[Rabat %]]),2)</f>
        <v>170.34</v>
      </c>
      <c r="N1768" s="14">
        <f>ROUND(tblSprzedaz[[#This Row],[Ilość]]*tblSprzedaz[[#This Row],[Koszt jednostkowy netto]],2)</f>
        <v>107.25</v>
      </c>
      <c r="O1768" s="14">
        <f>tblSprzedaz[[#This Row],[Przychód netto]]-tblSprzedaz[[#This Row],[Koszt całkowity netto]]</f>
        <v>63.09</v>
      </c>
      <c r="P1768" s="15">
        <f>IFERROR(tblSprzedaz[[#This Row],[Marża kwotowa]]/tblSprzedaz[[#This Row],[Przychód netto]],0)</f>
        <v>0.37037689327227896</v>
      </c>
      <c r="Q1768" s="16">
        <f>YEAR(tblSprzedaz[[#This Row],[Data]])</f>
        <v>2026</v>
      </c>
      <c r="R1768" s="16">
        <f>MONTH(tblSprzedaz[[#This Row],[Data]])</f>
        <v>4</v>
      </c>
      <c r="S1768" s="9" t="str">
        <f>YEAR(tblSprzedaz[[#This Row],[Data]])&amp;"-"&amp;RIGHT("0"&amp;MONTH(tblSprzedaz[[#This Row],[Data]]),2)</f>
        <v>2026-04</v>
      </c>
    </row>
    <row r="1769" spans="1:19" x14ac:dyDescent="0.25">
      <c r="A1769" s="7" t="s">
        <v>3705</v>
      </c>
      <c r="B1769" s="10">
        <v>46130</v>
      </c>
      <c r="C1769" s="7" t="s">
        <v>3706</v>
      </c>
      <c r="D1769" s="8" t="s">
        <v>92</v>
      </c>
      <c r="E1769" s="8" t="s">
        <v>49</v>
      </c>
      <c r="F1769" s="8" t="s">
        <v>29</v>
      </c>
      <c r="G1769" s="8" t="s">
        <v>28</v>
      </c>
      <c r="H1769" s="8" t="s">
        <v>38</v>
      </c>
      <c r="I1769" s="11">
        <v>21</v>
      </c>
      <c r="J1769" s="12">
        <v>39.44</v>
      </c>
      <c r="K1769" s="13">
        <v>0.1</v>
      </c>
      <c r="L1769" s="12">
        <v>24.84</v>
      </c>
      <c r="M1769" s="14">
        <f>ROUND(tblSprzedaz[[#This Row],[Ilość]]*tblSprzedaz[[#This Row],[Cena netto jednostkowa]]*(1-tblSprzedaz[[#This Row],[Rabat %]]),2)</f>
        <v>745.42</v>
      </c>
      <c r="N1769" s="14">
        <f>ROUND(tblSprzedaz[[#This Row],[Ilość]]*tblSprzedaz[[#This Row],[Koszt jednostkowy netto]],2)</f>
        <v>521.64</v>
      </c>
      <c r="O1769" s="14">
        <f>tblSprzedaz[[#This Row],[Przychód netto]]-tblSprzedaz[[#This Row],[Koszt całkowity netto]]</f>
        <v>223.77999999999997</v>
      </c>
      <c r="P1769" s="15">
        <f>IFERROR(tblSprzedaz[[#This Row],[Marża kwotowa]]/tblSprzedaz[[#This Row],[Przychód netto]],0)</f>
        <v>0.30020659493976548</v>
      </c>
      <c r="Q1769" s="16">
        <f>YEAR(tblSprzedaz[[#This Row],[Data]])</f>
        <v>2026</v>
      </c>
      <c r="R1769" s="16">
        <f>MONTH(tblSprzedaz[[#This Row],[Data]])</f>
        <v>4</v>
      </c>
      <c r="S1769" s="9" t="str">
        <f>YEAR(tblSprzedaz[[#This Row],[Data]])&amp;"-"&amp;RIGHT("0"&amp;MONTH(tblSprzedaz[[#This Row],[Data]]),2)</f>
        <v>2026-04</v>
      </c>
    </row>
    <row r="1770" spans="1:19" x14ac:dyDescent="0.25">
      <c r="A1770" s="7" t="s">
        <v>3707</v>
      </c>
      <c r="B1770" s="10">
        <v>46131</v>
      </c>
      <c r="C1770" s="7" t="s">
        <v>3708</v>
      </c>
      <c r="D1770" s="8" t="s">
        <v>136</v>
      </c>
      <c r="E1770" s="8" t="s">
        <v>54</v>
      </c>
      <c r="F1770" s="8" t="s">
        <v>31</v>
      </c>
      <c r="G1770" s="8" t="s">
        <v>32</v>
      </c>
      <c r="H1770" s="8" t="s">
        <v>43</v>
      </c>
      <c r="I1770" s="11">
        <v>9</v>
      </c>
      <c r="J1770" s="12">
        <v>207.9</v>
      </c>
      <c r="K1770" s="13">
        <v>0</v>
      </c>
      <c r="L1770" s="12">
        <v>130.44999999999999</v>
      </c>
      <c r="M1770" s="14">
        <f>ROUND(tblSprzedaz[[#This Row],[Ilość]]*tblSprzedaz[[#This Row],[Cena netto jednostkowa]]*(1-tblSprzedaz[[#This Row],[Rabat %]]),2)</f>
        <v>1871.1</v>
      </c>
      <c r="N1770" s="14">
        <f>ROUND(tblSprzedaz[[#This Row],[Ilość]]*tblSprzedaz[[#This Row],[Koszt jednostkowy netto]],2)</f>
        <v>1174.05</v>
      </c>
      <c r="O1770" s="14">
        <f>tblSprzedaz[[#This Row],[Przychód netto]]-tblSprzedaz[[#This Row],[Koszt całkowity netto]]</f>
        <v>697.05</v>
      </c>
      <c r="P1770" s="15">
        <f>IFERROR(tblSprzedaz[[#This Row],[Marża kwotowa]]/tblSprzedaz[[#This Row],[Przychód netto]],0)</f>
        <v>0.37253487253487255</v>
      </c>
      <c r="Q1770" s="16">
        <f>YEAR(tblSprzedaz[[#This Row],[Data]])</f>
        <v>2026</v>
      </c>
      <c r="R1770" s="16">
        <f>MONTH(tblSprzedaz[[#This Row],[Data]])</f>
        <v>4</v>
      </c>
      <c r="S1770" s="9" t="str">
        <f>YEAR(tblSprzedaz[[#This Row],[Data]])&amp;"-"&amp;RIGHT("0"&amp;MONTH(tblSprzedaz[[#This Row],[Data]]),2)</f>
        <v>2026-04</v>
      </c>
    </row>
    <row r="1771" spans="1:19" x14ac:dyDescent="0.25">
      <c r="A1771" s="7" t="s">
        <v>3709</v>
      </c>
      <c r="B1771" s="10">
        <v>46132</v>
      </c>
      <c r="C1771" s="7" t="s">
        <v>3710</v>
      </c>
      <c r="D1771" s="8" t="s">
        <v>125</v>
      </c>
      <c r="E1771" s="8" t="s">
        <v>51</v>
      </c>
      <c r="F1771" s="8" t="s">
        <v>29</v>
      </c>
      <c r="G1771" s="8" t="s">
        <v>28</v>
      </c>
      <c r="H1771" s="8" t="s">
        <v>39</v>
      </c>
      <c r="I1771" s="11">
        <v>15</v>
      </c>
      <c r="J1771" s="12">
        <v>51</v>
      </c>
      <c r="K1771" s="13">
        <v>0</v>
      </c>
      <c r="L1771" s="12">
        <v>31.05</v>
      </c>
      <c r="M1771" s="14">
        <f>ROUND(tblSprzedaz[[#This Row],[Ilość]]*tblSprzedaz[[#This Row],[Cena netto jednostkowa]]*(1-tblSprzedaz[[#This Row],[Rabat %]]),2)</f>
        <v>765</v>
      </c>
      <c r="N1771" s="14">
        <f>ROUND(tblSprzedaz[[#This Row],[Ilość]]*tblSprzedaz[[#This Row],[Koszt jednostkowy netto]],2)</f>
        <v>465.75</v>
      </c>
      <c r="O1771" s="14">
        <f>tblSprzedaz[[#This Row],[Przychód netto]]-tblSprzedaz[[#This Row],[Koszt całkowity netto]]</f>
        <v>299.25</v>
      </c>
      <c r="P1771" s="15">
        <f>IFERROR(tblSprzedaz[[#This Row],[Marża kwotowa]]/tblSprzedaz[[#This Row],[Przychód netto]],0)</f>
        <v>0.39117647058823529</v>
      </c>
      <c r="Q1771" s="16">
        <f>YEAR(tblSprzedaz[[#This Row],[Data]])</f>
        <v>2026</v>
      </c>
      <c r="R1771" s="16">
        <f>MONTH(tblSprzedaz[[#This Row],[Data]])</f>
        <v>4</v>
      </c>
      <c r="S1771" s="9" t="str">
        <f>YEAR(tblSprzedaz[[#This Row],[Data]])&amp;"-"&amp;RIGHT("0"&amp;MONTH(tblSprzedaz[[#This Row],[Data]]),2)</f>
        <v>2026-04</v>
      </c>
    </row>
    <row r="1772" spans="1:19" x14ac:dyDescent="0.25">
      <c r="A1772" s="7" t="s">
        <v>3711</v>
      </c>
      <c r="B1772" s="10">
        <v>46132</v>
      </c>
      <c r="C1772" s="7" t="s">
        <v>3712</v>
      </c>
      <c r="D1772" s="8" t="s">
        <v>93</v>
      </c>
      <c r="E1772" s="8" t="s">
        <v>53</v>
      </c>
      <c r="F1772" s="8" t="s">
        <v>29</v>
      </c>
      <c r="G1772" s="8" t="s">
        <v>36</v>
      </c>
      <c r="H1772" s="8" t="s">
        <v>46</v>
      </c>
      <c r="I1772" s="11">
        <v>9</v>
      </c>
      <c r="J1772" s="12">
        <v>27.88</v>
      </c>
      <c r="K1772" s="13">
        <v>0.15</v>
      </c>
      <c r="L1772" s="12">
        <v>16.04</v>
      </c>
      <c r="M1772" s="14">
        <f>ROUND(tblSprzedaz[[#This Row],[Ilość]]*tblSprzedaz[[#This Row],[Cena netto jednostkowa]]*(1-tblSprzedaz[[#This Row],[Rabat %]]),2)</f>
        <v>213.28</v>
      </c>
      <c r="N1772" s="14">
        <f>ROUND(tblSprzedaz[[#This Row],[Ilość]]*tblSprzedaz[[#This Row],[Koszt jednostkowy netto]],2)</f>
        <v>144.36000000000001</v>
      </c>
      <c r="O1772" s="14">
        <f>tblSprzedaz[[#This Row],[Przychód netto]]-tblSprzedaz[[#This Row],[Koszt całkowity netto]]</f>
        <v>68.919999999999987</v>
      </c>
      <c r="P1772" s="15">
        <f>IFERROR(tblSprzedaz[[#This Row],[Marża kwotowa]]/tblSprzedaz[[#This Row],[Przychód netto]],0)</f>
        <v>0.3231432858214553</v>
      </c>
      <c r="Q1772" s="16">
        <f>YEAR(tblSprzedaz[[#This Row],[Data]])</f>
        <v>2026</v>
      </c>
      <c r="R1772" s="16">
        <f>MONTH(tblSprzedaz[[#This Row],[Data]])</f>
        <v>4</v>
      </c>
      <c r="S1772" s="9" t="str">
        <f>YEAR(tblSprzedaz[[#This Row],[Data]])&amp;"-"&amp;RIGHT("0"&amp;MONTH(tblSprzedaz[[#This Row],[Data]]),2)</f>
        <v>2026-04</v>
      </c>
    </row>
    <row r="1773" spans="1:19" x14ac:dyDescent="0.25">
      <c r="A1773" s="7" t="s">
        <v>3713</v>
      </c>
      <c r="B1773" s="10">
        <v>46132</v>
      </c>
      <c r="C1773" s="7" t="s">
        <v>3714</v>
      </c>
      <c r="D1773" s="8" t="s">
        <v>112</v>
      </c>
      <c r="E1773" s="8" t="s">
        <v>71</v>
      </c>
      <c r="F1773" s="8" t="s">
        <v>35</v>
      </c>
      <c r="G1773" s="8" t="s">
        <v>30</v>
      </c>
      <c r="H1773" s="8" t="s">
        <v>41</v>
      </c>
      <c r="I1773" s="11">
        <v>17</v>
      </c>
      <c r="J1773" s="12">
        <v>55.76</v>
      </c>
      <c r="K1773" s="13">
        <v>0</v>
      </c>
      <c r="L1773" s="12">
        <v>42.62</v>
      </c>
      <c r="M1773" s="14">
        <f>ROUND(tblSprzedaz[[#This Row],[Ilość]]*tblSprzedaz[[#This Row],[Cena netto jednostkowa]]*(1-tblSprzedaz[[#This Row],[Rabat %]]),2)</f>
        <v>947.92</v>
      </c>
      <c r="N1773" s="14">
        <f>ROUND(tblSprzedaz[[#This Row],[Ilość]]*tblSprzedaz[[#This Row],[Koszt jednostkowy netto]],2)</f>
        <v>724.54</v>
      </c>
      <c r="O1773" s="14">
        <f>tblSprzedaz[[#This Row],[Przychód netto]]-tblSprzedaz[[#This Row],[Koszt całkowity netto]]</f>
        <v>223.38</v>
      </c>
      <c r="P1773" s="15">
        <f>IFERROR(tblSprzedaz[[#This Row],[Marża kwotowa]]/tblSprzedaz[[#This Row],[Przychód netto]],0)</f>
        <v>0.23565279770444764</v>
      </c>
      <c r="Q1773" s="16">
        <f>YEAR(tblSprzedaz[[#This Row],[Data]])</f>
        <v>2026</v>
      </c>
      <c r="R1773" s="16">
        <f>MONTH(tblSprzedaz[[#This Row],[Data]])</f>
        <v>4</v>
      </c>
      <c r="S1773" s="9" t="str">
        <f>YEAR(tblSprzedaz[[#This Row],[Data]])&amp;"-"&amp;RIGHT("0"&amp;MONTH(tblSprzedaz[[#This Row],[Data]]),2)</f>
        <v>2026-04</v>
      </c>
    </row>
    <row r="1774" spans="1:19" x14ac:dyDescent="0.25">
      <c r="A1774" s="7" t="s">
        <v>3715</v>
      </c>
      <c r="B1774" s="10">
        <v>46132</v>
      </c>
      <c r="C1774" s="7" t="s">
        <v>3716</v>
      </c>
      <c r="D1774" s="8" t="s">
        <v>138</v>
      </c>
      <c r="E1774" s="8" t="s">
        <v>73</v>
      </c>
      <c r="F1774" s="8" t="s">
        <v>37</v>
      </c>
      <c r="G1774" s="8" t="s">
        <v>28</v>
      </c>
      <c r="H1774" s="8" t="s">
        <v>38</v>
      </c>
      <c r="I1774" s="11">
        <v>7</v>
      </c>
      <c r="J1774" s="12">
        <v>110.2</v>
      </c>
      <c r="K1774" s="13">
        <v>0.15</v>
      </c>
      <c r="L1774" s="12">
        <v>88.85</v>
      </c>
      <c r="M1774" s="14">
        <f>ROUND(tblSprzedaz[[#This Row],[Ilość]]*tblSprzedaz[[#This Row],[Cena netto jednostkowa]]*(1-tblSprzedaz[[#This Row],[Rabat %]]),2)</f>
        <v>655.69</v>
      </c>
      <c r="N1774" s="14">
        <f>ROUND(tblSprzedaz[[#This Row],[Ilość]]*tblSprzedaz[[#This Row],[Koszt jednostkowy netto]],2)</f>
        <v>621.95000000000005</v>
      </c>
      <c r="O1774" s="14">
        <f>tblSprzedaz[[#This Row],[Przychód netto]]-tblSprzedaz[[#This Row],[Koszt całkowity netto]]</f>
        <v>33.740000000000009</v>
      </c>
      <c r="P1774" s="15">
        <f>IFERROR(tblSprzedaz[[#This Row],[Marża kwotowa]]/tblSprzedaz[[#This Row],[Przychód netto]],0)</f>
        <v>5.1457243514465685E-2</v>
      </c>
      <c r="Q1774" s="16">
        <f>YEAR(tblSprzedaz[[#This Row],[Data]])</f>
        <v>2026</v>
      </c>
      <c r="R1774" s="16">
        <f>MONTH(tblSprzedaz[[#This Row],[Data]])</f>
        <v>4</v>
      </c>
      <c r="S1774" s="9" t="str">
        <f>YEAR(tblSprzedaz[[#This Row],[Data]])&amp;"-"&amp;RIGHT("0"&amp;MONTH(tblSprzedaz[[#This Row],[Data]]),2)</f>
        <v>2026-04</v>
      </c>
    </row>
    <row r="1775" spans="1:19" x14ac:dyDescent="0.25">
      <c r="A1775" s="7" t="s">
        <v>3717</v>
      </c>
      <c r="B1775" s="10">
        <v>46132</v>
      </c>
      <c r="C1775" s="7" t="s">
        <v>3718</v>
      </c>
      <c r="D1775" s="8" t="s">
        <v>93</v>
      </c>
      <c r="E1775" s="8" t="s">
        <v>51</v>
      </c>
      <c r="F1775" s="8" t="s">
        <v>29</v>
      </c>
      <c r="G1775" s="8" t="s">
        <v>34</v>
      </c>
      <c r="H1775" s="8" t="s">
        <v>44</v>
      </c>
      <c r="I1775" s="11">
        <v>7</v>
      </c>
      <c r="J1775" s="12">
        <v>51</v>
      </c>
      <c r="K1775" s="13">
        <v>0.15</v>
      </c>
      <c r="L1775" s="12">
        <v>28.56</v>
      </c>
      <c r="M1775" s="14">
        <f>ROUND(tblSprzedaz[[#This Row],[Ilość]]*tblSprzedaz[[#This Row],[Cena netto jednostkowa]]*(1-tblSprzedaz[[#This Row],[Rabat %]]),2)</f>
        <v>303.45</v>
      </c>
      <c r="N1775" s="14">
        <f>ROUND(tblSprzedaz[[#This Row],[Ilość]]*tblSprzedaz[[#This Row],[Koszt jednostkowy netto]],2)</f>
        <v>199.92</v>
      </c>
      <c r="O1775" s="14">
        <f>tblSprzedaz[[#This Row],[Przychód netto]]-tblSprzedaz[[#This Row],[Koszt całkowity netto]]</f>
        <v>103.53</v>
      </c>
      <c r="P1775" s="15">
        <f>IFERROR(tblSprzedaz[[#This Row],[Marża kwotowa]]/tblSprzedaz[[#This Row],[Przychód netto]],0)</f>
        <v>0.3411764705882353</v>
      </c>
      <c r="Q1775" s="16">
        <f>YEAR(tblSprzedaz[[#This Row],[Data]])</f>
        <v>2026</v>
      </c>
      <c r="R1775" s="16">
        <f>MONTH(tblSprzedaz[[#This Row],[Data]])</f>
        <v>4</v>
      </c>
      <c r="S1775" s="9" t="str">
        <f>YEAR(tblSprzedaz[[#This Row],[Data]])&amp;"-"&amp;RIGHT("0"&amp;MONTH(tblSprzedaz[[#This Row],[Data]]),2)</f>
        <v>2026-04</v>
      </c>
    </row>
    <row r="1776" spans="1:19" x14ac:dyDescent="0.25">
      <c r="A1776" s="7" t="s">
        <v>3719</v>
      </c>
      <c r="B1776" s="10">
        <v>46133</v>
      </c>
      <c r="C1776" s="7" t="s">
        <v>3720</v>
      </c>
      <c r="D1776" s="8" t="s">
        <v>152</v>
      </c>
      <c r="E1776" s="8" t="s">
        <v>64</v>
      </c>
      <c r="F1776" s="8" t="s">
        <v>33</v>
      </c>
      <c r="G1776" s="8" t="s">
        <v>34</v>
      </c>
      <c r="H1776" s="8" t="s">
        <v>45</v>
      </c>
      <c r="I1776" s="11">
        <v>9</v>
      </c>
      <c r="J1776" s="12">
        <v>768.2</v>
      </c>
      <c r="K1776" s="13">
        <v>0</v>
      </c>
      <c r="L1776" s="12">
        <v>518.53</v>
      </c>
      <c r="M1776" s="14">
        <f>ROUND(tblSprzedaz[[#This Row],[Ilość]]*tblSprzedaz[[#This Row],[Cena netto jednostkowa]]*(1-tblSprzedaz[[#This Row],[Rabat %]]),2)</f>
        <v>6913.8</v>
      </c>
      <c r="N1776" s="14">
        <f>ROUND(tblSprzedaz[[#This Row],[Ilość]]*tblSprzedaz[[#This Row],[Koszt jednostkowy netto]],2)</f>
        <v>4666.7700000000004</v>
      </c>
      <c r="O1776" s="14">
        <f>tblSprzedaz[[#This Row],[Przychód netto]]-tblSprzedaz[[#This Row],[Koszt całkowity netto]]</f>
        <v>2247.0299999999997</v>
      </c>
      <c r="P1776" s="15">
        <f>IFERROR(tblSprzedaz[[#This Row],[Marża kwotowa]]/tblSprzedaz[[#This Row],[Przychód netto]],0)</f>
        <v>0.32500650872168702</v>
      </c>
      <c r="Q1776" s="16">
        <f>YEAR(tblSprzedaz[[#This Row],[Data]])</f>
        <v>2026</v>
      </c>
      <c r="R1776" s="16">
        <f>MONTH(tblSprzedaz[[#This Row],[Data]])</f>
        <v>4</v>
      </c>
      <c r="S1776" s="9" t="str">
        <f>YEAR(tblSprzedaz[[#This Row],[Data]])&amp;"-"&amp;RIGHT("0"&amp;MONTH(tblSprzedaz[[#This Row],[Data]]),2)</f>
        <v>2026-04</v>
      </c>
    </row>
    <row r="1777" spans="1:19" x14ac:dyDescent="0.25">
      <c r="A1777" s="7" t="s">
        <v>3721</v>
      </c>
      <c r="B1777" s="10">
        <v>46133</v>
      </c>
      <c r="C1777" s="7" t="s">
        <v>3722</v>
      </c>
      <c r="D1777" s="8" t="s">
        <v>152</v>
      </c>
      <c r="E1777" s="8" t="s">
        <v>73</v>
      </c>
      <c r="F1777" s="8" t="s">
        <v>37</v>
      </c>
      <c r="G1777" s="8" t="s">
        <v>32</v>
      </c>
      <c r="H1777" s="8" t="s">
        <v>42</v>
      </c>
      <c r="I1777" s="11">
        <v>11</v>
      </c>
      <c r="J1777" s="12">
        <v>110.2</v>
      </c>
      <c r="K1777" s="13">
        <v>0.05</v>
      </c>
      <c r="L1777" s="12">
        <v>84.9</v>
      </c>
      <c r="M1777" s="14">
        <f>ROUND(tblSprzedaz[[#This Row],[Ilość]]*tblSprzedaz[[#This Row],[Cena netto jednostkowa]]*(1-tblSprzedaz[[#This Row],[Rabat %]]),2)</f>
        <v>1151.5899999999999</v>
      </c>
      <c r="N1777" s="14">
        <f>ROUND(tblSprzedaz[[#This Row],[Ilość]]*tblSprzedaz[[#This Row],[Koszt jednostkowy netto]],2)</f>
        <v>933.9</v>
      </c>
      <c r="O1777" s="14">
        <f>tblSprzedaz[[#This Row],[Przychód netto]]-tblSprzedaz[[#This Row],[Koszt całkowity netto]]</f>
        <v>217.68999999999994</v>
      </c>
      <c r="P1777" s="15">
        <f>IFERROR(tblSprzedaz[[#This Row],[Marża kwotowa]]/tblSprzedaz[[#This Row],[Przychód netto]],0)</f>
        <v>0.18903429171840669</v>
      </c>
      <c r="Q1777" s="16">
        <f>YEAR(tblSprzedaz[[#This Row],[Data]])</f>
        <v>2026</v>
      </c>
      <c r="R1777" s="16">
        <f>MONTH(tblSprzedaz[[#This Row],[Data]])</f>
        <v>4</v>
      </c>
      <c r="S1777" s="9" t="str">
        <f>YEAR(tblSprzedaz[[#This Row],[Data]])&amp;"-"&amp;RIGHT("0"&amp;MONTH(tblSprzedaz[[#This Row],[Data]]),2)</f>
        <v>2026-04</v>
      </c>
    </row>
    <row r="1778" spans="1:19" x14ac:dyDescent="0.25">
      <c r="A1778" s="7" t="s">
        <v>3723</v>
      </c>
      <c r="B1778" s="10">
        <v>46133</v>
      </c>
      <c r="C1778" s="7" t="s">
        <v>3724</v>
      </c>
      <c r="D1778" s="8" t="s">
        <v>151</v>
      </c>
      <c r="E1778" s="8" t="s">
        <v>67</v>
      </c>
      <c r="F1778" s="8" t="s">
        <v>35</v>
      </c>
      <c r="G1778" s="8" t="s">
        <v>36</v>
      </c>
      <c r="H1778" s="8" t="s">
        <v>46</v>
      </c>
      <c r="I1778" s="11">
        <v>23</v>
      </c>
      <c r="J1778" s="12">
        <v>78.88</v>
      </c>
      <c r="K1778" s="13">
        <v>0</v>
      </c>
      <c r="L1778" s="12">
        <v>60.11</v>
      </c>
      <c r="M1778" s="14">
        <f>ROUND(tblSprzedaz[[#This Row],[Ilość]]*tblSprzedaz[[#This Row],[Cena netto jednostkowa]]*(1-tblSprzedaz[[#This Row],[Rabat %]]),2)</f>
        <v>1814.24</v>
      </c>
      <c r="N1778" s="14">
        <f>ROUND(tblSprzedaz[[#This Row],[Ilość]]*tblSprzedaz[[#This Row],[Koszt jednostkowy netto]],2)</f>
        <v>1382.53</v>
      </c>
      <c r="O1778" s="14">
        <f>tblSprzedaz[[#This Row],[Przychód netto]]-tblSprzedaz[[#This Row],[Koszt całkowity netto]]</f>
        <v>431.71000000000004</v>
      </c>
      <c r="P1778" s="15">
        <f>IFERROR(tblSprzedaz[[#This Row],[Marża kwotowa]]/tblSprzedaz[[#This Row],[Przychód netto]],0)</f>
        <v>0.23795638945233269</v>
      </c>
      <c r="Q1778" s="16">
        <f>YEAR(tblSprzedaz[[#This Row],[Data]])</f>
        <v>2026</v>
      </c>
      <c r="R1778" s="16">
        <f>MONTH(tblSprzedaz[[#This Row],[Data]])</f>
        <v>4</v>
      </c>
      <c r="S1778" s="9" t="str">
        <f>YEAR(tblSprzedaz[[#This Row],[Data]])&amp;"-"&amp;RIGHT("0"&amp;MONTH(tblSprzedaz[[#This Row],[Data]]),2)</f>
        <v>2026-04</v>
      </c>
    </row>
    <row r="1779" spans="1:19" x14ac:dyDescent="0.25">
      <c r="A1779" s="7" t="s">
        <v>3725</v>
      </c>
      <c r="B1779" s="10">
        <v>46134</v>
      </c>
      <c r="C1779" s="7" t="s">
        <v>3726</v>
      </c>
      <c r="D1779" s="8" t="s">
        <v>152</v>
      </c>
      <c r="E1779" s="8" t="s">
        <v>69</v>
      </c>
      <c r="F1779" s="8" t="s">
        <v>35</v>
      </c>
      <c r="G1779" s="8" t="s">
        <v>34</v>
      </c>
      <c r="H1779" s="8" t="s">
        <v>45</v>
      </c>
      <c r="I1779" s="11">
        <v>1</v>
      </c>
      <c r="J1779" s="12">
        <v>102</v>
      </c>
      <c r="K1779" s="13">
        <v>0.05</v>
      </c>
      <c r="L1779" s="12">
        <v>77.34</v>
      </c>
      <c r="M1779" s="14">
        <f>ROUND(tblSprzedaz[[#This Row],[Ilość]]*tblSprzedaz[[#This Row],[Cena netto jednostkowa]]*(1-tblSprzedaz[[#This Row],[Rabat %]]),2)</f>
        <v>96.9</v>
      </c>
      <c r="N1779" s="14">
        <f>ROUND(tblSprzedaz[[#This Row],[Ilość]]*tblSprzedaz[[#This Row],[Koszt jednostkowy netto]],2)</f>
        <v>77.34</v>
      </c>
      <c r="O1779" s="14">
        <f>tblSprzedaz[[#This Row],[Przychód netto]]-tblSprzedaz[[#This Row],[Koszt całkowity netto]]</f>
        <v>19.560000000000002</v>
      </c>
      <c r="P1779" s="15">
        <f>IFERROR(tblSprzedaz[[#This Row],[Marża kwotowa]]/tblSprzedaz[[#This Row],[Przychód netto]],0)</f>
        <v>0.2018575851393189</v>
      </c>
      <c r="Q1779" s="16">
        <f>YEAR(tblSprzedaz[[#This Row],[Data]])</f>
        <v>2026</v>
      </c>
      <c r="R1779" s="16">
        <f>MONTH(tblSprzedaz[[#This Row],[Data]])</f>
        <v>4</v>
      </c>
      <c r="S1779" s="9" t="str">
        <f>YEAR(tblSprzedaz[[#This Row],[Data]])&amp;"-"&amp;RIGHT("0"&amp;MONTH(tblSprzedaz[[#This Row],[Data]]),2)</f>
        <v>2026-04</v>
      </c>
    </row>
    <row r="1780" spans="1:19" x14ac:dyDescent="0.25">
      <c r="A1780" s="7" t="s">
        <v>3727</v>
      </c>
      <c r="B1780" s="10">
        <v>46134</v>
      </c>
      <c r="C1780" s="7" t="s">
        <v>3728</v>
      </c>
      <c r="D1780" s="8" t="s">
        <v>102</v>
      </c>
      <c r="E1780" s="8" t="s">
        <v>59</v>
      </c>
      <c r="F1780" s="8" t="s">
        <v>31</v>
      </c>
      <c r="G1780" s="8" t="s">
        <v>28</v>
      </c>
      <c r="H1780" s="8" t="s">
        <v>39</v>
      </c>
      <c r="I1780" s="11">
        <v>8</v>
      </c>
      <c r="J1780" s="12">
        <v>172.2</v>
      </c>
      <c r="K1780" s="13">
        <v>0.15</v>
      </c>
      <c r="L1780" s="12">
        <v>112.52</v>
      </c>
      <c r="M1780" s="14">
        <f>ROUND(tblSprzedaz[[#This Row],[Ilość]]*tblSprzedaz[[#This Row],[Cena netto jednostkowa]]*(1-tblSprzedaz[[#This Row],[Rabat %]]),2)</f>
        <v>1170.96</v>
      </c>
      <c r="N1780" s="14">
        <f>ROUND(tblSprzedaz[[#This Row],[Ilość]]*tblSprzedaz[[#This Row],[Koszt jednostkowy netto]],2)</f>
        <v>900.16</v>
      </c>
      <c r="O1780" s="14">
        <f>tblSprzedaz[[#This Row],[Przychód netto]]-tblSprzedaz[[#This Row],[Koszt całkowity netto]]</f>
        <v>270.80000000000007</v>
      </c>
      <c r="P1780" s="15">
        <f>IFERROR(tblSprzedaz[[#This Row],[Marża kwotowa]]/tblSprzedaz[[#This Row],[Przychód netto]],0)</f>
        <v>0.23126323700211798</v>
      </c>
      <c r="Q1780" s="16">
        <f>YEAR(tblSprzedaz[[#This Row],[Data]])</f>
        <v>2026</v>
      </c>
      <c r="R1780" s="16">
        <f>MONTH(tblSprzedaz[[#This Row],[Data]])</f>
        <v>4</v>
      </c>
      <c r="S1780" s="9" t="str">
        <f>YEAR(tblSprzedaz[[#This Row],[Data]])&amp;"-"&amp;RIGHT("0"&amp;MONTH(tblSprzedaz[[#This Row],[Data]]),2)</f>
        <v>2026-04</v>
      </c>
    </row>
    <row r="1781" spans="1:19" x14ac:dyDescent="0.25">
      <c r="A1781" s="7" t="s">
        <v>3729</v>
      </c>
      <c r="B1781" s="10">
        <v>46134</v>
      </c>
      <c r="C1781" s="7" t="s">
        <v>3730</v>
      </c>
      <c r="D1781" s="8" t="s">
        <v>137</v>
      </c>
      <c r="E1781" s="8" t="s">
        <v>48</v>
      </c>
      <c r="F1781" s="8" t="s">
        <v>29</v>
      </c>
      <c r="G1781" s="8" t="s">
        <v>30</v>
      </c>
      <c r="H1781" s="8" t="s">
        <v>41</v>
      </c>
      <c r="I1781" s="11">
        <v>8</v>
      </c>
      <c r="J1781" s="12">
        <v>33.659999999999997</v>
      </c>
      <c r="K1781" s="13">
        <v>0.1</v>
      </c>
      <c r="L1781" s="12">
        <v>20.89</v>
      </c>
      <c r="M1781" s="14">
        <f>ROUND(tblSprzedaz[[#This Row],[Ilość]]*tblSprzedaz[[#This Row],[Cena netto jednostkowa]]*(1-tblSprzedaz[[#This Row],[Rabat %]]),2)</f>
        <v>242.35</v>
      </c>
      <c r="N1781" s="14">
        <f>ROUND(tblSprzedaz[[#This Row],[Ilość]]*tblSprzedaz[[#This Row],[Koszt jednostkowy netto]],2)</f>
        <v>167.12</v>
      </c>
      <c r="O1781" s="14">
        <f>tblSprzedaz[[#This Row],[Przychód netto]]-tblSprzedaz[[#This Row],[Koszt całkowity netto]]</f>
        <v>75.22999999999999</v>
      </c>
      <c r="P1781" s="15">
        <f>IFERROR(tblSprzedaz[[#This Row],[Marża kwotowa]]/tblSprzedaz[[#This Row],[Przychód netto]],0)</f>
        <v>0.31041881576232716</v>
      </c>
      <c r="Q1781" s="16">
        <f>YEAR(tblSprzedaz[[#This Row],[Data]])</f>
        <v>2026</v>
      </c>
      <c r="R1781" s="16">
        <f>MONTH(tblSprzedaz[[#This Row],[Data]])</f>
        <v>4</v>
      </c>
      <c r="S1781" s="9" t="str">
        <f>YEAR(tblSprzedaz[[#This Row],[Data]])&amp;"-"&amp;RIGHT("0"&amp;MONTH(tblSprzedaz[[#This Row],[Data]]),2)</f>
        <v>2026-04</v>
      </c>
    </row>
    <row r="1782" spans="1:19" x14ac:dyDescent="0.25">
      <c r="A1782" s="7" t="s">
        <v>3731</v>
      </c>
      <c r="B1782" s="10">
        <v>46135</v>
      </c>
      <c r="C1782" s="7" t="s">
        <v>3732</v>
      </c>
      <c r="D1782" s="8" t="s">
        <v>119</v>
      </c>
      <c r="E1782" s="8" t="s">
        <v>71</v>
      </c>
      <c r="F1782" s="8" t="s">
        <v>35</v>
      </c>
      <c r="G1782" s="8" t="s">
        <v>34</v>
      </c>
      <c r="H1782" s="8" t="s">
        <v>44</v>
      </c>
      <c r="I1782" s="11">
        <v>2</v>
      </c>
      <c r="J1782" s="12">
        <v>55.76</v>
      </c>
      <c r="K1782" s="13">
        <v>0</v>
      </c>
      <c r="L1782" s="12">
        <v>39.369999999999997</v>
      </c>
      <c r="M1782" s="14">
        <f>ROUND(tblSprzedaz[[#This Row],[Ilość]]*tblSprzedaz[[#This Row],[Cena netto jednostkowa]]*(1-tblSprzedaz[[#This Row],[Rabat %]]),2)</f>
        <v>111.52</v>
      </c>
      <c r="N1782" s="14">
        <f>ROUND(tblSprzedaz[[#This Row],[Ilość]]*tblSprzedaz[[#This Row],[Koszt jednostkowy netto]],2)</f>
        <v>78.739999999999995</v>
      </c>
      <c r="O1782" s="14">
        <f>tblSprzedaz[[#This Row],[Przychód netto]]-tblSprzedaz[[#This Row],[Koszt całkowity netto]]</f>
        <v>32.78</v>
      </c>
      <c r="P1782" s="15">
        <f>IFERROR(tblSprzedaz[[#This Row],[Marża kwotowa]]/tblSprzedaz[[#This Row],[Przychód netto]],0)</f>
        <v>0.29393830703012913</v>
      </c>
      <c r="Q1782" s="16">
        <f>YEAR(tblSprzedaz[[#This Row],[Data]])</f>
        <v>2026</v>
      </c>
      <c r="R1782" s="16">
        <f>MONTH(tblSprzedaz[[#This Row],[Data]])</f>
        <v>4</v>
      </c>
      <c r="S1782" s="9" t="str">
        <f>YEAR(tblSprzedaz[[#This Row],[Data]])&amp;"-"&amp;RIGHT("0"&amp;MONTH(tblSprzedaz[[#This Row],[Data]]),2)</f>
        <v>2026-04</v>
      </c>
    </row>
    <row r="1783" spans="1:19" x14ac:dyDescent="0.25">
      <c r="A1783" s="7" t="s">
        <v>3733</v>
      </c>
      <c r="B1783" s="10">
        <v>46135</v>
      </c>
      <c r="C1783" s="7" t="s">
        <v>3734</v>
      </c>
      <c r="D1783" s="8" t="s">
        <v>114</v>
      </c>
      <c r="E1783" s="8" t="s">
        <v>60</v>
      </c>
      <c r="F1783" s="8" t="s">
        <v>33</v>
      </c>
      <c r="G1783" s="8" t="s">
        <v>32</v>
      </c>
      <c r="H1783" s="8" t="s">
        <v>42</v>
      </c>
      <c r="I1783" s="11">
        <v>11</v>
      </c>
      <c r="J1783" s="12">
        <v>455.4</v>
      </c>
      <c r="K1783" s="13">
        <v>0.15</v>
      </c>
      <c r="L1783" s="12">
        <v>316.08999999999997</v>
      </c>
      <c r="M1783" s="14">
        <f>ROUND(tblSprzedaz[[#This Row],[Ilość]]*tblSprzedaz[[#This Row],[Cena netto jednostkowa]]*(1-tblSprzedaz[[#This Row],[Rabat %]]),2)</f>
        <v>4257.99</v>
      </c>
      <c r="N1783" s="14">
        <f>ROUND(tblSprzedaz[[#This Row],[Ilość]]*tblSprzedaz[[#This Row],[Koszt jednostkowy netto]],2)</f>
        <v>3476.99</v>
      </c>
      <c r="O1783" s="14">
        <f>tblSprzedaz[[#This Row],[Przychód netto]]-tblSprzedaz[[#This Row],[Koszt całkowity netto]]</f>
        <v>781</v>
      </c>
      <c r="P1783" s="15">
        <f>IFERROR(tblSprzedaz[[#This Row],[Marża kwotowa]]/tblSprzedaz[[#This Row],[Przychód netto]],0)</f>
        <v>0.18341987651450567</v>
      </c>
      <c r="Q1783" s="16">
        <f>YEAR(tblSprzedaz[[#This Row],[Data]])</f>
        <v>2026</v>
      </c>
      <c r="R1783" s="16">
        <f>MONTH(tblSprzedaz[[#This Row],[Data]])</f>
        <v>4</v>
      </c>
      <c r="S1783" s="9" t="str">
        <f>YEAR(tblSprzedaz[[#This Row],[Data]])&amp;"-"&amp;RIGHT("0"&amp;MONTH(tblSprzedaz[[#This Row],[Data]]),2)</f>
        <v>2026-04</v>
      </c>
    </row>
    <row r="1784" spans="1:19" x14ac:dyDescent="0.25">
      <c r="A1784" s="7" t="s">
        <v>3735</v>
      </c>
      <c r="B1784" s="10">
        <v>46135</v>
      </c>
      <c r="C1784" s="7" t="s">
        <v>3736</v>
      </c>
      <c r="D1784" s="8" t="s">
        <v>132</v>
      </c>
      <c r="E1784" s="8" t="s">
        <v>56</v>
      </c>
      <c r="F1784" s="8" t="s">
        <v>31</v>
      </c>
      <c r="G1784" s="8" t="s">
        <v>36</v>
      </c>
      <c r="H1784" s="8" t="s">
        <v>47</v>
      </c>
      <c r="I1784" s="11">
        <v>9</v>
      </c>
      <c r="J1784" s="12">
        <v>279.3</v>
      </c>
      <c r="K1784" s="13">
        <v>0.15</v>
      </c>
      <c r="L1784" s="12">
        <v>166.79</v>
      </c>
      <c r="M1784" s="14">
        <f>ROUND(tblSprzedaz[[#This Row],[Ilość]]*tblSprzedaz[[#This Row],[Cena netto jednostkowa]]*(1-tblSprzedaz[[#This Row],[Rabat %]]),2)</f>
        <v>2136.65</v>
      </c>
      <c r="N1784" s="14">
        <f>ROUND(tblSprzedaz[[#This Row],[Ilość]]*tblSprzedaz[[#This Row],[Koszt jednostkowy netto]],2)</f>
        <v>1501.11</v>
      </c>
      <c r="O1784" s="14">
        <f>tblSprzedaz[[#This Row],[Przychód netto]]-tblSprzedaz[[#This Row],[Koszt całkowity netto]]</f>
        <v>635.54000000000019</v>
      </c>
      <c r="P1784" s="15">
        <f>IFERROR(tblSprzedaz[[#This Row],[Marża kwotowa]]/tblSprzedaz[[#This Row],[Przychód netto]],0)</f>
        <v>0.29744693796363475</v>
      </c>
      <c r="Q1784" s="16">
        <f>YEAR(tblSprzedaz[[#This Row],[Data]])</f>
        <v>2026</v>
      </c>
      <c r="R1784" s="16">
        <f>MONTH(tblSprzedaz[[#This Row],[Data]])</f>
        <v>4</v>
      </c>
      <c r="S1784" s="9" t="str">
        <f>YEAR(tblSprzedaz[[#This Row],[Data]])&amp;"-"&amp;RIGHT("0"&amp;MONTH(tblSprzedaz[[#This Row],[Data]]),2)</f>
        <v>2026-04</v>
      </c>
    </row>
    <row r="1785" spans="1:19" x14ac:dyDescent="0.25">
      <c r="A1785" s="7" t="s">
        <v>3737</v>
      </c>
      <c r="B1785" s="10">
        <v>46136</v>
      </c>
      <c r="C1785" s="7" t="s">
        <v>3738</v>
      </c>
      <c r="D1785" s="8" t="s">
        <v>150</v>
      </c>
      <c r="E1785" s="8" t="s">
        <v>58</v>
      </c>
      <c r="F1785" s="8" t="s">
        <v>31</v>
      </c>
      <c r="G1785" s="8" t="s">
        <v>34</v>
      </c>
      <c r="H1785" s="8" t="s">
        <v>44</v>
      </c>
      <c r="I1785" s="11">
        <v>8</v>
      </c>
      <c r="J1785" s="12">
        <v>350.7</v>
      </c>
      <c r="K1785" s="13">
        <v>0.15</v>
      </c>
      <c r="L1785" s="12">
        <v>209.63</v>
      </c>
      <c r="M1785" s="14">
        <f>ROUND(tblSprzedaz[[#This Row],[Ilość]]*tblSprzedaz[[#This Row],[Cena netto jednostkowa]]*(1-tblSprzedaz[[#This Row],[Rabat %]]),2)</f>
        <v>2384.7600000000002</v>
      </c>
      <c r="N1785" s="14">
        <f>ROUND(tblSprzedaz[[#This Row],[Ilość]]*tblSprzedaz[[#This Row],[Koszt jednostkowy netto]],2)</f>
        <v>1677.04</v>
      </c>
      <c r="O1785" s="14">
        <f>tblSprzedaz[[#This Row],[Przychód netto]]-tblSprzedaz[[#This Row],[Koszt całkowity netto]]</f>
        <v>707.72000000000025</v>
      </c>
      <c r="P1785" s="15">
        <f>IFERROR(tblSprzedaz[[#This Row],[Marża kwotowa]]/tblSprzedaz[[#This Row],[Przychód netto]],0)</f>
        <v>0.29676780891997523</v>
      </c>
      <c r="Q1785" s="16">
        <f>YEAR(tblSprzedaz[[#This Row],[Data]])</f>
        <v>2026</v>
      </c>
      <c r="R1785" s="16">
        <f>MONTH(tblSprzedaz[[#This Row],[Data]])</f>
        <v>4</v>
      </c>
      <c r="S1785" s="9" t="str">
        <f>YEAR(tblSprzedaz[[#This Row],[Data]])&amp;"-"&amp;RIGHT("0"&amp;MONTH(tblSprzedaz[[#This Row],[Data]]),2)</f>
        <v>2026-04</v>
      </c>
    </row>
    <row r="1786" spans="1:19" x14ac:dyDescent="0.25">
      <c r="A1786" s="7" t="s">
        <v>3739</v>
      </c>
      <c r="B1786" s="10">
        <v>46136</v>
      </c>
      <c r="C1786" s="7" t="s">
        <v>3740</v>
      </c>
      <c r="D1786" s="8" t="s">
        <v>101</v>
      </c>
      <c r="E1786" s="8" t="s">
        <v>58</v>
      </c>
      <c r="F1786" s="8" t="s">
        <v>31</v>
      </c>
      <c r="G1786" s="8" t="s">
        <v>30</v>
      </c>
      <c r="H1786" s="8" t="s">
        <v>40</v>
      </c>
      <c r="I1786" s="11">
        <v>8</v>
      </c>
      <c r="J1786" s="12">
        <v>350.7</v>
      </c>
      <c r="K1786" s="13">
        <v>0</v>
      </c>
      <c r="L1786" s="12">
        <v>227.83</v>
      </c>
      <c r="M1786" s="14">
        <f>ROUND(tblSprzedaz[[#This Row],[Ilość]]*tblSprzedaz[[#This Row],[Cena netto jednostkowa]]*(1-tblSprzedaz[[#This Row],[Rabat %]]),2)</f>
        <v>2805.6</v>
      </c>
      <c r="N1786" s="14">
        <f>ROUND(tblSprzedaz[[#This Row],[Ilość]]*tblSprzedaz[[#This Row],[Koszt jednostkowy netto]],2)</f>
        <v>1822.64</v>
      </c>
      <c r="O1786" s="14">
        <f>tblSprzedaz[[#This Row],[Przychód netto]]-tblSprzedaz[[#This Row],[Koszt całkowity netto]]</f>
        <v>982.95999999999981</v>
      </c>
      <c r="P1786" s="15">
        <f>IFERROR(tblSprzedaz[[#This Row],[Marża kwotowa]]/tblSprzedaz[[#This Row],[Przychód netto]],0)</f>
        <v>0.3503564299971485</v>
      </c>
      <c r="Q1786" s="16">
        <f>YEAR(tblSprzedaz[[#This Row],[Data]])</f>
        <v>2026</v>
      </c>
      <c r="R1786" s="16">
        <f>MONTH(tblSprzedaz[[#This Row],[Data]])</f>
        <v>4</v>
      </c>
      <c r="S1786" s="9" t="str">
        <f>YEAR(tblSprzedaz[[#This Row],[Data]])&amp;"-"&amp;RIGHT("0"&amp;MONTH(tblSprzedaz[[#This Row],[Data]]),2)</f>
        <v>2026-04</v>
      </c>
    </row>
    <row r="1787" spans="1:19" x14ac:dyDescent="0.25">
      <c r="A1787" s="7" t="s">
        <v>3741</v>
      </c>
      <c r="B1787" s="10">
        <v>46136</v>
      </c>
      <c r="C1787" s="7" t="s">
        <v>3742</v>
      </c>
      <c r="D1787" s="8" t="s">
        <v>137</v>
      </c>
      <c r="E1787" s="8" t="s">
        <v>51</v>
      </c>
      <c r="F1787" s="8" t="s">
        <v>29</v>
      </c>
      <c r="G1787" s="8" t="s">
        <v>32</v>
      </c>
      <c r="H1787" s="8" t="s">
        <v>42</v>
      </c>
      <c r="I1787" s="11">
        <v>31</v>
      </c>
      <c r="J1787" s="12">
        <v>51</v>
      </c>
      <c r="K1787" s="13">
        <v>0</v>
      </c>
      <c r="L1787" s="12">
        <v>30.56</v>
      </c>
      <c r="M1787" s="14">
        <f>ROUND(tblSprzedaz[[#This Row],[Ilość]]*tblSprzedaz[[#This Row],[Cena netto jednostkowa]]*(1-tblSprzedaz[[#This Row],[Rabat %]]),2)</f>
        <v>1581</v>
      </c>
      <c r="N1787" s="14">
        <f>ROUND(tblSprzedaz[[#This Row],[Ilość]]*tblSprzedaz[[#This Row],[Koszt jednostkowy netto]],2)</f>
        <v>947.36</v>
      </c>
      <c r="O1787" s="14">
        <f>tblSprzedaz[[#This Row],[Przychód netto]]-tblSprzedaz[[#This Row],[Koszt całkowity netto]]</f>
        <v>633.64</v>
      </c>
      <c r="P1787" s="15">
        <f>IFERROR(tblSprzedaz[[#This Row],[Marża kwotowa]]/tblSprzedaz[[#This Row],[Przychód netto]],0)</f>
        <v>0.40078431372549017</v>
      </c>
      <c r="Q1787" s="16">
        <f>YEAR(tblSprzedaz[[#This Row],[Data]])</f>
        <v>2026</v>
      </c>
      <c r="R1787" s="16">
        <f>MONTH(tblSprzedaz[[#This Row],[Data]])</f>
        <v>4</v>
      </c>
      <c r="S1787" s="9" t="str">
        <f>YEAR(tblSprzedaz[[#This Row],[Data]])&amp;"-"&amp;RIGHT("0"&amp;MONTH(tblSprzedaz[[#This Row],[Data]]),2)</f>
        <v>2026-04</v>
      </c>
    </row>
    <row r="1788" spans="1:19" x14ac:dyDescent="0.25">
      <c r="A1788" s="7" t="s">
        <v>3743</v>
      </c>
      <c r="B1788" s="10">
        <v>46136</v>
      </c>
      <c r="C1788" s="7" t="s">
        <v>3744</v>
      </c>
      <c r="D1788" s="8" t="s">
        <v>130</v>
      </c>
      <c r="E1788" s="8" t="s">
        <v>50</v>
      </c>
      <c r="F1788" s="8" t="s">
        <v>29</v>
      </c>
      <c r="G1788" s="8" t="s">
        <v>28</v>
      </c>
      <c r="H1788" s="8" t="s">
        <v>38</v>
      </c>
      <c r="I1788" s="11">
        <v>22</v>
      </c>
      <c r="J1788" s="12">
        <v>45.22</v>
      </c>
      <c r="K1788" s="13">
        <v>0</v>
      </c>
      <c r="L1788" s="12">
        <v>25.68</v>
      </c>
      <c r="M1788" s="14">
        <f>ROUND(tblSprzedaz[[#This Row],[Ilość]]*tblSprzedaz[[#This Row],[Cena netto jednostkowa]]*(1-tblSprzedaz[[#This Row],[Rabat %]]),2)</f>
        <v>994.84</v>
      </c>
      <c r="N1788" s="14">
        <f>ROUND(tblSprzedaz[[#This Row],[Ilość]]*tblSprzedaz[[#This Row],[Koszt jednostkowy netto]],2)</f>
        <v>564.96</v>
      </c>
      <c r="O1788" s="14">
        <f>tblSprzedaz[[#This Row],[Przychód netto]]-tblSprzedaz[[#This Row],[Koszt całkowity netto]]</f>
        <v>429.88</v>
      </c>
      <c r="P1788" s="15">
        <f>IFERROR(tblSprzedaz[[#This Row],[Marża kwotowa]]/tblSprzedaz[[#This Row],[Przychód netto]],0)</f>
        <v>0.43210968597965499</v>
      </c>
      <c r="Q1788" s="16">
        <f>YEAR(tblSprzedaz[[#This Row],[Data]])</f>
        <v>2026</v>
      </c>
      <c r="R1788" s="16">
        <f>MONTH(tblSprzedaz[[#This Row],[Data]])</f>
        <v>4</v>
      </c>
      <c r="S1788" s="9" t="str">
        <f>YEAR(tblSprzedaz[[#This Row],[Data]])&amp;"-"&amp;RIGHT("0"&amp;MONTH(tblSprzedaz[[#This Row],[Data]]),2)</f>
        <v>2026-04</v>
      </c>
    </row>
    <row r="1789" spans="1:19" x14ac:dyDescent="0.25">
      <c r="A1789" s="7" t="s">
        <v>3745</v>
      </c>
      <c r="B1789" s="10">
        <v>46136</v>
      </c>
      <c r="C1789" s="7" t="s">
        <v>3746</v>
      </c>
      <c r="D1789" s="8" t="s">
        <v>132</v>
      </c>
      <c r="E1789" s="8" t="s">
        <v>75</v>
      </c>
      <c r="F1789" s="8" t="s">
        <v>37</v>
      </c>
      <c r="G1789" s="8" t="s">
        <v>28</v>
      </c>
      <c r="H1789" s="8" t="s">
        <v>38</v>
      </c>
      <c r="I1789" s="11">
        <v>21</v>
      </c>
      <c r="J1789" s="12">
        <v>142.5</v>
      </c>
      <c r="K1789" s="13">
        <v>0.15</v>
      </c>
      <c r="L1789" s="12">
        <v>105.65</v>
      </c>
      <c r="M1789" s="14">
        <f>ROUND(tblSprzedaz[[#This Row],[Ilość]]*tblSprzedaz[[#This Row],[Cena netto jednostkowa]]*(1-tblSprzedaz[[#This Row],[Rabat %]]),2)</f>
        <v>2543.63</v>
      </c>
      <c r="N1789" s="14">
        <f>ROUND(tblSprzedaz[[#This Row],[Ilość]]*tblSprzedaz[[#This Row],[Koszt jednostkowy netto]],2)</f>
        <v>2218.65</v>
      </c>
      <c r="O1789" s="14">
        <f>tblSprzedaz[[#This Row],[Przychód netto]]-tblSprzedaz[[#This Row],[Koszt całkowity netto]]</f>
        <v>324.98</v>
      </c>
      <c r="P1789" s="15">
        <f>IFERROR(tblSprzedaz[[#This Row],[Marża kwotowa]]/tblSprzedaz[[#This Row],[Przychód netto]],0)</f>
        <v>0.12776229247178245</v>
      </c>
      <c r="Q1789" s="16">
        <f>YEAR(tblSprzedaz[[#This Row],[Data]])</f>
        <v>2026</v>
      </c>
      <c r="R1789" s="16">
        <f>MONTH(tblSprzedaz[[#This Row],[Data]])</f>
        <v>4</v>
      </c>
      <c r="S1789" s="9" t="str">
        <f>YEAR(tblSprzedaz[[#This Row],[Data]])&amp;"-"&amp;RIGHT("0"&amp;MONTH(tblSprzedaz[[#This Row],[Data]]),2)</f>
        <v>2026-04</v>
      </c>
    </row>
    <row r="1790" spans="1:19" x14ac:dyDescent="0.25">
      <c r="A1790" s="7" t="s">
        <v>3747</v>
      </c>
      <c r="B1790" s="10">
        <v>46136</v>
      </c>
      <c r="C1790" s="7" t="s">
        <v>3748</v>
      </c>
      <c r="D1790" s="8" t="s">
        <v>85</v>
      </c>
      <c r="E1790" s="8" t="s">
        <v>59</v>
      </c>
      <c r="F1790" s="8" t="s">
        <v>31</v>
      </c>
      <c r="G1790" s="8" t="s">
        <v>28</v>
      </c>
      <c r="H1790" s="8" t="s">
        <v>38</v>
      </c>
      <c r="I1790" s="11">
        <v>3</v>
      </c>
      <c r="J1790" s="12">
        <v>172.2</v>
      </c>
      <c r="K1790" s="13">
        <v>0.15</v>
      </c>
      <c r="L1790" s="12">
        <v>103.06</v>
      </c>
      <c r="M1790" s="14">
        <f>ROUND(tblSprzedaz[[#This Row],[Ilość]]*tblSprzedaz[[#This Row],[Cena netto jednostkowa]]*(1-tblSprzedaz[[#This Row],[Rabat %]]),2)</f>
        <v>439.11</v>
      </c>
      <c r="N1790" s="14">
        <f>ROUND(tblSprzedaz[[#This Row],[Ilość]]*tblSprzedaz[[#This Row],[Koszt jednostkowy netto]],2)</f>
        <v>309.18</v>
      </c>
      <c r="O1790" s="14">
        <f>tblSprzedaz[[#This Row],[Przychód netto]]-tblSprzedaz[[#This Row],[Koszt całkowity netto]]</f>
        <v>129.93</v>
      </c>
      <c r="P1790" s="15">
        <f>IFERROR(tblSprzedaz[[#This Row],[Marża kwotowa]]/tblSprzedaz[[#This Row],[Przychód netto]],0)</f>
        <v>0.2958939673430348</v>
      </c>
      <c r="Q1790" s="16">
        <f>YEAR(tblSprzedaz[[#This Row],[Data]])</f>
        <v>2026</v>
      </c>
      <c r="R1790" s="16">
        <f>MONTH(tblSprzedaz[[#This Row],[Data]])</f>
        <v>4</v>
      </c>
      <c r="S1790" s="9" t="str">
        <f>YEAR(tblSprzedaz[[#This Row],[Data]])&amp;"-"&amp;RIGHT("0"&amp;MONTH(tblSprzedaz[[#This Row],[Data]]),2)</f>
        <v>2026-04</v>
      </c>
    </row>
    <row r="1791" spans="1:19" x14ac:dyDescent="0.25">
      <c r="A1791" s="7" t="s">
        <v>3749</v>
      </c>
      <c r="B1791" s="10">
        <v>46136</v>
      </c>
      <c r="C1791" s="7" t="s">
        <v>3750</v>
      </c>
      <c r="D1791" s="8" t="s">
        <v>132</v>
      </c>
      <c r="E1791" s="8" t="s">
        <v>71</v>
      </c>
      <c r="F1791" s="8" t="s">
        <v>35</v>
      </c>
      <c r="G1791" s="8" t="s">
        <v>36</v>
      </c>
      <c r="H1791" s="8" t="s">
        <v>46</v>
      </c>
      <c r="I1791" s="11">
        <v>13</v>
      </c>
      <c r="J1791" s="12">
        <v>55.76</v>
      </c>
      <c r="K1791" s="13">
        <v>0</v>
      </c>
      <c r="L1791" s="12">
        <v>39.869999999999997</v>
      </c>
      <c r="M1791" s="14">
        <f>ROUND(tblSprzedaz[[#This Row],[Ilość]]*tblSprzedaz[[#This Row],[Cena netto jednostkowa]]*(1-tblSprzedaz[[#This Row],[Rabat %]]),2)</f>
        <v>724.88</v>
      </c>
      <c r="N1791" s="14">
        <f>ROUND(tblSprzedaz[[#This Row],[Ilość]]*tblSprzedaz[[#This Row],[Koszt jednostkowy netto]],2)</f>
        <v>518.30999999999995</v>
      </c>
      <c r="O1791" s="14">
        <f>tblSprzedaz[[#This Row],[Przychód netto]]-tblSprzedaz[[#This Row],[Koszt całkowity netto]]</f>
        <v>206.57000000000005</v>
      </c>
      <c r="P1791" s="15">
        <f>IFERROR(tblSprzedaz[[#This Row],[Marża kwotowa]]/tblSprzedaz[[#This Row],[Przychód netto]],0)</f>
        <v>0.28497130559540895</v>
      </c>
      <c r="Q1791" s="16">
        <f>YEAR(tblSprzedaz[[#This Row],[Data]])</f>
        <v>2026</v>
      </c>
      <c r="R1791" s="16">
        <f>MONTH(tblSprzedaz[[#This Row],[Data]])</f>
        <v>4</v>
      </c>
      <c r="S1791" s="9" t="str">
        <f>YEAR(tblSprzedaz[[#This Row],[Data]])&amp;"-"&amp;RIGHT("0"&amp;MONTH(tblSprzedaz[[#This Row],[Data]]),2)</f>
        <v>2026-04</v>
      </c>
    </row>
    <row r="1792" spans="1:19" x14ac:dyDescent="0.25">
      <c r="A1792" s="7" t="s">
        <v>3751</v>
      </c>
      <c r="B1792" s="10">
        <v>46137</v>
      </c>
      <c r="C1792" s="7" t="s">
        <v>3752</v>
      </c>
      <c r="D1792" s="8" t="s">
        <v>120</v>
      </c>
      <c r="E1792" s="8" t="s">
        <v>54</v>
      </c>
      <c r="F1792" s="8" t="s">
        <v>31</v>
      </c>
      <c r="G1792" s="8" t="s">
        <v>32</v>
      </c>
      <c r="H1792" s="8" t="s">
        <v>42</v>
      </c>
      <c r="I1792" s="11">
        <v>24</v>
      </c>
      <c r="J1792" s="12">
        <v>207.9</v>
      </c>
      <c r="K1792" s="13">
        <v>0</v>
      </c>
      <c r="L1792" s="12">
        <v>130.77000000000001</v>
      </c>
      <c r="M1792" s="14">
        <f>ROUND(tblSprzedaz[[#This Row],[Ilość]]*tblSprzedaz[[#This Row],[Cena netto jednostkowa]]*(1-tblSprzedaz[[#This Row],[Rabat %]]),2)</f>
        <v>4989.6000000000004</v>
      </c>
      <c r="N1792" s="14">
        <f>ROUND(tblSprzedaz[[#This Row],[Ilość]]*tblSprzedaz[[#This Row],[Koszt jednostkowy netto]],2)</f>
        <v>3138.48</v>
      </c>
      <c r="O1792" s="14">
        <f>tblSprzedaz[[#This Row],[Przychód netto]]-tblSprzedaz[[#This Row],[Koszt całkowity netto]]</f>
        <v>1851.1200000000003</v>
      </c>
      <c r="P1792" s="15">
        <f>IFERROR(tblSprzedaz[[#This Row],[Marża kwotowa]]/tblSprzedaz[[#This Row],[Przychód netto]],0)</f>
        <v>0.37099567099567105</v>
      </c>
      <c r="Q1792" s="16">
        <f>YEAR(tblSprzedaz[[#This Row],[Data]])</f>
        <v>2026</v>
      </c>
      <c r="R1792" s="16">
        <f>MONTH(tblSprzedaz[[#This Row],[Data]])</f>
        <v>4</v>
      </c>
      <c r="S1792" s="9" t="str">
        <f>YEAR(tblSprzedaz[[#This Row],[Data]])&amp;"-"&amp;RIGHT("0"&amp;MONTH(tblSprzedaz[[#This Row],[Data]]),2)</f>
        <v>2026-04</v>
      </c>
    </row>
    <row r="1793" spans="1:19" x14ac:dyDescent="0.25">
      <c r="A1793" s="7" t="s">
        <v>3753</v>
      </c>
      <c r="B1793" s="10">
        <v>46138</v>
      </c>
      <c r="C1793" s="7" t="s">
        <v>3754</v>
      </c>
      <c r="D1793" s="8" t="s">
        <v>119</v>
      </c>
      <c r="E1793" s="8" t="s">
        <v>61</v>
      </c>
      <c r="F1793" s="8" t="s">
        <v>33</v>
      </c>
      <c r="G1793" s="8" t="s">
        <v>32</v>
      </c>
      <c r="H1793" s="8" t="s">
        <v>42</v>
      </c>
      <c r="I1793" s="11">
        <v>5</v>
      </c>
      <c r="J1793" s="12">
        <v>533.6</v>
      </c>
      <c r="K1793" s="13">
        <v>0</v>
      </c>
      <c r="L1793" s="12">
        <v>365.71</v>
      </c>
      <c r="M1793" s="14">
        <f>ROUND(tblSprzedaz[[#This Row],[Ilość]]*tblSprzedaz[[#This Row],[Cena netto jednostkowa]]*(1-tblSprzedaz[[#This Row],[Rabat %]]),2)</f>
        <v>2668</v>
      </c>
      <c r="N1793" s="14">
        <f>ROUND(tblSprzedaz[[#This Row],[Ilość]]*tblSprzedaz[[#This Row],[Koszt jednostkowy netto]],2)</f>
        <v>1828.55</v>
      </c>
      <c r="O1793" s="14">
        <f>tblSprzedaz[[#This Row],[Przychód netto]]-tblSprzedaz[[#This Row],[Koszt całkowity netto]]</f>
        <v>839.45</v>
      </c>
      <c r="P1793" s="15">
        <f>IFERROR(tblSprzedaz[[#This Row],[Marża kwotowa]]/tblSprzedaz[[#This Row],[Przychód netto]],0)</f>
        <v>0.31463643178410794</v>
      </c>
      <c r="Q1793" s="16">
        <f>YEAR(tblSprzedaz[[#This Row],[Data]])</f>
        <v>2026</v>
      </c>
      <c r="R1793" s="16">
        <f>MONTH(tblSprzedaz[[#This Row],[Data]])</f>
        <v>4</v>
      </c>
      <c r="S1793" s="9" t="str">
        <f>YEAR(tblSprzedaz[[#This Row],[Data]])&amp;"-"&amp;RIGHT("0"&amp;MONTH(tblSprzedaz[[#This Row],[Data]]),2)</f>
        <v>2026-04</v>
      </c>
    </row>
    <row r="1794" spans="1:19" x14ac:dyDescent="0.25">
      <c r="A1794" s="7" t="s">
        <v>3755</v>
      </c>
      <c r="B1794" s="10">
        <v>46139</v>
      </c>
      <c r="C1794" s="7" t="s">
        <v>3756</v>
      </c>
      <c r="D1794" s="8" t="s">
        <v>150</v>
      </c>
      <c r="E1794" s="8" t="s">
        <v>69</v>
      </c>
      <c r="F1794" s="8" t="s">
        <v>35</v>
      </c>
      <c r="G1794" s="8" t="s">
        <v>30</v>
      </c>
      <c r="H1794" s="8" t="s">
        <v>40</v>
      </c>
      <c r="I1794" s="11">
        <v>3</v>
      </c>
      <c r="J1794" s="12">
        <v>102</v>
      </c>
      <c r="K1794" s="13">
        <v>0</v>
      </c>
      <c r="L1794" s="12">
        <v>75.45</v>
      </c>
      <c r="M1794" s="14">
        <f>ROUND(tblSprzedaz[[#This Row],[Ilość]]*tblSprzedaz[[#This Row],[Cena netto jednostkowa]]*(1-tblSprzedaz[[#This Row],[Rabat %]]),2)</f>
        <v>306</v>
      </c>
      <c r="N1794" s="14">
        <f>ROUND(tblSprzedaz[[#This Row],[Ilość]]*tblSprzedaz[[#This Row],[Koszt jednostkowy netto]],2)</f>
        <v>226.35</v>
      </c>
      <c r="O1794" s="14">
        <f>tblSprzedaz[[#This Row],[Przychód netto]]-tblSprzedaz[[#This Row],[Koszt całkowity netto]]</f>
        <v>79.650000000000006</v>
      </c>
      <c r="P1794" s="15">
        <f>IFERROR(tblSprzedaz[[#This Row],[Marża kwotowa]]/tblSprzedaz[[#This Row],[Przychód netto]],0)</f>
        <v>0.26029411764705884</v>
      </c>
      <c r="Q1794" s="16">
        <f>YEAR(tblSprzedaz[[#This Row],[Data]])</f>
        <v>2026</v>
      </c>
      <c r="R1794" s="16">
        <f>MONTH(tblSprzedaz[[#This Row],[Data]])</f>
        <v>4</v>
      </c>
      <c r="S1794" s="9" t="str">
        <f>YEAR(tblSprzedaz[[#This Row],[Data]])&amp;"-"&amp;RIGHT("0"&amp;MONTH(tblSprzedaz[[#This Row],[Data]]),2)</f>
        <v>2026-04</v>
      </c>
    </row>
    <row r="1795" spans="1:19" x14ac:dyDescent="0.25">
      <c r="A1795" s="7" t="s">
        <v>3757</v>
      </c>
      <c r="B1795" s="10">
        <v>46139</v>
      </c>
      <c r="C1795" s="7" t="s">
        <v>3758</v>
      </c>
      <c r="D1795" s="8" t="s">
        <v>152</v>
      </c>
      <c r="E1795" s="8" t="s">
        <v>52</v>
      </c>
      <c r="F1795" s="8" t="s">
        <v>29</v>
      </c>
      <c r="G1795" s="8" t="s">
        <v>34</v>
      </c>
      <c r="H1795" s="8" t="s">
        <v>45</v>
      </c>
      <c r="I1795" s="11">
        <v>10</v>
      </c>
      <c r="J1795" s="12">
        <v>56.78</v>
      </c>
      <c r="K1795" s="13">
        <v>0</v>
      </c>
      <c r="L1795" s="12">
        <v>31.47</v>
      </c>
      <c r="M1795" s="14">
        <f>ROUND(tblSprzedaz[[#This Row],[Ilość]]*tblSprzedaz[[#This Row],[Cena netto jednostkowa]]*(1-tblSprzedaz[[#This Row],[Rabat %]]),2)</f>
        <v>567.79999999999995</v>
      </c>
      <c r="N1795" s="14">
        <f>ROUND(tblSprzedaz[[#This Row],[Ilość]]*tblSprzedaz[[#This Row],[Koszt jednostkowy netto]],2)</f>
        <v>314.7</v>
      </c>
      <c r="O1795" s="14">
        <f>tblSprzedaz[[#This Row],[Przychód netto]]-tblSprzedaz[[#This Row],[Koszt całkowity netto]]</f>
        <v>253.09999999999997</v>
      </c>
      <c r="P1795" s="15">
        <f>IFERROR(tblSprzedaz[[#This Row],[Marża kwotowa]]/tblSprzedaz[[#This Row],[Przychód netto]],0)</f>
        <v>0.44575554772807324</v>
      </c>
      <c r="Q1795" s="16">
        <f>YEAR(tblSprzedaz[[#This Row],[Data]])</f>
        <v>2026</v>
      </c>
      <c r="R1795" s="16">
        <f>MONTH(tblSprzedaz[[#This Row],[Data]])</f>
        <v>4</v>
      </c>
      <c r="S1795" s="9" t="str">
        <f>YEAR(tblSprzedaz[[#This Row],[Data]])&amp;"-"&amp;RIGHT("0"&amp;MONTH(tblSprzedaz[[#This Row],[Data]]),2)</f>
        <v>2026-04</v>
      </c>
    </row>
    <row r="1796" spans="1:19" x14ac:dyDescent="0.25">
      <c r="A1796" s="7" t="s">
        <v>3759</v>
      </c>
      <c r="B1796" s="10">
        <v>46139</v>
      </c>
      <c r="C1796" s="7" t="s">
        <v>3760</v>
      </c>
      <c r="D1796" s="8" t="s">
        <v>83</v>
      </c>
      <c r="E1796" s="8" t="s">
        <v>66</v>
      </c>
      <c r="F1796" s="8" t="s">
        <v>35</v>
      </c>
      <c r="G1796" s="8" t="s">
        <v>30</v>
      </c>
      <c r="H1796" s="8" t="s">
        <v>40</v>
      </c>
      <c r="I1796" s="11">
        <v>24</v>
      </c>
      <c r="J1796" s="12">
        <v>67.319999999999993</v>
      </c>
      <c r="K1796" s="13">
        <v>0</v>
      </c>
      <c r="L1796" s="12">
        <v>50.91</v>
      </c>
      <c r="M1796" s="14">
        <f>ROUND(tblSprzedaz[[#This Row],[Ilość]]*tblSprzedaz[[#This Row],[Cena netto jednostkowa]]*(1-tblSprzedaz[[#This Row],[Rabat %]]),2)</f>
        <v>1615.68</v>
      </c>
      <c r="N1796" s="14">
        <f>ROUND(tblSprzedaz[[#This Row],[Ilość]]*tblSprzedaz[[#This Row],[Koszt jednostkowy netto]],2)</f>
        <v>1221.8399999999999</v>
      </c>
      <c r="O1796" s="14">
        <f>tblSprzedaz[[#This Row],[Przychód netto]]-tblSprzedaz[[#This Row],[Koszt całkowity netto]]</f>
        <v>393.84000000000015</v>
      </c>
      <c r="P1796" s="15">
        <f>IFERROR(tblSprzedaz[[#This Row],[Marża kwotowa]]/tblSprzedaz[[#This Row],[Przychód netto]],0)</f>
        <v>0.24376114081996442</v>
      </c>
      <c r="Q1796" s="16">
        <f>YEAR(tblSprzedaz[[#This Row],[Data]])</f>
        <v>2026</v>
      </c>
      <c r="R1796" s="16">
        <f>MONTH(tblSprzedaz[[#This Row],[Data]])</f>
        <v>4</v>
      </c>
      <c r="S1796" s="9" t="str">
        <f>YEAR(tblSprzedaz[[#This Row],[Data]])&amp;"-"&amp;RIGHT("0"&amp;MONTH(tblSprzedaz[[#This Row],[Data]]),2)</f>
        <v>2026-04</v>
      </c>
    </row>
    <row r="1797" spans="1:19" x14ac:dyDescent="0.25">
      <c r="A1797" s="7" t="s">
        <v>3761</v>
      </c>
      <c r="B1797" s="10">
        <v>46140</v>
      </c>
      <c r="C1797" s="7" t="s">
        <v>3762</v>
      </c>
      <c r="D1797" s="8" t="s">
        <v>151</v>
      </c>
      <c r="E1797" s="8" t="s">
        <v>73</v>
      </c>
      <c r="F1797" s="8" t="s">
        <v>37</v>
      </c>
      <c r="G1797" s="8" t="s">
        <v>36</v>
      </c>
      <c r="H1797" s="8" t="s">
        <v>46</v>
      </c>
      <c r="I1797" s="11">
        <v>2</v>
      </c>
      <c r="J1797" s="12">
        <v>110.2</v>
      </c>
      <c r="K1797" s="13">
        <v>0.1</v>
      </c>
      <c r="L1797" s="12">
        <v>84.22</v>
      </c>
      <c r="M1797" s="14">
        <f>ROUND(tblSprzedaz[[#This Row],[Ilość]]*tblSprzedaz[[#This Row],[Cena netto jednostkowa]]*(1-tblSprzedaz[[#This Row],[Rabat %]]),2)</f>
        <v>198.36</v>
      </c>
      <c r="N1797" s="14">
        <f>ROUND(tblSprzedaz[[#This Row],[Ilość]]*tblSprzedaz[[#This Row],[Koszt jednostkowy netto]],2)</f>
        <v>168.44</v>
      </c>
      <c r="O1797" s="14">
        <f>tblSprzedaz[[#This Row],[Przychód netto]]-tblSprzedaz[[#This Row],[Koszt całkowity netto]]</f>
        <v>29.920000000000016</v>
      </c>
      <c r="P1797" s="15">
        <f>IFERROR(tblSprzedaz[[#This Row],[Marża kwotowa]]/tblSprzedaz[[#This Row],[Przychód netto]],0)</f>
        <v>0.15083686227061915</v>
      </c>
      <c r="Q1797" s="16">
        <f>YEAR(tblSprzedaz[[#This Row],[Data]])</f>
        <v>2026</v>
      </c>
      <c r="R1797" s="16">
        <f>MONTH(tblSprzedaz[[#This Row],[Data]])</f>
        <v>4</v>
      </c>
      <c r="S1797" s="9" t="str">
        <f>YEAR(tblSprzedaz[[#This Row],[Data]])&amp;"-"&amp;RIGHT("0"&amp;MONTH(tblSprzedaz[[#This Row],[Data]]),2)</f>
        <v>2026-04</v>
      </c>
    </row>
    <row r="1798" spans="1:19" x14ac:dyDescent="0.25">
      <c r="A1798" s="7" t="s">
        <v>3763</v>
      </c>
      <c r="B1798" s="10">
        <v>46140</v>
      </c>
      <c r="C1798" s="7" t="s">
        <v>3764</v>
      </c>
      <c r="D1798" s="8" t="s">
        <v>134</v>
      </c>
      <c r="E1798" s="8" t="s">
        <v>50</v>
      </c>
      <c r="F1798" s="8" t="s">
        <v>29</v>
      </c>
      <c r="G1798" s="8" t="s">
        <v>36</v>
      </c>
      <c r="H1798" s="8" t="s">
        <v>46</v>
      </c>
      <c r="I1798" s="11">
        <v>25</v>
      </c>
      <c r="J1798" s="12">
        <v>45.22</v>
      </c>
      <c r="K1798" s="13">
        <v>0</v>
      </c>
      <c r="L1798" s="12">
        <v>27.85</v>
      </c>
      <c r="M1798" s="14">
        <f>ROUND(tblSprzedaz[[#This Row],[Ilość]]*tblSprzedaz[[#This Row],[Cena netto jednostkowa]]*(1-tblSprzedaz[[#This Row],[Rabat %]]),2)</f>
        <v>1130.5</v>
      </c>
      <c r="N1798" s="14">
        <f>ROUND(tblSprzedaz[[#This Row],[Ilość]]*tblSprzedaz[[#This Row],[Koszt jednostkowy netto]],2)</f>
        <v>696.25</v>
      </c>
      <c r="O1798" s="14">
        <f>tblSprzedaz[[#This Row],[Przychód netto]]-tblSprzedaz[[#This Row],[Koszt całkowity netto]]</f>
        <v>434.25</v>
      </c>
      <c r="P1798" s="15">
        <f>IFERROR(tblSprzedaz[[#This Row],[Marża kwotowa]]/tblSprzedaz[[#This Row],[Przychód netto]],0)</f>
        <v>0.38412206988058384</v>
      </c>
      <c r="Q1798" s="16">
        <f>YEAR(tblSprzedaz[[#This Row],[Data]])</f>
        <v>2026</v>
      </c>
      <c r="R1798" s="16">
        <f>MONTH(tblSprzedaz[[#This Row],[Data]])</f>
        <v>4</v>
      </c>
      <c r="S1798" s="9" t="str">
        <f>YEAR(tblSprzedaz[[#This Row],[Data]])&amp;"-"&amp;RIGHT("0"&amp;MONTH(tblSprzedaz[[#This Row],[Data]]),2)</f>
        <v>2026-04</v>
      </c>
    </row>
    <row r="1799" spans="1:19" x14ac:dyDescent="0.25">
      <c r="A1799" s="7" t="s">
        <v>3765</v>
      </c>
      <c r="B1799" s="10">
        <v>46140</v>
      </c>
      <c r="C1799" s="7" t="s">
        <v>3766</v>
      </c>
      <c r="D1799" s="8" t="s">
        <v>121</v>
      </c>
      <c r="E1799" s="8" t="s">
        <v>69</v>
      </c>
      <c r="F1799" s="8" t="s">
        <v>35</v>
      </c>
      <c r="G1799" s="8" t="s">
        <v>30</v>
      </c>
      <c r="H1799" s="8" t="s">
        <v>41</v>
      </c>
      <c r="I1799" s="11">
        <v>16</v>
      </c>
      <c r="J1799" s="12">
        <v>102</v>
      </c>
      <c r="K1799" s="13">
        <v>0</v>
      </c>
      <c r="L1799" s="12">
        <v>73.27</v>
      </c>
      <c r="M1799" s="14">
        <f>ROUND(tblSprzedaz[[#This Row],[Ilość]]*tblSprzedaz[[#This Row],[Cena netto jednostkowa]]*(1-tblSprzedaz[[#This Row],[Rabat %]]),2)</f>
        <v>1632</v>
      </c>
      <c r="N1799" s="14">
        <f>ROUND(tblSprzedaz[[#This Row],[Ilość]]*tblSprzedaz[[#This Row],[Koszt jednostkowy netto]],2)</f>
        <v>1172.32</v>
      </c>
      <c r="O1799" s="14">
        <f>tblSprzedaz[[#This Row],[Przychód netto]]-tblSprzedaz[[#This Row],[Koszt całkowity netto]]</f>
        <v>459.68000000000006</v>
      </c>
      <c r="P1799" s="15">
        <f>IFERROR(tblSprzedaz[[#This Row],[Marża kwotowa]]/tblSprzedaz[[#This Row],[Przychód netto]],0)</f>
        <v>0.28166666666666673</v>
      </c>
      <c r="Q1799" s="16">
        <f>YEAR(tblSprzedaz[[#This Row],[Data]])</f>
        <v>2026</v>
      </c>
      <c r="R1799" s="16">
        <f>MONTH(tblSprzedaz[[#This Row],[Data]])</f>
        <v>4</v>
      </c>
      <c r="S1799" s="9" t="str">
        <f>YEAR(tblSprzedaz[[#This Row],[Data]])&amp;"-"&amp;RIGHT("0"&amp;MONTH(tblSprzedaz[[#This Row],[Data]]),2)</f>
        <v>2026-04</v>
      </c>
    </row>
    <row r="1800" spans="1:19" x14ac:dyDescent="0.25">
      <c r="A1800" s="7" t="s">
        <v>3767</v>
      </c>
      <c r="B1800" s="10">
        <v>46140</v>
      </c>
      <c r="C1800" s="7" t="s">
        <v>3768</v>
      </c>
      <c r="D1800" s="8" t="s">
        <v>135</v>
      </c>
      <c r="E1800" s="8" t="s">
        <v>54</v>
      </c>
      <c r="F1800" s="8" t="s">
        <v>31</v>
      </c>
      <c r="G1800" s="8" t="s">
        <v>32</v>
      </c>
      <c r="H1800" s="8" t="s">
        <v>42</v>
      </c>
      <c r="I1800" s="11">
        <v>13</v>
      </c>
      <c r="J1800" s="12">
        <v>207.9</v>
      </c>
      <c r="K1800" s="13">
        <v>0</v>
      </c>
      <c r="L1800" s="12">
        <v>128</v>
      </c>
      <c r="M1800" s="14">
        <f>ROUND(tblSprzedaz[[#This Row],[Ilość]]*tblSprzedaz[[#This Row],[Cena netto jednostkowa]]*(1-tblSprzedaz[[#This Row],[Rabat %]]),2)</f>
        <v>2702.7</v>
      </c>
      <c r="N1800" s="14">
        <f>ROUND(tblSprzedaz[[#This Row],[Ilość]]*tblSprzedaz[[#This Row],[Koszt jednostkowy netto]],2)</f>
        <v>1664</v>
      </c>
      <c r="O1800" s="14">
        <f>tblSprzedaz[[#This Row],[Przychód netto]]-tblSprzedaz[[#This Row],[Koszt całkowity netto]]</f>
        <v>1038.6999999999998</v>
      </c>
      <c r="P1800" s="15">
        <f>IFERROR(tblSprzedaz[[#This Row],[Marża kwotowa]]/tblSprzedaz[[#This Row],[Przychód netto]],0)</f>
        <v>0.38431938431938428</v>
      </c>
      <c r="Q1800" s="16">
        <f>YEAR(tblSprzedaz[[#This Row],[Data]])</f>
        <v>2026</v>
      </c>
      <c r="R1800" s="16">
        <f>MONTH(tblSprzedaz[[#This Row],[Data]])</f>
        <v>4</v>
      </c>
      <c r="S1800" s="9" t="str">
        <f>YEAR(tblSprzedaz[[#This Row],[Data]])&amp;"-"&amp;RIGHT("0"&amp;MONTH(tblSprzedaz[[#This Row],[Data]]),2)</f>
        <v>2026-04</v>
      </c>
    </row>
    <row r="1801" spans="1:19" x14ac:dyDescent="0.25">
      <c r="A1801" s="7" t="s">
        <v>3769</v>
      </c>
      <c r="B1801" s="10">
        <v>46141</v>
      </c>
      <c r="C1801" s="7" t="s">
        <v>3770</v>
      </c>
      <c r="D1801" s="8" t="s">
        <v>135</v>
      </c>
      <c r="E1801" s="8" t="s">
        <v>72</v>
      </c>
      <c r="F1801" s="8" t="s">
        <v>37</v>
      </c>
      <c r="G1801" s="8" t="s">
        <v>30</v>
      </c>
      <c r="H1801" s="8" t="s">
        <v>40</v>
      </c>
      <c r="I1801" s="11">
        <v>22</v>
      </c>
      <c r="J1801" s="12">
        <v>94.05</v>
      </c>
      <c r="K1801" s="13">
        <v>0</v>
      </c>
      <c r="L1801" s="12">
        <v>69.03</v>
      </c>
      <c r="M1801" s="14">
        <f>ROUND(tblSprzedaz[[#This Row],[Ilość]]*tblSprzedaz[[#This Row],[Cena netto jednostkowa]]*(1-tblSprzedaz[[#This Row],[Rabat %]]),2)</f>
        <v>2069.1</v>
      </c>
      <c r="N1801" s="14">
        <f>ROUND(tblSprzedaz[[#This Row],[Ilość]]*tblSprzedaz[[#This Row],[Koszt jednostkowy netto]],2)</f>
        <v>1518.66</v>
      </c>
      <c r="O1801" s="14">
        <f>tblSprzedaz[[#This Row],[Przychód netto]]-tblSprzedaz[[#This Row],[Koszt całkowity netto]]</f>
        <v>550.43999999999983</v>
      </c>
      <c r="P1801" s="15">
        <f>IFERROR(tblSprzedaz[[#This Row],[Marża kwotowa]]/tblSprzedaz[[#This Row],[Przychód netto]],0)</f>
        <v>0.26602870813397123</v>
      </c>
      <c r="Q1801" s="16">
        <f>YEAR(tblSprzedaz[[#This Row],[Data]])</f>
        <v>2026</v>
      </c>
      <c r="R1801" s="16">
        <f>MONTH(tblSprzedaz[[#This Row],[Data]])</f>
        <v>4</v>
      </c>
      <c r="S1801" s="9" t="str">
        <f>YEAR(tblSprzedaz[[#This Row],[Data]])&amp;"-"&amp;RIGHT("0"&amp;MONTH(tblSprzedaz[[#This Row],[Data]]),2)</f>
        <v>2026-04</v>
      </c>
    </row>
    <row r="1802" spans="1:19" x14ac:dyDescent="0.25">
      <c r="A1802" s="7" t="s">
        <v>3771</v>
      </c>
      <c r="B1802" s="10">
        <v>46141</v>
      </c>
      <c r="C1802" s="7" t="s">
        <v>3772</v>
      </c>
      <c r="D1802" s="8" t="s">
        <v>100</v>
      </c>
      <c r="E1802" s="8" t="s">
        <v>56</v>
      </c>
      <c r="F1802" s="8" t="s">
        <v>31</v>
      </c>
      <c r="G1802" s="8" t="s">
        <v>32</v>
      </c>
      <c r="H1802" s="8" t="s">
        <v>42</v>
      </c>
      <c r="I1802" s="11">
        <v>24</v>
      </c>
      <c r="J1802" s="12">
        <v>279.3</v>
      </c>
      <c r="K1802" s="13">
        <v>0.05</v>
      </c>
      <c r="L1802" s="12">
        <v>173</v>
      </c>
      <c r="M1802" s="14">
        <f>ROUND(tblSprzedaz[[#This Row],[Ilość]]*tblSprzedaz[[#This Row],[Cena netto jednostkowa]]*(1-tblSprzedaz[[#This Row],[Rabat %]]),2)</f>
        <v>6368.04</v>
      </c>
      <c r="N1802" s="14">
        <f>ROUND(tblSprzedaz[[#This Row],[Ilość]]*tblSprzedaz[[#This Row],[Koszt jednostkowy netto]],2)</f>
        <v>4152</v>
      </c>
      <c r="O1802" s="14">
        <f>tblSprzedaz[[#This Row],[Przychód netto]]-tblSprzedaz[[#This Row],[Koszt całkowity netto]]</f>
        <v>2216.04</v>
      </c>
      <c r="P1802" s="15">
        <f>IFERROR(tblSprzedaz[[#This Row],[Marża kwotowa]]/tblSprzedaz[[#This Row],[Przychód netto]],0)</f>
        <v>0.34799404526353478</v>
      </c>
      <c r="Q1802" s="16">
        <f>YEAR(tblSprzedaz[[#This Row],[Data]])</f>
        <v>2026</v>
      </c>
      <c r="R1802" s="16">
        <f>MONTH(tblSprzedaz[[#This Row],[Data]])</f>
        <v>4</v>
      </c>
      <c r="S1802" s="9" t="str">
        <f>YEAR(tblSprzedaz[[#This Row],[Data]])&amp;"-"&amp;RIGHT("0"&amp;MONTH(tblSprzedaz[[#This Row],[Data]]),2)</f>
        <v>2026-04</v>
      </c>
    </row>
    <row r="1803" spans="1:19" x14ac:dyDescent="0.25">
      <c r="A1803" s="7" t="s">
        <v>3773</v>
      </c>
      <c r="B1803" s="10">
        <v>46141</v>
      </c>
      <c r="C1803" s="7" t="s">
        <v>3774</v>
      </c>
      <c r="D1803" s="8" t="s">
        <v>151</v>
      </c>
      <c r="E1803" s="8" t="s">
        <v>63</v>
      </c>
      <c r="F1803" s="8" t="s">
        <v>33</v>
      </c>
      <c r="G1803" s="8" t="s">
        <v>30</v>
      </c>
      <c r="H1803" s="8" t="s">
        <v>40</v>
      </c>
      <c r="I1803" s="11">
        <v>18</v>
      </c>
      <c r="J1803" s="12">
        <v>690</v>
      </c>
      <c r="K1803" s="13">
        <v>0</v>
      </c>
      <c r="L1803" s="12">
        <v>450.43</v>
      </c>
      <c r="M1803" s="14">
        <f>ROUND(tblSprzedaz[[#This Row],[Ilość]]*tblSprzedaz[[#This Row],[Cena netto jednostkowa]]*(1-tblSprzedaz[[#This Row],[Rabat %]]),2)</f>
        <v>12420</v>
      </c>
      <c r="N1803" s="14">
        <f>ROUND(tblSprzedaz[[#This Row],[Ilość]]*tblSprzedaz[[#This Row],[Koszt jednostkowy netto]],2)</f>
        <v>8107.74</v>
      </c>
      <c r="O1803" s="14">
        <f>tblSprzedaz[[#This Row],[Przychód netto]]-tblSprzedaz[[#This Row],[Koszt całkowity netto]]</f>
        <v>4312.26</v>
      </c>
      <c r="P1803" s="15">
        <f>IFERROR(tblSprzedaz[[#This Row],[Marża kwotowa]]/tblSprzedaz[[#This Row],[Przychód netto]],0)</f>
        <v>0.34720289855072467</v>
      </c>
      <c r="Q1803" s="16">
        <f>YEAR(tblSprzedaz[[#This Row],[Data]])</f>
        <v>2026</v>
      </c>
      <c r="R1803" s="16">
        <f>MONTH(tblSprzedaz[[#This Row],[Data]])</f>
        <v>4</v>
      </c>
      <c r="S1803" s="9" t="str">
        <f>YEAR(tblSprzedaz[[#This Row],[Data]])&amp;"-"&amp;RIGHT("0"&amp;MONTH(tblSprzedaz[[#This Row],[Data]]),2)</f>
        <v>2026-04</v>
      </c>
    </row>
    <row r="1804" spans="1:19" x14ac:dyDescent="0.25">
      <c r="A1804" s="7" t="s">
        <v>3775</v>
      </c>
      <c r="B1804" s="10">
        <v>46142</v>
      </c>
      <c r="C1804" s="7" t="s">
        <v>3776</v>
      </c>
      <c r="D1804" s="8" t="s">
        <v>145</v>
      </c>
      <c r="E1804" s="8" t="s">
        <v>65</v>
      </c>
      <c r="F1804" s="8" t="s">
        <v>33</v>
      </c>
      <c r="G1804" s="8" t="s">
        <v>34</v>
      </c>
      <c r="H1804" s="8" t="s">
        <v>44</v>
      </c>
      <c r="I1804" s="11">
        <v>7</v>
      </c>
      <c r="J1804" s="12">
        <v>377.2</v>
      </c>
      <c r="K1804" s="13">
        <v>0.1</v>
      </c>
      <c r="L1804" s="12">
        <v>266.24</v>
      </c>
      <c r="M1804" s="14">
        <f>ROUND(tblSprzedaz[[#This Row],[Ilość]]*tblSprzedaz[[#This Row],[Cena netto jednostkowa]]*(1-tblSprzedaz[[#This Row],[Rabat %]]),2)</f>
        <v>2376.36</v>
      </c>
      <c r="N1804" s="14">
        <f>ROUND(tblSprzedaz[[#This Row],[Ilość]]*tblSprzedaz[[#This Row],[Koszt jednostkowy netto]],2)</f>
        <v>1863.68</v>
      </c>
      <c r="O1804" s="14">
        <f>tblSprzedaz[[#This Row],[Przychód netto]]-tblSprzedaz[[#This Row],[Koszt całkowity netto]]</f>
        <v>512.68000000000006</v>
      </c>
      <c r="P1804" s="15">
        <f>IFERROR(tblSprzedaz[[#This Row],[Marża kwotowa]]/tblSprzedaz[[#This Row],[Przychód netto]],0)</f>
        <v>0.21574172263461766</v>
      </c>
      <c r="Q1804" s="16">
        <f>YEAR(tblSprzedaz[[#This Row],[Data]])</f>
        <v>2026</v>
      </c>
      <c r="R1804" s="16">
        <f>MONTH(tblSprzedaz[[#This Row],[Data]])</f>
        <v>4</v>
      </c>
      <c r="S1804" s="9" t="str">
        <f>YEAR(tblSprzedaz[[#This Row],[Data]])&amp;"-"&amp;RIGHT("0"&amp;MONTH(tblSprzedaz[[#This Row],[Data]]),2)</f>
        <v>2026-04</v>
      </c>
    </row>
    <row r="1805" spans="1:19" x14ac:dyDescent="0.25">
      <c r="A1805" s="7" t="s">
        <v>3777</v>
      </c>
      <c r="B1805" s="10">
        <v>46142</v>
      </c>
      <c r="C1805" s="7" t="s">
        <v>3778</v>
      </c>
      <c r="D1805" s="8" t="s">
        <v>117</v>
      </c>
      <c r="E1805" s="8" t="s">
        <v>53</v>
      </c>
      <c r="F1805" s="8" t="s">
        <v>29</v>
      </c>
      <c r="G1805" s="8" t="s">
        <v>28</v>
      </c>
      <c r="H1805" s="8" t="s">
        <v>38</v>
      </c>
      <c r="I1805" s="11">
        <v>20</v>
      </c>
      <c r="J1805" s="12">
        <v>27.88</v>
      </c>
      <c r="K1805" s="13">
        <v>0.1</v>
      </c>
      <c r="L1805" s="12">
        <v>16.05</v>
      </c>
      <c r="M1805" s="14">
        <f>ROUND(tblSprzedaz[[#This Row],[Ilość]]*tblSprzedaz[[#This Row],[Cena netto jednostkowa]]*(1-tblSprzedaz[[#This Row],[Rabat %]]),2)</f>
        <v>501.84</v>
      </c>
      <c r="N1805" s="14">
        <f>ROUND(tblSprzedaz[[#This Row],[Ilość]]*tblSprzedaz[[#This Row],[Koszt jednostkowy netto]],2)</f>
        <v>321</v>
      </c>
      <c r="O1805" s="14">
        <f>tblSprzedaz[[#This Row],[Przychód netto]]-tblSprzedaz[[#This Row],[Koszt całkowity netto]]</f>
        <v>180.83999999999997</v>
      </c>
      <c r="P1805" s="15">
        <f>IFERROR(tblSprzedaz[[#This Row],[Marża kwotowa]]/tblSprzedaz[[#This Row],[Przychód netto]],0)</f>
        <v>0.36035389765662357</v>
      </c>
      <c r="Q1805" s="16">
        <f>YEAR(tblSprzedaz[[#This Row],[Data]])</f>
        <v>2026</v>
      </c>
      <c r="R1805" s="16">
        <f>MONTH(tblSprzedaz[[#This Row],[Data]])</f>
        <v>4</v>
      </c>
      <c r="S1805" s="9" t="str">
        <f>YEAR(tblSprzedaz[[#This Row],[Data]])&amp;"-"&amp;RIGHT("0"&amp;MONTH(tblSprzedaz[[#This Row],[Data]]),2)</f>
        <v>2026-04</v>
      </c>
    </row>
    <row r="1806" spans="1:19" x14ac:dyDescent="0.25">
      <c r="A1806" s="7" t="s">
        <v>3779</v>
      </c>
      <c r="B1806" s="10">
        <v>46142</v>
      </c>
      <c r="C1806" s="7" t="s">
        <v>3780</v>
      </c>
      <c r="D1806" s="8" t="s">
        <v>82</v>
      </c>
      <c r="E1806" s="8" t="s">
        <v>54</v>
      </c>
      <c r="F1806" s="8" t="s">
        <v>31</v>
      </c>
      <c r="G1806" s="8" t="s">
        <v>36</v>
      </c>
      <c r="H1806" s="8" t="s">
        <v>47</v>
      </c>
      <c r="I1806" s="11">
        <v>14</v>
      </c>
      <c r="J1806" s="12">
        <v>207.9</v>
      </c>
      <c r="K1806" s="13">
        <v>0.1</v>
      </c>
      <c r="L1806" s="12">
        <v>138.35</v>
      </c>
      <c r="M1806" s="14">
        <f>ROUND(tblSprzedaz[[#This Row],[Ilość]]*tblSprzedaz[[#This Row],[Cena netto jednostkowa]]*(1-tblSprzedaz[[#This Row],[Rabat %]]),2)</f>
        <v>2619.54</v>
      </c>
      <c r="N1806" s="14">
        <f>ROUND(tblSprzedaz[[#This Row],[Ilość]]*tblSprzedaz[[#This Row],[Koszt jednostkowy netto]],2)</f>
        <v>1936.9</v>
      </c>
      <c r="O1806" s="14">
        <f>tblSprzedaz[[#This Row],[Przychód netto]]-tblSprzedaz[[#This Row],[Koszt całkowity netto]]</f>
        <v>682.63999999999987</v>
      </c>
      <c r="P1806" s="15">
        <f>IFERROR(tblSprzedaz[[#This Row],[Marża kwotowa]]/tblSprzedaz[[#This Row],[Przychód netto]],0)</f>
        <v>0.26059537170648278</v>
      </c>
      <c r="Q1806" s="16">
        <f>YEAR(tblSprzedaz[[#This Row],[Data]])</f>
        <v>2026</v>
      </c>
      <c r="R1806" s="16">
        <f>MONTH(tblSprzedaz[[#This Row],[Data]])</f>
        <v>4</v>
      </c>
      <c r="S1806" s="9" t="str">
        <f>YEAR(tblSprzedaz[[#This Row],[Data]])&amp;"-"&amp;RIGHT("0"&amp;MONTH(tblSprzedaz[[#This Row],[Data]]),2)</f>
        <v>2026-04</v>
      </c>
    </row>
    <row r="1807" spans="1:19" x14ac:dyDescent="0.25">
      <c r="A1807" s="7" t="s">
        <v>3781</v>
      </c>
      <c r="B1807" s="10">
        <v>46142</v>
      </c>
      <c r="C1807" s="7" t="s">
        <v>3782</v>
      </c>
      <c r="D1807" s="8" t="s">
        <v>135</v>
      </c>
      <c r="E1807" s="8" t="s">
        <v>69</v>
      </c>
      <c r="F1807" s="8" t="s">
        <v>35</v>
      </c>
      <c r="G1807" s="8" t="s">
        <v>36</v>
      </c>
      <c r="H1807" s="8" t="s">
        <v>46</v>
      </c>
      <c r="I1807" s="11">
        <v>15</v>
      </c>
      <c r="J1807" s="12">
        <v>102</v>
      </c>
      <c r="K1807" s="13">
        <v>0</v>
      </c>
      <c r="L1807" s="12">
        <v>77.02</v>
      </c>
      <c r="M1807" s="14">
        <f>ROUND(tblSprzedaz[[#This Row],[Ilość]]*tblSprzedaz[[#This Row],[Cena netto jednostkowa]]*(1-tblSprzedaz[[#This Row],[Rabat %]]),2)</f>
        <v>1530</v>
      </c>
      <c r="N1807" s="14">
        <f>ROUND(tblSprzedaz[[#This Row],[Ilość]]*tblSprzedaz[[#This Row],[Koszt jednostkowy netto]],2)</f>
        <v>1155.3</v>
      </c>
      <c r="O1807" s="14">
        <f>tblSprzedaz[[#This Row],[Przychód netto]]-tblSprzedaz[[#This Row],[Koszt całkowity netto]]</f>
        <v>374.70000000000005</v>
      </c>
      <c r="P1807" s="15">
        <f>IFERROR(tblSprzedaz[[#This Row],[Marża kwotowa]]/tblSprzedaz[[#This Row],[Przychód netto]],0)</f>
        <v>0.24490196078431375</v>
      </c>
      <c r="Q1807" s="16">
        <f>YEAR(tblSprzedaz[[#This Row],[Data]])</f>
        <v>2026</v>
      </c>
      <c r="R1807" s="16">
        <f>MONTH(tblSprzedaz[[#This Row],[Data]])</f>
        <v>4</v>
      </c>
      <c r="S1807" s="9" t="str">
        <f>YEAR(tblSprzedaz[[#This Row],[Data]])&amp;"-"&amp;RIGHT("0"&amp;MONTH(tblSprzedaz[[#This Row],[Data]]),2)</f>
        <v>2026-04</v>
      </c>
    </row>
    <row r="1808" spans="1:19" x14ac:dyDescent="0.25">
      <c r="A1808" s="7" t="s">
        <v>3783</v>
      </c>
      <c r="B1808" s="10">
        <v>46142</v>
      </c>
      <c r="C1808" s="7" t="s">
        <v>3784</v>
      </c>
      <c r="D1808" s="8" t="s">
        <v>138</v>
      </c>
      <c r="E1808" s="8" t="s">
        <v>49</v>
      </c>
      <c r="F1808" s="8" t="s">
        <v>29</v>
      </c>
      <c r="G1808" s="8" t="s">
        <v>32</v>
      </c>
      <c r="H1808" s="8" t="s">
        <v>42</v>
      </c>
      <c r="I1808" s="11">
        <v>15</v>
      </c>
      <c r="J1808" s="12">
        <v>39.44</v>
      </c>
      <c r="K1808" s="13">
        <v>0.05</v>
      </c>
      <c r="L1808" s="12">
        <v>24.3</v>
      </c>
      <c r="M1808" s="14">
        <f>ROUND(tblSprzedaz[[#This Row],[Ilość]]*tblSprzedaz[[#This Row],[Cena netto jednostkowa]]*(1-tblSprzedaz[[#This Row],[Rabat %]]),2)</f>
        <v>562.02</v>
      </c>
      <c r="N1808" s="14">
        <f>ROUND(tblSprzedaz[[#This Row],[Ilość]]*tblSprzedaz[[#This Row],[Koszt jednostkowy netto]],2)</f>
        <v>364.5</v>
      </c>
      <c r="O1808" s="14">
        <f>tblSprzedaz[[#This Row],[Przychód netto]]-tblSprzedaz[[#This Row],[Koszt całkowity netto]]</f>
        <v>197.51999999999998</v>
      </c>
      <c r="P1808" s="15">
        <f>IFERROR(tblSprzedaz[[#This Row],[Marża kwotowa]]/tblSprzedaz[[#This Row],[Przychód netto]],0)</f>
        <v>0.35144656773780292</v>
      </c>
      <c r="Q1808" s="16">
        <f>YEAR(tblSprzedaz[[#This Row],[Data]])</f>
        <v>2026</v>
      </c>
      <c r="R1808" s="16">
        <f>MONTH(tblSprzedaz[[#This Row],[Data]])</f>
        <v>4</v>
      </c>
      <c r="S1808" s="9" t="str">
        <f>YEAR(tblSprzedaz[[#This Row],[Data]])&amp;"-"&amp;RIGHT("0"&amp;MONTH(tblSprzedaz[[#This Row],[Data]]),2)</f>
        <v>2026-04</v>
      </c>
    </row>
    <row r="1809" spans="1:19" x14ac:dyDescent="0.25">
      <c r="A1809" s="7" t="s">
        <v>3785</v>
      </c>
      <c r="B1809" s="10">
        <v>46143</v>
      </c>
      <c r="C1809" s="7" t="s">
        <v>3786</v>
      </c>
      <c r="D1809" s="8" t="s">
        <v>123</v>
      </c>
      <c r="E1809" s="8" t="s">
        <v>53</v>
      </c>
      <c r="F1809" s="8" t="s">
        <v>29</v>
      </c>
      <c r="G1809" s="8" t="s">
        <v>32</v>
      </c>
      <c r="H1809" s="8" t="s">
        <v>43</v>
      </c>
      <c r="I1809" s="11">
        <v>17</v>
      </c>
      <c r="J1809" s="12">
        <v>27.88</v>
      </c>
      <c r="K1809" s="13">
        <v>0.15</v>
      </c>
      <c r="L1809" s="12">
        <v>15.79</v>
      </c>
      <c r="M1809" s="14">
        <f>ROUND(tblSprzedaz[[#This Row],[Ilość]]*tblSprzedaz[[#This Row],[Cena netto jednostkowa]]*(1-tblSprzedaz[[#This Row],[Rabat %]]),2)</f>
        <v>402.87</v>
      </c>
      <c r="N1809" s="14">
        <f>ROUND(tblSprzedaz[[#This Row],[Ilość]]*tblSprzedaz[[#This Row],[Koszt jednostkowy netto]],2)</f>
        <v>268.43</v>
      </c>
      <c r="O1809" s="14">
        <f>tblSprzedaz[[#This Row],[Przychód netto]]-tblSprzedaz[[#This Row],[Koszt całkowity netto]]</f>
        <v>134.44</v>
      </c>
      <c r="P1809" s="15">
        <f>IFERROR(tblSprzedaz[[#This Row],[Marża kwotowa]]/tblSprzedaz[[#This Row],[Przychód netto]],0)</f>
        <v>0.33370566187603939</v>
      </c>
      <c r="Q1809" s="16">
        <f>YEAR(tblSprzedaz[[#This Row],[Data]])</f>
        <v>2026</v>
      </c>
      <c r="R1809" s="16">
        <f>MONTH(tblSprzedaz[[#This Row],[Data]])</f>
        <v>5</v>
      </c>
      <c r="S1809" s="9" t="str">
        <f>YEAR(tblSprzedaz[[#This Row],[Data]])&amp;"-"&amp;RIGHT("0"&amp;MONTH(tblSprzedaz[[#This Row],[Data]]),2)</f>
        <v>2026-05</v>
      </c>
    </row>
    <row r="1810" spans="1:19" x14ac:dyDescent="0.25">
      <c r="A1810" s="7" t="s">
        <v>3787</v>
      </c>
      <c r="B1810" s="10">
        <v>46143</v>
      </c>
      <c r="C1810" s="7" t="s">
        <v>3788</v>
      </c>
      <c r="D1810" s="8" t="s">
        <v>138</v>
      </c>
      <c r="E1810" s="8" t="s">
        <v>71</v>
      </c>
      <c r="F1810" s="8" t="s">
        <v>35</v>
      </c>
      <c r="G1810" s="8" t="s">
        <v>28</v>
      </c>
      <c r="H1810" s="8" t="s">
        <v>39</v>
      </c>
      <c r="I1810" s="11">
        <v>16</v>
      </c>
      <c r="J1810" s="12">
        <v>55.76</v>
      </c>
      <c r="K1810" s="13">
        <v>0.1</v>
      </c>
      <c r="L1810" s="12">
        <v>40.9</v>
      </c>
      <c r="M1810" s="14">
        <f>ROUND(tblSprzedaz[[#This Row],[Ilość]]*tblSprzedaz[[#This Row],[Cena netto jednostkowa]]*(1-tblSprzedaz[[#This Row],[Rabat %]]),2)</f>
        <v>802.94</v>
      </c>
      <c r="N1810" s="14">
        <f>ROUND(tblSprzedaz[[#This Row],[Ilość]]*tblSprzedaz[[#This Row],[Koszt jednostkowy netto]],2)</f>
        <v>654.4</v>
      </c>
      <c r="O1810" s="14">
        <f>tblSprzedaz[[#This Row],[Przychód netto]]-tblSprzedaz[[#This Row],[Koszt całkowity netto]]</f>
        <v>148.54000000000008</v>
      </c>
      <c r="P1810" s="15">
        <f>IFERROR(tblSprzedaz[[#This Row],[Marża kwotowa]]/tblSprzedaz[[#This Row],[Przychód netto]],0)</f>
        <v>0.18499514285002625</v>
      </c>
      <c r="Q1810" s="16">
        <f>YEAR(tblSprzedaz[[#This Row],[Data]])</f>
        <v>2026</v>
      </c>
      <c r="R1810" s="16">
        <f>MONTH(tblSprzedaz[[#This Row],[Data]])</f>
        <v>5</v>
      </c>
      <c r="S1810" s="9" t="str">
        <f>YEAR(tblSprzedaz[[#This Row],[Data]])&amp;"-"&amp;RIGHT("0"&amp;MONTH(tblSprzedaz[[#This Row],[Data]]),2)</f>
        <v>2026-05</v>
      </c>
    </row>
    <row r="1811" spans="1:19" x14ac:dyDescent="0.25">
      <c r="A1811" s="7" t="s">
        <v>3789</v>
      </c>
      <c r="B1811" s="10">
        <v>46143</v>
      </c>
      <c r="C1811" s="7" t="s">
        <v>3790</v>
      </c>
      <c r="D1811" s="8" t="s">
        <v>140</v>
      </c>
      <c r="E1811" s="8" t="s">
        <v>66</v>
      </c>
      <c r="F1811" s="8" t="s">
        <v>35</v>
      </c>
      <c r="G1811" s="8" t="s">
        <v>30</v>
      </c>
      <c r="H1811" s="8" t="s">
        <v>41</v>
      </c>
      <c r="I1811" s="11">
        <v>27</v>
      </c>
      <c r="J1811" s="12">
        <v>67.319999999999993</v>
      </c>
      <c r="K1811" s="13">
        <v>0.05</v>
      </c>
      <c r="L1811" s="12">
        <v>49.13</v>
      </c>
      <c r="M1811" s="14">
        <f>ROUND(tblSprzedaz[[#This Row],[Ilość]]*tblSprzedaz[[#This Row],[Cena netto jednostkowa]]*(1-tblSprzedaz[[#This Row],[Rabat %]]),2)</f>
        <v>1726.76</v>
      </c>
      <c r="N1811" s="14">
        <f>ROUND(tblSprzedaz[[#This Row],[Ilość]]*tblSprzedaz[[#This Row],[Koszt jednostkowy netto]],2)</f>
        <v>1326.51</v>
      </c>
      <c r="O1811" s="14">
        <f>tblSprzedaz[[#This Row],[Przychód netto]]-tblSprzedaz[[#This Row],[Koszt całkowity netto]]</f>
        <v>400.25</v>
      </c>
      <c r="P1811" s="15">
        <f>IFERROR(tblSprzedaz[[#This Row],[Marża kwotowa]]/tblSprzedaz[[#This Row],[Przychód netto]],0)</f>
        <v>0.23179248998123653</v>
      </c>
      <c r="Q1811" s="16">
        <f>YEAR(tblSprzedaz[[#This Row],[Data]])</f>
        <v>2026</v>
      </c>
      <c r="R1811" s="16">
        <f>MONTH(tblSprzedaz[[#This Row],[Data]])</f>
        <v>5</v>
      </c>
      <c r="S1811" s="9" t="str">
        <f>YEAR(tblSprzedaz[[#This Row],[Data]])&amp;"-"&amp;RIGHT("0"&amp;MONTH(tblSprzedaz[[#This Row],[Data]]),2)</f>
        <v>2026-05</v>
      </c>
    </row>
    <row r="1812" spans="1:19" x14ac:dyDescent="0.25">
      <c r="A1812" s="7" t="s">
        <v>3791</v>
      </c>
      <c r="B1812" s="10">
        <v>46143</v>
      </c>
      <c r="C1812" s="7" t="s">
        <v>3792</v>
      </c>
      <c r="D1812" s="8" t="s">
        <v>97</v>
      </c>
      <c r="E1812" s="8" t="s">
        <v>68</v>
      </c>
      <c r="F1812" s="8" t="s">
        <v>35</v>
      </c>
      <c r="G1812" s="8" t="s">
        <v>28</v>
      </c>
      <c r="H1812" s="8" t="s">
        <v>38</v>
      </c>
      <c r="I1812" s="11">
        <v>7</v>
      </c>
      <c r="J1812" s="12">
        <v>90.44</v>
      </c>
      <c r="K1812" s="13">
        <v>0</v>
      </c>
      <c r="L1812" s="12">
        <v>67.53</v>
      </c>
      <c r="M1812" s="14">
        <f>ROUND(tblSprzedaz[[#This Row],[Ilość]]*tblSprzedaz[[#This Row],[Cena netto jednostkowa]]*(1-tblSprzedaz[[#This Row],[Rabat %]]),2)</f>
        <v>633.08000000000004</v>
      </c>
      <c r="N1812" s="14">
        <f>ROUND(tblSprzedaz[[#This Row],[Ilość]]*tblSprzedaz[[#This Row],[Koszt jednostkowy netto]],2)</f>
        <v>472.71</v>
      </c>
      <c r="O1812" s="14">
        <f>tblSprzedaz[[#This Row],[Przychód netto]]-tblSprzedaz[[#This Row],[Koszt całkowity netto]]</f>
        <v>160.37000000000006</v>
      </c>
      <c r="P1812" s="15">
        <f>IFERROR(tblSprzedaz[[#This Row],[Marża kwotowa]]/tblSprzedaz[[#This Row],[Przychód netto]],0)</f>
        <v>0.25331711632021237</v>
      </c>
      <c r="Q1812" s="16">
        <f>YEAR(tblSprzedaz[[#This Row],[Data]])</f>
        <v>2026</v>
      </c>
      <c r="R1812" s="16">
        <f>MONTH(tblSprzedaz[[#This Row],[Data]])</f>
        <v>5</v>
      </c>
      <c r="S1812" s="9" t="str">
        <f>YEAR(tblSprzedaz[[#This Row],[Data]])&amp;"-"&amp;RIGHT("0"&amp;MONTH(tblSprzedaz[[#This Row],[Data]]),2)</f>
        <v>2026-05</v>
      </c>
    </row>
    <row r="1813" spans="1:19" x14ac:dyDescent="0.25">
      <c r="A1813" s="7" t="s">
        <v>3793</v>
      </c>
      <c r="B1813" s="10">
        <v>46143</v>
      </c>
      <c r="C1813" s="7" t="s">
        <v>3794</v>
      </c>
      <c r="D1813" s="8" t="s">
        <v>82</v>
      </c>
      <c r="E1813" s="8" t="s">
        <v>77</v>
      </c>
      <c r="F1813" s="8" t="s">
        <v>37</v>
      </c>
      <c r="G1813" s="8" t="s">
        <v>34</v>
      </c>
      <c r="H1813" s="8" t="s">
        <v>45</v>
      </c>
      <c r="I1813" s="11">
        <v>11</v>
      </c>
      <c r="J1813" s="12">
        <v>77.900000000000006</v>
      </c>
      <c r="K1813" s="13">
        <v>0.1</v>
      </c>
      <c r="L1813" s="12">
        <v>62.16</v>
      </c>
      <c r="M1813" s="14">
        <f>ROUND(tblSprzedaz[[#This Row],[Ilość]]*tblSprzedaz[[#This Row],[Cena netto jednostkowa]]*(1-tblSprzedaz[[#This Row],[Rabat %]]),2)</f>
        <v>771.21</v>
      </c>
      <c r="N1813" s="14">
        <f>ROUND(tblSprzedaz[[#This Row],[Ilość]]*tblSprzedaz[[#This Row],[Koszt jednostkowy netto]],2)</f>
        <v>683.76</v>
      </c>
      <c r="O1813" s="14">
        <f>tblSprzedaz[[#This Row],[Przychód netto]]-tblSprzedaz[[#This Row],[Koszt całkowity netto]]</f>
        <v>87.450000000000045</v>
      </c>
      <c r="P1813" s="15">
        <f>IFERROR(tblSprzedaz[[#This Row],[Marża kwotowa]]/tblSprzedaz[[#This Row],[Przychód netto]],0)</f>
        <v>0.1133932391955499</v>
      </c>
      <c r="Q1813" s="16">
        <f>YEAR(tblSprzedaz[[#This Row],[Data]])</f>
        <v>2026</v>
      </c>
      <c r="R1813" s="16">
        <f>MONTH(tblSprzedaz[[#This Row],[Data]])</f>
        <v>5</v>
      </c>
      <c r="S1813" s="9" t="str">
        <f>YEAR(tblSprzedaz[[#This Row],[Data]])&amp;"-"&amp;RIGHT("0"&amp;MONTH(tblSprzedaz[[#This Row],[Data]]),2)</f>
        <v>2026-05</v>
      </c>
    </row>
    <row r="1814" spans="1:19" x14ac:dyDescent="0.25">
      <c r="A1814" s="7" t="s">
        <v>3795</v>
      </c>
      <c r="B1814" s="10">
        <v>46144</v>
      </c>
      <c r="C1814" s="7" t="s">
        <v>3796</v>
      </c>
      <c r="D1814" s="8" t="s">
        <v>86</v>
      </c>
      <c r="E1814" s="8" t="s">
        <v>74</v>
      </c>
      <c r="F1814" s="8" t="s">
        <v>37</v>
      </c>
      <c r="G1814" s="8" t="s">
        <v>32</v>
      </c>
      <c r="H1814" s="8" t="s">
        <v>42</v>
      </c>
      <c r="I1814" s="11">
        <v>21</v>
      </c>
      <c r="J1814" s="12">
        <v>126.35</v>
      </c>
      <c r="K1814" s="13">
        <v>0.1</v>
      </c>
      <c r="L1814" s="12">
        <v>102.34</v>
      </c>
      <c r="M1814" s="14">
        <f>ROUND(tblSprzedaz[[#This Row],[Ilość]]*tblSprzedaz[[#This Row],[Cena netto jednostkowa]]*(1-tblSprzedaz[[#This Row],[Rabat %]]),2)</f>
        <v>2388.02</v>
      </c>
      <c r="N1814" s="14">
        <f>ROUND(tblSprzedaz[[#This Row],[Ilość]]*tblSprzedaz[[#This Row],[Koszt jednostkowy netto]],2)</f>
        <v>2149.14</v>
      </c>
      <c r="O1814" s="14">
        <f>tblSprzedaz[[#This Row],[Przychód netto]]-tblSprzedaz[[#This Row],[Koszt całkowity netto]]</f>
        <v>238.88000000000011</v>
      </c>
      <c r="P1814" s="15">
        <f>IFERROR(tblSprzedaz[[#This Row],[Marża kwotowa]]/tblSprzedaz[[#This Row],[Przychód netto]],0)</f>
        <v>0.10003266304302313</v>
      </c>
      <c r="Q1814" s="16">
        <f>YEAR(tblSprzedaz[[#This Row],[Data]])</f>
        <v>2026</v>
      </c>
      <c r="R1814" s="16">
        <f>MONTH(tblSprzedaz[[#This Row],[Data]])</f>
        <v>5</v>
      </c>
      <c r="S1814" s="9" t="str">
        <f>YEAR(tblSprzedaz[[#This Row],[Data]])&amp;"-"&amp;RIGHT("0"&amp;MONTH(tblSprzedaz[[#This Row],[Data]]),2)</f>
        <v>2026-05</v>
      </c>
    </row>
    <row r="1815" spans="1:19" x14ac:dyDescent="0.25">
      <c r="A1815" s="7" t="s">
        <v>3797</v>
      </c>
      <c r="B1815" s="10">
        <v>46145</v>
      </c>
      <c r="C1815" s="7" t="s">
        <v>3798</v>
      </c>
      <c r="D1815" s="8" t="s">
        <v>85</v>
      </c>
      <c r="E1815" s="8" t="s">
        <v>69</v>
      </c>
      <c r="F1815" s="8" t="s">
        <v>35</v>
      </c>
      <c r="G1815" s="8" t="s">
        <v>30</v>
      </c>
      <c r="H1815" s="8" t="s">
        <v>40</v>
      </c>
      <c r="I1815" s="11">
        <v>5</v>
      </c>
      <c r="J1815" s="12">
        <v>102</v>
      </c>
      <c r="K1815" s="13">
        <v>0</v>
      </c>
      <c r="L1815" s="12">
        <v>75.239999999999995</v>
      </c>
      <c r="M1815" s="14">
        <f>ROUND(tblSprzedaz[[#This Row],[Ilość]]*tblSprzedaz[[#This Row],[Cena netto jednostkowa]]*(1-tblSprzedaz[[#This Row],[Rabat %]]),2)</f>
        <v>510</v>
      </c>
      <c r="N1815" s="14">
        <f>ROUND(tblSprzedaz[[#This Row],[Ilość]]*tblSprzedaz[[#This Row],[Koszt jednostkowy netto]],2)</f>
        <v>376.2</v>
      </c>
      <c r="O1815" s="14">
        <f>tblSprzedaz[[#This Row],[Przychód netto]]-tblSprzedaz[[#This Row],[Koszt całkowity netto]]</f>
        <v>133.80000000000001</v>
      </c>
      <c r="P1815" s="15">
        <f>IFERROR(tblSprzedaz[[#This Row],[Marża kwotowa]]/tblSprzedaz[[#This Row],[Przychód netto]],0)</f>
        <v>0.26235294117647062</v>
      </c>
      <c r="Q1815" s="16">
        <f>YEAR(tblSprzedaz[[#This Row],[Data]])</f>
        <v>2026</v>
      </c>
      <c r="R1815" s="16">
        <f>MONTH(tblSprzedaz[[#This Row],[Data]])</f>
        <v>5</v>
      </c>
      <c r="S1815" s="9" t="str">
        <f>YEAR(tblSprzedaz[[#This Row],[Data]])&amp;"-"&amp;RIGHT("0"&amp;MONTH(tblSprzedaz[[#This Row],[Data]]),2)</f>
        <v>2026-05</v>
      </c>
    </row>
    <row r="1816" spans="1:19" x14ac:dyDescent="0.25">
      <c r="A1816" s="7" t="s">
        <v>3799</v>
      </c>
      <c r="B1816" s="10">
        <v>46146</v>
      </c>
      <c r="C1816" s="7" t="s">
        <v>3800</v>
      </c>
      <c r="D1816" s="8" t="s">
        <v>128</v>
      </c>
      <c r="E1816" s="8" t="s">
        <v>64</v>
      </c>
      <c r="F1816" s="8" t="s">
        <v>33</v>
      </c>
      <c r="G1816" s="8" t="s">
        <v>28</v>
      </c>
      <c r="H1816" s="8" t="s">
        <v>38</v>
      </c>
      <c r="I1816" s="11">
        <v>24</v>
      </c>
      <c r="J1816" s="12">
        <v>768.2</v>
      </c>
      <c r="K1816" s="13">
        <v>0.15</v>
      </c>
      <c r="L1816" s="12">
        <v>504.35</v>
      </c>
      <c r="M1816" s="14">
        <f>ROUND(tblSprzedaz[[#This Row],[Ilość]]*tblSprzedaz[[#This Row],[Cena netto jednostkowa]]*(1-tblSprzedaz[[#This Row],[Rabat %]]),2)</f>
        <v>15671.28</v>
      </c>
      <c r="N1816" s="14">
        <f>ROUND(tblSprzedaz[[#This Row],[Ilość]]*tblSprzedaz[[#This Row],[Koszt jednostkowy netto]],2)</f>
        <v>12104.4</v>
      </c>
      <c r="O1816" s="14">
        <f>tblSprzedaz[[#This Row],[Przychód netto]]-tblSprzedaz[[#This Row],[Koszt całkowity netto]]</f>
        <v>3566.880000000001</v>
      </c>
      <c r="P1816" s="15">
        <f>IFERROR(tblSprzedaz[[#This Row],[Marża kwotowa]]/tblSprzedaz[[#This Row],[Przychód netto]],0)</f>
        <v>0.22760616873669545</v>
      </c>
      <c r="Q1816" s="16">
        <f>YEAR(tblSprzedaz[[#This Row],[Data]])</f>
        <v>2026</v>
      </c>
      <c r="R1816" s="16">
        <f>MONTH(tblSprzedaz[[#This Row],[Data]])</f>
        <v>5</v>
      </c>
      <c r="S1816" s="9" t="str">
        <f>YEAR(tblSprzedaz[[#This Row],[Data]])&amp;"-"&amp;RIGHT("0"&amp;MONTH(tblSprzedaz[[#This Row],[Data]]),2)</f>
        <v>2026-05</v>
      </c>
    </row>
    <row r="1817" spans="1:19" x14ac:dyDescent="0.25">
      <c r="A1817" s="7" t="s">
        <v>3801</v>
      </c>
      <c r="B1817" s="10">
        <v>46146</v>
      </c>
      <c r="C1817" s="7" t="s">
        <v>3802</v>
      </c>
      <c r="D1817" s="8" t="s">
        <v>130</v>
      </c>
      <c r="E1817" s="8" t="s">
        <v>54</v>
      </c>
      <c r="F1817" s="8" t="s">
        <v>31</v>
      </c>
      <c r="G1817" s="8" t="s">
        <v>28</v>
      </c>
      <c r="H1817" s="8" t="s">
        <v>38</v>
      </c>
      <c r="I1817" s="11">
        <v>23</v>
      </c>
      <c r="J1817" s="12">
        <v>207.9</v>
      </c>
      <c r="K1817" s="13">
        <v>0.15</v>
      </c>
      <c r="L1817" s="12">
        <v>135.57</v>
      </c>
      <c r="M1817" s="14">
        <f>ROUND(tblSprzedaz[[#This Row],[Ilość]]*tblSprzedaz[[#This Row],[Cena netto jednostkowa]]*(1-tblSprzedaz[[#This Row],[Rabat %]]),2)</f>
        <v>4064.45</v>
      </c>
      <c r="N1817" s="14">
        <f>ROUND(tblSprzedaz[[#This Row],[Ilość]]*tblSprzedaz[[#This Row],[Koszt jednostkowy netto]],2)</f>
        <v>3118.11</v>
      </c>
      <c r="O1817" s="14">
        <f>tblSprzedaz[[#This Row],[Przychód netto]]-tblSprzedaz[[#This Row],[Koszt całkowity netto]]</f>
        <v>946.33999999999969</v>
      </c>
      <c r="P1817" s="15">
        <f>IFERROR(tblSprzedaz[[#This Row],[Marża kwotowa]]/tblSprzedaz[[#This Row],[Przychód netto]],0)</f>
        <v>0.23283347070329313</v>
      </c>
      <c r="Q1817" s="16">
        <f>YEAR(tblSprzedaz[[#This Row],[Data]])</f>
        <v>2026</v>
      </c>
      <c r="R1817" s="16">
        <f>MONTH(tblSprzedaz[[#This Row],[Data]])</f>
        <v>5</v>
      </c>
      <c r="S1817" s="9" t="str">
        <f>YEAR(tblSprzedaz[[#This Row],[Data]])&amp;"-"&amp;RIGHT("0"&amp;MONTH(tblSprzedaz[[#This Row],[Data]]),2)</f>
        <v>2026-05</v>
      </c>
    </row>
    <row r="1818" spans="1:19" x14ac:dyDescent="0.25">
      <c r="A1818" s="7" t="s">
        <v>3803</v>
      </c>
      <c r="B1818" s="10">
        <v>46146</v>
      </c>
      <c r="C1818" s="7" t="s">
        <v>3804</v>
      </c>
      <c r="D1818" s="8" t="s">
        <v>140</v>
      </c>
      <c r="E1818" s="8" t="s">
        <v>67</v>
      </c>
      <c r="F1818" s="8" t="s">
        <v>35</v>
      </c>
      <c r="G1818" s="8" t="s">
        <v>28</v>
      </c>
      <c r="H1818" s="8" t="s">
        <v>38</v>
      </c>
      <c r="I1818" s="11">
        <v>14</v>
      </c>
      <c r="J1818" s="12">
        <v>78.88</v>
      </c>
      <c r="K1818" s="13">
        <v>0.15</v>
      </c>
      <c r="L1818" s="12">
        <v>55.99</v>
      </c>
      <c r="M1818" s="14">
        <f>ROUND(tblSprzedaz[[#This Row],[Ilość]]*tblSprzedaz[[#This Row],[Cena netto jednostkowa]]*(1-tblSprzedaz[[#This Row],[Rabat %]]),2)</f>
        <v>938.67</v>
      </c>
      <c r="N1818" s="14">
        <f>ROUND(tblSprzedaz[[#This Row],[Ilość]]*tblSprzedaz[[#This Row],[Koszt jednostkowy netto]],2)</f>
        <v>783.86</v>
      </c>
      <c r="O1818" s="14">
        <f>tblSprzedaz[[#This Row],[Przychód netto]]-tblSprzedaz[[#This Row],[Koszt całkowity netto]]</f>
        <v>154.80999999999995</v>
      </c>
      <c r="P1818" s="15">
        <f>IFERROR(tblSprzedaz[[#This Row],[Marża kwotowa]]/tblSprzedaz[[#This Row],[Przychód netto]],0)</f>
        <v>0.16492484046576533</v>
      </c>
      <c r="Q1818" s="16">
        <f>YEAR(tblSprzedaz[[#This Row],[Data]])</f>
        <v>2026</v>
      </c>
      <c r="R1818" s="16">
        <f>MONTH(tblSprzedaz[[#This Row],[Data]])</f>
        <v>5</v>
      </c>
      <c r="S1818" s="9" t="str">
        <f>YEAR(tblSprzedaz[[#This Row],[Data]])&amp;"-"&amp;RIGHT("0"&amp;MONTH(tblSprzedaz[[#This Row],[Data]]),2)</f>
        <v>2026-05</v>
      </c>
    </row>
    <row r="1819" spans="1:19" x14ac:dyDescent="0.25">
      <c r="A1819" s="7" t="s">
        <v>3805</v>
      </c>
      <c r="B1819" s="10">
        <v>46146</v>
      </c>
      <c r="C1819" s="7" t="s">
        <v>3806</v>
      </c>
      <c r="D1819" s="8" t="s">
        <v>86</v>
      </c>
      <c r="E1819" s="8" t="s">
        <v>56</v>
      </c>
      <c r="F1819" s="8" t="s">
        <v>31</v>
      </c>
      <c r="G1819" s="8" t="s">
        <v>30</v>
      </c>
      <c r="H1819" s="8" t="s">
        <v>41</v>
      </c>
      <c r="I1819" s="11">
        <v>13</v>
      </c>
      <c r="J1819" s="12">
        <v>279.3</v>
      </c>
      <c r="K1819" s="13">
        <v>0.05</v>
      </c>
      <c r="L1819" s="12">
        <v>167.23</v>
      </c>
      <c r="M1819" s="14">
        <f>ROUND(tblSprzedaz[[#This Row],[Ilość]]*tblSprzedaz[[#This Row],[Cena netto jednostkowa]]*(1-tblSprzedaz[[#This Row],[Rabat %]]),2)</f>
        <v>3449.36</v>
      </c>
      <c r="N1819" s="14">
        <f>ROUND(tblSprzedaz[[#This Row],[Ilość]]*tblSprzedaz[[#This Row],[Koszt jednostkowy netto]],2)</f>
        <v>2173.9899999999998</v>
      </c>
      <c r="O1819" s="14">
        <f>tblSprzedaz[[#This Row],[Przychód netto]]-tblSprzedaz[[#This Row],[Koszt całkowity netto]]</f>
        <v>1275.3700000000003</v>
      </c>
      <c r="P1819" s="15">
        <f>IFERROR(tblSprzedaz[[#This Row],[Marża kwotowa]]/tblSprzedaz[[#This Row],[Przychód netto]],0)</f>
        <v>0.36974105341280711</v>
      </c>
      <c r="Q1819" s="16">
        <f>YEAR(tblSprzedaz[[#This Row],[Data]])</f>
        <v>2026</v>
      </c>
      <c r="R1819" s="16">
        <f>MONTH(tblSprzedaz[[#This Row],[Data]])</f>
        <v>5</v>
      </c>
      <c r="S1819" s="9" t="str">
        <f>YEAR(tblSprzedaz[[#This Row],[Data]])&amp;"-"&amp;RIGHT("0"&amp;MONTH(tblSprzedaz[[#This Row],[Data]]),2)</f>
        <v>2026-05</v>
      </c>
    </row>
    <row r="1820" spans="1:19" x14ac:dyDescent="0.25">
      <c r="A1820" s="7" t="s">
        <v>3807</v>
      </c>
      <c r="B1820" s="10">
        <v>46146</v>
      </c>
      <c r="C1820" s="7" t="s">
        <v>3808</v>
      </c>
      <c r="D1820" s="8" t="s">
        <v>141</v>
      </c>
      <c r="E1820" s="8" t="s">
        <v>60</v>
      </c>
      <c r="F1820" s="8" t="s">
        <v>33</v>
      </c>
      <c r="G1820" s="8" t="s">
        <v>32</v>
      </c>
      <c r="H1820" s="8" t="s">
        <v>42</v>
      </c>
      <c r="I1820" s="11">
        <v>26</v>
      </c>
      <c r="J1820" s="12">
        <v>455.4</v>
      </c>
      <c r="K1820" s="13">
        <v>0.05</v>
      </c>
      <c r="L1820" s="12">
        <v>291.76</v>
      </c>
      <c r="M1820" s="14">
        <f>ROUND(tblSprzedaz[[#This Row],[Ilość]]*tblSprzedaz[[#This Row],[Cena netto jednostkowa]]*(1-tblSprzedaz[[#This Row],[Rabat %]]),2)</f>
        <v>11248.38</v>
      </c>
      <c r="N1820" s="14">
        <f>ROUND(tblSprzedaz[[#This Row],[Ilość]]*tblSprzedaz[[#This Row],[Koszt jednostkowy netto]],2)</f>
        <v>7585.76</v>
      </c>
      <c r="O1820" s="14">
        <f>tblSprzedaz[[#This Row],[Przychód netto]]-tblSprzedaz[[#This Row],[Koszt całkowity netto]]</f>
        <v>3662.619999999999</v>
      </c>
      <c r="P1820" s="15">
        <f>IFERROR(tblSprzedaz[[#This Row],[Marża kwotowa]]/tblSprzedaz[[#This Row],[Przychód netto]],0)</f>
        <v>0.32561311051013564</v>
      </c>
      <c r="Q1820" s="16">
        <f>YEAR(tblSprzedaz[[#This Row],[Data]])</f>
        <v>2026</v>
      </c>
      <c r="R1820" s="16">
        <f>MONTH(tblSprzedaz[[#This Row],[Data]])</f>
        <v>5</v>
      </c>
      <c r="S1820" s="9" t="str">
        <f>YEAR(tblSprzedaz[[#This Row],[Data]])&amp;"-"&amp;RIGHT("0"&amp;MONTH(tblSprzedaz[[#This Row],[Data]]),2)</f>
        <v>2026-05</v>
      </c>
    </row>
    <row r="1821" spans="1:19" x14ac:dyDescent="0.25">
      <c r="A1821" s="7" t="s">
        <v>3809</v>
      </c>
      <c r="B1821" s="10">
        <v>46147</v>
      </c>
      <c r="C1821" s="7" t="s">
        <v>3810</v>
      </c>
      <c r="D1821" s="8" t="s">
        <v>140</v>
      </c>
      <c r="E1821" s="8" t="s">
        <v>52</v>
      </c>
      <c r="F1821" s="8" t="s">
        <v>29</v>
      </c>
      <c r="G1821" s="8" t="s">
        <v>34</v>
      </c>
      <c r="H1821" s="8" t="s">
        <v>44</v>
      </c>
      <c r="I1821" s="11">
        <v>12</v>
      </c>
      <c r="J1821" s="12">
        <v>56.78</v>
      </c>
      <c r="K1821" s="13">
        <v>0</v>
      </c>
      <c r="L1821" s="12">
        <v>32.01</v>
      </c>
      <c r="M1821" s="14">
        <f>ROUND(tblSprzedaz[[#This Row],[Ilość]]*tblSprzedaz[[#This Row],[Cena netto jednostkowa]]*(1-tblSprzedaz[[#This Row],[Rabat %]]),2)</f>
        <v>681.36</v>
      </c>
      <c r="N1821" s="14">
        <f>ROUND(tblSprzedaz[[#This Row],[Ilość]]*tblSprzedaz[[#This Row],[Koszt jednostkowy netto]],2)</f>
        <v>384.12</v>
      </c>
      <c r="O1821" s="14">
        <f>tblSprzedaz[[#This Row],[Przychód netto]]-tblSprzedaz[[#This Row],[Koszt całkowity netto]]</f>
        <v>297.24</v>
      </c>
      <c r="P1821" s="15">
        <f>IFERROR(tblSprzedaz[[#This Row],[Marża kwotowa]]/tblSprzedaz[[#This Row],[Przychód netto]],0)</f>
        <v>0.43624515674533287</v>
      </c>
      <c r="Q1821" s="16">
        <f>YEAR(tblSprzedaz[[#This Row],[Data]])</f>
        <v>2026</v>
      </c>
      <c r="R1821" s="16">
        <f>MONTH(tblSprzedaz[[#This Row],[Data]])</f>
        <v>5</v>
      </c>
      <c r="S1821" s="9" t="str">
        <f>YEAR(tblSprzedaz[[#This Row],[Data]])&amp;"-"&amp;RIGHT("0"&amp;MONTH(tblSprzedaz[[#This Row],[Data]]),2)</f>
        <v>2026-05</v>
      </c>
    </row>
    <row r="1822" spans="1:19" x14ac:dyDescent="0.25">
      <c r="A1822" s="7" t="s">
        <v>3811</v>
      </c>
      <c r="B1822" s="10">
        <v>46147</v>
      </c>
      <c r="C1822" s="7" t="s">
        <v>3812</v>
      </c>
      <c r="D1822" s="8" t="s">
        <v>117</v>
      </c>
      <c r="E1822" s="8" t="s">
        <v>48</v>
      </c>
      <c r="F1822" s="8" t="s">
        <v>29</v>
      </c>
      <c r="G1822" s="8" t="s">
        <v>34</v>
      </c>
      <c r="H1822" s="8" t="s">
        <v>44</v>
      </c>
      <c r="I1822" s="11">
        <v>4</v>
      </c>
      <c r="J1822" s="12">
        <v>33.659999999999997</v>
      </c>
      <c r="K1822" s="13">
        <v>0</v>
      </c>
      <c r="L1822" s="12">
        <v>19.739999999999998</v>
      </c>
      <c r="M1822" s="14">
        <f>ROUND(tblSprzedaz[[#This Row],[Ilość]]*tblSprzedaz[[#This Row],[Cena netto jednostkowa]]*(1-tblSprzedaz[[#This Row],[Rabat %]]),2)</f>
        <v>134.63999999999999</v>
      </c>
      <c r="N1822" s="14">
        <f>ROUND(tblSprzedaz[[#This Row],[Ilość]]*tblSprzedaz[[#This Row],[Koszt jednostkowy netto]],2)</f>
        <v>78.959999999999994</v>
      </c>
      <c r="O1822" s="14">
        <f>tblSprzedaz[[#This Row],[Przychód netto]]-tblSprzedaz[[#This Row],[Koszt całkowity netto]]</f>
        <v>55.679999999999993</v>
      </c>
      <c r="P1822" s="15">
        <f>IFERROR(tblSprzedaz[[#This Row],[Marża kwotowa]]/tblSprzedaz[[#This Row],[Przychód netto]],0)</f>
        <v>0.41354723707664881</v>
      </c>
      <c r="Q1822" s="16">
        <f>YEAR(tblSprzedaz[[#This Row],[Data]])</f>
        <v>2026</v>
      </c>
      <c r="R1822" s="16">
        <f>MONTH(tblSprzedaz[[#This Row],[Data]])</f>
        <v>5</v>
      </c>
      <c r="S1822" s="9" t="str">
        <f>YEAR(tblSprzedaz[[#This Row],[Data]])&amp;"-"&amp;RIGHT("0"&amp;MONTH(tblSprzedaz[[#This Row],[Data]]),2)</f>
        <v>2026-05</v>
      </c>
    </row>
    <row r="1823" spans="1:19" x14ac:dyDescent="0.25">
      <c r="A1823" s="7" t="s">
        <v>3813</v>
      </c>
      <c r="B1823" s="10">
        <v>46147</v>
      </c>
      <c r="C1823" s="7" t="s">
        <v>3814</v>
      </c>
      <c r="D1823" s="8" t="s">
        <v>122</v>
      </c>
      <c r="E1823" s="8" t="s">
        <v>48</v>
      </c>
      <c r="F1823" s="8" t="s">
        <v>29</v>
      </c>
      <c r="G1823" s="8" t="s">
        <v>28</v>
      </c>
      <c r="H1823" s="8" t="s">
        <v>39</v>
      </c>
      <c r="I1823" s="11">
        <v>21</v>
      </c>
      <c r="J1823" s="12">
        <v>33.659999999999997</v>
      </c>
      <c r="K1823" s="13">
        <v>0.05</v>
      </c>
      <c r="L1823" s="12">
        <v>20.92</v>
      </c>
      <c r="M1823" s="14">
        <f>ROUND(tblSprzedaz[[#This Row],[Ilość]]*tblSprzedaz[[#This Row],[Cena netto jednostkowa]]*(1-tblSprzedaz[[#This Row],[Rabat %]]),2)</f>
        <v>671.52</v>
      </c>
      <c r="N1823" s="14">
        <f>ROUND(tblSprzedaz[[#This Row],[Ilość]]*tblSprzedaz[[#This Row],[Koszt jednostkowy netto]],2)</f>
        <v>439.32</v>
      </c>
      <c r="O1823" s="14">
        <f>tblSprzedaz[[#This Row],[Przychód netto]]-tblSprzedaz[[#This Row],[Koszt całkowity netto]]</f>
        <v>232.2</v>
      </c>
      <c r="P1823" s="15">
        <f>IFERROR(tblSprzedaz[[#This Row],[Marża kwotowa]]/tblSprzedaz[[#This Row],[Przychód netto]],0)</f>
        <v>0.34578270192994998</v>
      </c>
      <c r="Q1823" s="16">
        <f>YEAR(tblSprzedaz[[#This Row],[Data]])</f>
        <v>2026</v>
      </c>
      <c r="R1823" s="16">
        <f>MONTH(tblSprzedaz[[#This Row],[Data]])</f>
        <v>5</v>
      </c>
      <c r="S1823" s="9" t="str">
        <f>YEAR(tblSprzedaz[[#This Row],[Data]])&amp;"-"&amp;RIGHT("0"&amp;MONTH(tblSprzedaz[[#This Row],[Data]]),2)</f>
        <v>2026-05</v>
      </c>
    </row>
    <row r="1824" spans="1:19" x14ac:dyDescent="0.25">
      <c r="A1824" s="7" t="s">
        <v>3815</v>
      </c>
      <c r="B1824" s="10">
        <v>46147</v>
      </c>
      <c r="C1824" s="7" t="s">
        <v>3816</v>
      </c>
      <c r="D1824" s="8" t="s">
        <v>101</v>
      </c>
      <c r="E1824" s="8" t="s">
        <v>71</v>
      </c>
      <c r="F1824" s="8" t="s">
        <v>35</v>
      </c>
      <c r="G1824" s="8" t="s">
        <v>36</v>
      </c>
      <c r="H1824" s="8" t="s">
        <v>46</v>
      </c>
      <c r="I1824" s="11">
        <v>22</v>
      </c>
      <c r="J1824" s="12">
        <v>55.76</v>
      </c>
      <c r="K1824" s="13">
        <v>0.05</v>
      </c>
      <c r="L1824" s="12">
        <v>38.58</v>
      </c>
      <c r="M1824" s="14">
        <f>ROUND(tblSprzedaz[[#This Row],[Ilość]]*tblSprzedaz[[#This Row],[Cena netto jednostkowa]]*(1-tblSprzedaz[[#This Row],[Rabat %]]),2)</f>
        <v>1165.3800000000001</v>
      </c>
      <c r="N1824" s="14">
        <f>ROUND(tblSprzedaz[[#This Row],[Ilość]]*tblSprzedaz[[#This Row],[Koszt jednostkowy netto]],2)</f>
        <v>848.76</v>
      </c>
      <c r="O1824" s="14">
        <f>tblSprzedaz[[#This Row],[Przychód netto]]-tblSprzedaz[[#This Row],[Koszt całkowity netto]]</f>
        <v>316.62000000000012</v>
      </c>
      <c r="P1824" s="15">
        <f>IFERROR(tblSprzedaz[[#This Row],[Marża kwotowa]]/tblSprzedaz[[#This Row],[Przychód netto]],0)</f>
        <v>0.27168820470576127</v>
      </c>
      <c r="Q1824" s="16">
        <f>YEAR(tblSprzedaz[[#This Row],[Data]])</f>
        <v>2026</v>
      </c>
      <c r="R1824" s="16">
        <f>MONTH(tblSprzedaz[[#This Row],[Data]])</f>
        <v>5</v>
      </c>
      <c r="S1824" s="9" t="str">
        <f>YEAR(tblSprzedaz[[#This Row],[Data]])&amp;"-"&amp;RIGHT("0"&amp;MONTH(tblSprzedaz[[#This Row],[Data]]),2)</f>
        <v>2026-05</v>
      </c>
    </row>
    <row r="1825" spans="1:19" x14ac:dyDescent="0.25">
      <c r="A1825" s="7" t="s">
        <v>3817</v>
      </c>
      <c r="B1825" s="10">
        <v>46148</v>
      </c>
      <c r="C1825" s="7" t="s">
        <v>3818</v>
      </c>
      <c r="D1825" s="8" t="s">
        <v>148</v>
      </c>
      <c r="E1825" s="8" t="s">
        <v>62</v>
      </c>
      <c r="F1825" s="8" t="s">
        <v>33</v>
      </c>
      <c r="G1825" s="8" t="s">
        <v>28</v>
      </c>
      <c r="H1825" s="8" t="s">
        <v>38</v>
      </c>
      <c r="I1825" s="11">
        <v>20</v>
      </c>
      <c r="J1825" s="12">
        <v>611.79999999999995</v>
      </c>
      <c r="K1825" s="13">
        <v>0.15</v>
      </c>
      <c r="L1825" s="12">
        <v>418.14</v>
      </c>
      <c r="M1825" s="14">
        <f>ROUND(tblSprzedaz[[#This Row],[Ilość]]*tblSprzedaz[[#This Row],[Cena netto jednostkowa]]*(1-tblSprzedaz[[#This Row],[Rabat %]]),2)</f>
        <v>10400.6</v>
      </c>
      <c r="N1825" s="14">
        <f>ROUND(tblSprzedaz[[#This Row],[Ilość]]*tblSprzedaz[[#This Row],[Koszt jednostkowy netto]],2)</f>
        <v>8362.7999999999993</v>
      </c>
      <c r="O1825" s="14">
        <f>tblSprzedaz[[#This Row],[Przychód netto]]-tblSprzedaz[[#This Row],[Koszt całkowity netto]]</f>
        <v>2037.8000000000011</v>
      </c>
      <c r="P1825" s="15">
        <f>IFERROR(tblSprzedaz[[#This Row],[Marża kwotowa]]/tblSprzedaz[[#This Row],[Przychód netto]],0)</f>
        <v>0.19593100398053967</v>
      </c>
      <c r="Q1825" s="16">
        <f>YEAR(tblSprzedaz[[#This Row],[Data]])</f>
        <v>2026</v>
      </c>
      <c r="R1825" s="16">
        <f>MONTH(tblSprzedaz[[#This Row],[Data]])</f>
        <v>5</v>
      </c>
      <c r="S1825" s="9" t="str">
        <f>YEAR(tblSprzedaz[[#This Row],[Data]])&amp;"-"&amp;RIGHT("0"&amp;MONTH(tblSprzedaz[[#This Row],[Data]]),2)</f>
        <v>2026-05</v>
      </c>
    </row>
    <row r="1826" spans="1:19" x14ac:dyDescent="0.25">
      <c r="A1826" s="7" t="s">
        <v>3819</v>
      </c>
      <c r="B1826" s="10">
        <v>46148</v>
      </c>
      <c r="C1826" s="7" t="s">
        <v>3820</v>
      </c>
      <c r="D1826" s="8" t="s">
        <v>85</v>
      </c>
      <c r="E1826" s="8" t="s">
        <v>50</v>
      </c>
      <c r="F1826" s="8" t="s">
        <v>29</v>
      </c>
      <c r="G1826" s="8" t="s">
        <v>28</v>
      </c>
      <c r="H1826" s="8" t="s">
        <v>39</v>
      </c>
      <c r="I1826" s="11">
        <v>2</v>
      </c>
      <c r="J1826" s="12">
        <v>45.22</v>
      </c>
      <c r="K1826" s="13">
        <v>0</v>
      </c>
      <c r="L1826" s="12">
        <v>27.49</v>
      </c>
      <c r="M1826" s="14">
        <f>ROUND(tblSprzedaz[[#This Row],[Ilość]]*tblSprzedaz[[#This Row],[Cena netto jednostkowa]]*(1-tblSprzedaz[[#This Row],[Rabat %]]),2)</f>
        <v>90.44</v>
      </c>
      <c r="N1826" s="14">
        <f>ROUND(tblSprzedaz[[#This Row],[Ilość]]*tblSprzedaz[[#This Row],[Koszt jednostkowy netto]],2)</f>
        <v>54.98</v>
      </c>
      <c r="O1826" s="14">
        <f>tblSprzedaz[[#This Row],[Przychód netto]]-tblSprzedaz[[#This Row],[Koszt całkowity netto]]</f>
        <v>35.46</v>
      </c>
      <c r="P1826" s="15">
        <f>IFERROR(tblSprzedaz[[#This Row],[Marża kwotowa]]/tblSprzedaz[[#This Row],[Przychód netto]],0)</f>
        <v>0.39208314904909336</v>
      </c>
      <c r="Q1826" s="16">
        <f>YEAR(tblSprzedaz[[#This Row],[Data]])</f>
        <v>2026</v>
      </c>
      <c r="R1826" s="16">
        <f>MONTH(tblSprzedaz[[#This Row],[Data]])</f>
        <v>5</v>
      </c>
      <c r="S1826" s="9" t="str">
        <f>YEAR(tblSprzedaz[[#This Row],[Data]])&amp;"-"&amp;RIGHT("0"&amp;MONTH(tblSprzedaz[[#This Row],[Data]]),2)</f>
        <v>2026-05</v>
      </c>
    </row>
    <row r="1827" spans="1:19" x14ac:dyDescent="0.25">
      <c r="A1827" s="7" t="s">
        <v>3821</v>
      </c>
      <c r="B1827" s="10">
        <v>46148</v>
      </c>
      <c r="C1827" s="7" t="s">
        <v>3822</v>
      </c>
      <c r="D1827" s="8" t="s">
        <v>132</v>
      </c>
      <c r="E1827" s="8" t="s">
        <v>49</v>
      </c>
      <c r="F1827" s="8" t="s">
        <v>29</v>
      </c>
      <c r="G1827" s="8" t="s">
        <v>28</v>
      </c>
      <c r="H1827" s="8" t="s">
        <v>38</v>
      </c>
      <c r="I1827" s="11">
        <v>24</v>
      </c>
      <c r="J1827" s="12">
        <v>39.44</v>
      </c>
      <c r="K1827" s="13">
        <v>0</v>
      </c>
      <c r="L1827" s="12">
        <v>24.32</v>
      </c>
      <c r="M1827" s="14">
        <f>ROUND(tblSprzedaz[[#This Row],[Ilość]]*tblSprzedaz[[#This Row],[Cena netto jednostkowa]]*(1-tblSprzedaz[[#This Row],[Rabat %]]),2)</f>
        <v>946.56</v>
      </c>
      <c r="N1827" s="14">
        <f>ROUND(tblSprzedaz[[#This Row],[Ilość]]*tblSprzedaz[[#This Row],[Koszt jednostkowy netto]],2)</f>
        <v>583.67999999999995</v>
      </c>
      <c r="O1827" s="14">
        <f>tblSprzedaz[[#This Row],[Przychód netto]]-tblSprzedaz[[#This Row],[Koszt całkowity netto]]</f>
        <v>362.88</v>
      </c>
      <c r="P1827" s="15">
        <f>IFERROR(tblSprzedaz[[#This Row],[Marża kwotowa]]/tblSprzedaz[[#This Row],[Przychód netto]],0)</f>
        <v>0.38336713995943206</v>
      </c>
      <c r="Q1827" s="16">
        <f>YEAR(tblSprzedaz[[#This Row],[Data]])</f>
        <v>2026</v>
      </c>
      <c r="R1827" s="16">
        <f>MONTH(tblSprzedaz[[#This Row],[Data]])</f>
        <v>5</v>
      </c>
      <c r="S1827" s="9" t="str">
        <f>YEAR(tblSprzedaz[[#This Row],[Data]])&amp;"-"&amp;RIGHT("0"&amp;MONTH(tblSprzedaz[[#This Row],[Data]]),2)</f>
        <v>2026-05</v>
      </c>
    </row>
    <row r="1828" spans="1:19" x14ac:dyDescent="0.25">
      <c r="A1828" s="7" t="s">
        <v>3823</v>
      </c>
      <c r="B1828" s="10">
        <v>46148</v>
      </c>
      <c r="C1828" s="7" t="s">
        <v>3824</v>
      </c>
      <c r="D1828" s="8" t="s">
        <v>105</v>
      </c>
      <c r="E1828" s="8" t="s">
        <v>58</v>
      </c>
      <c r="F1828" s="8" t="s">
        <v>31</v>
      </c>
      <c r="G1828" s="8" t="s">
        <v>36</v>
      </c>
      <c r="H1828" s="8" t="s">
        <v>46</v>
      </c>
      <c r="I1828" s="11">
        <v>24</v>
      </c>
      <c r="J1828" s="12">
        <v>350.7</v>
      </c>
      <c r="K1828" s="13">
        <v>0</v>
      </c>
      <c r="L1828" s="12">
        <v>223.61</v>
      </c>
      <c r="M1828" s="14">
        <f>ROUND(tblSprzedaz[[#This Row],[Ilość]]*tblSprzedaz[[#This Row],[Cena netto jednostkowa]]*(1-tblSprzedaz[[#This Row],[Rabat %]]),2)</f>
        <v>8416.7999999999993</v>
      </c>
      <c r="N1828" s="14">
        <f>ROUND(tblSprzedaz[[#This Row],[Ilość]]*tblSprzedaz[[#This Row],[Koszt jednostkowy netto]],2)</f>
        <v>5366.64</v>
      </c>
      <c r="O1828" s="14">
        <f>tblSprzedaz[[#This Row],[Przychód netto]]-tblSprzedaz[[#This Row],[Koszt całkowity netto]]</f>
        <v>3050.1599999999989</v>
      </c>
      <c r="P1828" s="15">
        <f>IFERROR(tblSprzedaz[[#This Row],[Marża kwotowa]]/tblSprzedaz[[#This Row],[Przychód netto]],0)</f>
        <v>0.36238950670088388</v>
      </c>
      <c r="Q1828" s="16">
        <f>YEAR(tblSprzedaz[[#This Row],[Data]])</f>
        <v>2026</v>
      </c>
      <c r="R1828" s="16">
        <f>MONTH(tblSprzedaz[[#This Row],[Data]])</f>
        <v>5</v>
      </c>
      <c r="S1828" s="9" t="str">
        <f>YEAR(tblSprzedaz[[#This Row],[Data]])&amp;"-"&amp;RIGHT("0"&amp;MONTH(tblSprzedaz[[#This Row],[Data]]),2)</f>
        <v>2026-05</v>
      </c>
    </row>
    <row r="1829" spans="1:19" x14ac:dyDescent="0.25">
      <c r="A1829" s="7" t="s">
        <v>3825</v>
      </c>
      <c r="B1829" s="10">
        <v>46148</v>
      </c>
      <c r="C1829" s="7" t="s">
        <v>3826</v>
      </c>
      <c r="D1829" s="8" t="s">
        <v>101</v>
      </c>
      <c r="E1829" s="8" t="s">
        <v>74</v>
      </c>
      <c r="F1829" s="8" t="s">
        <v>37</v>
      </c>
      <c r="G1829" s="8" t="s">
        <v>30</v>
      </c>
      <c r="H1829" s="8" t="s">
        <v>40</v>
      </c>
      <c r="I1829" s="11">
        <v>8</v>
      </c>
      <c r="J1829" s="12">
        <v>126.35</v>
      </c>
      <c r="K1829" s="13">
        <v>0</v>
      </c>
      <c r="L1829" s="12">
        <v>94.96</v>
      </c>
      <c r="M1829" s="14">
        <f>ROUND(tblSprzedaz[[#This Row],[Ilość]]*tblSprzedaz[[#This Row],[Cena netto jednostkowa]]*(1-tblSprzedaz[[#This Row],[Rabat %]]),2)</f>
        <v>1010.8</v>
      </c>
      <c r="N1829" s="14">
        <f>ROUND(tblSprzedaz[[#This Row],[Ilość]]*tblSprzedaz[[#This Row],[Koszt jednostkowy netto]],2)</f>
        <v>759.68</v>
      </c>
      <c r="O1829" s="14">
        <f>tblSprzedaz[[#This Row],[Przychód netto]]-tblSprzedaz[[#This Row],[Koszt całkowity netto]]</f>
        <v>251.12</v>
      </c>
      <c r="P1829" s="15">
        <f>IFERROR(tblSprzedaz[[#This Row],[Marża kwotowa]]/tblSprzedaz[[#This Row],[Przychód netto]],0)</f>
        <v>0.24843688167787892</v>
      </c>
      <c r="Q1829" s="16">
        <f>YEAR(tblSprzedaz[[#This Row],[Data]])</f>
        <v>2026</v>
      </c>
      <c r="R1829" s="16">
        <f>MONTH(tblSprzedaz[[#This Row],[Data]])</f>
        <v>5</v>
      </c>
      <c r="S1829" s="9" t="str">
        <f>YEAR(tblSprzedaz[[#This Row],[Data]])&amp;"-"&amp;RIGHT("0"&amp;MONTH(tblSprzedaz[[#This Row],[Data]]),2)</f>
        <v>2026-05</v>
      </c>
    </row>
    <row r="1830" spans="1:19" x14ac:dyDescent="0.25">
      <c r="A1830" s="7" t="s">
        <v>3827</v>
      </c>
      <c r="B1830" s="10">
        <v>46149</v>
      </c>
      <c r="C1830" s="7" t="s">
        <v>3828</v>
      </c>
      <c r="D1830" s="8" t="s">
        <v>134</v>
      </c>
      <c r="E1830" s="8" t="s">
        <v>74</v>
      </c>
      <c r="F1830" s="8" t="s">
        <v>37</v>
      </c>
      <c r="G1830" s="8" t="s">
        <v>34</v>
      </c>
      <c r="H1830" s="8" t="s">
        <v>44</v>
      </c>
      <c r="I1830" s="11">
        <v>10</v>
      </c>
      <c r="J1830" s="12">
        <v>126.35</v>
      </c>
      <c r="K1830" s="13">
        <v>0</v>
      </c>
      <c r="L1830" s="12">
        <v>98.41</v>
      </c>
      <c r="M1830" s="14">
        <f>ROUND(tblSprzedaz[[#This Row],[Ilość]]*tblSprzedaz[[#This Row],[Cena netto jednostkowa]]*(1-tblSprzedaz[[#This Row],[Rabat %]]),2)</f>
        <v>1263.5</v>
      </c>
      <c r="N1830" s="14">
        <f>ROUND(tblSprzedaz[[#This Row],[Ilość]]*tblSprzedaz[[#This Row],[Koszt jednostkowy netto]],2)</f>
        <v>984.1</v>
      </c>
      <c r="O1830" s="14">
        <f>tblSprzedaz[[#This Row],[Przychód netto]]-tblSprzedaz[[#This Row],[Koszt całkowity netto]]</f>
        <v>279.39999999999998</v>
      </c>
      <c r="P1830" s="15">
        <f>IFERROR(tblSprzedaz[[#This Row],[Marża kwotowa]]/tblSprzedaz[[#This Row],[Przychód netto]],0)</f>
        <v>0.22113177681044716</v>
      </c>
      <c r="Q1830" s="16">
        <f>YEAR(tblSprzedaz[[#This Row],[Data]])</f>
        <v>2026</v>
      </c>
      <c r="R1830" s="16">
        <f>MONTH(tblSprzedaz[[#This Row],[Data]])</f>
        <v>5</v>
      </c>
      <c r="S1830" s="9" t="str">
        <f>YEAR(tblSprzedaz[[#This Row],[Data]])&amp;"-"&amp;RIGHT("0"&amp;MONTH(tblSprzedaz[[#This Row],[Data]]),2)</f>
        <v>2026-05</v>
      </c>
    </row>
    <row r="1831" spans="1:19" x14ac:dyDescent="0.25">
      <c r="A1831" s="7" t="s">
        <v>3829</v>
      </c>
      <c r="B1831" s="10">
        <v>46149</v>
      </c>
      <c r="C1831" s="7" t="s">
        <v>3830</v>
      </c>
      <c r="D1831" s="8" t="s">
        <v>121</v>
      </c>
      <c r="E1831" s="8" t="s">
        <v>63</v>
      </c>
      <c r="F1831" s="8" t="s">
        <v>33</v>
      </c>
      <c r="G1831" s="8" t="s">
        <v>30</v>
      </c>
      <c r="H1831" s="8" t="s">
        <v>40</v>
      </c>
      <c r="I1831" s="11">
        <v>21</v>
      </c>
      <c r="J1831" s="12">
        <v>690</v>
      </c>
      <c r="K1831" s="13">
        <v>0</v>
      </c>
      <c r="L1831" s="12">
        <v>467.8</v>
      </c>
      <c r="M1831" s="14">
        <f>ROUND(tblSprzedaz[[#This Row],[Ilość]]*tblSprzedaz[[#This Row],[Cena netto jednostkowa]]*(1-tblSprzedaz[[#This Row],[Rabat %]]),2)</f>
        <v>14490</v>
      </c>
      <c r="N1831" s="14">
        <f>ROUND(tblSprzedaz[[#This Row],[Ilość]]*tblSprzedaz[[#This Row],[Koszt jednostkowy netto]],2)</f>
        <v>9823.7999999999993</v>
      </c>
      <c r="O1831" s="14">
        <f>tblSprzedaz[[#This Row],[Przychód netto]]-tblSprzedaz[[#This Row],[Koszt całkowity netto]]</f>
        <v>4666.2000000000007</v>
      </c>
      <c r="P1831" s="15">
        <f>IFERROR(tblSprzedaz[[#This Row],[Marża kwotowa]]/tblSprzedaz[[#This Row],[Przychód netto]],0)</f>
        <v>0.3220289855072464</v>
      </c>
      <c r="Q1831" s="16">
        <f>YEAR(tblSprzedaz[[#This Row],[Data]])</f>
        <v>2026</v>
      </c>
      <c r="R1831" s="16">
        <f>MONTH(tblSprzedaz[[#This Row],[Data]])</f>
        <v>5</v>
      </c>
      <c r="S1831" s="9" t="str">
        <f>YEAR(tblSprzedaz[[#This Row],[Data]])&amp;"-"&amp;RIGHT("0"&amp;MONTH(tblSprzedaz[[#This Row],[Data]]),2)</f>
        <v>2026-05</v>
      </c>
    </row>
    <row r="1832" spans="1:19" x14ac:dyDescent="0.25">
      <c r="A1832" s="7" t="s">
        <v>3831</v>
      </c>
      <c r="B1832" s="10">
        <v>46149</v>
      </c>
      <c r="C1832" s="7" t="s">
        <v>3832</v>
      </c>
      <c r="D1832" s="8" t="s">
        <v>95</v>
      </c>
      <c r="E1832" s="8" t="s">
        <v>59</v>
      </c>
      <c r="F1832" s="8" t="s">
        <v>31</v>
      </c>
      <c r="G1832" s="8" t="s">
        <v>36</v>
      </c>
      <c r="H1832" s="8" t="s">
        <v>47</v>
      </c>
      <c r="I1832" s="11">
        <v>2</v>
      </c>
      <c r="J1832" s="12">
        <v>172.2</v>
      </c>
      <c r="K1832" s="13">
        <v>0</v>
      </c>
      <c r="L1832" s="12">
        <v>102.73</v>
      </c>
      <c r="M1832" s="14">
        <f>ROUND(tblSprzedaz[[#This Row],[Ilość]]*tblSprzedaz[[#This Row],[Cena netto jednostkowa]]*(1-tblSprzedaz[[#This Row],[Rabat %]]),2)</f>
        <v>344.4</v>
      </c>
      <c r="N1832" s="14">
        <f>ROUND(tblSprzedaz[[#This Row],[Ilość]]*tblSprzedaz[[#This Row],[Koszt jednostkowy netto]],2)</f>
        <v>205.46</v>
      </c>
      <c r="O1832" s="14">
        <f>tblSprzedaz[[#This Row],[Przychód netto]]-tblSprzedaz[[#This Row],[Koszt całkowity netto]]</f>
        <v>138.93999999999997</v>
      </c>
      <c r="P1832" s="15">
        <f>IFERROR(tblSprzedaz[[#This Row],[Marża kwotowa]]/tblSprzedaz[[#This Row],[Przychód netto]],0)</f>
        <v>0.4034262485481997</v>
      </c>
      <c r="Q1832" s="16">
        <f>YEAR(tblSprzedaz[[#This Row],[Data]])</f>
        <v>2026</v>
      </c>
      <c r="R1832" s="16">
        <f>MONTH(tblSprzedaz[[#This Row],[Data]])</f>
        <v>5</v>
      </c>
      <c r="S1832" s="9" t="str">
        <f>YEAR(tblSprzedaz[[#This Row],[Data]])&amp;"-"&amp;RIGHT("0"&amp;MONTH(tblSprzedaz[[#This Row],[Data]]),2)</f>
        <v>2026-05</v>
      </c>
    </row>
    <row r="1833" spans="1:19" x14ac:dyDescent="0.25">
      <c r="A1833" s="7" t="s">
        <v>3833</v>
      </c>
      <c r="B1833" s="10">
        <v>46149</v>
      </c>
      <c r="C1833" s="7" t="s">
        <v>3834</v>
      </c>
      <c r="D1833" s="8" t="s">
        <v>124</v>
      </c>
      <c r="E1833" s="8" t="s">
        <v>64</v>
      </c>
      <c r="F1833" s="8" t="s">
        <v>33</v>
      </c>
      <c r="G1833" s="8" t="s">
        <v>30</v>
      </c>
      <c r="H1833" s="8" t="s">
        <v>40</v>
      </c>
      <c r="I1833" s="11">
        <v>14</v>
      </c>
      <c r="J1833" s="12">
        <v>768.2</v>
      </c>
      <c r="K1833" s="13">
        <v>0.05</v>
      </c>
      <c r="L1833" s="12">
        <v>526.76</v>
      </c>
      <c r="M1833" s="14">
        <f>ROUND(tblSprzedaz[[#This Row],[Ilość]]*tblSprzedaz[[#This Row],[Cena netto jednostkowa]]*(1-tblSprzedaz[[#This Row],[Rabat %]]),2)</f>
        <v>10217.06</v>
      </c>
      <c r="N1833" s="14">
        <f>ROUND(tblSprzedaz[[#This Row],[Ilość]]*tblSprzedaz[[#This Row],[Koszt jednostkowy netto]],2)</f>
        <v>7374.64</v>
      </c>
      <c r="O1833" s="14">
        <f>tblSprzedaz[[#This Row],[Przychód netto]]-tblSprzedaz[[#This Row],[Koszt całkowity netto]]</f>
        <v>2842.4199999999992</v>
      </c>
      <c r="P1833" s="15">
        <f>IFERROR(tblSprzedaz[[#This Row],[Marża kwotowa]]/tblSprzedaz[[#This Row],[Przychód netto]],0)</f>
        <v>0.27820331876293175</v>
      </c>
      <c r="Q1833" s="16">
        <f>YEAR(tblSprzedaz[[#This Row],[Data]])</f>
        <v>2026</v>
      </c>
      <c r="R1833" s="16">
        <f>MONTH(tblSprzedaz[[#This Row],[Data]])</f>
        <v>5</v>
      </c>
      <c r="S1833" s="9" t="str">
        <f>YEAR(tblSprzedaz[[#This Row],[Data]])&amp;"-"&amp;RIGHT("0"&amp;MONTH(tblSprzedaz[[#This Row],[Data]]),2)</f>
        <v>2026-05</v>
      </c>
    </row>
    <row r="1834" spans="1:19" x14ac:dyDescent="0.25">
      <c r="A1834" s="7" t="s">
        <v>3835</v>
      </c>
      <c r="B1834" s="10">
        <v>46149</v>
      </c>
      <c r="C1834" s="7" t="s">
        <v>3836</v>
      </c>
      <c r="D1834" s="8" t="s">
        <v>122</v>
      </c>
      <c r="E1834" s="8" t="s">
        <v>53</v>
      </c>
      <c r="F1834" s="8" t="s">
        <v>29</v>
      </c>
      <c r="G1834" s="8" t="s">
        <v>30</v>
      </c>
      <c r="H1834" s="8" t="s">
        <v>40</v>
      </c>
      <c r="I1834" s="11">
        <v>23</v>
      </c>
      <c r="J1834" s="12">
        <v>27.88</v>
      </c>
      <c r="K1834" s="13">
        <v>0.15</v>
      </c>
      <c r="L1834" s="12">
        <v>15.77</v>
      </c>
      <c r="M1834" s="14">
        <f>ROUND(tblSprzedaz[[#This Row],[Ilość]]*tblSprzedaz[[#This Row],[Cena netto jednostkowa]]*(1-tblSprzedaz[[#This Row],[Rabat %]]),2)</f>
        <v>545.04999999999995</v>
      </c>
      <c r="N1834" s="14">
        <f>ROUND(tblSprzedaz[[#This Row],[Ilość]]*tblSprzedaz[[#This Row],[Koszt jednostkowy netto]],2)</f>
        <v>362.71</v>
      </c>
      <c r="O1834" s="14">
        <f>tblSprzedaz[[#This Row],[Przychód netto]]-tblSprzedaz[[#This Row],[Koszt całkowity netto]]</f>
        <v>182.33999999999997</v>
      </c>
      <c r="P1834" s="15">
        <f>IFERROR(tblSprzedaz[[#This Row],[Marża kwotowa]]/tblSprzedaz[[#This Row],[Przychód netto]],0)</f>
        <v>0.33453811576919545</v>
      </c>
      <c r="Q1834" s="16">
        <f>YEAR(tblSprzedaz[[#This Row],[Data]])</f>
        <v>2026</v>
      </c>
      <c r="R1834" s="16">
        <f>MONTH(tblSprzedaz[[#This Row],[Data]])</f>
        <v>5</v>
      </c>
      <c r="S1834" s="9" t="str">
        <f>YEAR(tblSprzedaz[[#This Row],[Data]])&amp;"-"&amp;RIGHT("0"&amp;MONTH(tblSprzedaz[[#This Row],[Data]]),2)</f>
        <v>2026-05</v>
      </c>
    </row>
    <row r="1835" spans="1:19" x14ac:dyDescent="0.25">
      <c r="A1835" s="7" t="s">
        <v>3837</v>
      </c>
      <c r="B1835" s="10">
        <v>46150</v>
      </c>
      <c r="C1835" s="7" t="s">
        <v>3838</v>
      </c>
      <c r="D1835" s="8" t="s">
        <v>79</v>
      </c>
      <c r="E1835" s="8" t="s">
        <v>54</v>
      </c>
      <c r="F1835" s="8" t="s">
        <v>31</v>
      </c>
      <c r="G1835" s="8" t="s">
        <v>36</v>
      </c>
      <c r="H1835" s="8" t="s">
        <v>46</v>
      </c>
      <c r="I1835" s="11">
        <v>17</v>
      </c>
      <c r="J1835" s="12">
        <v>207.9</v>
      </c>
      <c r="K1835" s="13">
        <v>0</v>
      </c>
      <c r="L1835" s="12">
        <v>130.44999999999999</v>
      </c>
      <c r="M1835" s="14">
        <f>ROUND(tblSprzedaz[[#This Row],[Ilość]]*tblSprzedaz[[#This Row],[Cena netto jednostkowa]]*(1-tblSprzedaz[[#This Row],[Rabat %]]),2)</f>
        <v>3534.3</v>
      </c>
      <c r="N1835" s="14">
        <f>ROUND(tblSprzedaz[[#This Row],[Ilość]]*tblSprzedaz[[#This Row],[Koszt jednostkowy netto]],2)</f>
        <v>2217.65</v>
      </c>
      <c r="O1835" s="14">
        <f>tblSprzedaz[[#This Row],[Przychód netto]]-tblSprzedaz[[#This Row],[Koszt całkowity netto]]</f>
        <v>1316.65</v>
      </c>
      <c r="P1835" s="15">
        <f>IFERROR(tblSprzedaz[[#This Row],[Marża kwotowa]]/tblSprzedaz[[#This Row],[Przychód netto]],0)</f>
        <v>0.37253487253487255</v>
      </c>
      <c r="Q1835" s="16">
        <f>YEAR(tblSprzedaz[[#This Row],[Data]])</f>
        <v>2026</v>
      </c>
      <c r="R1835" s="16">
        <f>MONTH(tblSprzedaz[[#This Row],[Data]])</f>
        <v>5</v>
      </c>
      <c r="S1835" s="9" t="str">
        <f>YEAR(tblSprzedaz[[#This Row],[Data]])&amp;"-"&amp;RIGHT("0"&amp;MONTH(tblSprzedaz[[#This Row],[Data]]),2)</f>
        <v>2026-05</v>
      </c>
    </row>
    <row r="1836" spans="1:19" x14ac:dyDescent="0.25">
      <c r="A1836" s="7" t="s">
        <v>3839</v>
      </c>
      <c r="B1836" s="10">
        <v>46150</v>
      </c>
      <c r="C1836" s="7" t="s">
        <v>3840</v>
      </c>
      <c r="D1836" s="8" t="s">
        <v>95</v>
      </c>
      <c r="E1836" s="8" t="s">
        <v>73</v>
      </c>
      <c r="F1836" s="8" t="s">
        <v>37</v>
      </c>
      <c r="G1836" s="8" t="s">
        <v>30</v>
      </c>
      <c r="H1836" s="8" t="s">
        <v>41</v>
      </c>
      <c r="I1836" s="11">
        <v>12</v>
      </c>
      <c r="J1836" s="12">
        <v>110.2</v>
      </c>
      <c r="K1836" s="13">
        <v>0</v>
      </c>
      <c r="L1836" s="12">
        <v>84.47</v>
      </c>
      <c r="M1836" s="14">
        <f>ROUND(tblSprzedaz[[#This Row],[Ilość]]*tblSprzedaz[[#This Row],[Cena netto jednostkowa]]*(1-tblSprzedaz[[#This Row],[Rabat %]]),2)</f>
        <v>1322.4</v>
      </c>
      <c r="N1836" s="14">
        <f>ROUND(tblSprzedaz[[#This Row],[Ilość]]*tblSprzedaz[[#This Row],[Koszt jednostkowy netto]],2)</f>
        <v>1013.64</v>
      </c>
      <c r="O1836" s="14">
        <f>tblSprzedaz[[#This Row],[Przychód netto]]-tblSprzedaz[[#This Row],[Koszt całkowity netto]]</f>
        <v>308.7600000000001</v>
      </c>
      <c r="P1836" s="15">
        <f>IFERROR(tblSprzedaz[[#This Row],[Marża kwotowa]]/tblSprzedaz[[#This Row],[Przychód netto]],0)</f>
        <v>0.23348457350272239</v>
      </c>
      <c r="Q1836" s="16">
        <f>YEAR(tblSprzedaz[[#This Row],[Data]])</f>
        <v>2026</v>
      </c>
      <c r="R1836" s="16">
        <f>MONTH(tblSprzedaz[[#This Row],[Data]])</f>
        <v>5</v>
      </c>
      <c r="S1836" s="9" t="str">
        <f>YEAR(tblSprzedaz[[#This Row],[Data]])&amp;"-"&amp;RIGHT("0"&amp;MONTH(tblSprzedaz[[#This Row],[Data]]),2)</f>
        <v>2026-05</v>
      </c>
    </row>
    <row r="1837" spans="1:19" x14ac:dyDescent="0.25">
      <c r="A1837" s="7" t="s">
        <v>3841</v>
      </c>
      <c r="B1837" s="10">
        <v>46150</v>
      </c>
      <c r="C1837" s="7" t="s">
        <v>3842</v>
      </c>
      <c r="D1837" s="8" t="s">
        <v>82</v>
      </c>
      <c r="E1837" s="8" t="s">
        <v>73</v>
      </c>
      <c r="F1837" s="8" t="s">
        <v>37</v>
      </c>
      <c r="G1837" s="8" t="s">
        <v>30</v>
      </c>
      <c r="H1837" s="8" t="s">
        <v>41</v>
      </c>
      <c r="I1837" s="11">
        <v>22</v>
      </c>
      <c r="J1837" s="12">
        <v>110.2</v>
      </c>
      <c r="K1837" s="13">
        <v>0.1</v>
      </c>
      <c r="L1837" s="12">
        <v>83.61</v>
      </c>
      <c r="M1837" s="14">
        <f>ROUND(tblSprzedaz[[#This Row],[Ilość]]*tblSprzedaz[[#This Row],[Cena netto jednostkowa]]*(1-tblSprzedaz[[#This Row],[Rabat %]]),2)</f>
        <v>2181.96</v>
      </c>
      <c r="N1837" s="14">
        <f>ROUND(tblSprzedaz[[#This Row],[Ilość]]*tblSprzedaz[[#This Row],[Koszt jednostkowy netto]],2)</f>
        <v>1839.42</v>
      </c>
      <c r="O1837" s="14">
        <f>tblSprzedaz[[#This Row],[Przychód netto]]-tblSprzedaz[[#This Row],[Koszt całkowity netto]]</f>
        <v>342.53999999999996</v>
      </c>
      <c r="P1837" s="15">
        <f>IFERROR(tblSprzedaz[[#This Row],[Marża kwotowa]]/tblSprzedaz[[#This Row],[Przychód netto]],0)</f>
        <v>0.15698729582577131</v>
      </c>
      <c r="Q1837" s="16">
        <f>YEAR(tblSprzedaz[[#This Row],[Data]])</f>
        <v>2026</v>
      </c>
      <c r="R1837" s="16">
        <f>MONTH(tblSprzedaz[[#This Row],[Data]])</f>
        <v>5</v>
      </c>
      <c r="S1837" s="9" t="str">
        <f>YEAR(tblSprzedaz[[#This Row],[Data]])&amp;"-"&amp;RIGHT("0"&amp;MONTH(tblSprzedaz[[#This Row],[Data]]),2)</f>
        <v>2026-05</v>
      </c>
    </row>
    <row r="1838" spans="1:19" x14ac:dyDescent="0.25">
      <c r="A1838" s="7" t="s">
        <v>3843</v>
      </c>
      <c r="B1838" s="10">
        <v>46150</v>
      </c>
      <c r="C1838" s="7" t="s">
        <v>3844</v>
      </c>
      <c r="D1838" s="8" t="s">
        <v>122</v>
      </c>
      <c r="E1838" s="8" t="s">
        <v>63</v>
      </c>
      <c r="F1838" s="8" t="s">
        <v>33</v>
      </c>
      <c r="G1838" s="8" t="s">
        <v>36</v>
      </c>
      <c r="H1838" s="8" t="s">
        <v>46</v>
      </c>
      <c r="I1838" s="11">
        <v>24</v>
      </c>
      <c r="J1838" s="12">
        <v>690</v>
      </c>
      <c r="K1838" s="13">
        <v>0</v>
      </c>
      <c r="L1838" s="12">
        <v>496.24</v>
      </c>
      <c r="M1838" s="14">
        <f>ROUND(tblSprzedaz[[#This Row],[Ilość]]*tblSprzedaz[[#This Row],[Cena netto jednostkowa]]*(1-tblSprzedaz[[#This Row],[Rabat %]]),2)</f>
        <v>16560</v>
      </c>
      <c r="N1838" s="14">
        <f>ROUND(tblSprzedaz[[#This Row],[Ilość]]*tblSprzedaz[[#This Row],[Koszt jednostkowy netto]],2)</f>
        <v>11909.76</v>
      </c>
      <c r="O1838" s="14">
        <f>tblSprzedaz[[#This Row],[Przychód netto]]-tblSprzedaz[[#This Row],[Koszt całkowity netto]]</f>
        <v>4650.24</v>
      </c>
      <c r="P1838" s="15">
        <f>IFERROR(tblSprzedaz[[#This Row],[Marża kwotowa]]/tblSprzedaz[[#This Row],[Przychód netto]],0)</f>
        <v>0.28081159420289853</v>
      </c>
      <c r="Q1838" s="16">
        <f>YEAR(tblSprzedaz[[#This Row],[Data]])</f>
        <v>2026</v>
      </c>
      <c r="R1838" s="16">
        <f>MONTH(tblSprzedaz[[#This Row],[Data]])</f>
        <v>5</v>
      </c>
      <c r="S1838" s="9" t="str">
        <f>YEAR(tblSprzedaz[[#This Row],[Data]])&amp;"-"&amp;RIGHT("0"&amp;MONTH(tblSprzedaz[[#This Row],[Data]]),2)</f>
        <v>2026-05</v>
      </c>
    </row>
    <row r="1839" spans="1:19" x14ac:dyDescent="0.25">
      <c r="A1839" s="7" t="s">
        <v>3845</v>
      </c>
      <c r="B1839" s="10">
        <v>46151</v>
      </c>
      <c r="C1839" s="7" t="s">
        <v>3846</v>
      </c>
      <c r="D1839" s="8" t="s">
        <v>86</v>
      </c>
      <c r="E1839" s="8" t="s">
        <v>72</v>
      </c>
      <c r="F1839" s="8" t="s">
        <v>37</v>
      </c>
      <c r="G1839" s="8" t="s">
        <v>30</v>
      </c>
      <c r="H1839" s="8" t="s">
        <v>40</v>
      </c>
      <c r="I1839" s="11">
        <v>3</v>
      </c>
      <c r="J1839" s="12">
        <v>94.05</v>
      </c>
      <c r="K1839" s="13">
        <v>0.05</v>
      </c>
      <c r="L1839" s="12">
        <v>69.86</v>
      </c>
      <c r="M1839" s="14">
        <f>ROUND(tblSprzedaz[[#This Row],[Ilość]]*tblSprzedaz[[#This Row],[Cena netto jednostkowa]]*(1-tblSprzedaz[[#This Row],[Rabat %]]),2)</f>
        <v>268.04000000000002</v>
      </c>
      <c r="N1839" s="14">
        <f>ROUND(tblSprzedaz[[#This Row],[Ilość]]*tblSprzedaz[[#This Row],[Koszt jednostkowy netto]],2)</f>
        <v>209.58</v>
      </c>
      <c r="O1839" s="14">
        <f>tblSprzedaz[[#This Row],[Przychód netto]]-tblSprzedaz[[#This Row],[Koszt całkowity netto]]</f>
        <v>58.460000000000008</v>
      </c>
      <c r="P1839" s="15">
        <f>IFERROR(tblSprzedaz[[#This Row],[Marża kwotowa]]/tblSprzedaz[[#This Row],[Przychód netto]],0)</f>
        <v>0.21810177585435012</v>
      </c>
      <c r="Q1839" s="16">
        <f>YEAR(tblSprzedaz[[#This Row],[Data]])</f>
        <v>2026</v>
      </c>
      <c r="R1839" s="16">
        <f>MONTH(tblSprzedaz[[#This Row],[Data]])</f>
        <v>5</v>
      </c>
      <c r="S1839" s="9" t="str">
        <f>YEAR(tblSprzedaz[[#This Row],[Data]])&amp;"-"&amp;RIGHT("0"&amp;MONTH(tblSprzedaz[[#This Row],[Data]]),2)</f>
        <v>2026-05</v>
      </c>
    </row>
    <row r="1840" spans="1:19" x14ac:dyDescent="0.25">
      <c r="A1840" s="7" t="s">
        <v>3847</v>
      </c>
      <c r="B1840" s="10">
        <v>46152</v>
      </c>
      <c r="C1840" s="7" t="s">
        <v>3848</v>
      </c>
      <c r="D1840" s="8" t="s">
        <v>91</v>
      </c>
      <c r="E1840" s="8" t="s">
        <v>75</v>
      </c>
      <c r="F1840" s="8" t="s">
        <v>37</v>
      </c>
      <c r="G1840" s="8" t="s">
        <v>28</v>
      </c>
      <c r="H1840" s="8" t="s">
        <v>38</v>
      </c>
      <c r="I1840" s="11">
        <v>9</v>
      </c>
      <c r="J1840" s="12">
        <v>142.5</v>
      </c>
      <c r="K1840" s="13">
        <v>0.05</v>
      </c>
      <c r="L1840" s="12">
        <v>106.27</v>
      </c>
      <c r="M1840" s="14">
        <f>ROUND(tblSprzedaz[[#This Row],[Ilość]]*tblSprzedaz[[#This Row],[Cena netto jednostkowa]]*(1-tblSprzedaz[[#This Row],[Rabat %]]),2)</f>
        <v>1218.3800000000001</v>
      </c>
      <c r="N1840" s="14">
        <f>ROUND(tblSprzedaz[[#This Row],[Ilość]]*tblSprzedaz[[#This Row],[Koszt jednostkowy netto]],2)</f>
        <v>956.43</v>
      </c>
      <c r="O1840" s="14">
        <f>tblSprzedaz[[#This Row],[Przychód netto]]-tblSprzedaz[[#This Row],[Koszt całkowity netto]]</f>
        <v>261.95000000000016</v>
      </c>
      <c r="P1840" s="15">
        <f>IFERROR(tblSprzedaz[[#This Row],[Marża kwotowa]]/tblSprzedaz[[#This Row],[Przychód netto]],0)</f>
        <v>0.21499860470460788</v>
      </c>
      <c r="Q1840" s="16">
        <f>YEAR(tblSprzedaz[[#This Row],[Data]])</f>
        <v>2026</v>
      </c>
      <c r="R1840" s="16">
        <f>MONTH(tblSprzedaz[[#This Row],[Data]])</f>
        <v>5</v>
      </c>
      <c r="S1840" s="9" t="str">
        <f>YEAR(tblSprzedaz[[#This Row],[Data]])&amp;"-"&amp;RIGHT("0"&amp;MONTH(tblSprzedaz[[#This Row],[Data]]),2)</f>
        <v>2026-05</v>
      </c>
    </row>
    <row r="1841" spans="1:19" x14ac:dyDescent="0.25">
      <c r="A1841" s="7" t="s">
        <v>3849</v>
      </c>
      <c r="B1841" s="10">
        <v>46152</v>
      </c>
      <c r="C1841" s="7" t="s">
        <v>3850</v>
      </c>
      <c r="D1841" s="8" t="s">
        <v>145</v>
      </c>
      <c r="E1841" s="8" t="s">
        <v>52</v>
      </c>
      <c r="F1841" s="8" t="s">
        <v>29</v>
      </c>
      <c r="G1841" s="8" t="s">
        <v>32</v>
      </c>
      <c r="H1841" s="8" t="s">
        <v>42</v>
      </c>
      <c r="I1841" s="11">
        <v>23</v>
      </c>
      <c r="J1841" s="12">
        <v>56.78</v>
      </c>
      <c r="K1841" s="13">
        <v>0.15</v>
      </c>
      <c r="L1841" s="12">
        <v>33.72</v>
      </c>
      <c r="M1841" s="14">
        <f>ROUND(tblSprzedaz[[#This Row],[Ilość]]*tblSprzedaz[[#This Row],[Cena netto jednostkowa]]*(1-tblSprzedaz[[#This Row],[Rabat %]]),2)</f>
        <v>1110.05</v>
      </c>
      <c r="N1841" s="14">
        <f>ROUND(tblSprzedaz[[#This Row],[Ilość]]*tblSprzedaz[[#This Row],[Koszt jednostkowy netto]],2)</f>
        <v>775.56</v>
      </c>
      <c r="O1841" s="14">
        <f>tblSprzedaz[[#This Row],[Przychód netto]]-tblSprzedaz[[#This Row],[Koszt całkowity netto]]</f>
        <v>334.49</v>
      </c>
      <c r="P1841" s="15">
        <f>IFERROR(tblSprzedaz[[#This Row],[Marża kwotowa]]/tblSprzedaz[[#This Row],[Przychód netto]],0)</f>
        <v>0.30132876897437055</v>
      </c>
      <c r="Q1841" s="16">
        <f>YEAR(tblSprzedaz[[#This Row],[Data]])</f>
        <v>2026</v>
      </c>
      <c r="R1841" s="16">
        <f>MONTH(tblSprzedaz[[#This Row],[Data]])</f>
        <v>5</v>
      </c>
      <c r="S1841" s="9" t="str">
        <f>YEAR(tblSprzedaz[[#This Row],[Data]])&amp;"-"&amp;RIGHT("0"&amp;MONTH(tblSprzedaz[[#This Row],[Data]]),2)</f>
        <v>2026-05</v>
      </c>
    </row>
    <row r="1842" spans="1:19" x14ac:dyDescent="0.25">
      <c r="A1842" s="7" t="s">
        <v>3851</v>
      </c>
      <c r="B1842" s="10">
        <v>46153</v>
      </c>
      <c r="C1842" s="7" t="s">
        <v>3852</v>
      </c>
      <c r="D1842" s="8" t="s">
        <v>128</v>
      </c>
      <c r="E1842" s="8" t="s">
        <v>53</v>
      </c>
      <c r="F1842" s="8" t="s">
        <v>29</v>
      </c>
      <c r="G1842" s="8" t="s">
        <v>32</v>
      </c>
      <c r="H1842" s="8" t="s">
        <v>43</v>
      </c>
      <c r="I1842" s="11">
        <v>25</v>
      </c>
      <c r="J1842" s="12">
        <v>27.88</v>
      </c>
      <c r="K1842" s="13">
        <v>0.1</v>
      </c>
      <c r="L1842" s="12">
        <v>15.7</v>
      </c>
      <c r="M1842" s="14">
        <f>ROUND(tblSprzedaz[[#This Row],[Ilość]]*tblSprzedaz[[#This Row],[Cena netto jednostkowa]]*(1-tblSprzedaz[[#This Row],[Rabat %]]),2)</f>
        <v>627.29999999999995</v>
      </c>
      <c r="N1842" s="14">
        <f>ROUND(tblSprzedaz[[#This Row],[Ilość]]*tblSprzedaz[[#This Row],[Koszt jednostkowy netto]],2)</f>
        <v>392.5</v>
      </c>
      <c r="O1842" s="14">
        <f>tblSprzedaz[[#This Row],[Przychód netto]]-tblSprzedaz[[#This Row],[Koszt całkowity netto]]</f>
        <v>234.79999999999995</v>
      </c>
      <c r="P1842" s="15">
        <f>IFERROR(tblSprzedaz[[#This Row],[Marża kwotowa]]/tblSprzedaz[[#This Row],[Przychód netto]],0)</f>
        <v>0.37430256655507727</v>
      </c>
      <c r="Q1842" s="16">
        <f>YEAR(tblSprzedaz[[#This Row],[Data]])</f>
        <v>2026</v>
      </c>
      <c r="R1842" s="16">
        <f>MONTH(tblSprzedaz[[#This Row],[Data]])</f>
        <v>5</v>
      </c>
      <c r="S1842" s="9" t="str">
        <f>YEAR(tblSprzedaz[[#This Row],[Data]])&amp;"-"&amp;RIGHT("0"&amp;MONTH(tblSprzedaz[[#This Row],[Data]]),2)</f>
        <v>2026-05</v>
      </c>
    </row>
    <row r="1843" spans="1:19" x14ac:dyDescent="0.25">
      <c r="A1843" s="7" t="s">
        <v>3853</v>
      </c>
      <c r="B1843" s="10">
        <v>46153</v>
      </c>
      <c r="C1843" s="7" t="s">
        <v>3854</v>
      </c>
      <c r="D1843" s="8" t="s">
        <v>82</v>
      </c>
      <c r="E1843" s="8" t="s">
        <v>50</v>
      </c>
      <c r="F1843" s="8" t="s">
        <v>29</v>
      </c>
      <c r="G1843" s="8" t="s">
        <v>36</v>
      </c>
      <c r="H1843" s="8" t="s">
        <v>46</v>
      </c>
      <c r="I1843" s="11">
        <v>17</v>
      </c>
      <c r="J1843" s="12">
        <v>45.22</v>
      </c>
      <c r="K1843" s="13">
        <v>0.15</v>
      </c>
      <c r="L1843" s="12">
        <v>25.64</v>
      </c>
      <c r="M1843" s="14">
        <f>ROUND(tblSprzedaz[[#This Row],[Ilość]]*tblSprzedaz[[#This Row],[Cena netto jednostkowa]]*(1-tblSprzedaz[[#This Row],[Rabat %]]),2)</f>
        <v>653.42999999999995</v>
      </c>
      <c r="N1843" s="14">
        <f>ROUND(tblSprzedaz[[#This Row],[Ilość]]*tblSprzedaz[[#This Row],[Koszt jednostkowy netto]],2)</f>
        <v>435.88</v>
      </c>
      <c r="O1843" s="14">
        <f>tblSprzedaz[[#This Row],[Przychód netto]]-tblSprzedaz[[#This Row],[Koszt całkowity netto]]</f>
        <v>217.54999999999995</v>
      </c>
      <c r="P1843" s="15">
        <f>IFERROR(tblSprzedaz[[#This Row],[Marża kwotowa]]/tblSprzedaz[[#This Row],[Przychód netto]],0)</f>
        <v>0.33293543302266498</v>
      </c>
      <c r="Q1843" s="16">
        <f>YEAR(tblSprzedaz[[#This Row],[Data]])</f>
        <v>2026</v>
      </c>
      <c r="R1843" s="16">
        <f>MONTH(tblSprzedaz[[#This Row],[Data]])</f>
        <v>5</v>
      </c>
      <c r="S1843" s="9" t="str">
        <f>YEAR(tblSprzedaz[[#This Row],[Data]])&amp;"-"&amp;RIGHT("0"&amp;MONTH(tblSprzedaz[[#This Row],[Data]]),2)</f>
        <v>2026-05</v>
      </c>
    </row>
    <row r="1844" spans="1:19" x14ac:dyDescent="0.25">
      <c r="A1844" s="7" t="s">
        <v>3855</v>
      </c>
      <c r="B1844" s="10">
        <v>46153</v>
      </c>
      <c r="C1844" s="7" t="s">
        <v>3856</v>
      </c>
      <c r="D1844" s="8" t="s">
        <v>152</v>
      </c>
      <c r="E1844" s="8" t="s">
        <v>70</v>
      </c>
      <c r="F1844" s="8" t="s">
        <v>35</v>
      </c>
      <c r="G1844" s="8" t="s">
        <v>34</v>
      </c>
      <c r="H1844" s="8" t="s">
        <v>44</v>
      </c>
      <c r="I1844" s="11">
        <v>8</v>
      </c>
      <c r="J1844" s="12">
        <v>113.56</v>
      </c>
      <c r="K1844" s="13">
        <v>0.15</v>
      </c>
      <c r="L1844" s="12">
        <v>85.86</v>
      </c>
      <c r="M1844" s="14">
        <f>ROUND(tblSprzedaz[[#This Row],[Ilość]]*tblSprzedaz[[#This Row],[Cena netto jednostkowa]]*(1-tblSprzedaz[[#This Row],[Rabat %]]),2)</f>
        <v>772.21</v>
      </c>
      <c r="N1844" s="14">
        <f>ROUND(tblSprzedaz[[#This Row],[Ilość]]*tblSprzedaz[[#This Row],[Koszt jednostkowy netto]],2)</f>
        <v>686.88</v>
      </c>
      <c r="O1844" s="14">
        <f>tblSprzedaz[[#This Row],[Przychód netto]]-tblSprzedaz[[#This Row],[Koszt całkowity netto]]</f>
        <v>85.330000000000041</v>
      </c>
      <c r="P1844" s="15">
        <f>IFERROR(tblSprzedaz[[#This Row],[Marża kwotowa]]/tblSprzedaz[[#This Row],[Przychód netto]],0)</f>
        <v>0.11050102951269737</v>
      </c>
      <c r="Q1844" s="16">
        <f>YEAR(tblSprzedaz[[#This Row],[Data]])</f>
        <v>2026</v>
      </c>
      <c r="R1844" s="16">
        <f>MONTH(tblSprzedaz[[#This Row],[Data]])</f>
        <v>5</v>
      </c>
      <c r="S1844" s="9" t="str">
        <f>YEAR(tblSprzedaz[[#This Row],[Data]])&amp;"-"&amp;RIGHT("0"&amp;MONTH(tblSprzedaz[[#This Row],[Data]]),2)</f>
        <v>2026-05</v>
      </c>
    </row>
    <row r="1845" spans="1:19" x14ac:dyDescent="0.25">
      <c r="A1845" s="7" t="s">
        <v>3857</v>
      </c>
      <c r="B1845" s="10">
        <v>46153</v>
      </c>
      <c r="C1845" s="7" t="s">
        <v>3858</v>
      </c>
      <c r="D1845" s="8" t="s">
        <v>133</v>
      </c>
      <c r="E1845" s="8" t="s">
        <v>71</v>
      </c>
      <c r="F1845" s="8" t="s">
        <v>35</v>
      </c>
      <c r="G1845" s="8" t="s">
        <v>32</v>
      </c>
      <c r="H1845" s="8" t="s">
        <v>43</v>
      </c>
      <c r="I1845" s="11">
        <v>9</v>
      </c>
      <c r="J1845" s="12">
        <v>55.76</v>
      </c>
      <c r="K1845" s="13">
        <v>0.1</v>
      </c>
      <c r="L1845" s="12">
        <v>42.23</v>
      </c>
      <c r="M1845" s="14">
        <f>ROUND(tblSprzedaz[[#This Row],[Ilość]]*tblSprzedaz[[#This Row],[Cena netto jednostkowa]]*(1-tblSprzedaz[[#This Row],[Rabat %]]),2)</f>
        <v>451.66</v>
      </c>
      <c r="N1845" s="14">
        <f>ROUND(tblSprzedaz[[#This Row],[Ilość]]*tblSprzedaz[[#This Row],[Koszt jednostkowy netto]],2)</f>
        <v>380.07</v>
      </c>
      <c r="O1845" s="14">
        <f>tblSprzedaz[[#This Row],[Przychód netto]]-tblSprzedaz[[#This Row],[Koszt całkowity netto]]</f>
        <v>71.590000000000032</v>
      </c>
      <c r="P1845" s="15">
        <f>IFERROR(tblSprzedaz[[#This Row],[Marża kwotowa]]/tblSprzedaz[[#This Row],[Przychód netto]],0)</f>
        <v>0.15850418456360985</v>
      </c>
      <c r="Q1845" s="16">
        <f>YEAR(tblSprzedaz[[#This Row],[Data]])</f>
        <v>2026</v>
      </c>
      <c r="R1845" s="16">
        <f>MONTH(tblSprzedaz[[#This Row],[Data]])</f>
        <v>5</v>
      </c>
      <c r="S1845" s="9" t="str">
        <f>YEAR(tblSprzedaz[[#This Row],[Data]])&amp;"-"&amp;RIGHT("0"&amp;MONTH(tblSprzedaz[[#This Row],[Data]]),2)</f>
        <v>2026-05</v>
      </c>
    </row>
    <row r="1846" spans="1:19" x14ac:dyDescent="0.25">
      <c r="A1846" s="7" t="s">
        <v>3859</v>
      </c>
      <c r="B1846" s="10">
        <v>46153</v>
      </c>
      <c r="C1846" s="7" t="s">
        <v>3860</v>
      </c>
      <c r="D1846" s="8" t="s">
        <v>130</v>
      </c>
      <c r="E1846" s="8" t="s">
        <v>60</v>
      </c>
      <c r="F1846" s="8" t="s">
        <v>33</v>
      </c>
      <c r="G1846" s="8" t="s">
        <v>30</v>
      </c>
      <c r="H1846" s="8" t="s">
        <v>41</v>
      </c>
      <c r="I1846" s="11">
        <v>21</v>
      </c>
      <c r="J1846" s="12">
        <v>455.4</v>
      </c>
      <c r="K1846" s="13">
        <v>0</v>
      </c>
      <c r="L1846" s="12">
        <v>313.93</v>
      </c>
      <c r="M1846" s="14">
        <f>ROUND(tblSprzedaz[[#This Row],[Ilość]]*tblSprzedaz[[#This Row],[Cena netto jednostkowa]]*(1-tblSprzedaz[[#This Row],[Rabat %]]),2)</f>
        <v>9563.4</v>
      </c>
      <c r="N1846" s="14">
        <f>ROUND(tblSprzedaz[[#This Row],[Ilość]]*tblSprzedaz[[#This Row],[Koszt jednostkowy netto]],2)</f>
        <v>6592.53</v>
      </c>
      <c r="O1846" s="14">
        <f>tblSprzedaz[[#This Row],[Przychód netto]]-tblSprzedaz[[#This Row],[Koszt całkowity netto]]</f>
        <v>2970.87</v>
      </c>
      <c r="P1846" s="15">
        <f>IFERROR(tblSprzedaz[[#This Row],[Marża kwotowa]]/tblSprzedaz[[#This Row],[Przychód netto]],0)</f>
        <v>0.31064997804128242</v>
      </c>
      <c r="Q1846" s="16">
        <f>YEAR(tblSprzedaz[[#This Row],[Data]])</f>
        <v>2026</v>
      </c>
      <c r="R1846" s="16">
        <f>MONTH(tblSprzedaz[[#This Row],[Data]])</f>
        <v>5</v>
      </c>
      <c r="S1846" s="9" t="str">
        <f>YEAR(tblSprzedaz[[#This Row],[Data]])&amp;"-"&amp;RIGHT("0"&amp;MONTH(tblSprzedaz[[#This Row],[Data]]),2)</f>
        <v>2026-05</v>
      </c>
    </row>
    <row r="1847" spans="1:19" x14ac:dyDescent="0.25">
      <c r="A1847" s="7" t="s">
        <v>3861</v>
      </c>
      <c r="B1847" s="10">
        <v>46153</v>
      </c>
      <c r="C1847" s="7" t="s">
        <v>3862</v>
      </c>
      <c r="D1847" s="8" t="s">
        <v>82</v>
      </c>
      <c r="E1847" s="8" t="s">
        <v>75</v>
      </c>
      <c r="F1847" s="8" t="s">
        <v>37</v>
      </c>
      <c r="G1847" s="8" t="s">
        <v>36</v>
      </c>
      <c r="H1847" s="8" t="s">
        <v>46</v>
      </c>
      <c r="I1847" s="11">
        <v>8</v>
      </c>
      <c r="J1847" s="12">
        <v>142.5</v>
      </c>
      <c r="K1847" s="13">
        <v>0</v>
      </c>
      <c r="L1847" s="12">
        <v>104.9</v>
      </c>
      <c r="M1847" s="14">
        <f>ROUND(tblSprzedaz[[#This Row],[Ilość]]*tblSprzedaz[[#This Row],[Cena netto jednostkowa]]*(1-tblSprzedaz[[#This Row],[Rabat %]]),2)</f>
        <v>1140</v>
      </c>
      <c r="N1847" s="14">
        <f>ROUND(tblSprzedaz[[#This Row],[Ilość]]*tblSprzedaz[[#This Row],[Koszt jednostkowy netto]],2)</f>
        <v>839.2</v>
      </c>
      <c r="O1847" s="14">
        <f>tblSprzedaz[[#This Row],[Przychód netto]]-tblSprzedaz[[#This Row],[Koszt całkowity netto]]</f>
        <v>300.79999999999995</v>
      </c>
      <c r="P1847" s="15">
        <f>IFERROR(tblSprzedaz[[#This Row],[Marża kwotowa]]/tblSprzedaz[[#This Row],[Przychód netto]],0)</f>
        <v>0.26385964912280696</v>
      </c>
      <c r="Q1847" s="16">
        <f>YEAR(tblSprzedaz[[#This Row],[Data]])</f>
        <v>2026</v>
      </c>
      <c r="R1847" s="16">
        <f>MONTH(tblSprzedaz[[#This Row],[Data]])</f>
        <v>5</v>
      </c>
      <c r="S1847" s="9" t="str">
        <f>YEAR(tblSprzedaz[[#This Row],[Data]])&amp;"-"&amp;RIGHT("0"&amp;MONTH(tblSprzedaz[[#This Row],[Data]]),2)</f>
        <v>2026-05</v>
      </c>
    </row>
    <row r="1848" spans="1:19" x14ac:dyDescent="0.25">
      <c r="A1848" s="7" t="s">
        <v>3863</v>
      </c>
      <c r="B1848" s="10">
        <v>46154</v>
      </c>
      <c r="C1848" s="7" t="s">
        <v>3864</v>
      </c>
      <c r="D1848" s="8" t="s">
        <v>97</v>
      </c>
      <c r="E1848" s="8" t="s">
        <v>55</v>
      </c>
      <c r="F1848" s="8" t="s">
        <v>31</v>
      </c>
      <c r="G1848" s="8" t="s">
        <v>36</v>
      </c>
      <c r="H1848" s="8" t="s">
        <v>46</v>
      </c>
      <c r="I1848" s="11">
        <v>14</v>
      </c>
      <c r="J1848" s="12">
        <v>243.6</v>
      </c>
      <c r="K1848" s="13">
        <v>0</v>
      </c>
      <c r="L1848" s="12">
        <v>150.01</v>
      </c>
      <c r="M1848" s="14">
        <f>ROUND(tblSprzedaz[[#This Row],[Ilość]]*tblSprzedaz[[#This Row],[Cena netto jednostkowa]]*(1-tblSprzedaz[[#This Row],[Rabat %]]),2)</f>
        <v>3410.4</v>
      </c>
      <c r="N1848" s="14">
        <f>ROUND(tblSprzedaz[[#This Row],[Ilość]]*tblSprzedaz[[#This Row],[Koszt jednostkowy netto]],2)</f>
        <v>2100.14</v>
      </c>
      <c r="O1848" s="14">
        <f>tblSprzedaz[[#This Row],[Przychód netto]]-tblSprzedaz[[#This Row],[Koszt całkowity netto]]</f>
        <v>1310.2600000000002</v>
      </c>
      <c r="P1848" s="15">
        <f>IFERROR(tblSprzedaz[[#This Row],[Marża kwotowa]]/tblSprzedaz[[#This Row],[Przychód netto]],0)</f>
        <v>0.38419540229885063</v>
      </c>
      <c r="Q1848" s="16">
        <f>YEAR(tblSprzedaz[[#This Row],[Data]])</f>
        <v>2026</v>
      </c>
      <c r="R1848" s="16">
        <f>MONTH(tblSprzedaz[[#This Row],[Data]])</f>
        <v>5</v>
      </c>
      <c r="S1848" s="9" t="str">
        <f>YEAR(tblSprzedaz[[#This Row],[Data]])&amp;"-"&amp;RIGHT("0"&amp;MONTH(tblSprzedaz[[#This Row],[Data]]),2)</f>
        <v>2026-05</v>
      </c>
    </row>
    <row r="1849" spans="1:19" x14ac:dyDescent="0.25">
      <c r="A1849" s="7" t="s">
        <v>3865</v>
      </c>
      <c r="B1849" s="10">
        <v>46154</v>
      </c>
      <c r="C1849" s="7" t="s">
        <v>3866</v>
      </c>
      <c r="D1849" s="8" t="s">
        <v>79</v>
      </c>
      <c r="E1849" s="8" t="s">
        <v>73</v>
      </c>
      <c r="F1849" s="8" t="s">
        <v>37</v>
      </c>
      <c r="G1849" s="8" t="s">
        <v>36</v>
      </c>
      <c r="H1849" s="8" t="s">
        <v>46</v>
      </c>
      <c r="I1849" s="11">
        <v>26</v>
      </c>
      <c r="J1849" s="12">
        <v>110.2</v>
      </c>
      <c r="K1849" s="13">
        <v>0</v>
      </c>
      <c r="L1849" s="12">
        <v>84.39</v>
      </c>
      <c r="M1849" s="14">
        <f>ROUND(tblSprzedaz[[#This Row],[Ilość]]*tblSprzedaz[[#This Row],[Cena netto jednostkowa]]*(1-tblSprzedaz[[#This Row],[Rabat %]]),2)</f>
        <v>2865.2</v>
      </c>
      <c r="N1849" s="14">
        <f>ROUND(tblSprzedaz[[#This Row],[Ilość]]*tblSprzedaz[[#This Row],[Koszt jednostkowy netto]],2)</f>
        <v>2194.14</v>
      </c>
      <c r="O1849" s="14">
        <f>tblSprzedaz[[#This Row],[Przychód netto]]-tblSprzedaz[[#This Row],[Koszt całkowity netto]]</f>
        <v>671.06</v>
      </c>
      <c r="P1849" s="15">
        <f>IFERROR(tblSprzedaz[[#This Row],[Marża kwotowa]]/tblSprzedaz[[#This Row],[Przychód netto]],0)</f>
        <v>0.23421052631578948</v>
      </c>
      <c r="Q1849" s="16">
        <f>YEAR(tblSprzedaz[[#This Row],[Data]])</f>
        <v>2026</v>
      </c>
      <c r="R1849" s="16">
        <f>MONTH(tblSprzedaz[[#This Row],[Data]])</f>
        <v>5</v>
      </c>
      <c r="S1849" s="9" t="str">
        <f>YEAR(tblSprzedaz[[#This Row],[Data]])&amp;"-"&amp;RIGHT("0"&amp;MONTH(tblSprzedaz[[#This Row],[Data]]),2)</f>
        <v>2026-05</v>
      </c>
    </row>
    <row r="1850" spans="1:19" x14ac:dyDescent="0.25">
      <c r="A1850" s="7" t="s">
        <v>3867</v>
      </c>
      <c r="B1850" s="10">
        <v>46154</v>
      </c>
      <c r="C1850" s="7" t="s">
        <v>3868</v>
      </c>
      <c r="D1850" s="8" t="s">
        <v>126</v>
      </c>
      <c r="E1850" s="8" t="s">
        <v>65</v>
      </c>
      <c r="F1850" s="8" t="s">
        <v>33</v>
      </c>
      <c r="G1850" s="8" t="s">
        <v>32</v>
      </c>
      <c r="H1850" s="8" t="s">
        <v>43</v>
      </c>
      <c r="I1850" s="11">
        <v>32</v>
      </c>
      <c r="J1850" s="12">
        <v>377.2</v>
      </c>
      <c r="K1850" s="13">
        <v>0</v>
      </c>
      <c r="L1850" s="12">
        <v>258.17</v>
      </c>
      <c r="M1850" s="14">
        <f>ROUND(tblSprzedaz[[#This Row],[Ilość]]*tblSprzedaz[[#This Row],[Cena netto jednostkowa]]*(1-tblSprzedaz[[#This Row],[Rabat %]]),2)</f>
        <v>12070.4</v>
      </c>
      <c r="N1850" s="14">
        <f>ROUND(tblSprzedaz[[#This Row],[Ilość]]*tblSprzedaz[[#This Row],[Koszt jednostkowy netto]],2)</f>
        <v>8261.44</v>
      </c>
      <c r="O1850" s="14">
        <f>tblSprzedaz[[#This Row],[Przychód netto]]-tblSprzedaz[[#This Row],[Koszt całkowity netto]]</f>
        <v>3808.9599999999991</v>
      </c>
      <c r="P1850" s="15">
        <f>IFERROR(tblSprzedaz[[#This Row],[Marża kwotowa]]/tblSprzedaz[[#This Row],[Przychód netto]],0)</f>
        <v>0.3155620360551431</v>
      </c>
      <c r="Q1850" s="16">
        <f>YEAR(tblSprzedaz[[#This Row],[Data]])</f>
        <v>2026</v>
      </c>
      <c r="R1850" s="16">
        <f>MONTH(tblSprzedaz[[#This Row],[Data]])</f>
        <v>5</v>
      </c>
      <c r="S1850" s="9" t="str">
        <f>YEAR(tblSprzedaz[[#This Row],[Data]])&amp;"-"&amp;RIGHT("0"&amp;MONTH(tblSprzedaz[[#This Row],[Data]]),2)</f>
        <v>2026-05</v>
      </c>
    </row>
    <row r="1851" spans="1:19" x14ac:dyDescent="0.25">
      <c r="A1851" s="7" t="s">
        <v>3869</v>
      </c>
      <c r="B1851" s="10">
        <v>46154</v>
      </c>
      <c r="C1851" s="7" t="s">
        <v>3870</v>
      </c>
      <c r="D1851" s="8" t="s">
        <v>123</v>
      </c>
      <c r="E1851" s="8" t="s">
        <v>58</v>
      </c>
      <c r="F1851" s="8" t="s">
        <v>31</v>
      </c>
      <c r="G1851" s="8" t="s">
        <v>36</v>
      </c>
      <c r="H1851" s="8" t="s">
        <v>46</v>
      </c>
      <c r="I1851" s="11">
        <v>18</v>
      </c>
      <c r="J1851" s="12">
        <v>350.7</v>
      </c>
      <c r="K1851" s="13">
        <v>0.05</v>
      </c>
      <c r="L1851" s="12">
        <v>214.4</v>
      </c>
      <c r="M1851" s="14">
        <f>ROUND(tblSprzedaz[[#This Row],[Ilość]]*tblSprzedaz[[#This Row],[Cena netto jednostkowa]]*(1-tblSprzedaz[[#This Row],[Rabat %]]),2)</f>
        <v>5996.97</v>
      </c>
      <c r="N1851" s="14">
        <f>ROUND(tblSprzedaz[[#This Row],[Ilość]]*tblSprzedaz[[#This Row],[Koszt jednostkowy netto]],2)</f>
        <v>3859.2</v>
      </c>
      <c r="O1851" s="14">
        <f>tblSprzedaz[[#This Row],[Przychód netto]]-tblSprzedaz[[#This Row],[Koszt całkowity netto]]</f>
        <v>2137.7700000000004</v>
      </c>
      <c r="P1851" s="15">
        <f>IFERROR(tblSprzedaz[[#This Row],[Marża kwotowa]]/tblSprzedaz[[#This Row],[Przychód netto]],0)</f>
        <v>0.35647501988504199</v>
      </c>
      <c r="Q1851" s="16">
        <f>YEAR(tblSprzedaz[[#This Row],[Data]])</f>
        <v>2026</v>
      </c>
      <c r="R1851" s="16">
        <f>MONTH(tblSprzedaz[[#This Row],[Data]])</f>
        <v>5</v>
      </c>
      <c r="S1851" s="9" t="str">
        <f>YEAR(tblSprzedaz[[#This Row],[Data]])&amp;"-"&amp;RIGHT("0"&amp;MONTH(tblSprzedaz[[#This Row],[Data]]),2)</f>
        <v>2026-05</v>
      </c>
    </row>
    <row r="1852" spans="1:19" x14ac:dyDescent="0.25">
      <c r="A1852" s="7" t="s">
        <v>3871</v>
      </c>
      <c r="B1852" s="10">
        <v>46154</v>
      </c>
      <c r="C1852" s="7" t="s">
        <v>3872</v>
      </c>
      <c r="D1852" s="8" t="s">
        <v>107</v>
      </c>
      <c r="E1852" s="8" t="s">
        <v>58</v>
      </c>
      <c r="F1852" s="8" t="s">
        <v>31</v>
      </c>
      <c r="G1852" s="8" t="s">
        <v>36</v>
      </c>
      <c r="H1852" s="8" t="s">
        <v>46</v>
      </c>
      <c r="I1852" s="11">
        <v>8</v>
      </c>
      <c r="J1852" s="12">
        <v>350.7</v>
      </c>
      <c r="K1852" s="13">
        <v>0</v>
      </c>
      <c r="L1852" s="12">
        <v>221.45</v>
      </c>
      <c r="M1852" s="14">
        <f>ROUND(tblSprzedaz[[#This Row],[Ilość]]*tblSprzedaz[[#This Row],[Cena netto jednostkowa]]*(1-tblSprzedaz[[#This Row],[Rabat %]]),2)</f>
        <v>2805.6</v>
      </c>
      <c r="N1852" s="14">
        <f>ROUND(tblSprzedaz[[#This Row],[Ilość]]*tblSprzedaz[[#This Row],[Koszt jednostkowy netto]],2)</f>
        <v>1771.6</v>
      </c>
      <c r="O1852" s="14">
        <f>tblSprzedaz[[#This Row],[Przychód netto]]-tblSprzedaz[[#This Row],[Koszt całkowity netto]]</f>
        <v>1034</v>
      </c>
      <c r="P1852" s="15">
        <f>IFERROR(tblSprzedaz[[#This Row],[Marża kwotowa]]/tblSprzedaz[[#This Row],[Przychód netto]],0)</f>
        <v>0.36854861705161107</v>
      </c>
      <c r="Q1852" s="16">
        <f>YEAR(tblSprzedaz[[#This Row],[Data]])</f>
        <v>2026</v>
      </c>
      <c r="R1852" s="16">
        <f>MONTH(tblSprzedaz[[#This Row],[Data]])</f>
        <v>5</v>
      </c>
      <c r="S1852" s="9" t="str">
        <f>YEAR(tblSprzedaz[[#This Row],[Data]])&amp;"-"&amp;RIGHT("0"&amp;MONTH(tblSprzedaz[[#This Row],[Data]]),2)</f>
        <v>2026-05</v>
      </c>
    </row>
    <row r="1853" spans="1:19" x14ac:dyDescent="0.25">
      <c r="A1853" s="7" t="s">
        <v>3873</v>
      </c>
      <c r="B1853" s="10">
        <v>46154</v>
      </c>
      <c r="C1853" s="7" t="s">
        <v>3874</v>
      </c>
      <c r="D1853" s="8" t="s">
        <v>118</v>
      </c>
      <c r="E1853" s="8" t="s">
        <v>61</v>
      </c>
      <c r="F1853" s="8" t="s">
        <v>33</v>
      </c>
      <c r="G1853" s="8" t="s">
        <v>28</v>
      </c>
      <c r="H1853" s="8" t="s">
        <v>39</v>
      </c>
      <c r="I1853" s="11">
        <v>6</v>
      </c>
      <c r="J1853" s="12">
        <v>533.6</v>
      </c>
      <c r="K1853" s="13">
        <v>0.15</v>
      </c>
      <c r="L1853" s="12">
        <v>364.32</v>
      </c>
      <c r="M1853" s="14">
        <f>ROUND(tblSprzedaz[[#This Row],[Ilość]]*tblSprzedaz[[#This Row],[Cena netto jednostkowa]]*(1-tblSprzedaz[[#This Row],[Rabat %]]),2)</f>
        <v>2721.36</v>
      </c>
      <c r="N1853" s="14">
        <f>ROUND(tblSprzedaz[[#This Row],[Ilość]]*tblSprzedaz[[#This Row],[Koszt jednostkowy netto]],2)</f>
        <v>2185.92</v>
      </c>
      <c r="O1853" s="14">
        <f>tblSprzedaz[[#This Row],[Przychód netto]]-tblSprzedaz[[#This Row],[Koszt całkowity netto]]</f>
        <v>535.44000000000005</v>
      </c>
      <c r="P1853" s="15">
        <f>IFERROR(tblSprzedaz[[#This Row],[Marża kwotowa]]/tblSprzedaz[[#This Row],[Przychód netto]],0)</f>
        <v>0.19675456389452334</v>
      </c>
      <c r="Q1853" s="16">
        <f>YEAR(tblSprzedaz[[#This Row],[Data]])</f>
        <v>2026</v>
      </c>
      <c r="R1853" s="16">
        <f>MONTH(tblSprzedaz[[#This Row],[Data]])</f>
        <v>5</v>
      </c>
      <c r="S1853" s="9" t="str">
        <f>YEAR(tblSprzedaz[[#This Row],[Data]])&amp;"-"&amp;RIGHT("0"&amp;MONTH(tblSprzedaz[[#This Row],[Data]]),2)</f>
        <v>2026-05</v>
      </c>
    </row>
    <row r="1854" spans="1:19" x14ac:dyDescent="0.25">
      <c r="A1854" s="7" t="s">
        <v>3875</v>
      </c>
      <c r="B1854" s="10">
        <v>46155</v>
      </c>
      <c r="C1854" s="7" t="s">
        <v>3876</v>
      </c>
      <c r="D1854" s="8" t="s">
        <v>111</v>
      </c>
      <c r="E1854" s="8" t="s">
        <v>50</v>
      </c>
      <c r="F1854" s="8" t="s">
        <v>29</v>
      </c>
      <c r="G1854" s="8" t="s">
        <v>32</v>
      </c>
      <c r="H1854" s="8" t="s">
        <v>42</v>
      </c>
      <c r="I1854" s="11">
        <v>22</v>
      </c>
      <c r="J1854" s="12">
        <v>45.22</v>
      </c>
      <c r="K1854" s="13">
        <v>0.15</v>
      </c>
      <c r="L1854" s="12">
        <v>26.03</v>
      </c>
      <c r="M1854" s="14">
        <f>ROUND(tblSprzedaz[[#This Row],[Ilość]]*tblSprzedaz[[#This Row],[Cena netto jednostkowa]]*(1-tblSprzedaz[[#This Row],[Rabat %]]),2)</f>
        <v>845.61</v>
      </c>
      <c r="N1854" s="14">
        <f>ROUND(tblSprzedaz[[#This Row],[Ilość]]*tblSprzedaz[[#This Row],[Koszt jednostkowy netto]],2)</f>
        <v>572.66</v>
      </c>
      <c r="O1854" s="14">
        <f>tblSprzedaz[[#This Row],[Przychód netto]]-tblSprzedaz[[#This Row],[Koszt całkowity netto]]</f>
        <v>272.95000000000005</v>
      </c>
      <c r="P1854" s="15">
        <f>IFERROR(tblSprzedaz[[#This Row],[Marża kwotowa]]/tblSprzedaz[[#This Row],[Przychód netto]],0)</f>
        <v>0.32278473527985718</v>
      </c>
      <c r="Q1854" s="16">
        <f>YEAR(tblSprzedaz[[#This Row],[Data]])</f>
        <v>2026</v>
      </c>
      <c r="R1854" s="16">
        <f>MONTH(tblSprzedaz[[#This Row],[Data]])</f>
        <v>5</v>
      </c>
      <c r="S1854" s="9" t="str">
        <f>YEAR(tblSprzedaz[[#This Row],[Data]])&amp;"-"&amp;RIGHT("0"&amp;MONTH(tblSprzedaz[[#This Row],[Data]]),2)</f>
        <v>2026-05</v>
      </c>
    </row>
    <row r="1855" spans="1:19" x14ac:dyDescent="0.25">
      <c r="A1855" s="7" t="s">
        <v>3877</v>
      </c>
      <c r="B1855" s="10">
        <v>46155</v>
      </c>
      <c r="C1855" s="7" t="s">
        <v>3878</v>
      </c>
      <c r="D1855" s="8" t="s">
        <v>99</v>
      </c>
      <c r="E1855" s="8" t="s">
        <v>74</v>
      </c>
      <c r="F1855" s="8" t="s">
        <v>37</v>
      </c>
      <c r="G1855" s="8" t="s">
        <v>36</v>
      </c>
      <c r="H1855" s="8" t="s">
        <v>47</v>
      </c>
      <c r="I1855" s="11">
        <v>5</v>
      </c>
      <c r="J1855" s="12">
        <v>126.35</v>
      </c>
      <c r="K1855" s="13">
        <v>0</v>
      </c>
      <c r="L1855" s="12">
        <v>100.51</v>
      </c>
      <c r="M1855" s="14">
        <f>ROUND(tblSprzedaz[[#This Row],[Ilość]]*tblSprzedaz[[#This Row],[Cena netto jednostkowa]]*(1-tblSprzedaz[[#This Row],[Rabat %]]),2)</f>
        <v>631.75</v>
      </c>
      <c r="N1855" s="14">
        <f>ROUND(tblSprzedaz[[#This Row],[Ilość]]*tblSprzedaz[[#This Row],[Koszt jednostkowy netto]],2)</f>
        <v>502.55</v>
      </c>
      <c r="O1855" s="14">
        <f>tblSprzedaz[[#This Row],[Przychód netto]]-tblSprzedaz[[#This Row],[Koszt całkowity netto]]</f>
        <v>129.19999999999999</v>
      </c>
      <c r="P1855" s="15">
        <f>IFERROR(tblSprzedaz[[#This Row],[Marża kwotowa]]/tblSprzedaz[[#This Row],[Przychód netto]],0)</f>
        <v>0.2045112781954887</v>
      </c>
      <c r="Q1855" s="16">
        <f>YEAR(tblSprzedaz[[#This Row],[Data]])</f>
        <v>2026</v>
      </c>
      <c r="R1855" s="16">
        <f>MONTH(tblSprzedaz[[#This Row],[Data]])</f>
        <v>5</v>
      </c>
      <c r="S1855" s="9" t="str">
        <f>YEAR(tblSprzedaz[[#This Row],[Data]])&amp;"-"&amp;RIGHT("0"&amp;MONTH(tblSprzedaz[[#This Row],[Data]]),2)</f>
        <v>2026-05</v>
      </c>
    </row>
    <row r="1856" spans="1:19" x14ac:dyDescent="0.25">
      <c r="A1856" s="7" t="s">
        <v>3879</v>
      </c>
      <c r="B1856" s="10">
        <v>46155</v>
      </c>
      <c r="C1856" s="7" t="s">
        <v>3880</v>
      </c>
      <c r="D1856" s="8" t="s">
        <v>124</v>
      </c>
      <c r="E1856" s="8" t="s">
        <v>52</v>
      </c>
      <c r="F1856" s="8" t="s">
        <v>29</v>
      </c>
      <c r="G1856" s="8" t="s">
        <v>34</v>
      </c>
      <c r="H1856" s="8" t="s">
        <v>44</v>
      </c>
      <c r="I1856" s="11">
        <v>12</v>
      </c>
      <c r="J1856" s="12">
        <v>56.78</v>
      </c>
      <c r="K1856" s="13">
        <v>0.15</v>
      </c>
      <c r="L1856" s="12">
        <v>35.19</v>
      </c>
      <c r="M1856" s="14">
        <f>ROUND(tblSprzedaz[[#This Row],[Ilość]]*tblSprzedaz[[#This Row],[Cena netto jednostkowa]]*(1-tblSprzedaz[[#This Row],[Rabat %]]),2)</f>
        <v>579.16</v>
      </c>
      <c r="N1856" s="14">
        <f>ROUND(tblSprzedaz[[#This Row],[Ilość]]*tblSprzedaz[[#This Row],[Koszt jednostkowy netto]],2)</f>
        <v>422.28</v>
      </c>
      <c r="O1856" s="14">
        <f>tblSprzedaz[[#This Row],[Przychód netto]]-tblSprzedaz[[#This Row],[Koszt całkowity netto]]</f>
        <v>156.88</v>
      </c>
      <c r="P1856" s="15">
        <f>IFERROR(tblSprzedaz[[#This Row],[Marża kwotowa]]/tblSprzedaz[[#This Row],[Przychód netto]],0)</f>
        <v>0.27087506043235032</v>
      </c>
      <c r="Q1856" s="16">
        <f>YEAR(tblSprzedaz[[#This Row],[Data]])</f>
        <v>2026</v>
      </c>
      <c r="R1856" s="16">
        <f>MONTH(tblSprzedaz[[#This Row],[Data]])</f>
        <v>5</v>
      </c>
      <c r="S1856" s="9" t="str">
        <f>YEAR(tblSprzedaz[[#This Row],[Data]])&amp;"-"&amp;RIGHT("0"&amp;MONTH(tblSprzedaz[[#This Row],[Data]]),2)</f>
        <v>2026-05</v>
      </c>
    </row>
    <row r="1857" spans="1:19" x14ac:dyDescent="0.25">
      <c r="A1857" s="7" t="s">
        <v>3881</v>
      </c>
      <c r="B1857" s="10">
        <v>46155</v>
      </c>
      <c r="C1857" s="7" t="s">
        <v>3882</v>
      </c>
      <c r="D1857" s="8" t="s">
        <v>138</v>
      </c>
      <c r="E1857" s="8" t="s">
        <v>56</v>
      </c>
      <c r="F1857" s="8" t="s">
        <v>31</v>
      </c>
      <c r="G1857" s="8" t="s">
        <v>34</v>
      </c>
      <c r="H1857" s="8" t="s">
        <v>44</v>
      </c>
      <c r="I1857" s="11">
        <v>2</v>
      </c>
      <c r="J1857" s="12">
        <v>279.3</v>
      </c>
      <c r="K1857" s="13">
        <v>0.15</v>
      </c>
      <c r="L1857" s="12">
        <v>181.42</v>
      </c>
      <c r="M1857" s="14">
        <f>ROUND(tblSprzedaz[[#This Row],[Ilość]]*tblSprzedaz[[#This Row],[Cena netto jednostkowa]]*(1-tblSprzedaz[[#This Row],[Rabat %]]),2)</f>
        <v>474.81</v>
      </c>
      <c r="N1857" s="14">
        <f>ROUND(tblSprzedaz[[#This Row],[Ilość]]*tblSprzedaz[[#This Row],[Koszt jednostkowy netto]],2)</f>
        <v>362.84</v>
      </c>
      <c r="O1857" s="14">
        <f>tblSprzedaz[[#This Row],[Przychód netto]]-tblSprzedaz[[#This Row],[Koszt całkowity netto]]</f>
        <v>111.97000000000003</v>
      </c>
      <c r="P1857" s="15">
        <f>IFERROR(tblSprzedaz[[#This Row],[Marża kwotowa]]/tblSprzedaz[[#This Row],[Przychód netto]],0)</f>
        <v>0.23582064404709258</v>
      </c>
      <c r="Q1857" s="16">
        <f>YEAR(tblSprzedaz[[#This Row],[Data]])</f>
        <v>2026</v>
      </c>
      <c r="R1857" s="16">
        <f>MONTH(tblSprzedaz[[#This Row],[Data]])</f>
        <v>5</v>
      </c>
      <c r="S1857" s="9" t="str">
        <f>YEAR(tblSprzedaz[[#This Row],[Data]])&amp;"-"&amp;RIGHT("0"&amp;MONTH(tblSprzedaz[[#This Row],[Data]]),2)</f>
        <v>2026-05</v>
      </c>
    </row>
    <row r="1858" spans="1:19" x14ac:dyDescent="0.25">
      <c r="A1858" s="7" t="s">
        <v>3883</v>
      </c>
      <c r="B1858" s="10">
        <v>46155</v>
      </c>
      <c r="C1858" s="7" t="s">
        <v>3884</v>
      </c>
      <c r="D1858" s="8" t="s">
        <v>144</v>
      </c>
      <c r="E1858" s="8" t="s">
        <v>77</v>
      </c>
      <c r="F1858" s="8" t="s">
        <v>37</v>
      </c>
      <c r="G1858" s="8" t="s">
        <v>32</v>
      </c>
      <c r="H1858" s="8" t="s">
        <v>43</v>
      </c>
      <c r="I1858" s="11">
        <v>23</v>
      </c>
      <c r="J1858" s="12">
        <v>77.900000000000006</v>
      </c>
      <c r="K1858" s="13">
        <v>0</v>
      </c>
      <c r="L1858" s="12">
        <v>58.73</v>
      </c>
      <c r="M1858" s="14">
        <f>ROUND(tblSprzedaz[[#This Row],[Ilość]]*tblSprzedaz[[#This Row],[Cena netto jednostkowa]]*(1-tblSprzedaz[[#This Row],[Rabat %]]),2)</f>
        <v>1791.7</v>
      </c>
      <c r="N1858" s="14">
        <f>ROUND(tblSprzedaz[[#This Row],[Ilość]]*tblSprzedaz[[#This Row],[Koszt jednostkowy netto]],2)</f>
        <v>1350.79</v>
      </c>
      <c r="O1858" s="14">
        <f>tblSprzedaz[[#This Row],[Przychód netto]]-tblSprzedaz[[#This Row],[Koszt całkowity netto]]</f>
        <v>440.91000000000008</v>
      </c>
      <c r="P1858" s="15">
        <f>IFERROR(tblSprzedaz[[#This Row],[Marża kwotowa]]/tblSprzedaz[[#This Row],[Przychód netto]],0)</f>
        <v>0.24608472400513481</v>
      </c>
      <c r="Q1858" s="16">
        <f>YEAR(tblSprzedaz[[#This Row],[Data]])</f>
        <v>2026</v>
      </c>
      <c r="R1858" s="16">
        <f>MONTH(tblSprzedaz[[#This Row],[Data]])</f>
        <v>5</v>
      </c>
      <c r="S1858" s="9" t="str">
        <f>YEAR(tblSprzedaz[[#This Row],[Data]])&amp;"-"&amp;RIGHT("0"&amp;MONTH(tblSprzedaz[[#This Row],[Data]]),2)</f>
        <v>2026-05</v>
      </c>
    </row>
    <row r="1859" spans="1:19" x14ac:dyDescent="0.25">
      <c r="A1859" s="7" t="s">
        <v>3885</v>
      </c>
      <c r="B1859" s="10">
        <v>46155</v>
      </c>
      <c r="C1859" s="7" t="s">
        <v>3886</v>
      </c>
      <c r="D1859" s="8" t="s">
        <v>124</v>
      </c>
      <c r="E1859" s="8" t="s">
        <v>48</v>
      </c>
      <c r="F1859" s="8" t="s">
        <v>29</v>
      </c>
      <c r="G1859" s="8" t="s">
        <v>28</v>
      </c>
      <c r="H1859" s="8" t="s">
        <v>38</v>
      </c>
      <c r="I1859" s="11">
        <v>7</v>
      </c>
      <c r="J1859" s="12">
        <v>33.659999999999997</v>
      </c>
      <c r="K1859" s="13">
        <v>0.05</v>
      </c>
      <c r="L1859" s="12">
        <v>20.329999999999998</v>
      </c>
      <c r="M1859" s="14">
        <f>ROUND(tblSprzedaz[[#This Row],[Ilość]]*tblSprzedaz[[#This Row],[Cena netto jednostkowa]]*(1-tblSprzedaz[[#This Row],[Rabat %]]),2)</f>
        <v>223.84</v>
      </c>
      <c r="N1859" s="14">
        <f>ROUND(tblSprzedaz[[#This Row],[Ilość]]*tblSprzedaz[[#This Row],[Koszt jednostkowy netto]],2)</f>
        <v>142.31</v>
      </c>
      <c r="O1859" s="14">
        <f>tblSprzedaz[[#This Row],[Przychód netto]]-tblSprzedaz[[#This Row],[Koszt całkowity netto]]</f>
        <v>81.53</v>
      </c>
      <c r="P1859" s="15">
        <f>IFERROR(tblSprzedaz[[#This Row],[Marża kwotowa]]/tblSprzedaz[[#This Row],[Przychód netto]],0)</f>
        <v>0.36423338098641889</v>
      </c>
      <c r="Q1859" s="16">
        <f>YEAR(tblSprzedaz[[#This Row],[Data]])</f>
        <v>2026</v>
      </c>
      <c r="R1859" s="16">
        <f>MONTH(tblSprzedaz[[#This Row],[Data]])</f>
        <v>5</v>
      </c>
      <c r="S1859" s="9" t="str">
        <f>YEAR(tblSprzedaz[[#This Row],[Data]])&amp;"-"&amp;RIGHT("0"&amp;MONTH(tblSprzedaz[[#This Row],[Data]]),2)</f>
        <v>2026-05</v>
      </c>
    </row>
    <row r="1860" spans="1:19" x14ac:dyDescent="0.25">
      <c r="A1860" s="7" t="s">
        <v>3887</v>
      </c>
      <c r="B1860" s="10">
        <v>46156</v>
      </c>
      <c r="C1860" s="7" t="s">
        <v>3888</v>
      </c>
      <c r="D1860" s="8" t="s">
        <v>107</v>
      </c>
      <c r="E1860" s="8" t="s">
        <v>53</v>
      </c>
      <c r="F1860" s="8" t="s">
        <v>29</v>
      </c>
      <c r="G1860" s="8" t="s">
        <v>30</v>
      </c>
      <c r="H1860" s="8" t="s">
        <v>41</v>
      </c>
      <c r="I1860" s="11">
        <v>11</v>
      </c>
      <c r="J1860" s="12">
        <v>27.88</v>
      </c>
      <c r="K1860" s="13">
        <v>0.1</v>
      </c>
      <c r="L1860" s="12">
        <v>15.84</v>
      </c>
      <c r="M1860" s="14">
        <f>ROUND(tblSprzedaz[[#This Row],[Ilość]]*tblSprzedaz[[#This Row],[Cena netto jednostkowa]]*(1-tblSprzedaz[[#This Row],[Rabat %]]),2)</f>
        <v>276.01</v>
      </c>
      <c r="N1860" s="14">
        <f>ROUND(tblSprzedaz[[#This Row],[Ilość]]*tblSprzedaz[[#This Row],[Koszt jednostkowy netto]],2)</f>
        <v>174.24</v>
      </c>
      <c r="O1860" s="14">
        <f>tblSprzedaz[[#This Row],[Przychód netto]]-tblSprzedaz[[#This Row],[Koszt całkowity netto]]</f>
        <v>101.76999999999998</v>
      </c>
      <c r="P1860" s="15">
        <f>IFERROR(tblSprzedaz[[#This Row],[Marża kwotowa]]/tblSprzedaz[[#This Row],[Przychód netto]],0)</f>
        <v>0.36871852469113431</v>
      </c>
      <c r="Q1860" s="16">
        <f>YEAR(tblSprzedaz[[#This Row],[Data]])</f>
        <v>2026</v>
      </c>
      <c r="R1860" s="16">
        <f>MONTH(tblSprzedaz[[#This Row],[Data]])</f>
        <v>5</v>
      </c>
      <c r="S1860" s="9" t="str">
        <f>YEAR(tblSprzedaz[[#This Row],[Data]])&amp;"-"&amp;RIGHT("0"&amp;MONTH(tblSprzedaz[[#This Row],[Data]]),2)</f>
        <v>2026-05</v>
      </c>
    </row>
    <row r="1861" spans="1:19" x14ac:dyDescent="0.25">
      <c r="A1861" s="7" t="s">
        <v>3889</v>
      </c>
      <c r="B1861" s="10">
        <v>46156</v>
      </c>
      <c r="C1861" s="7" t="s">
        <v>3890</v>
      </c>
      <c r="D1861" s="8" t="s">
        <v>96</v>
      </c>
      <c r="E1861" s="8" t="s">
        <v>67</v>
      </c>
      <c r="F1861" s="8" t="s">
        <v>35</v>
      </c>
      <c r="G1861" s="8" t="s">
        <v>30</v>
      </c>
      <c r="H1861" s="8" t="s">
        <v>40</v>
      </c>
      <c r="I1861" s="11">
        <v>13</v>
      </c>
      <c r="J1861" s="12">
        <v>78.88</v>
      </c>
      <c r="K1861" s="13">
        <v>0</v>
      </c>
      <c r="L1861" s="12">
        <v>56.89</v>
      </c>
      <c r="M1861" s="14">
        <f>ROUND(tblSprzedaz[[#This Row],[Ilość]]*tblSprzedaz[[#This Row],[Cena netto jednostkowa]]*(1-tblSprzedaz[[#This Row],[Rabat %]]),2)</f>
        <v>1025.44</v>
      </c>
      <c r="N1861" s="14">
        <f>ROUND(tblSprzedaz[[#This Row],[Ilość]]*tblSprzedaz[[#This Row],[Koszt jednostkowy netto]],2)</f>
        <v>739.57</v>
      </c>
      <c r="O1861" s="14">
        <f>tblSprzedaz[[#This Row],[Przychód netto]]-tblSprzedaz[[#This Row],[Koszt całkowity netto]]</f>
        <v>285.87</v>
      </c>
      <c r="P1861" s="15">
        <f>IFERROR(tblSprzedaz[[#This Row],[Marża kwotowa]]/tblSprzedaz[[#This Row],[Przychód netto]],0)</f>
        <v>0.27877789046653145</v>
      </c>
      <c r="Q1861" s="16">
        <f>YEAR(tblSprzedaz[[#This Row],[Data]])</f>
        <v>2026</v>
      </c>
      <c r="R1861" s="16">
        <f>MONTH(tblSprzedaz[[#This Row],[Data]])</f>
        <v>5</v>
      </c>
      <c r="S1861" s="9" t="str">
        <f>YEAR(tblSprzedaz[[#This Row],[Data]])&amp;"-"&amp;RIGHT("0"&amp;MONTH(tblSprzedaz[[#This Row],[Data]]),2)</f>
        <v>2026-05</v>
      </c>
    </row>
    <row r="1862" spans="1:19" x14ac:dyDescent="0.25">
      <c r="A1862" s="7" t="s">
        <v>3891</v>
      </c>
      <c r="B1862" s="10">
        <v>46156</v>
      </c>
      <c r="C1862" s="7" t="s">
        <v>3892</v>
      </c>
      <c r="D1862" s="8" t="s">
        <v>120</v>
      </c>
      <c r="E1862" s="8" t="s">
        <v>76</v>
      </c>
      <c r="F1862" s="8" t="s">
        <v>37</v>
      </c>
      <c r="G1862" s="8" t="s">
        <v>36</v>
      </c>
      <c r="H1862" s="8" t="s">
        <v>46</v>
      </c>
      <c r="I1862" s="11">
        <v>17</v>
      </c>
      <c r="J1862" s="12">
        <v>158.65</v>
      </c>
      <c r="K1862" s="13">
        <v>0.15</v>
      </c>
      <c r="L1862" s="12">
        <v>121.91</v>
      </c>
      <c r="M1862" s="14">
        <f>ROUND(tblSprzedaz[[#This Row],[Ilość]]*tblSprzedaz[[#This Row],[Cena netto jednostkowa]]*(1-tblSprzedaz[[#This Row],[Rabat %]]),2)</f>
        <v>2292.4899999999998</v>
      </c>
      <c r="N1862" s="14">
        <f>ROUND(tblSprzedaz[[#This Row],[Ilość]]*tblSprzedaz[[#This Row],[Koszt jednostkowy netto]],2)</f>
        <v>2072.4699999999998</v>
      </c>
      <c r="O1862" s="14">
        <f>tblSprzedaz[[#This Row],[Przychód netto]]-tblSprzedaz[[#This Row],[Koszt całkowity netto]]</f>
        <v>220.01999999999998</v>
      </c>
      <c r="P1862" s="15">
        <f>IFERROR(tblSprzedaz[[#This Row],[Marża kwotowa]]/tblSprzedaz[[#This Row],[Przychód netto]],0)</f>
        <v>9.5974246343495495E-2</v>
      </c>
      <c r="Q1862" s="16">
        <f>YEAR(tblSprzedaz[[#This Row],[Data]])</f>
        <v>2026</v>
      </c>
      <c r="R1862" s="16">
        <f>MONTH(tblSprzedaz[[#This Row],[Data]])</f>
        <v>5</v>
      </c>
      <c r="S1862" s="9" t="str">
        <f>YEAR(tblSprzedaz[[#This Row],[Data]])&amp;"-"&amp;RIGHT("0"&amp;MONTH(tblSprzedaz[[#This Row],[Data]]),2)</f>
        <v>2026-05</v>
      </c>
    </row>
    <row r="1863" spans="1:19" x14ac:dyDescent="0.25">
      <c r="A1863" s="7" t="s">
        <v>3893</v>
      </c>
      <c r="B1863" s="10">
        <v>46157</v>
      </c>
      <c r="C1863" s="7" t="s">
        <v>3894</v>
      </c>
      <c r="D1863" s="8" t="s">
        <v>125</v>
      </c>
      <c r="E1863" s="8" t="s">
        <v>70</v>
      </c>
      <c r="F1863" s="8" t="s">
        <v>35</v>
      </c>
      <c r="G1863" s="8" t="s">
        <v>32</v>
      </c>
      <c r="H1863" s="8" t="s">
        <v>42</v>
      </c>
      <c r="I1863" s="11">
        <v>17</v>
      </c>
      <c r="J1863" s="12">
        <v>113.56</v>
      </c>
      <c r="K1863" s="13">
        <v>0</v>
      </c>
      <c r="L1863" s="12">
        <v>81.290000000000006</v>
      </c>
      <c r="M1863" s="14">
        <f>ROUND(tblSprzedaz[[#This Row],[Ilość]]*tblSprzedaz[[#This Row],[Cena netto jednostkowa]]*(1-tblSprzedaz[[#This Row],[Rabat %]]),2)</f>
        <v>1930.52</v>
      </c>
      <c r="N1863" s="14">
        <f>ROUND(tblSprzedaz[[#This Row],[Ilość]]*tblSprzedaz[[#This Row],[Koszt jednostkowy netto]],2)</f>
        <v>1381.93</v>
      </c>
      <c r="O1863" s="14">
        <f>tblSprzedaz[[#This Row],[Przychód netto]]-tblSprzedaz[[#This Row],[Koszt całkowity netto]]</f>
        <v>548.58999999999992</v>
      </c>
      <c r="P1863" s="15">
        <f>IFERROR(tblSprzedaz[[#This Row],[Marża kwotowa]]/tblSprzedaz[[#This Row],[Przychód netto]],0)</f>
        <v>0.28416696019725252</v>
      </c>
      <c r="Q1863" s="16">
        <f>YEAR(tblSprzedaz[[#This Row],[Data]])</f>
        <v>2026</v>
      </c>
      <c r="R1863" s="16">
        <f>MONTH(tblSprzedaz[[#This Row],[Data]])</f>
        <v>5</v>
      </c>
      <c r="S1863" s="9" t="str">
        <f>YEAR(tblSprzedaz[[#This Row],[Data]])&amp;"-"&amp;RIGHT("0"&amp;MONTH(tblSprzedaz[[#This Row],[Data]]),2)</f>
        <v>2026-05</v>
      </c>
    </row>
    <row r="1864" spans="1:19" x14ac:dyDescent="0.25">
      <c r="A1864" s="7" t="s">
        <v>3895</v>
      </c>
      <c r="B1864" s="10">
        <v>46157</v>
      </c>
      <c r="C1864" s="7" t="s">
        <v>3896</v>
      </c>
      <c r="D1864" s="8" t="s">
        <v>141</v>
      </c>
      <c r="E1864" s="8" t="s">
        <v>49</v>
      </c>
      <c r="F1864" s="8" t="s">
        <v>29</v>
      </c>
      <c r="G1864" s="8" t="s">
        <v>34</v>
      </c>
      <c r="H1864" s="8" t="s">
        <v>44</v>
      </c>
      <c r="I1864" s="11">
        <v>8</v>
      </c>
      <c r="J1864" s="12">
        <v>39.44</v>
      </c>
      <c r="K1864" s="13">
        <v>0.15</v>
      </c>
      <c r="L1864" s="12">
        <v>23.73</v>
      </c>
      <c r="M1864" s="14">
        <f>ROUND(tblSprzedaz[[#This Row],[Ilość]]*tblSprzedaz[[#This Row],[Cena netto jednostkowa]]*(1-tblSprzedaz[[#This Row],[Rabat %]]),2)</f>
        <v>268.19</v>
      </c>
      <c r="N1864" s="14">
        <f>ROUND(tblSprzedaz[[#This Row],[Ilość]]*tblSprzedaz[[#This Row],[Koszt jednostkowy netto]],2)</f>
        <v>189.84</v>
      </c>
      <c r="O1864" s="14">
        <f>tblSprzedaz[[#This Row],[Przychód netto]]-tblSprzedaz[[#This Row],[Koszt całkowity netto]]</f>
        <v>78.349999999999994</v>
      </c>
      <c r="P1864" s="15">
        <f>IFERROR(tblSprzedaz[[#This Row],[Marża kwotowa]]/tblSprzedaz[[#This Row],[Przychód netto]],0)</f>
        <v>0.29214362951638762</v>
      </c>
      <c r="Q1864" s="16">
        <f>YEAR(tblSprzedaz[[#This Row],[Data]])</f>
        <v>2026</v>
      </c>
      <c r="R1864" s="16">
        <f>MONTH(tblSprzedaz[[#This Row],[Data]])</f>
        <v>5</v>
      </c>
      <c r="S1864" s="9" t="str">
        <f>YEAR(tblSprzedaz[[#This Row],[Data]])&amp;"-"&amp;RIGHT("0"&amp;MONTH(tblSprzedaz[[#This Row],[Data]]),2)</f>
        <v>2026-05</v>
      </c>
    </row>
    <row r="1865" spans="1:19" x14ac:dyDescent="0.25">
      <c r="A1865" s="7" t="s">
        <v>3897</v>
      </c>
      <c r="B1865" s="10">
        <v>46157</v>
      </c>
      <c r="C1865" s="7" t="s">
        <v>3898</v>
      </c>
      <c r="D1865" s="8" t="s">
        <v>128</v>
      </c>
      <c r="E1865" s="8" t="s">
        <v>75</v>
      </c>
      <c r="F1865" s="8" t="s">
        <v>37</v>
      </c>
      <c r="G1865" s="8" t="s">
        <v>30</v>
      </c>
      <c r="H1865" s="8" t="s">
        <v>40</v>
      </c>
      <c r="I1865" s="11">
        <v>25</v>
      </c>
      <c r="J1865" s="12">
        <v>142.5</v>
      </c>
      <c r="K1865" s="13">
        <v>0.1</v>
      </c>
      <c r="L1865" s="12">
        <v>107.86</v>
      </c>
      <c r="M1865" s="14">
        <f>ROUND(tblSprzedaz[[#This Row],[Ilość]]*tblSprzedaz[[#This Row],[Cena netto jednostkowa]]*(1-tblSprzedaz[[#This Row],[Rabat %]]),2)</f>
        <v>3206.25</v>
      </c>
      <c r="N1865" s="14">
        <f>ROUND(tblSprzedaz[[#This Row],[Ilość]]*tblSprzedaz[[#This Row],[Koszt jednostkowy netto]],2)</f>
        <v>2696.5</v>
      </c>
      <c r="O1865" s="14">
        <f>tblSprzedaz[[#This Row],[Przychód netto]]-tblSprzedaz[[#This Row],[Koszt całkowity netto]]</f>
        <v>509.75</v>
      </c>
      <c r="P1865" s="15">
        <f>IFERROR(tblSprzedaz[[#This Row],[Marża kwotowa]]/tblSprzedaz[[#This Row],[Przychód netto]],0)</f>
        <v>0.15898635477582845</v>
      </c>
      <c r="Q1865" s="16">
        <f>YEAR(tblSprzedaz[[#This Row],[Data]])</f>
        <v>2026</v>
      </c>
      <c r="R1865" s="16">
        <f>MONTH(tblSprzedaz[[#This Row],[Data]])</f>
        <v>5</v>
      </c>
      <c r="S1865" s="9" t="str">
        <f>YEAR(tblSprzedaz[[#This Row],[Data]])&amp;"-"&amp;RIGHT("0"&amp;MONTH(tblSprzedaz[[#This Row],[Data]]),2)</f>
        <v>2026-05</v>
      </c>
    </row>
    <row r="1866" spans="1:19" x14ac:dyDescent="0.25">
      <c r="A1866" s="7" t="s">
        <v>3899</v>
      </c>
      <c r="B1866" s="10">
        <v>46157</v>
      </c>
      <c r="C1866" s="7" t="s">
        <v>3900</v>
      </c>
      <c r="D1866" s="8" t="s">
        <v>117</v>
      </c>
      <c r="E1866" s="8" t="s">
        <v>56</v>
      </c>
      <c r="F1866" s="8" t="s">
        <v>31</v>
      </c>
      <c r="G1866" s="8" t="s">
        <v>30</v>
      </c>
      <c r="H1866" s="8" t="s">
        <v>40</v>
      </c>
      <c r="I1866" s="11">
        <v>26</v>
      </c>
      <c r="J1866" s="12">
        <v>279.3</v>
      </c>
      <c r="K1866" s="13">
        <v>0</v>
      </c>
      <c r="L1866" s="12">
        <v>174.86</v>
      </c>
      <c r="M1866" s="14">
        <f>ROUND(tblSprzedaz[[#This Row],[Ilość]]*tblSprzedaz[[#This Row],[Cena netto jednostkowa]]*(1-tblSprzedaz[[#This Row],[Rabat %]]),2)</f>
        <v>7261.8</v>
      </c>
      <c r="N1866" s="14">
        <f>ROUND(tblSprzedaz[[#This Row],[Ilość]]*tblSprzedaz[[#This Row],[Koszt jednostkowy netto]],2)</f>
        <v>4546.3599999999997</v>
      </c>
      <c r="O1866" s="14">
        <f>tblSprzedaz[[#This Row],[Przychód netto]]-tblSprzedaz[[#This Row],[Koszt całkowity netto]]</f>
        <v>2715.4400000000005</v>
      </c>
      <c r="P1866" s="15">
        <f>IFERROR(tblSprzedaz[[#This Row],[Marża kwotowa]]/tblSprzedaz[[#This Row],[Przychód netto]],0)</f>
        <v>0.3739348370927319</v>
      </c>
      <c r="Q1866" s="16">
        <f>YEAR(tblSprzedaz[[#This Row],[Data]])</f>
        <v>2026</v>
      </c>
      <c r="R1866" s="16">
        <f>MONTH(tblSprzedaz[[#This Row],[Data]])</f>
        <v>5</v>
      </c>
      <c r="S1866" s="9" t="str">
        <f>YEAR(tblSprzedaz[[#This Row],[Data]])&amp;"-"&amp;RIGHT("0"&amp;MONTH(tblSprzedaz[[#This Row],[Data]]),2)</f>
        <v>2026-05</v>
      </c>
    </row>
    <row r="1867" spans="1:19" x14ac:dyDescent="0.25">
      <c r="A1867" s="7" t="s">
        <v>3901</v>
      </c>
      <c r="B1867" s="10">
        <v>46157</v>
      </c>
      <c r="C1867" s="7" t="s">
        <v>3902</v>
      </c>
      <c r="D1867" s="8" t="s">
        <v>94</v>
      </c>
      <c r="E1867" s="8" t="s">
        <v>76</v>
      </c>
      <c r="F1867" s="8" t="s">
        <v>37</v>
      </c>
      <c r="G1867" s="8" t="s">
        <v>36</v>
      </c>
      <c r="H1867" s="8" t="s">
        <v>47</v>
      </c>
      <c r="I1867" s="11">
        <v>2</v>
      </c>
      <c r="J1867" s="12">
        <v>158.65</v>
      </c>
      <c r="K1867" s="13">
        <v>0</v>
      </c>
      <c r="L1867" s="12">
        <v>123.77</v>
      </c>
      <c r="M1867" s="14">
        <f>ROUND(tblSprzedaz[[#This Row],[Ilość]]*tblSprzedaz[[#This Row],[Cena netto jednostkowa]]*(1-tblSprzedaz[[#This Row],[Rabat %]]),2)</f>
        <v>317.3</v>
      </c>
      <c r="N1867" s="14">
        <f>ROUND(tblSprzedaz[[#This Row],[Ilość]]*tblSprzedaz[[#This Row],[Koszt jednostkowy netto]],2)</f>
        <v>247.54</v>
      </c>
      <c r="O1867" s="14">
        <f>tblSprzedaz[[#This Row],[Przychód netto]]-tblSprzedaz[[#This Row],[Koszt całkowity netto]]</f>
        <v>69.760000000000019</v>
      </c>
      <c r="P1867" s="15">
        <f>IFERROR(tblSprzedaz[[#This Row],[Marża kwotowa]]/tblSprzedaz[[#This Row],[Przychód netto]],0)</f>
        <v>0.21985502678852825</v>
      </c>
      <c r="Q1867" s="16">
        <f>YEAR(tblSprzedaz[[#This Row],[Data]])</f>
        <v>2026</v>
      </c>
      <c r="R1867" s="16">
        <f>MONTH(tblSprzedaz[[#This Row],[Data]])</f>
        <v>5</v>
      </c>
      <c r="S1867" s="9" t="str">
        <f>YEAR(tblSprzedaz[[#This Row],[Data]])&amp;"-"&amp;RIGHT("0"&amp;MONTH(tblSprzedaz[[#This Row],[Data]]),2)</f>
        <v>2026-05</v>
      </c>
    </row>
    <row r="1868" spans="1:19" x14ac:dyDescent="0.25">
      <c r="A1868" s="7" t="s">
        <v>3903</v>
      </c>
      <c r="B1868" s="10">
        <v>46157</v>
      </c>
      <c r="C1868" s="7" t="s">
        <v>3904</v>
      </c>
      <c r="D1868" s="8" t="s">
        <v>121</v>
      </c>
      <c r="E1868" s="8" t="s">
        <v>57</v>
      </c>
      <c r="F1868" s="8" t="s">
        <v>31</v>
      </c>
      <c r="G1868" s="8" t="s">
        <v>34</v>
      </c>
      <c r="H1868" s="8" t="s">
        <v>45</v>
      </c>
      <c r="I1868" s="11">
        <v>8</v>
      </c>
      <c r="J1868" s="12">
        <v>315</v>
      </c>
      <c r="K1868" s="13">
        <v>0.05</v>
      </c>
      <c r="L1868" s="12">
        <v>191.57</v>
      </c>
      <c r="M1868" s="14">
        <f>ROUND(tblSprzedaz[[#This Row],[Ilość]]*tblSprzedaz[[#This Row],[Cena netto jednostkowa]]*(1-tblSprzedaz[[#This Row],[Rabat %]]),2)</f>
        <v>2394</v>
      </c>
      <c r="N1868" s="14">
        <f>ROUND(tblSprzedaz[[#This Row],[Ilość]]*tblSprzedaz[[#This Row],[Koszt jednostkowy netto]],2)</f>
        <v>1532.56</v>
      </c>
      <c r="O1868" s="14">
        <f>tblSprzedaz[[#This Row],[Przychód netto]]-tblSprzedaz[[#This Row],[Koszt całkowity netto]]</f>
        <v>861.44</v>
      </c>
      <c r="P1868" s="15">
        <f>IFERROR(tblSprzedaz[[#This Row],[Marża kwotowa]]/tblSprzedaz[[#This Row],[Przychód netto]],0)</f>
        <v>0.35983291562238934</v>
      </c>
      <c r="Q1868" s="16">
        <f>YEAR(tblSprzedaz[[#This Row],[Data]])</f>
        <v>2026</v>
      </c>
      <c r="R1868" s="16">
        <f>MONTH(tblSprzedaz[[#This Row],[Data]])</f>
        <v>5</v>
      </c>
      <c r="S1868" s="9" t="str">
        <f>YEAR(tblSprzedaz[[#This Row],[Data]])&amp;"-"&amp;RIGHT("0"&amp;MONTH(tblSprzedaz[[#This Row],[Data]]),2)</f>
        <v>2026-05</v>
      </c>
    </row>
    <row r="1869" spans="1:19" x14ac:dyDescent="0.25">
      <c r="A1869" s="7" t="s">
        <v>3905</v>
      </c>
      <c r="B1869" s="10">
        <v>46158</v>
      </c>
      <c r="C1869" s="7" t="s">
        <v>3906</v>
      </c>
      <c r="D1869" s="8" t="s">
        <v>136</v>
      </c>
      <c r="E1869" s="8" t="s">
        <v>53</v>
      </c>
      <c r="F1869" s="8" t="s">
        <v>29</v>
      </c>
      <c r="G1869" s="8" t="s">
        <v>32</v>
      </c>
      <c r="H1869" s="8" t="s">
        <v>42</v>
      </c>
      <c r="I1869" s="11">
        <v>33</v>
      </c>
      <c r="J1869" s="12">
        <v>27.88</v>
      </c>
      <c r="K1869" s="13">
        <v>0</v>
      </c>
      <c r="L1869" s="12">
        <v>16.760000000000002</v>
      </c>
      <c r="M1869" s="14">
        <f>ROUND(tblSprzedaz[[#This Row],[Ilość]]*tblSprzedaz[[#This Row],[Cena netto jednostkowa]]*(1-tblSprzedaz[[#This Row],[Rabat %]]),2)</f>
        <v>920.04</v>
      </c>
      <c r="N1869" s="14">
        <f>ROUND(tblSprzedaz[[#This Row],[Ilość]]*tblSprzedaz[[#This Row],[Koszt jednostkowy netto]],2)</f>
        <v>553.08000000000004</v>
      </c>
      <c r="O1869" s="14">
        <f>tblSprzedaz[[#This Row],[Przychód netto]]-tblSprzedaz[[#This Row],[Koszt całkowity netto]]</f>
        <v>366.95999999999992</v>
      </c>
      <c r="P1869" s="15">
        <f>IFERROR(tblSprzedaz[[#This Row],[Marża kwotowa]]/tblSprzedaz[[#This Row],[Przychód netto]],0)</f>
        <v>0.39885222381635577</v>
      </c>
      <c r="Q1869" s="16">
        <f>YEAR(tblSprzedaz[[#This Row],[Data]])</f>
        <v>2026</v>
      </c>
      <c r="R1869" s="16">
        <f>MONTH(tblSprzedaz[[#This Row],[Data]])</f>
        <v>5</v>
      </c>
      <c r="S1869" s="9" t="str">
        <f>YEAR(tblSprzedaz[[#This Row],[Data]])&amp;"-"&amp;RIGHT("0"&amp;MONTH(tblSprzedaz[[#This Row],[Data]]),2)</f>
        <v>2026-05</v>
      </c>
    </row>
    <row r="1870" spans="1:19" x14ac:dyDescent="0.25">
      <c r="A1870" s="7" t="s">
        <v>3907</v>
      </c>
      <c r="B1870" s="10">
        <v>46159</v>
      </c>
      <c r="C1870" s="7" t="s">
        <v>3908</v>
      </c>
      <c r="D1870" s="8" t="s">
        <v>137</v>
      </c>
      <c r="E1870" s="8" t="s">
        <v>48</v>
      </c>
      <c r="F1870" s="8" t="s">
        <v>29</v>
      </c>
      <c r="G1870" s="8" t="s">
        <v>30</v>
      </c>
      <c r="H1870" s="8" t="s">
        <v>40</v>
      </c>
      <c r="I1870" s="11">
        <v>2</v>
      </c>
      <c r="J1870" s="12">
        <v>33.659999999999997</v>
      </c>
      <c r="K1870" s="13">
        <v>0</v>
      </c>
      <c r="L1870" s="12">
        <v>20.18</v>
      </c>
      <c r="M1870" s="14">
        <f>ROUND(tblSprzedaz[[#This Row],[Ilość]]*tblSprzedaz[[#This Row],[Cena netto jednostkowa]]*(1-tblSprzedaz[[#This Row],[Rabat %]]),2)</f>
        <v>67.319999999999993</v>
      </c>
      <c r="N1870" s="14">
        <f>ROUND(tblSprzedaz[[#This Row],[Ilość]]*tblSprzedaz[[#This Row],[Koszt jednostkowy netto]],2)</f>
        <v>40.36</v>
      </c>
      <c r="O1870" s="14">
        <f>tblSprzedaz[[#This Row],[Przychód netto]]-tblSprzedaz[[#This Row],[Koszt całkowity netto]]</f>
        <v>26.959999999999994</v>
      </c>
      <c r="P1870" s="15">
        <f>IFERROR(tblSprzedaz[[#This Row],[Marża kwotowa]]/tblSprzedaz[[#This Row],[Przychód netto]],0)</f>
        <v>0.4004753416518122</v>
      </c>
      <c r="Q1870" s="16">
        <f>YEAR(tblSprzedaz[[#This Row],[Data]])</f>
        <v>2026</v>
      </c>
      <c r="R1870" s="16">
        <f>MONTH(tblSprzedaz[[#This Row],[Data]])</f>
        <v>5</v>
      </c>
      <c r="S1870" s="9" t="str">
        <f>YEAR(tblSprzedaz[[#This Row],[Data]])&amp;"-"&amp;RIGHT("0"&amp;MONTH(tblSprzedaz[[#This Row],[Data]]),2)</f>
        <v>2026-05</v>
      </c>
    </row>
    <row r="1871" spans="1:19" x14ac:dyDescent="0.25">
      <c r="A1871" s="7" t="s">
        <v>3909</v>
      </c>
      <c r="B1871" s="10">
        <v>46160</v>
      </c>
      <c r="C1871" s="7" t="s">
        <v>3910</v>
      </c>
      <c r="D1871" s="8" t="s">
        <v>83</v>
      </c>
      <c r="E1871" s="8" t="s">
        <v>56</v>
      </c>
      <c r="F1871" s="8" t="s">
        <v>31</v>
      </c>
      <c r="G1871" s="8" t="s">
        <v>32</v>
      </c>
      <c r="H1871" s="8" t="s">
        <v>42</v>
      </c>
      <c r="I1871" s="11">
        <v>13</v>
      </c>
      <c r="J1871" s="12">
        <v>279.3</v>
      </c>
      <c r="K1871" s="13">
        <v>0.1</v>
      </c>
      <c r="L1871" s="12">
        <v>173.84</v>
      </c>
      <c r="M1871" s="14">
        <f>ROUND(tblSprzedaz[[#This Row],[Ilość]]*tblSprzedaz[[#This Row],[Cena netto jednostkowa]]*(1-tblSprzedaz[[#This Row],[Rabat %]]),2)</f>
        <v>3267.81</v>
      </c>
      <c r="N1871" s="14">
        <f>ROUND(tblSprzedaz[[#This Row],[Ilość]]*tblSprzedaz[[#This Row],[Koszt jednostkowy netto]],2)</f>
        <v>2259.92</v>
      </c>
      <c r="O1871" s="14">
        <f>tblSprzedaz[[#This Row],[Przychód netto]]-tblSprzedaz[[#This Row],[Koszt całkowity netto]]</f>
        <v>1007.8899999999999</v>
      </c>
      <c r="P1871" s="15">
        <f>IFERROR(tblSprzedaz[[#This Row],[Marża kwotowa]]/tblSprzedaz[[#This Row],[Przychód netto]],0)</f>
        <v>0.30842980467040615</v>
      </c>
      <c r="Q1871" s="16">
        <f>YEAR(tblSprzedaz[[#This Row],[Data]])</f>
        <v>2026</v>
      </c>
      <c r="R1871" s="16">
        <f>MONTH(tblSprzedaz[[#This Row],[Data]])</f>
        <v>5</v>
      </c>
      <c r="S1871" s="9" t="str">
        <f>YEAR(tblSprzedaz[[#This Row],[Data]])&amp;"-"&amp;RIGHT("0"&amp;MONTH(tblSprzedaz[[#This Row],[Data]]),2)</f>
        <v>2026-05</v>
      </c>
    </row>
    <row r="1872" spans="1:19" x14ac:dyDescent="0.25">
      <c r="A1872" s="7" t="s">
        <v>3911</v>
      </c>
      <c r="B1872" s="10">
        <v>46160</v>
      </c>
      <c r="C1872" s="7" t="s">
        <v>3912</v>
      </c>
      <c r="D1872" s="8" t="s">
        <v>120</v>
      </c>
      <c r="E1872" s="8" t="s">
        <v>62</v>
      </c>
      <c r="F1872" s="8" t="s">
        <v>33</v>
      </c>
      <c r="G1872" s="8" t="s">
        <v>28</v>
      </c>
      <c r="H1872" s="8" t="s">
        <v>38</v>
      </c>
      <c r="I1872" s="11">
        <v>13</v>
      </c>
      <c r="J1872" s="12">
        <v>611.79999999999995</v>
      </c>
      <c r="K1872" s="13">
        <v>0.05</v>
      </c>
      <c r="L1872" s="12">
        <v>427.85</v>
      </c>
      <c r="M1872" s="14">
        <f>ROUND(tblSprzedaz[[#This Row],[Ilość]]*tblSprzedaz[[#This Row],[Cena netto jednostkowa]]*(1-tblSprzedaz[[#This Row],[Rabat %]]),2)</f>
        <v>7555.73</v>
      </c>
      <c r="N1872" s="14">
        <f>ROUND(tblSprzedaz[[#This Row],[Ilość]]*tblSprzedaz[[#This Row],[Koszt jednostkowy netto]],2)</f>
        <v>5562.05</v>
      </c>
      <c r="O1872" s="14">
        <f>tblSprzedaz[[#This Row],[Przychód netto]]-tblSprzedaz[[#This Row],[Koszt całkowity netto]]</f>
        <v>1993.6799999999994</v>
      </c>
      <c r="P1872" s="15">
        <f>IFERROR(tblSprzedaz[[#This Row],[Marża kwotowa]]/tblSprzedaz[[#This Row],[Przychód netto]],0)</f>
        <v>0.26386331962629678</v>
      </c>
      <c r="Q1872" s="16">
        <f>YEAR(tblSprzedaz[[#This Row],[Data]])</f>
        <v>2026</v>
      </c>
      <c r="R1872" s="16">
        <f>MONTH(tblSprzedaz[[#This Row],[Data]])</f>
        <v>5</v>
      </c>
      <c r="S1872" s="9" t="str">
        <f>YEAR(tblSprzedaz[[#This Row],[Data]])&amp;"-"&amp;RIGHT("0"&amp;MONTH(tblSprzedaz[[#This Row],[Data]]),2)</f>
        <v>2026-05</v>
      </c>
    </row>
    <row r="1873" spans="1:19" x14ac:dyDescent="0.25">
      <c r="A1873" s="7" t="s">
        <v>3913</v>
      </c>
      <c r="B1873" s="10">
        <v>46160</v>
      </c>
      <c r="C1873" s="7" t="s">
        <v>3914</v>
      </c>
      <c r="D1873" s="8" t="s">
        <v>83</v>
      </c>
      <c r="E1873" s="8" t="s">
        <v>48</v>
      </c>
      <c r="F1873" s="8" t="s">
        <v>29</v>
      </c>
      <c r="G1873" s="8" t="s">
        <v>34</v>
      </c>
      <c r="H1873" s="8" t="s">
        <v>45</v>
      </c>
      <c r="I1873" s="11">
        <v>8</v>
      </c>
      <c r="J1873" s="12">
        <v>33.659999999999997</v>
      </c>
      <c r="K1873" s="13">
        <v>0.15</v>
      </c>
      <c r="L1873" s="12">
        <v>20.56</v>
      </c>
      <c r="M1873" s="14">
        <f>ROUND(tblSprzedaz[[#This Row],[Ilość]]*tblSprzedaz[[#This Row],[Cena netto jednostkowa]]*(1-tblSprzedaz[[#This Row],[Rabat %]]),2)</f>
        <v>228.89</v>
      </c>
      <c r="N1873" s="14">
        <f>ROUND(tblSprzedaz[[#This Row],[Ilość]]*tblSprzedaz[[#This Row],[Koszt jednostkowy netto]],2)</f>
        <v>164.48</v>
      </c>
      <c r="O1873" s="14">
        <f>tblSprzedaz[[#This Row],[Przychód netto]]-tblSprzedaz[[#This Row],[Koszt całkowity netto]]</f>
        <v>64.41</v>
      </c>
      <c r="P1873" s="15">
        <f>IFERROR(tblSprzedaz[[#This Row],[Marża kwotowa]]/tblSprzedaz[[#This Row],[Przychód netto]],0)</f>
        <v>0.281401546594434</v>
      </c>
      <c r="Q1873" s="16">
        <f>YEAR(tblSprzedaz[[#This Row],[Data]])</f>
        <v>2026</v>
      </c>
      <c r="R1873" s="16">
        <f>MONTH(tblSprzedaz[[#This Row],[Data]])</f>
        <v>5</v>
      </c>
      <c r="S1873" s="9" t="str">
        <f>YEAR(tblSprzedaz[[#This Row],[Data]])&amp;"-"&amp;RIGHT("0"&amp;MONTH(tblSprzedaz[[#This Row],[Data]]),2)</f>
        <v>2026-05</v>
      </c>
    </row>
    <row r="1874" spans="1:19" x14ac:dyDescent="0.25">
      <c r="A1874" s="7" t="s">
        <v>3915</v>
      </c>
      <c r="B1874" s="10">
        <v>46160</v>
      </c>
      <c r="C1874" s="7" t="s">
        <v>3916</v>
      </c>
      <c r="D1874" s="8" t="s">
        <v>82</v>
      </c>
      <c r="E1874" s="8" t="s">
        <v>77</v>
      </c>
      <c r="F1874" s="8" t="s">
        <v>37</v>
      </c>
      <c r="G1874" s="8" t="s">
        <v>32</v>
      </c>
      <c r="H1874" s="8" t="s">
        <v>42</v>
      </c>
      <c r="I1874" s="11">
        <v>26</v>
      </c>
      <c r="J1874" s="12">
        <v>77.900000000000006</v>
      </c>
      <c r="K1874" s="13">
        <v>0.1</v>
      </c>
      <c r="L1874" s="12">
        <v>57.32</v>
      </c>
      <c r="M1874" s="14">
        <f>ROUND(tblSprzedaz[[#This Row],[Ilość]]*tblSprzedaz[[#This Row],[Cena netto jednostkowa]]*(1-tblSprzedaz[[#This Row],[Rabat %]]),2)</f>
        <v>1822.86</v>
      </c>
      <c r="N1874" s="14">
        <f>ROUND(tblSprzedaz[[#This Row],[Ilość]]*tblSprzedaz[[#This Row],[Koszt jednostkowy netto]],2)</f>
        <v>1490.32</v>
      </c>
      <c r="O1874" s="14">
        <f>tblSprzedaz[[#This Row],[Przychód netto]]-tblSprzedaz[[#This Row],[Koszt całkowity netto]]</f>
        <v>332.53999999999996</v>
      </c>
      <c r="P1874" s="15">
        <f>IFERROR(tblSprzedaz[[#This Row],[Marża kwotowa]]/tblSprzedaz[[#This Row],[Przychód netto]],0)</f>
        <v>0.18242761374982169</v>
      </c>
      <c r="Q1874" s="16">
        <f>YEAR(tblSprzedaz[[#This Row],[Data]])</f>
        <v>2026</v>
      </c>
      <c r="R1874" s="16">
        <f>MONTH(tblSprzedaz[[#This Row],[Data]])</f>
        <v>5</v>
      </c>
      <c r="S1874" s="9" t="str">
        <f>YEAR(tblSprzedaz[[#This Row],[Data]])&amp;"-"&amp;RIGHT("0"&amp;MONTH(tblSprzedaz[[#This Row],[Data]]),2)</f>
        <v>2026-05</v>
      </c>
    </row>
    <row r="1875" spans="1:19" x14ac:dyDescent="0.25">
      <c r="A1875" s="7" t="s">
        <v>3917</v>
      </c>
      <c r="B1875" s="10">
        <v>46161</v>
      </c>
      <c r="C1875" s="7" t="s">
        <v>3918</v>
      </c>
      <c r="D1875" s="8" t="s">
        <v>108</v>
      </c>
      <c r="E1875" s="8" t="s">
        <v>76</v>
      </c>
      <c r="F1875" s="8" t="s">
        <v>37</v>
      </c>
      <c r="G1875" s="8" t="s">
        <v>36</v>
      </c>
      <c r="H1875" s="8" t="s">
        <v>47</v>
      </c>
      <c r="I1875" s="11">
        <v>12</v>
      </c>
      <c r="J1875" s="12">
        <v>158.65</v>
      </c>
      <c r="K1875" s="13">
        <v>0.15</v>
      </c>
      <c r="L1875" s="12">
        <v>127.75</v>
      </c>
      <c r="M1875" s="14">
        <f>ROUND(tblSprzedaz[[#This Row],[Ilość]]*tblSprzedaz[[#This Row],[Cena netto jednostkowa]]*(1-tblSprzedaz[[#This Row],[Rabat %]]),2)</f>
        <v>1618.23</v>
      </c>
      <c r="N1875" s="14">
        <f>ROUND(tblSprzedaz[[#This Row],[Ilość]]*tblSprzedaz[[#This Row],[Koszt jednostkowy netto]],2)</f>
        <v>1533</v>
      </c>
      <c r="O1875" s="14">
        <f>tblSprzedaz[[#This Row],[Przychód netto]]-tblSprzedaz[[#This Row],[Koszt całkowity netto]]</f>
        <v>85.230000000000018</v>
      </c>
      <c r="P1875" s="15">
        <f>IFERROR(tblSprzedaz[[#This Row],[Marża kwotowa]]/tblSprzedaz[[#This Row],[Przychód netto]],0)</f>
        <v>5.2668656495059425E-2</v>
      </c>
      <c r="Q1875" s="16">
        <f>YEAR(tblSprzedaz[[#This Row],[Data]])</f>
        <v>2026</v>
      </c>
      <c r="R1875" s="16">
        <f>MONTH(tblSprzedaz[[#This Row],[Data]])</f>
        <v>5</v>
      </c>
      <c r="S1875" s="9" t="str">
        <f>YEAR(tblSprzedaz[[#This Row],[Data]])&amp;"-"&amp;RIGHT("0"&amp;MONTH(tblSprzedaz[[#This Row],[Data]]),2)</f>
        <v>2026-05</v>
      </c>
    </row>
    <row r="1876" spans="1:19" x14ac:dyDescent="0.25">
      <c r="A1876" s="7" t="s">
        <v>3919</v>
      </c>
      <c r="B1876" s="10">
        <v>46161</v>
      </c>
      <c r="C1876" s="7" t="s">
        <v>3920</v>
      </c>
      <c r="D1876" s="8" t="s">
        <v>147</v>
      </c>
      <c r="E1876" s="8" t="s">
        <v>73</v>
      </c>
      <c r="F1876" s="8" t="s">
        <v>37</v>
      </c>
      <c r="G1876" s="8" t="s">
        <v>30</v>
      </c>
      <c r="H1876" s="8" t="s">
        <v>40</v>
      </c>
      <c r="I1876" s="11">
        <v>20</v>
      </c>
      <c r="J1876" s="12">
        <v>110.2</v>
      </c>
      <c r="K1876" s="13">
        <v>0.05</v>
      </c>
      <c r="L1876" s="12">
        <v>88.45</v>
      </c>
      <c r="M1876" s="14">
        <f>ROUND(tblSprzedaz[[#This Row],[Ilość]]*tblSprzedaz[[#This Row],[Cena netto jednostkowa]]*(1-tblSprzedaz[[#This Row],[Rabat %]]),2)</f>
        <v>2093.8000000000002</v>
      </c>
      <c r="N1876" s="14">
        <f>ROUND(tblSprzedaz[[#This Row],[Ilość]]*tblSprzedaz[[#This Row],[Koszt jednostkowy netto]],2)</f>
        <v>1769</v>
      </c>
      <c r="O1876" s="14">
        <f>tblSprzedaz[[#This Row],[Przychód netto]]-tblSprzedaz[[#This Row],[Koszt całkowity netto]]</f>
        <v>324.80000000000018</v>
      </c>
      <c r="P1876" s="15">
        <f>IFERROR(tblSprzedaz[[#This Row],[Marża kwotowa]]/tblSprzedaz[[#This Row],[Przychód netto]],0)</f>
        <v>0.15512465373961226</v>
      </c>
      <c r="Q1876" s="16">
        <f>YEAR(tblSprzedaz[[#This Row],[Data]])</f>
        <v>2026</v>
      </c>
      <c r="R1876" s="16">
        <f>MONTH(tblSprzedaz[[#This Row],[Data]])</f>
        <v>5</v>
      </c>
      <c r="S1876" s="9" t="str">
        <f>YEAR(tblSprzedaz[[#This Row],[Data]])&amp;"-"&amp;RIGHT("0"&amp;MONTH(tblSprzedaz[[#This Row],[Data]]),2)</f>
        <v>2026-05</v>
      </c>
    </row>
    <row r="1877" spans="1:19" x14ac:dyDescent="0.25">
      <c r="A1877" s="7" t="s">
        <v>3921</v>
      </c>
      <c r="B1877" s="10">
        <v>46161</v>
      </c>
      <c r="C1877" s="7" t="s">
        <v>3922</v>
      </c>
      <c r="D1877" s="8" t="s">
        <v>102</v>
      </c>
      <c r="E1877" s="8" t="s">
        <v>68</v>
      </c>
      <c r="F1877" s="8" t="s">
        <v>35</v>
      </c>
      <c r="G1877" s="8" t="s">
        <v>36</v>
      </c>
      <c r="H1877" s="8" t="s">
        <v>47</v>
      </c>
      <c r="I1877" s="11">
        <v>14</v>
      </c>
      <c r="J1877" s="12">
        <v>90.44</v>
      </c>
      <c r="K1877" s="13">
        <v>0</v>
      </c>
      <c r="L1877" s="12">
        <v>66.47</v>
      </c>
      <c r="M1877" s="14">
        <f>ROUND(tblSprzedaz[[#This Row],[Ilość]]*tblSprzedaz[[#This Row],[Cena netto jednostkowa]]*(1-tblSprzedaz[[#This Row],[Rabat %]]),2)</f>
        <v>1266.1600000000001</v>
      </c>
      <c r="N1877" s="14">
        <f>ROUND(tblSprzedaz[[#This Row],[Ilość]]*tblSprzedaz[[#This Row],[Koszt jednostkowy netto]],2)</f>
        <v>930.58</v>
      </c>
      <c r="O1877" s="14">
        <f>tblSprzedaz[[#This Row],[Przychód netto]]-tblSprzedaz[[#This Row],[Koszt całkowity netto]]</f>
        <v>335.58000000000004</v>
      </c>
      <c r="P1877" s="15">
        <f>IFERROR(tblSprzedaz[[#This Row],[Marża kwotowa]]/tblSprzedaz[[#This Row],[Przychód netto]],0)</f>
        <v>0.26503759398496241</v>
      </c>
      <c r="Q1877" s="16">
        <f>YEAR(tblSprzedaz[[#This Row],[Data]])</f>
        <v>2026</v>
      </c>
      <c r="R1877" s="16">
        <f>MONTH(tblSprzedaz[[#This Row],[Data]])</f>
        <v>5</v>
      </c>
      <c r="S1877" s="9" t="str">
        <f>YEAR(tblSprzedaz[[#This Row],[Data]])&amp;"-"&amp;RIGHT("0"&amp;MONTH(tblSprzedaz[[#This Row],[Data]]),2)</f>
        <v>2026-05</v>
      </c>
    </row>
    <row r="1878" spans="1:19" x14ac:dyDescent="0.25">
      <c r="A1878" s="7" t="s">
        <v>3923</v>
      </c>
      <c r="B1878" s="10">
        <v>46161</v>
      </c>
      <c r="C1878" s="7" t="s">
        <v>3924</v>
      </c>
      <c r="D1878" s="8" t="s">
        <v>149</v>
      </c>
      <c r="E1878" s="8" t="s">
        <v>59</v>
      </c>
      <c r="F1878" s="8" t="s">
        <v>31</v>
      </c>
      <c r="G1878" s="8" t="s">
        <v>32</v>
      </c>
      <c r="H1878" s="8" t="s">
        <v>42</v>
      </c>
      <c r="I1878" s="11">
        <v>32</v>
      </c>
      <c r="J1878" s="12">
        <v>172.2</v>
      </c>
      <c r="K1878" s="13">
        <v>0</v>
      </c>
      <c r="L1878" s="12">
        <v>109.6</v>
      </c>
      <c r="M1878" s="14">
        <f>ROUND(tblSprzedaz[[#This Row],[Ilość]]*tblSprzedaz[[#This Row],[Cena netto jednostkowa]]*(1-tblSprzedaz[[#This Row],[Rabat %]]),2)</f>
        <v>5510.4</v>
      </c>
      <c r="N1878" s="14">
        <f>ROUND(tblSprzedaz[[#This Row],[Ilość]]*tblSprzedaz[[#This Row],[Koszt jednostkowy netto]],2)</f>
        <v>3507.2</v>
      </c>
      <c r="O1878" s="14">
        <f>tblSprzedaz[[#This Row],[Przychód netto]]-tblSprzedaz[[#This Row],[Koszt całkowity netto]]</f>
        <v>2003.1999999999998</v>
      </c>
      <c r="P1878" s="15">
        <f>IFERROR(tblSprzedaz[[#This Row],[Marża kwotowa]]/tblSprzedaz[[#This Row],[Przychód netto]],0)</f>
        <v>0.36353077816492452</v>
      </c>
      <c r="Q1878" s="16">
        <f>YEAR(tblSprzedaz[[#This Row],[Data]])</f>
        <v>2026</v>
      </c>
      <c r="R1878" s="16">
        <f>MONTH(tblSprzedaz[[#This Row],[Data]])</f>
        <v>5</v>
      </c>
      <c r="S1878" s="9" t="str">
        <f>YEAR(tblSprzedaz[[#This Row],[Data]])&amp;"-"&amp;RIGHT("0"&amp;MONTH(tblSprzedaz[[#This Row],[Data]]),2)</f>
        <v>2026-05</v>
      </c>
    </row>
    <row r="1879" spans="1:19" x14ac:dyDescent="0.25">
      <c r="A1879" s="7" t="s">
        <v>3925</v>
      </c>
      <c r="B1879" s="10">
        <v>46161</v>
      </c>
      <c r="C1879" s="7" t="s">
        <v>3926</v>
      </c>
      <c r="D1879" s="8" t="s">
        <v>144</v>
      </c>
      <c r="E1879" s="8" t="s">
        <v>48</v>
      </c>
      <c r="F1879" s="8" t="s">
        <v>29</v>
      </c>
      <c r="G1879" s="8" t="s">
        <v>28</v>
      </c>
      <c r="H1879" s="8" t="s">
        <v>38</v>
      </c>
      <c r="I1879" s="11">
        <v>13</v>
      </c>
      <c r="J1879" s="12">
        <v>33.659999999999997</v>
      </c>
      <c r="K1879" s="13">
        <v>0.15</v>
      </c>
      <c r="L1879" s="12">
        <v>19.260000000000002</v>
      </c>
      <c r="M1879" s="14">
        <f>ROUND(tblSprzedaz[[#This Row],[Ilość]]*tblSprzedaz[[#This Row],[Cena netto jednostkowa]]*(1-tblSprzedaz[[#This Row],[Rabat %]]),2)</f>
        <v>371.94</v>
      </c>
      <c r="N1879" s="14">
        <f>ROUND(tblSprzedaz[[#This Row],[Ilość]]*tblSprzedaz[[#This Row],[Koszt jednostkowy netto]],2)</f>
        <v>250.38</v>
      </c>
      <c r="O1879" s="14">
        <f>tblSprzedaz[[#This Row],[Przychód netto]]-tblSprzedaz[[#This Row],[Koszt całkowity netto]]</f>
        <v>121.56</v>
      </c>
      <c r="P1879" s="15">
        <f>IFERROR(tblSprzedaz[[#This Row],[Marża kwotowa]]/tblSprzedaz[[#This Row],[Przychód netto]],0)</f>
        <v>0.3268269075657364</v>
      </c>
      <c r="Q1879" s="16">
        <f>YEAR(tblSprzedaz[[#This Row],[Data]])</f>
        <v>2026</v>
      </c>
      <c r="R1879" s="16">
        <f>MONTH(tblSprzedaz[[#This Row],[Data]])</f>
        <v>5</v>
      </c>
      <c r="S1879" s="9" t="str">
        <f>YEAR(tblSprzedaz[[#This Row],[Data]])&amp;"-"&amp;RIGHT("0"&amp;MONTH(tblSprzedaz[[#This Row],[Data]]),2)</f>
        <v>2026-05</v>
      </c>
    </row>
    <row r="1880" spans="1:19" x14ac:dyDescent="0.25">
      <c r="A1880" s="7" t="s">
        <v>3927</v>
      </c>
      <c r="B1880" s="10">
        <v>46162</v>
      </c>
      <c r="C1880" s="7" t="s">
        <v>3928</v>
      </c>
      <c r="D1880" s="8" t="s">
        <v>132</v>
      </c>
      <c r="E1880" s="8" t="s">
        <v>57</v>
      </c>
      <c r="F1880" s="8" t="s">
        <v>31</v>
      </c>
      <c r="G1880" s="8" t="s">
        <v>34</v>
      </c>
      <c r="H1880" s="8" t="s">
        <v>44</v>
      </c>
      <c r="I1880" s="11">
        <v>9</v>
      </c>
      <c r="J1880" s="12">
        <v>315</v>
      </c>
      <c r="K1880" s="13">
        <v>0.15</v>
      </c>
      <c r="L1880" s="12">
        <v>211.86</v>
      </c>
      <c r="M1880" s="14">
        <f>ROUND(tblSprzedaz[[#This Row],[Ilość]]*tblSprzedaz[[#This Row],[Cena netto jednostkowa]]*(1-tblSprzedaz[[#This Row],[Rabat %]]),2)</f>
        <v>2409.75</v>
      </c>
      <c r="N1880" s="14">
        <f>ROUND(tblSprzedaz[[#This Row],[Ilość]]*tblSprzedaz[[#This Row],[Koszt jednostkowy netto]],2)</f>
        <v>1906.74</v>
      </c>
      <c r="O1880" s="14">
        <f>tblSprzedaz[[#This Row],[Przychód netto]]-tblSprzedaz[[#This Row],[Koszt całkowity netto]]</f>
        <v>503.01</v>
      </c>
      <c r="P1880" s="15">
        <f>IFERROR(tblSprzedaz[[#This Row],[Marża kwotowa]]/tblSprzedaz[[#This Row],[Przychód netto]],0)</f>
        <v>0.20873949579831932</v>
      </c>
      <c r="Q1880" s="16">
        <f>YEAR(tblSprzedaz[[#This Row],[Data]])</f>
        <v>2026</v>
      </c>
      <c r="R1880" s="16">
        <f>MONTH(tblSprzedaz[[#This Row],[Data]])</f>
        <v>5</v>
      </c>
      <c r="S1880" s="9" t="str">
        <f>YEAR(tblSprzedaz[[#This Row],[Data]])&amp;"-"&amp;RIGHT("0"&amp;MONTH(tblSprzedaz[[#This Row],[Data]]),2)</f>
        <v>2026-05</v>
      </c>
    </row>
    <row r="1881" spans="1:19" x14ac:dyDescent="0.25">
      <c r="A1881" s="7" t="s">
        <v>3929</v>
      </c>
      <c r="B1881" s="10">
        <v>46162</v>
      </c>
      <c r="C1881" s="7" t="s">
        <v>3930</v>
      </c>
      <c r="D1881" s="8" t="s">
        <v>136</v>
      </c>
      <c r="E1881" s="8" t="s">
        <v>75</v>
      </c>
      <c r="F1881" s="8" t="s">
        <v>37</v>
      </c>
      <c r="G1881" s="8" t="s">
        <v>36</v>
      </c>
      <c r="H1881" s="8" t="s">
        <v>46</v>
      </c>
      <c r="I1881" s="11">
        <v>2</v>
      </c>
      <c r="J1881" s="12">
        <v>142.5</v>
      </c>
      <c r="K1881" s="13">
        <v>0.15</v>
      </c>
      <c r="L1881" s="12">
        <v>114.39</v>
      </c>
      <c r="M1881" s="14">
        <f>ROUND(tblSprzedaz[[#This Row],[Ilość]]*tblSprzedaz[[#This Row],[Cena netto jednostkowa]]*(1-tblSprzedaz[[#This Row],[Rabat %]]),2)</f>
        <v>242.25</v>
      </c>
      <c r="N1881" s="14">
        <f>ROUND(tblSprzedaz[[#This Row],[Ilość]]*tblSprzedaz[[#This Row],[Koszt jednostkowy netto]],2)</f>
        <v>228.78</v>
      </c>
      <c r="O1881" s="14">
        <f>tblSprzedaz[[#This Row],[Przychód netto]]-tblSprzedaz[[#This Row],[Koszt całkowity netto]]</f>
        <v>13.469999999999999</v>
      </c>
      <c r="P1881" s="15">
        <f>IFERROR(tblSprzedaz[[#This Row],[Marża kwotowa]]/tblSprzedaz[[#This Row],[Przychód netto]],0)</f>
        <v>5.5603715170278636E-2</v>
      </c>
      <c r="Q1881" s="16">
        <f>YEAR(tblSprzedaz[[#This Row],[Data]])</f>
        <v>2026</v>
      </c>
      <c r="R1881" s="16">
        <f>MONTH(tblSprzedaz[[#This Row],[Data]])</f>
        <v>5</v>
      </c>
      <c r="S1881" s="9" t="str">
        <f>YEAR(tblSprzedaz[[#This Row],[Data]])&amp;"-"&amp;RIGHT("0"&amp;MONTH(tblSprzedaz[[#This Row],[Data]]),2)</f>
        <v>2026-05</v>
      </c>
    </row>
    <row r="1882" spans="1:19" x14ac:dyDescent="0.25">
      <c r="A1882" s="7" t="s">
        <v>3931</v>
      </c>
      <c r="B1882" s="10">
        <v>46162</v>
      </c>
      <c r="C1882" s="7" t="s">
        <v>3932</v>
      </c>
      <c r="D1882" s="8" t="s">
        <v>145</v>
      </c>
      <c r="E1882" s="8" t="s">
        <v>49</v>
      </c>
      <c r="F1882" s="8" t="s">
        <v>29</v>
      </c>
      <c r="G1882" s="8" t="s">
        <v>30</v>
      </c>
      <c r="H1882" s="8" t="s">
        <v>40</v>
      </c>
      <c r="I1882" s="11">
        <v>17</v>
      </c>
      <c r="J1882" s="12">
        <v>39.44</v>
      </c>
      <c r="K1882" s="13">
        <v>0.05</v>
      </c>
      <c r="L1882" s="12">
        <v>23.29</v>
      </c>
      <c r="M1882" s="14">
        <f>ROUND(tblSprzedaz[[#This Row],[Ilość]]*tblSprzedaz[[#This Row],[Cena netto jednostkowa]]*(1-tblSprzedaz[[#This Row],[Rabat %]]),2)</f>
        <v>636.96</v>
      </c>
      <c r="N1882" s="14">
        <f>ROUND(tblSprzedaz[[#This Row],[Ilość]]*tblSprzedaz[[#This Row],[Koszt jednostkowy netto]],2)</f>
        <v>395.93</v>
      </c>
      <c r="O1882" s="14">
        <f>tblSprzedaz[[#This Row],[Przychód netto]]-tblSprzedaz[[#This Row],[Koszt całkowity netto]]</f>
        <v>241.03000000000003</v>
      </c>
      <c r="P1882" s="15">
        <f>IFERROR(tblSprzedaz[[#This Row],[Marża kwotowa]]/tblSprzedaz[[#This Row],[Przychód netto]],0)</f>
        <v>0.3784068073348405</v>
      </c>
      <c r="Q1882" s="16">
        <f>YEAR(tblSprzedaz[[#This Row],[Data]])</f>
        <v>2026</v>
      </c>
      <c r="R1882" s="16">
        <f>MONTH(tblSprzedaz[[#This Row],[Data]])</f>
        <v>5</v>
      </c>
      <c r="S1882" s="9" t="str">
        <f>YEAR(tblSprzedaz[[#This Row],[Data]])&amp;"-"&amp;RIGHT("0"&amp;MONTH(tblSprzedaz[[#This Row],[Data]]),2)</f>
        <v>2026-05</v>
      </c>
    </row>
    <row r="1883" spans="1:19" x14ac:dyDescent="0.25">
      <c r="A1883" s="7" t="s">
        <v>3933</v>
      </c>
      <c r="B1883" s="10">
        <v>46162</v>
      </c>
      <c r="C1883" s="7" t="s">
        <v>3934</v>
      </c>
      <c r="D1883" s="8" t="s">
        <v>99</v>
      </c>
      <c r="E1883" s="8" t="s">
        <v>64</v>
      </c>
      <c r="F1883" s="8" t="s">
        <v>33</v>
      </c>
      <c r="G1883" s="8" t="s">
        <v>30</v>
      </c>
      <c r="H1883" s="8" t="s">
        <v>41</v>
      </c>
      <c r="I1883" s="11">
        <v>9</v>
      </c>
      <c r="J1883" s="12">
        <v>768.2</v>
      </c>
      <c r="K1883" s="13">
        <v>0</v>
      </c>
      <c r="L1883" s="12">
        <v>500.82</v>
      </c>
      <c r="M1883" s="14">
        <f>ROUND(tblSprzedaz[[#This Row],[Ilość]]*tblSprzedaz[[#This Row],[Cena netto jednostkowa]]*(1-tblSprzedaz[[#This Row],[Rabat %]]),2)</f>
        <v>6913.8</v>
      </c>
      <c r="N1883" s="14">
        <f>ROUND(tblSprzedaz[[#This Row],[Ilość]]*tblSprzedaz[[#This Row],[Koszt jednostkowy netto]],2)</f>
        <v>4507.38</v>
      </c>
      <c r="O1883" s="14">
        <f>tblSprzedaz[[#This Row],[Przychód netto]]-tblSprzedaz[[#This Row],[Koszt całkowity netto]]</f>
        <v>2406.42</v>
      </c>
      <c r="P1883" s="15">
        <f>IFERROR(tblSprzedaz[[#This Row],[Marża kwotowa]]/tblSprzedaz[[#This Row],[Przychód netto]],0)</f>
        <v>0.34806040093725593</v>
      </c>
      <c r="Q1883" s="16">
        <f>YEAR(tblSprzedaz[[#This Row],[Data]])</f>
        <v>2026</v>
      </c>
      <c r="R1883" s="16">
        <f>MONTH(tblSprzedaz[[#This Row],[Data]])</f>
        <v>5</v>
      </c>
      <c r="S1883" s="9" t="str">
        <f>YEAR(tblSprzedaz[[#This Row],[Data]])&amp;"-"&amp;RIGHT("0"&amp;MONTH(tblSprzedaz[[#This Row],[Data]]),2)</f>
        <v>2026-05</v>
      </c>
    </row>
    <row r="1884" spans="1:19" x14ac:dyDescent="0.25">
      <c r="A1884" s="7" t="s">
        <v>3935</v>
      </c>
      <c r="B1884" s="10">
        <v>46162</v>
      </c>
      <c r="C1884" s="7" t="s">
        <v>3936</v>
      </c>
      <c r="D1884" s="8" t="s">
        <v>112</v>
      </c>
      <c r="E1884" s="8" t="s">
        <v>63</v>
      </c>
      <c r="F1884" s="8" t="s">
        <v>33</v>
      </c>
      <c r="G1884" s="8" t="s">
        <v>28</v>
      </c>
      <c r="H1884" s="8" t="s">
        <v>39</v>
      </c>
      <c r="I1884" s="11">
        <v>16</v>
      </c>
      <c r="J1884" s="12">
        <v>690</v>
      </c>
      <c r="K1884" s="13">
        <v>0.1</v>
      </c>
      <c r="L1884" s="12">
        <v>462.79</v>
      </c>
      <c r="M1884" s="14">
        <f>ROUND(tblSprzedaz[[#This Row],[Ilość]]*tblSprzedaz[[#This Row],[Cena netto jednostkowa]]*(1-tblSprzedaz[[#This Row],[Rabat %]]),2)</f>
        <v>9936</v>
      </c>
      <c r="N1884" s="14">
        <f>ROUND(tblSprzedaz[[#This Row],[Ilość]]*tblSprzedaz[[#This Row],[Koszt jednostkowy netto]],2)</f>
        <v>7404.64</v>
      </c>
      <c r="O1884" s="14">
        <f>tblSprzedaz[[#This Row],[Przychód netto]]-tblSprzedaz[[#This Row],[Koszt całkowity netto]]</f>
        <v>2531.3599999999997</v>
      </c>
      <c r="P1884" s="15">
        <f>IFERROR(tblSprzedaz[[#This Row],[Marża kwotowa]]/tblSprzedaz[[#This Row],[Przychód netto]],0)</f>
        <v>0.25476650563607084</v>
      </c>
      <c r="Q1884" s="16">
        <f>YEAR(tblSprzedaz[[#This Row],[Data]])</f>
        <v>2026</v>
      </c>
      <c r="R1884" s="16">
        <f>MONTH(tblSprzedaz[[#This Row],[Data]])</f>
        <v>5</v>
      </c>
      <c r="S1884" s="9" t="str">
        <f>YEAR(tblSprzedaz[[#This Row],[Data]])&amp;"-"&amp;RIGHT("0"&amp;MONTH(tblSprzedaz[[#This Row],[Data]]),2)</f>
        <v>2026-05</v>
      </c>
    </row>
    <row r="1885" spans="1:19" x14ac:dyDescent="0.25">
      <c r="A1885" s="7" t="s">
        <v>3937</v>
      </c>
      <c r="B1885" s="10">
        <v>46163</v>
      </c>
      <c r="C1885" s="7" t="s">
        <v>3938</v>
      </c>
      <c r="D1885" s="8" t="s">
        <v>88</v>
      </c>
      <c r="E1885" s="8" t="s">
        <v>67</v>
      </c>
      <c r="F1885" s="8" t="s">
        <v>35</v>
      </c>
      <c r="G1885" s="8" t="s">
        <v>36</v>
      </c>
      <c r="H1885" s="8" t="s">
        <v>46</v>
      </c>
      <c r="I1885" s="11">
        <v>24</v>
      </c>
      <c r="J1885" s="12">
        <v>78.88</v>
      </c>
      <c r="K1885" s="13">
        <v>0</v>
      </c>
      <c r="L1885" s="12">
        <v>59.94</v>
      </c>
      <c r="M1885" s="14">
        <f>ROUND(tblSprzedaz[[#This Row],[Ilość]]*tblSprzedaz[[#This Row],[Cena netto jednostkowa]]*(1-tblSprzedaz[[#This Row],[Rabat %]]),2)</f>
        <v>1893.12</v>
      </c>
      <c r="N1885" s="14">
        <f>ROUND(tblSprzedaz[[#This Row],[Ilość]]*tblSprzedaz[[#This Row],[Koszt jednostkowy netto]],2)</f>
        <v>1438.56</v>
      </c>
      <c r="O1885" s="14">
        <f>tblSprzedaz[[#This Row],[Przychód netto]]-tblSprzedaz[[#This Row],[Koszt całkowity netto]]</f>
        <v>454.55999999999995</v>
      </c>
      <c r="P1885" s="15">
        <f>IFERROR(tblSprzedaz[[#This Row],[Marża kwotowa]]/tblSprzedaz[[#This Row],[Przychód netto]],0)</f>
        <v>0.24011156186612576</v>
      </c>
      <c r="Q1885" s="16">
        <f>YEAR(tblSprzedaz[[#This Row],[Data]])</f>
        <v>2026</v>
      </c>
      <c r="R1885" s="16">
        <f>MONTH(tblSprzedaz[[#This Row],[Data]])</f>
        <v>5</v>
      </c>
      <c r="S1885" s="9" t="str">
        <f>YEAR(tblSprzedaz[[#This Row],[Data]])&amp;"-"&amp;RIGHT("0"&amp;MONTH(tblSprzedaz[[#This Row],[Data]]),2)</f>
        <v>2026-05</v>
      </c>
    </row>
    <row r="1886" spans="1:19" x14ac:dyDescent="0.25">
      <c r="A1886" s="7" t="s">
        <v>3939</v>
      </c>
      <c r="B1886" s="10">
        <v>46163</v>
      </c>
      <c r="C1886" s="7" t="s">
        <v>3940</v>
      </c>
      <c r="D1886" s="8" t="s">
        <v>143</v>
      </c>
      <c r="E1886" s="8" t="s">
        <v>67</v>
      </c>
      <c r="F1886" s="8" t="s">
        <v>35</v>
      </c>
      <c r="G1886" s="8" t="s">
        <v>34</v>
      </c>
      <c r="H1886" s="8" t="s">
        <v>44</v>
      </c>
      <c r="I1886" s="11">
        <v>6</v>
      </c>
      <c r="J1886" s="12">
        <v>78.88</v>
      </c>
      <c r="K1886" s="13">
        <v>0.05</v>
      </c>
      <c r="L1886" s="12">
        <v>55.07</v>
      </c>
      <c r="M1886" s="14">
        <f>ROUND(tblSprzedaz[[#This Row],[Ilość]]*tblSprzedaz[[#This Row],[Cena netto jednostkowa]]*(1-tblSprzedaz[[#This Row],[Rabat %]]),2)</f>
        <v>449.62</v>
      </c>
      <c r="N1886" s="14">
        <f>ROUND(tblSprzedaz[[#This Row],[Ilość]]*tblSprzedaz[[#This Row],[Koszt jednostkowy netto]],2)</f>
        <v>330.42</v>
      </c>
      <c r="O1886" s="14">
        <f>tblSprzedaz[[#This Row],[Przychód netto]]-tblSprzedaz[[#This Row],[Koszt całkowity netto]]</f>
        <v>119.19999999999999</v>
      </c>
      <c r="P1886" s="15">
        <f>IFERROR(tblSprzedaz[[#This Row],[Marża kwotowa]]/tblSprzedaz[[#This Row],[Przychód netto]],0)</f>
        <v>0.26511276188781635</v>
      </c>
      <c r="Q1886" s="16">
        <f>YEAR(tblSprzedaz[[#This Row],[Data]])</f>
        <v>2026</v>
      </c>
      <c r="R1886" s="16">
        <f>MONTH(tblSprzedaz[[#This Row],[Data]])</f>
        <v>5</v>
      </c>
      <c r="S1886" s="9" t="str">
        <f>YEAR(tblSprzedaz[[#This Row],[Data]])&amp;"-"&amp;RIGHT("0"&amp;MONTH(tblSprzedaz[[#This Row],[Data]]),2)</f>
        <v>2026-05</v>
      </c>
    </row>
    <row r="1887" spans="1:19" x14ac:dyDescent="0.25">
      <c r="A1887" s="7" t="s">
        <v>3941</v>
      </c>
      <c r="B1887" s="10">
        <v>46163</v>
      </c>
      <c r="C1887" s="7" t="s">
        <v>3942</v>
      </c>
      <c r="D1887" s="8" t="s">
        <v>98</v>
      </c>
      <c r="E1887" s="8" t="s">
        <v>53</v>
      </c>
      <c r="F1887" s="8" t="s">
        <v>29</v>
      </c>
      <c r="G1887" s="8" t="s">
        <v>30</v>
      </c>
      <c r="H1887" s="8" t="s">
        <v>40</v>
      </c>
      <c r="I1887" s="11">
        <v>9</v>
      </c>
      <c r="J1887" s="12">
        <v>27.88</v>
      </c>
      <c r="K1887" s="13">
        <v>0</v>
      </c>
      <c r="L1887" s="12">
        <v>17.05</v>
      </c>
      <c r="M1887" s="14">
        <f>ROUND(tblSprzedaz[[#This Row],[Ilość]]*tblSprzedaz[[#This Row],[Cena netto jednostkowa]]*(1-tblSprzedaz[[#This Row],[Rabat %]]),2)</f>
        <v>250.92</v>
      </c>
      <c r="N1887" s="14">
        <f>ROUND(tblSprzedaz[[#This Row],[Ilość]]*tblSprzedaz[[#This Row],[Koszt jednostkowy netto]],2)</f>
        <v>153.44999999999999</v>
      </c>
      <c r="O1887" s="14">
        <f>tblSprzedaz[[#This Row],[Przychód netto]]-tblSprzedaz[[#This Row],[Koszt całkowity netto]]</f>
        <v>97.47</v>
      </c>
      <c r="P1887" s="15">
        <f>IFERROR(tblSprzedaz[[#This Row],[Marża kwotowa]]/tblSprzedaz[[#This Row],[Przychód netto]],0)</f>
        <v>0.38845050215208038</v>
      </c>
      <c r="Q1887" s="16">
        <f>YEAR(tblSprzedaz[[#This Row],[Data]])</f>
        <v>2026</v>
      </c>
      <c r="R1887" s="16">
        <f>MONTH(tblSprzedaz[[#This Row],[Data]])</f>
        <v>5</v>
      </c>
      <c r="S1887" s="9" t="str">
        <f>YEAR(tblSprzedaz[[#This Row],[Data]])&amp;"-"&amp;RIGHT("0"&amp;MONTH(tblSprzedaz[[#This Row],[Data]]),2)</f>
        <v>2026-05</v>
      </c>
    </row>
    <row r="1888" spans="1:19" x14ac:dyDescent="0.25">
      <c r="A1888" s="7" t="s">
        <v>3943</v>
      </c>
      <c r="B1888" s="10">
        <v>46163</v>
      </c>
      <c r="C1888" s="7" t="s">
        <v>3944</v>
      </c>
      <c r="D1888" s="8" t="s">
        <v>141</v>
      </c>
      <c r="E1888" s="8" t="s">
        <v>57</v>
      </c>
      <c r="F1888" s="8" t="s">
        <v>31</v>
      </c>
      <c r="G1888" s="8" t="s">
        <v>28</v>
      </c>
      <c r="H1888" s="8" t="s">
        <v>38</v>
      </c>
      <c r="I1888" s="11">
        <v>6</v>
      </c>
      <c r="J1888" s="12">
        <v>315</v>
      </c>
      <c r="K1888" s="13">
        <v>0</v>
      </c>
      <c r="L1888" s="12">
        <v>198.02</v>
      </c>
      <c r="M1888" s="14">
        <f>ROUND(tblSprzedaz[[#This Row],[Ilość]]*tblSprzedaz[[#This Row],[Cena netto jednostkowa]]*(1-tblSprzedaz[[#This Row],[Rabat %]]),2)</f>
        <v>1890</v>
      </c>
      <c r="N1888" s="14">
        <f>ROUND(tblSprzedaz[[#This Row],[Ilość]]*tblSprzedaz[[#This Row],[Koszt jednostkowy netto]],2)</f>
        <v>1188.1199999999999</v>
      </c>
      <c r="O1888" s="14">
        <f>tblSprzedaz[[#This Row],[Przychód netto]]-tblSprzedaz[[#This Row],[Koszt całkowity netto]]</f>
        <v>701.88000000000011</v>
      </c>
      <c r="P1888" s="15">
        <f>IFERROR(tblSprzedaz[[#This Row],[Marża kwotowa]]/tblSprzedaz[[#This Row],[Przychód netto]],0)</f>
        <v>0.3713650793650794</v>
      </c>
      <c r="Q1888" s="16">
        <f>YEAR(tblSprzedaz[[#This Row],[Data]])</f>
        <v>2026</v>
      </c>
      <c r="R1888" s="16">
        <f>MONTH(tblSprzedaz[[#This Row],[Data]])</f>
        <v>5</v>
      </c>
      <c r="S1888" s="9" t="str">
        <f>YEAR(tblSprzedaz[[#This Row],[Data]])&amp;"-"&amp;RIGHT("0"&amp;MONTH(tblSprzedaz[[#This Row],[Data]]),2)</f>
        <v>2026-05</v>
      </c>
    </row>
    <row r="1889" spans="1:19" x14ac:dyDescent="0.25">
      <c r="A1889" s="7" t="s">
        <v>3945</v>
      </c>
      <c r="B1889" s="10">
        <v>46163</v>
      </c>
      <c r="C1889" s="7" t="s">
        <v>3946</v>
      </c>
      <c r="D1889" s="8" t="s">
        <v>126</v>
      </c>
      <c r="E1889" s="8" t="s">
        <v>75</v>
      </c>
      <c r="F1889" s="8" t="s">
        <v>37</v>
      </c>
      <c r="G1889" s="8" t="s">
        <v>36</v>
      </c>
      <c r="H1889" s="8" t="s">
        <v>46</v>
      </c>
      <c r="I1889" s="11">
        <v>14</v>
      </c>
      <c r="J1889" s="12">
        <v>142.5</v>
      </c>
      <c r="K1889" s="13">
        <v>0.1</v>
      </c>
      <c r="L1889" s="12">
        <v>106.55</v>
      </c>
      <c r="M1889" s="14">
        <f>ROUND(tblSprzedaz[[#This Row],[Ilość]]*tblSprzedaz[[#This Row],[Cena netto jednostkowa]]*(1-tblSprzedaz[[#This Row],[Rabat %]]),2)</f>
        <v>1795.5</v>
      </c>
      <c r="N1889" s="14">
        <f>ROUND(tblSprzedaz[[#This Row],[Ilość]]*tblSprzedaz[[#This Row],[Koszt jednostkowy netto]],2)</f>
        <v>1491.7</v>
      </c>
      <c r="O1889" s="14">
        <f>tblSprzedaz[[#This Row],[Przychód netto]]-tblSprzedaz[[#This Row],[Koszt całkowity netto]]</f>
        <v>303.79999999999995</v>
      </c>
      <c r="P1889" s="15">
        <f>IFERROR(tblSprzedaz[[#This Row],[Marża kwotowa]]/tblSprzedaz[[#This Row],[Przychód netto]],0)</f>
        <v>0.16920077972709549</v>
      </c>
      <c r="Q1889" s="16">
        <f>YEAR(tblSprzedaz[[#This Row],[Data]])</f>
        <v>2026</v>
      </c>
      <c r="R1889" s="16">
        <f>MONTH(tblSprzedaz[[#This Row],[Data]])</f>
        <v>5</v>
      </c>
      <c r="S1889" s="9" t="str">
        <f>YEAR(tblSprzedaz[[#This Row],[Data]])&amp;"-"&amp;RIGHT("0"&amp;MONTH(tblSprzedaz[[#This Row],[Data]]),2)</f>
        <v>2026-05</v>
      </c>
    </row>
    <row r="1890" spans="1:19" x14ac:dyDescent="0.25">
      <c r="A1890" s="7" t="s">
        <v>3947</v>
      </c>
      <c r="B1890" s="10">
        <v>46163</v>
      </c>
      <c r="C1890" s="7" t="s">
        <v>3948</v>
      </c>
      <c r="D1890" s="8" t="s">
        <v>152</v>
      </c>
      <c r="E1890" s="8" t="s">
        <v>65</v>
      </c>
      <c r="F1890" s="8" t="s">
        <v>33</v>
      </c>
      <c r="G1890" s="8" t="s">
        <v>30</v>
      </c>
      <c r="H1890" s="8" t="s">
        <v>40</v>
      </c>
      <c r="I1890" s="11">
        <v>27</v>
      </c>
      <c r="J1890" s="12">
        <v>377.2</v>
      </c>
      <c r="K1890" s="13">
        <v>0.15</v>
      </c>
      <c r="L1890" s="12">
        <v>271</v>
      </c>
      <c r="M1890" s="14">
        <f>ROUND(tblSprzedaz[[#This Row],[Ilość]]*tblSprzedaz[[#This Row],[Cena netto jednostkowa]]*(1-tblSprzedaz[[#This Row],[Rabat %]]),2)</f>
        <v>8656.74</v>
      </c>
      <c r="N1890" s="14">
        <f>ROUND(tblSprzedaz[[#This Row],[Ilość]]*tblSprzedaz[[#This Row],[Koszt jednostkowy netto]],2)</f>
        <v>7317</v>
      </c>
      <c r="O1890" s="14">
        <f>tblSprzedaz[[#This Row],[Przychód netto]]-tblSprzedaz[[#This Row],[Koszt całkowity netto]]</f>
        <v>1339.7399999999998</v>
      </c>
      <c r="P1890" s="15">
        <f>IFERROR(tblSprzedaz[[#This Row],[Marża kwotowa]]/tblSprzedaz[[#This Row],[Przychód netto]],0)</f>
        <v>0.15476264737071921</v>
      </c>
      <c r="Q1890" s="16">
        <f>YEAR(tblSprzedaz[[#This Row],[Data]])</f>
        <v>2026</v>
      </c>
      <c r="R1890" s="16">
        <f>MONTH(tblSprzedaz[[#This Row],[Data]])</f>
        <v>5</v>
      </c>
      <c r="S1890" s="9" t="str">
        <f>YEAR(tblSprzedaz[[#This Row],[Data]])&amp;"-"&amp;RIGHT("0"&amp;MONTH(tblSprzedaz[[#This Row],[Data]]),2)</f>
        <v>2026-05</v>
      </c>
    </row>
    <row r="1891" spans="1:19" x14ac:dyDescent="0.25">
      <c r="A1891" s="7" t="s">
        <v>3949</v>
      </c>
      <c r="B1891" s="10">
        <v>46164</v>
      </c>
      <c r="C1891" s="7" t="s">
        <v>3950</v>
      </c>
      <c r="D1891" s="8" t="s">
        <v>126</v>
      </c>
      <c r="E1891" s="8" t="s">
        <v>76</v>
      </c>
      <c r="F1891" s="8" t="s">
        <v>37</v>
      </c>
      <c r="G1891" s="8" t="s">
        <v>30</v>
      </c>
      <c r="H1891" s="8" t="s">
        <v>40</v>
      </c>
      <c r="I1891" s="11">
        <v>5</v>
      </c>
      <c r="J1891" s="12">
        <v>158.65</v>
      </c>
      <c r="K1891" s="13">
        <v>0.05</v>
      </c>
      <c r="L1891" s="12">
        <v>127.2</v>
      </c>
      <c r="M1891" s="14">
        <f>ROUND(tblSprzedaz[[#This Row],[Ilość]]*tblSprzedaz[[#This Row],[Cena netto jednostkowa]]*(1-tblSprzedaz[[#This Row],[Rabat %]]),2)</f>
        <v>753.59</v>
      </c>
      <c r="N1891" s="14">
        <f>ROUND(tblSprzedaz[[#This Row],[Ilość]]*tblSprzedaz[[#This Row],[Koszt jednostkowy netto]],2)</f>
        <v>636</v>
      </c>
      <c r="O1891" s="14">
        <f>tblSprzedaz[[#This Row],[Przychód netto]]-tblSprzedaz[[#This Row],[Koszt całkowity netto]]</f>
        <v>117.59000000000003</v>
      </c>
      <c r="P1891" s="15">
        <f>IFERROR(tblSprzedaz[[#This Row],[Marża kwotowa]]/tblSprzedaz[[#This Row],[Przychód netto]],0)</f>
        <v>0.15603975636619385</v>
      </c>
      <c r="Q1891" s="16">
        <f>YEAR(tblSprzedaz[[#This Row],[Data]])</f>
        <v>2026</v>
      </c>
      <c r="R1891" s="16">
        <f>MONTH(tblSprzedaz[[#This Row],[Data]])</f>
        <v>5</v>
      </c>
      <c r="S1891" s="9" t="str">
        <f>YEAR(tblSprzedaz[[#This Row],[Data]])&amp;"-"&amp;RIGHT("0"&amp;MONTH(tblSprzedaz[[#This Row],[Data]]),2)</f>
        <v>2026-05</v>
      </c>
    </row>
    <row r="1892" spans="1:19" x14ac:dyDescent="0.25">
      <c r="A1892" s="7" t="s">
        <v>3951</v>
      </c>
      <c r="B1892" s="10">
        <v>46164</v>
      </c>
      <c r="C1892" s="7" t="s">
        <v>3952</v>
      </c>
      <c r="D1892" s="8" t="s">
        <v>100</v>
      </c>
      <c r="E1892" s="8" t="s">
        <v>76</v>
      </c>
      <c r="F1892" s="8" t="s">
        <v>37</v>
      </c>
      <c r="G1892" s="8" t="s">
        <v>32</v>
      </c>
      <c r="H1892" s="8" t="s">
        <v>42</v>
      </c>
      <c r="I1892" s="11">
        <v>22</v>
      </c>
      <c r="J1892" s="12">
        <v>158.65</v>
      </c>
      <c r="K1892" s="13">
        <v>0.05</v>
      </c>
      <c r="L1892" s="12">
        <v>117.49</v>
      </c>
      <c r="M1892" s="14">
        <f>ROUND(tblSprzedaz[[#This Row],[Ilość]]*tblSprzedaz[[#This Row],[Cena netto jednostkowa]]*(1-tblSprzedaz[[#This Row],[Rabat %]]),2)</f>
        <v>3315.79</v>
      </c>
      <c r="N1892" s="14">
        <f>ROUND(tblSprzedaz[[#This Row],[Ilość]]*tblSprzedaz[[#This Row],[Koszt jednostkowy netto]],2)</f>
        <v>2584.7800000000002</v>
      </c>
      <c r="O1892" s="14">
        <f>tblSprzedaz[[#This Row],[Przychód netto]]-tblSprzedaz[[#This Row],[Koszt całkowity netto]]</f>
        <v>731.00999999999976</v>
      </c>
      <c r="P1892" s="15">
        <f>IFERROR(tblSprzedaz[[#This Row],[Marża kwotowa]]/tblSprzedaz[[#This Row],[Przychód netto]],0)</f>
        <v>0.22046329833915893</v>
      </c>
      <c r="Q1892" s="16">
        <f>YEAR(tblSprzedaz[[#This Row],[Data]])</f>
        <v>2026</v>
      </c>
      <c r="R1892" s="16">
        <f>MONTH(tblSprzedaz[[#This Row],[Data]])</f>
        <v>5</v>
      </c>
      <c r="S1892" s="9" t="str">
        <f>YEAR(tblSprzedaz[[#This Row],[Data]])&amp;"-"&amp;RIGHT("0"&amp;MONTH(tblSprzedaz[[#This Row],[Data]]),2)</f>
        <v>2026-05</v>
      </c>
    </row>
    <row r="1893" spans="1:19" x14ac:dyDescent="0.25">
      <c r="A1893" s="7" t="s">
        <v>3953</v>
      </c>
      <c r="B1893" s="10">
        <v>46164</v>
      </c>
      <c r="C1893" s="7" t="s">
        <v>3954</v>
      </c>
      <c r="D1893" s="8" t="s">
        <v>99</v>
      </c>
      <c r="E1893" s="8" t="s">
        <v>77</v>
      </c>
      <c r="F1893" s="8" t="s">
        <v>37</v>
      </c>
      <c r="G1893" s="8" t="s">
        <v>36</v>
      </c>
      <c r="H1893" s="8" t="s">
        <v>47</v>
      </c>
      <c r="I1893" s="11">
        <v>24</v>
      </c>
      <c r="J1893" s="12">
        <v>77.900000000000006</v>
      </c>
      <c r="K1893" s="13">
        <v>0</v>
      </c>
      <c r="L1893" s="12">
        <v>58.19</v>
      </c>
      <c r="M1893" s="14">
        <f>ROUND(tblSprzedaz[[#This Row],[Ilość]]*tblSprzedaz[[#This Row],[Cena netto jednostkowa]]*(1-tblSprzedaz[[#This Row],[Rabat %]]),2)</f>
        <v>1869.6</v>
      </c>
      <c r="N1893" s="14">
        <f>ROUND(tblSprzedaz[[#This Row],[Ilość]]*tblSprzedaz[[#This Row],[Koszt jednostkowy netto]],2)</f>
        <v>1396.56</v>
      </c>
      <c r="O1893" s="14">
        <f>tblSprzedaz[[#This Row],[Przychód netto]]-tblSprzedaz[[#This Row],[Koszt całkowity netto]]</f>
        <v>473.03999999999996</v>
      </c>
      <c r="P1893" s="15">
        <f>IFERROR(tblSprzedaz[[#This Row],[Marża kwotowa]]/tblSprzedaz[[#This Row],[Przychód netto]],0)</f>
        <v>0.25301668806161748</v>
      </c>
      <c r="Q1893" s="16">
        <f>YEAR(tblSprzedaz[[#This Row],[Data]])</f>
        <v>2026</v>
      </c>
      <c r="R1893" s="16">
        <f>MONTH(tblSprzedaz[[#This Row],[Data]])</f>
        <v>5</v>
      </c>
      <c r="S1893" s="9" t="str">
        <f>YEAR(tblSprzedaz[[#This Row],[Data]])&amp;"-"&amp;RIGHT("0"&amp;MONTH(tblSprzedaz[[#This Row],[Data]]),2)</f>
        <v>2026-05</v>
      </c>
    </row>
    <row r="1894" spans="1:19" x14ac:dyDescent="0.25">
      <c r="A1894" s="7" t="s">
        <v>3955</v>
      </c>
      <c r="B1894" s="10">
        <v>46164</v>
      </c>
      <c r="C1894" s="7" t="s">
        <v>3956</v>
      </c>
      <c r="D1894" s="8" t="s">
        <v>79</v>
      </c>
      <c r="E1894" s="8" t="s">
        <v>60</v>
      </c>
      <c r="F1894" s="8" t="s">
        <v>33</v>
      </c>
      <c r="G1894" s="8" t="s">
        <v>30</v>
      </c>
      <c r="H1894" s="8" t="s">
        <v>40</v>
      </c>
      <c r="I1894" s="11">
        <v>23</v>
      </c>
      <c r="J1894" s="12">
        <v>455.4</v>
      </c>
      <c r="K1894" s="13">
        <v>0.1</v>
      </c>
      <c r="L1894" s="12">
        <v>320.56</v>
      </c>
      <c r="M1894" s="14">
        <f>ROUND(tblSprzedaz[[#This Row],[Ilość]]*tblSprzedaz[[#This Row],[Cena netto jednostkowa]]*(1-tblSprzedaz[[#This Row],[Rabat %]]),2)</f>
        <v>9426.7800000000007</v>
      </c>
      <c r="N1894" s="14">
        <f>ROUND(tblSprzedaz[[#This Row],[Ilość]]*tblSprzedaz[[#This Row],[Koszt jednostkowy netto]],2)</f>
        <v>7372.88</v>
      </c>
      <c r="O1894" s="14">
        <f>tblSprzedaz[[#This Row],[Przychód netto]]-tblSprzedaz[[#This Row],[Koszt całkowity netto]]</f>
        <v>2053.9000000000005</v>
      </c>
      <c r="P1894" s="15">
        <f>IFERROR(tblSprzedaz[[#This Row],[Marża kwotowa]]/tblSprzedaz[[#This Row],[Przychód netto]],0)</f>
        <v>0.21787927585029038</v>
      </c>
      <c r="Q1894" s="16">
        <f>YEAR(tblSprzedaz[[#This Row],[Data]])</f>
        <v>2026</v>
      </c>
      <c r="R1894" s="16">
        <f>MONTH(tblSprzedaz[[#This Row],[Data]])</f>
        <v>5</v>
      </c>
      <c r="S1894" s="9" t="str">
        <f>YEAR(tblSprzedaz[[#This Row],[Data]])&amp;"-"&amp;RIGHT("0"&amp;MONTH(tblSprzedaz[[#This Row],[Data]]),2)</f>
        <v>2026-05</v>
      </c>
    </row>
    <row r="1895" spans="1:19" x14ac:dyDescent="0.25">
      <c r="A1895" s="7" t="s">
        <v>3957</v>
      </c>
      <c r="B1895" s="10">
        <v>46164</v>
      </c>
      <c r="C1895" s="7" t="s">
        <v>3958</v>
      </c>
      <c r="D1895" s="8" t="s">
        <v>107</v>
      </c>
      <c r="E1895" s="8" t="s">
        <v>53</v>
      </c>
      <c r="F1895" s="8" t="s">
        <v>29</v>
      </c>
      <c r="G1895" s="8" t="s">
        <v>34</v>
      </c>
      <c r="H1895" s="8" t="s">
        <v>44</v>
      </c>
      <c r="I1895" s="11">
        <v>3</v>
      </c>
      <c r="J1895" s="12">
        <v>27.88</v>
      </c>
      <c r="K1895" s="13">
        <v>0</v>
      </c>
      <c r="L1895" s="12">
        <v>17.260000000000002</v>
      </c>
      <c r="M1895" s="14">
        <f>ROUND(tblSprzedaz[[#This Row],[Ilość]]*tblSprzedaz[[#This Row],[Cena netto jednostkowa]]*(1-tblSprzedaz[[#This Row],[Rabat %]]),2)</f>
        <v>83.64</v>
      </c>
      <c r="N1895" s="14">
        <f>ROUND(tblSprzedaz[[#This Row],[Ilość]]*tblSprzedaz[[#This Row],[Koszt jednostkowy netto]],2)</f>
        <v>51.78</v>
      </c>
      <c r="O1895" s="14">
        <f>tblSprzedaz[[#This Row],[Przychód netto]]-tblSprzedaz[[#This Row],[Koszt całkowity netto]]</f>
        <v>31.86</v>
      </c>
      <c r="P1895" s="15">
        <f>IFERROR(tblSprzedaz[[#This Row],[Marża kwotowa]]/tblSprzedaz[[#This Row],[Przychód netto]],0)</f>
        <v>0.38091822094691535</v>
      </c>
      <c r="Q1895" s="16">
        <f>YEAR(tblSprzedaz[[#This Row],[Data]])</f>
        <v>2026</v>
      </c>
      <c r="R1895" s="16">
        <f>MONTH(tblSprzedaz[[#This Row],[Data]])</f>
        <v>5</v>
      </c>
      <c r="S1895" s="9" t="str">
        <f>YEAR(tblSprzedaz[[#This Row],[Data]])&amp;"-"&amp;RIGHT("0"&amp;MONTH(tblSprzedaz[[#This Row],[Data]]),2)</f>
        <v>2026-05</v>
      </c>
    </row>
    <row r="1896" spans="1:19" x14ac:dyDescent="0.25">
      <c r="A1896" s="7" t="s">
        <v>3959</v>
      </c>
      <c r="B1896" s="10">
        <v>46165</v>
      </c>
      <c r="C1896" s="7" t="s">
        <v>3960</v>
      </c>
      <c r="D1896" s="8" t="s">
        <v>94</v>
      </c>
      <c r="E1896" s="8" t="s">
        <v>60</v>
      </c>
      <c r="F1896" s="8" t="s">
        <v>33</v>
      </c>
      <c r="G1896" s="8" t="s">
        <v>36</v>
      </c>
      <c r="H1896" s="8" t="s">
        <v>47</v>
      </c>
      <c r="I1896" s="11">
        <v>15</v>
      </c>
      <c r="J1896" s="12">
        <v>455.4</v>
      </c>
      <c r="K1896" s="13">
        <v>0.05</v>
      </c>
      <c r="L1896" s="12">
        <v>324.23</v>
      </c>
      <c r="M1896" s="14">
        <f>ROUND(tblSprzedaz[[#This Row],[Ilość]]*tblSprzedaz[[#This Row],[Cena netto jednostkowa]]*(1-tblSprzedaz[[#This Row],[Rabat %]]),2)</f>
        <v>6489.45</v>
      </c>
      <c r="N1896" s="14">
        <f>ROUND(tblSprzedaz[[#This Row],[Ilość]]*tblSprzedaz[[#This Row],[Koszt jednostkowy netto]],2)</f>
        <v>4863.45</v>
      </c>
      <c r="O1896" s="14">
        <f>tblSprzedaz[[#This Row],[Przychód netto]]-tblSprzedaz[[#This Row],[Koszt całkowity netto]]</f>
        <v>1626</v>
      </c>
      <c r="P1896" s="15">
        <f>IFERROR(tblSprzedaz[[#This Row],[Marża kwotowa]]/tblSprzedaz[[#This Row],[Przychód netto]],0)</f>
        <v>0.25056052516006749</v>
      </c>
      <c r="Q1896" s="16">
        <f>YEAR(tblSprzedaz[[#This Row],[Data]])</f>
        <v>2026</v>
      </c>
      <c r="R1896" s="16">
        <f>MONTH(tblSprzedaz[[#This Row],[Data]])</f>
        <v>5</v>
      </c>
      <c r="S1896" s="9" t="str">
        <f>YEAR(tblSprzedaz[[#This Row],[Data]])&amp;"-"&amp;RIGHT("0"&amp;MONTH(tblSprzedaz[[#This Row],[Data]]),2)</f>
        <v>2026-05</v>
      </c>
    </row>
    <row r="1897" spans="1:19" x14ac:dyDescent="0.25">
      <c r="A1897" s="7" t="s">
        <v>3961</v>
      </c>
      <c r="B1897" s="10">
        <v>46165</v>
      </c>
      <c r="C1897" s="7" t="s">
        <v>3962</v>
      </c>
      <c r="D1897" s="8" t="s">
        <v>128</v>
      </c>
      <c r="E1897" s="8" t="s">
        <v>67</v>
      </c>
      <c r="F1897" s="8" t="s">
        <v>35</v>
      </c>
      <c r="G1897" s="8" t="s">
        <v>30</v>
      </c>
      <c r="H1897" s="8" t="s">
        <v>40</v>
      </c>
      <c r="I1897" s="11">
        <v>9</v>
      </c>
      <c r="J1897" s="12">
        <v>78.88</v>
      </c>
      <c r="K1897" s="13">
        <v>0.15</v>
      </c>
      <c r="L1897" s="12">
        <v>55.66</v>
      </c>
      <c r="M1897" s="14">
        <f>ROUND(tblSprzedaz[[#This Row],[Ilość]]*tblSprzedaz[[#This Row],[Cena netto jednostkowa]]*(1-tblSprzedaz[[#This Row],[Rabat %]]),2)</f>
        <v>603.42999999999995</v>
      </c>
      <c r="N1897" s="14">
        <f>ROUND(tblSprzedaz[[#This Row],[Ilość]]*tblSprzedaz[[#This Row],[Koszt jednostkowy netto]],2)</f>
        <v>500.94</v>
      </c>
      <c r="O1897" s="14">
        <f>tblSprzedaz[[#This Row],[Przychód netto]]-tblSprzedaz[[#This Row],[Koszt całkowity netto]]</f>
        <v>102.48999999999995</v>
      </c>
      <c r="P1897" s="15">
        <f>IFERROR(tblSprzedaz[[#This Row],[Marża kwotowa]]/tblSprzedaz[[#This Row],[Przychód netto]],0)</f>
        <v>0.16984571532737841</v>
      </c>
      <c r="Q1897" s="16">
        <f>YEAR(tblSprzedaz[[#This Row],[Data]])</f>
        <v>2026</v>
      </c>
      <c r="R1897" s="16">
        <f>MONTH(tblSprzedaz[[#This Row],[Data]])</f>
        <v>5</v>
      </c>
      <c r="S1897" s="9" t="str">
        <f>YEAR(tblSprzedaz[[#This Row],[Data]])&amp;"-"&amp;RIGHT("0"&amp;MONTH(tblSprzedaz[[#This Row],[Data]]),2)</f>
        <v>2026-05</v>
      </c>
    </row>
    <row r="1898" spans="1:19" x14ac:dyDescent="0.25">
      <c r="A1898" s="7" t="s">
        <v>3963</v>
      </c>
      <c r="B1898" s="10">
        <v>46166</v>
      </c>
      <c r="C1898" s="7" t="s">
        <v>3964</v>
      </c>
      <c r="D1898" s="8" t="s">
        <v>115</v>
      </c>
      <c r="E1898" s="8" t="s">
        <v>63</v>
      </c>
      <c r="F1898" s="8" t="s">
        <v>33</v>
      </c>
      <c r="G1898" s="8" t="s">
        <v>32</v>
      </c>
      <c r="H1898" s="8" t="s">
        <v>42</v>
      </c>
      <c r="I1898" s="11">
        <v>7</v>
      </c>
      <c r="J1898" s="12">
        <v>690</v>
      </c>
      <c r="K1898" s="13">
        <v>0.1</v>
      </c>
      <c r="L1898" s="12">
        <v>492.26</v>
      </c>
      <c r="M1898" s="14">
        <f>ROUND(tblSprzedaz[[#This Row],[Ilość]]*tblSprzedaz[[#This Row],[Cena netto jednostkowa]]*(1-tblSprzedaz[[#This Row],[Rabat %]]),2)</f>
        <v>4347</v>
      </c>
      <c r="N1898" s="14">
        <f>ROUND(tblSprzedaz[[#This Row],[Ilość]]*tblSprzedaz[[#This Row],[Koszt jednostkowy netto]],2)</f>
        <v>3445.82</v>
      </c>
      <c r="O1898" s="14">
        <f>tblSprzedaz[[#This Row],[Przychód netto]]-tblSprzedaz[[#This Row],[Koszt całkowity netto]]</f>
        <v>901.17999999999984</v>
      </c>
      <c r="P1898" s="15">
        <f>IFERROR(tblSprzedaz[[#This Row],[Marża kwotowa]]/tblSprzedaz[[#This Row],[Przychód netto]],0)</f>
        <v>0.20731078904991945</v>
      </c>
      <c r="Q1898" s="16">
        <f>YEAR(tblSprzedaz[[#This Row],[Data]])</f>
        <v>2026</v>
      </c>
      <c r="R1898" s="16">
        <f>MONTH(tblSprzedaz[[#This Row],[Data]])</f>
        <v>5</v>
      </c>
      <c r="S1898" s="9" t="str">
        <f>YEAR(tblSprzedaz[[#This Row],[Data]])&amp;"-"&amp;RIGHT("0"&amp;MONTH(tblSprzedaz[[#This Row],[Data]]),2)</f>
        <v>2026-05</v>
      </c>
    </row>
    <row r="1899" spans="1:19" x14ac:dyDescent="0.25">
      <c r="A1899" s="7" t="s">
        <v>3965</v>
      </c>
      <c r="B1899" s="10">
        <v>46166</v>
      </c>
      <c r="C1899" s="7" t="s">
        <v>3966</v>
      </c>
      <c r="D1899" s="8" t="s">
        <v>139</v>
      </c>
      <c r="E1899" s="8" t="s">
        <v>55</v>
      </c>
      <c r="F1899" s="8" t="s">
        <v>31</v>
      </c>
      <c r="G1899" s="8" t="s">
        <v>36</v>
      </c>
      <c r="H1899" s="8" t="s">
        <v>47</v>
      </c>
      <c r="I1899" s="11">
        <v>15</v>
      </c>
      <c r="J1899" s="12">
        <v>243.6</v>
      </c>
      <c r="K1899" s="13">
        <v>0</v>
      </c>
      <c r="L1899" s="12">
        <v>157.57</v>
      </c>
      <c r="M1899" s="14">
        <f>ROUND(tblSprzedaz[[#This Row],[Ilość]]*tblSprzedaz[[#This Row],[Cena netto jednostkowa]]*(1-tblSprzedaz[[#This Row],[Rabat %]]),2)</f>
        <v>3654</v>
      </c>
      <c r="N1899" s="14">
        <f>ROUND(tblSprzedaz[[#This Row],[Ilość]]*tblSprzedaz[[#This Row],[Koszt jednostkowy netto]],2)</f>
        <v>2363.5500000000002</v>
      </c>
      <c r="O1899" s="14">
        <f>tblSprzedaz[[#This Row],[Przychód netto]]-tblSprzedaz[[#This Row],[Koszt całkowity netto]]</f>
        <v>1290.4499999999998</v>
      </c>
      <c r="P1899" s="15">
        <f>IFERROR(tblSprzedaz[[#This Row],[Marża kwotowa]]/tblSprzedaz[[#This Row],[Przychód netto]],0)</f>
        <v>0.35316091954022982</v>
      </c>
      <c r="Q1899" s="16">
        <f>YEAR(tblSprzedaz[[#This Row],[Data]])</f>
        <v>2026</v>
      </c>
      <c r="R1899" s="16">
        <f>MONTH(tblSprzedaz[[#This Row],[Data]])</f>
        <v>5</v>
      </c>
      <c r="S1899" s="9" t="str">
        <f>YEAR(tblSprzedaz[[#This Row],[Data]])&amp;"-"&amp;RIGHT("0"&amp;MONTH(tblSprzedaz[[#This Row],[Data]]),2)</f>
        <v>2026-05</v>
      </c>
    </row>
    <row r="1900" spans="1:19" x14ac:dyDescent="0.25">
      <c r="A1900" s="7" t="s">
        <v>3967</v>
      </c>
      <c r="B1900" s="10">
        <v>46167</v>
      </c>
      <c r="C1900" s="7" t="s">
        <v>3968</v>
      </c>
      <c r="D1900" s="8" t="s">
        <v>138</v>
      </c>
      <c r="E1900" s="8" t="s">
        <v>66</v>
      </c>
      <c r="F1900" s="8" t="s">
        <v>35</v>
      </c>
      <c r="G1900" s="8" t="s">
        <v>32</v>
      </c>
      <c r="H1900" s="8" t="s">
        <v>43</v>
      </c>
      <c r="I1900" s="11">
        <v>23</v>
      </c>
      <c r="J1900" s="12">
        <v>67.319999999999993</v>
      </c>
      <c r="K1900" s="13">
        <v>0.1</v>
      </c>
      <c r="L1900" s="12">
        <v>51.32</v>
      </c>
      <c r="M1900" s="14">
        <f>ROUND(tblSprzedaz[[#This Row],[Ilość]]*tblSprzedaz[[#This Row],[Cena netto jednostkowa]]*(1-tblSprzedaz[[#This Row],[Rabat %]]),2)</f>
        <v>1393.52</v>
      </c>
      <c r="N1900" s="14">
        <f>ROUND(tblSprzedaz[[#This Row],[Ilość]]*tblSprzedaz[[#This Row],[Koszt jednostkowy netto]],2)</f>
        <v>1180.3599999999999</v>
      </c>
      <c r="O1900" s="14">
        <f>tblSprzedaz[[#This Row],[Przychód netto]]-tblSprzedaz[[#This Row],[Koszt całkowity netto]]</f>
        <v>213.16000000000008</v>
      </c>
      <c r="P1900" s="15">
        <f>IFERROR(tblSprzedaz[[#This Row],[Marża kwotowa]]/tblSprzedaz[[#This Row],[Przychód netto]],0)</f>
        <v>0.15296515299385735</v>
      </c>
      <c r="Q1900" s="16">
        <f>YEAR(tblSprzedaz[[#This Row],[Data]])</f>
        <v>2026</v>
      </c>
      <c r="R1900" s="16">
        <f>MONTH(tblSprzedaz[[#This Row],[Data]])</f>
        <v>5</v>
      </c>
      <c r="S1900" s="9" t="str">
        <f>YEAR(tblSprzedaz[[#This Row],[Data]])&amp;"-"&amp;RIGHT("0"&amp;MONTH(tblSprzedaz[[#This Row],[Data]]),2)</f>
        <v>2026-05</v>
      </c>
    </row>
    <row r="1901" spans="1:19" x14ac:dyDescent="0.25">
      <c r="A1901" s="7" t="s">
        <v>3969</v>
      </c>
      <c r="B1901" s="10">
        <v>46167</v>
      </c>
      <c r="C1901" s="7" t="s">
        <v>3970</v>
      </c>
      <c r="D1901" s="8" t="s">
        <v>150</v>
      </c>
      <c r="E1901" s="8" t="s">
        <v>52</v>
      </c>
      <c r="F1901" s="8" t="s">
        <v>29</v>
      </c>
      <c r="G1901" s="8" t="s">
        <v>36</v>
      </c>
      <c r="H1901" s="8" t="s">
        <v>47</v>
      </c>
      <c r="I1901" s="11">
        <v>20</v>
      </c>
      <c r="J1901" s="12">
        <v>56.78</v>
      </c>
      <c r="K1901" s="13">
        <v>0.05</v>
      </c>
      <c r="L1901" s="12">
        <v>33.700000000000003</v>
      </c>
      <c r="M1901" s="14">
        <f>ROUND(tblSprzedaz[[#This Row],[Ilość]]*tblSprzedaz[[#This Row],[Cena netto jednostkowa]]*(1-tblSprzedaz[[#This Row],[Rabat %]]),2)</f>
        <v>1078.82</v>
      </c>
      <c r="N1901" s="14">
        <f>ROUND(tblSprzedaz[[#This Row],[Ilość]]*tblSprzedaz[[#This Row],[Koszt jednostkowy netto]],2)</f>
        <v>674</v>
      </c>
      <c r="O1901" s="14">
        <f>tblSprzedaz[[#This Row],[Przychód netto]]-tblSprzedaz[[#This Row],[Koszt całkowity netto]]</f>
        <v>404.81999999999994</v>
      </c>
      <c r="P1901" s="15">
        <f>IFERROR(tblSprzedaz[[#This Row],[Marża kwotowa]]/tblSprzedaz[[#This Row],[Przychód netto]],0)</f>
        <v>0.37524332140672212</v>
      </c>
      <c r="Q1901" s="16">
        <f>YEAR(tblSprzedaz[[#This Row],[Data]])</f>
        <v>2026</v>
      </c>
      <c r="R1901" s="16">
        <f>MONTH(tblSprzedaz[[#This Row],[Data]])</f>
        <v>5</v>
      </c>
      <c r="S1901" s="9" t="str">
        <f>YEAR(tblSprzedaz[[#This Row],[Data]])&amp;"-"&amp;RIGHT("0"&amp;MONTH(tblSprzedaz[[#This Row],[Data]]),2)</f>
        <v>2026-05</v>
      </c>
    </row>
    <row r="1902" spans="1:19" x14ac:dyDescent="0.25">
      <c r="A1902" s="7" t="s">
        <v>3971</v>
      </c>
      <c r="B1902" s="10">
        <v>46167</v>
      </c>
      <c r="C1902" s="7" t="s">
        <v>3972</v>
      </c>
      <c r="D1902" s="8" t="s">
        <v>131</v>
      </c>
      <c r="E1902" s="8" t="s">
        <v>73</v>
      </c>
      <c r="F1902" s="8" t="s">
        <v>37</v>
      </c>
      <c r="G1902" s="8" t="s">
        <v>36</v>
      </c>
      <c r="H1902" s="8" t="s">
        <v>46</v>
      </c>
      <c r="I1902" s="11">
        <v>7</v>
      </c>
      <c r="J1902" s="12">
        <v>110.2</v>
      </c>
      <c r="K1902" s="13">
        <v>0</v>
      </c>
      <c r="L1902" s="12">
        <v>83.24</v>
      </c>
      <c r="M1902" s="14">
        <f>ROUND(tblSprzedaz[[#This Row],[Ilość]]*tblSprzedaz[[#This Row],[Cena netto jednostkowa]]*(1-tblSprzedaz[[#This Row],[Rabat %]]),2)</f>
        <v>771.4</v>
      </c>
      <c r="N1902" s="14">
        <f>ROUND(tblSprzedaz[[#This Row],[Ilość]]*tblSprzedaz[[#This Row],[Koszt jednostkowy netto]],2)</f>
        <v>582.67999999999995</v>
      </c>
      <c r="O1902" s="14">
        <f>tblSprzedaz[[#This Row],[Przychód netto]]-tblSprzedaz[[#This Row],[Koszt całkowity netto]]</f>
        <v>188.72000000000003</v>
      </c>
      <c r="P1902" s="15">
        <f>IFERROR(tblSprzedaz[[#This Row],[Marża kwotowa]]/tblSprzedaz[[#This Row],[Przychód netto]],0)</f>
        <v>0.2446460980036298</v>
      </c>
      <c r="Q1902" s="16">
        <f>YEAR(tblSprzedaz[[#This Row],[Data]])</f>
        <v>2026</v>
      </c>
      <c r="R1902" s="16">
        <f>MONTH(tblSprzedaz[[#This Row],[Data]])</f>
        <v>5</v>
      </c>
      <c r="S1902" s="9" t="str">
        <f>YEAR(tblSprzedaz[[#This Row],[Data]])&amp;"-"&amp;RIGHT("0"&amp;MONTH(tblSprzedaz[[#This Row],[Data]]),2)</f>
        <v>2026-05</v>
      </c>
    </row>
    <row r="1903" spans="1:19" x14ac:dyDescent="0.25">
      <c r="A1903" s="7" t="s">
        <v>3973</v>
      </c>
      <c r="B1903" s="10">
        <v>46168</v>
      </c>
      <c r="C1903" s="7" t="s">
        <v>3974</v>
      </c>
      <c r="D1903" s="8" t="s">
        <v>81</v>
      </c>
      <c r="E1903" s="8" t="s">
        <v>52</v>
      </c>
      <c r="F1903" s="8" t="s">
        <v>29</v>
      </c>
      <c r="G1903" s="8" t="s">
        <v>28</v>
      </c>
      <c r="H1903" s="8" t="s">
        <v>39</v>
      </c>
      <c r="I1903" s="11">
        <v>23</v>
      </c>
      <c r="J1903" s="12">
        <v>56.78</v>
      </c>
      <c r="K1903" s="13">
        <v>0</v>
      </c>
      <c r="L1903" s="12">
        <v>33.409999999999997</v>
      </c>
      <c r="M1903" s="14">
        <f>ROUND(tblSprzedaz[[#This Row],[Ilość]]*tblSprzedaz[[#This Row],[Cena netto jednostkowa]]*(1-tblSprzedaz[[#This Row],[Rabat %]]),2)</f>
        <v>1305.94</v>
      </c>
      <c r="N1903" s="14">
        <f>ROUND(tblSprzedaz[[#This Row],[Ilość]]*tblSprzedaz[[#This Row],[Koszt jednostkowy netto]],2)</f>
        <v>768.43</v>
      </c>
      <c r="O1903" s="14">
        <f>tblSprzedaz[[#This Row],[Przychód netto]]-tblSprzedaz[[#This Row],[Koszt całkowity netto]]</f>
        <v>537.5100000000001</v>
      </c>
      <c r="P1903" s="15">
        <f>IFERROR(tblSprzedaz[[#This Row],[Marża kwotowa]]/tblSprzedaz[[#This Row],[Przychód netto]],0)</f>
        <v>0.41158858753082078</v>
      </c>
      <c r="Q1903" s="16">
        <f>YEAR(tblSprzedaz[[#This Row],[Data]])</f>
        <v>2026</v>
      </c>
      <c r="R1903" s="16">
        <f>MONTH(tblSprzedaz[[#This Row],[Data]])</f>
        <v>5</v>
      </c>
      <c r="S1903" s="9" t="str">
        <f>YEAR(tblSprzedaz[[#This Row],[Data]])&amp;"-"&amp;RIGHT("0"&amp;MONTH(tblSprzedaz[[#This Row],[Data]]),2)</f>
        <v>2026-05</v>
      </c>
    </row>
    <row r="1904" spans="1:19" x14ac:dyDescent="0.25">
      <c r="A1904" s="7" t="s">
        <v>3975</v>
      </c>
      <c r="B1904" s="10">
        <v>46168</v>
      </c>
      <c r="C1904" s="7" t="s">
        <v>3976</v>
      </c>
      <c r="D1904" s="8" t="s">
        <v>108</v>
      </c>
      <c r="E1904" s="8" t="s">
        <v>61</v>
      </c>
      <c r="F1904" s="8" t="s">
        <v>33</v>
      </c>
      <c r="G1904" s="8" t="s">
        <v>34</v>
      </c>
      <c r="H1904" s="8" t="s">
        <v>44</v>
      </c>
      <c r="I1904" s="11">
        <v>12</v>
      </c>
      <c r="J1904" s="12">
        <v>533.6</v>
      </c>
      <c r="K1904" s="13">
        <v>0</v>
      </c>
      <c r="L1904" s="12">
        <v>353.51</v>
      </c>
      <c r="M1904" s="14">
        <f>ROUND(tblSprzedaz[[#This Row],[Ilość]]*tblSprzedaz[[#This Row],[Cena netto jednostkowa]]*(1-tblSprzedaz[[#This Row],[Rabat %]]),2)</f>
        <v>6403.2</v>
      </c>
      <c r="N1904" s="14">
        <f>ROUND(tblSprzedaz[[#This Row],[Ilość]]*tblSprzedaz[[#This Row],[Koszt jednostkowy netto]],2)</f>
        <v>4242.12</v>
      </c>
      <c r="O1904" s="14">
        <f>tblSprzedaz[[#This Row],[Przychód netto]]-tblSprzedaz[[#This Row],[Koszt całkowity netto]]</f>
        <v>2161.08</v>
      </c>
      <c r="P1904" s="15">
        <f>IFERROR(tblSprzedaz[[#This Row],[Marża kwotowa]]/tblSprzedaz[[#This Row],[Przychód netto]],0)</f>
        <v>0.33750000000000002</v>
      </c>
      <c r="Q1904" s="16">
        <f>YEAR(tblSprzedaz[[#This Row],[Data]])</f>
        <v>2026</v>
      </c>
      <c r="R1904" s="16">
        <f>MONTH(tblSprzedaz[[#This Row],[Data]])</f>
        <v>5</v>
      </c>
      <c r="S1904" s="9" t="str">
        <f>YEAR(tblSprzedaz[[#This Row],[Data]])&amp;"-"&amp;RIGHT("0"&amp;MONTH(tblSprzedaz[[#This Row],[Data]]),2)</f>
        <v>2026-05</v>
      </c>
    </row>
    <row r="1905" spans="1:19" x14ac:dyDescent="0.25">
      <c r="A1905" s="7" t="s">
        <v>3977</v>
      </c>
      <c r="B1905" s="10">
        <v>46168</v>
      </c>
      <c r="C1905" s="7" t="s">
        <v>3978</v>
      </c>
      <c r="D1905" s="8" t="s">
        <v>132</v>
      </c>
      <c r="E1905" s="8" t="s">
        <v>77</v>
      </c>
      <c r="F1905" s="8" t="s">
        <v>37</v>
      </c>
      <c r="G1905" s="8" t="s">
        <v>28</v>
      </c>
      <c r="H1905" s="8" t="s">
        <v>38</v>
      </c>
      <c r="I1905" s="11">
        <v>5</v>
      </c>
      <c r="J1905" s="12">
        <v>77.900000000000006</v>
      </c>
      <c r="K1905" s="13">
        <v>0.05</v>
      </c>
      <c r="L1905" s="12">
        <v>58.62</v>
      </c>
      <c r="M1905" s="14">
        <f>ROUND(tblSprzedaz[[#This Row],[Ilość]]*tblSprzedaz[[#This Row],[Cena netto jednostkowa]]*(1-tblSprzedaz[[#This Row],[Rabat %]]),2)</f>
        <v>370.03</v>
      </c>
      <c r="N1905" s="14">
        <f>ROUND(tblSprzedaz[[#This Row],[Ilość]]*tblSprzedaz[[#This Row],[Koszt jednostkowy netto]],2)</f>
        <v>293.10000000000002</v>
      </c>
      <c r="O1905" s="14">
        <f>tblSprzedaz[[#This Row],[Przychód netto]]-tblSprzedaz[[#This Row],[Koszt całkowity netto]]</f>
        <v>76.92999999999995</v>
      </c>
      <c r="P1905" s="15">
        <f>IFERROR(tblSprzedaz[[#This Row],[Marża kwotowa]]/tblSprzedaz[[#This Row],[Przychód netto]],0)</f>
        <v>0.20790206199497327</v>
      </c>
      <c r="Q1905" s="16">
        <f>YEAR(tblSprzedaz[[#This Row],[Data]])</f>
        <v>2026</v>
      </c>
      <c r="R1905" s="16">
        <f>MONTH(tblSprzedaz[[#This Row],[Data]])</f>
        <v>5</v>
      </c>
      <c r="S1905" s="9" t="str">
        <f>YEAR(tblSprzedaz[[#This Row],[Data]])&amp;"-"&amp;RIGHT("0"&amp;MONTH(tblSprzedaz[[#This Row],[Data]]),2)</f>
        <v>2026-05</v>
      </c>
    </row>
    <row r="1906" spans="1:19" x14ac:dyDescent="0.25">
      <c r="A1906" s="7" t="s">
        <v>3979</v>
      </c>
      <c r="B1906" s="10">
        <v>46168</v>
      </c>
      <c r="C1906" s="7" t="s">
        <v>3980</v>
      </c>
      <c r="D1906" s="8" t="s">
        <v>142</v>
      </c>
      <c r="E1906" s="8" t="s">
        <v>63</v>
      </c>
      <c r="F1906" s="8" t="s">
        <v>33</v>
      </c>
      <c r="G1906" s="8" t="s">
        <v>34</v>
      </c>
      <c r="H1906" s="8" t="s">
        <v>44</v>
      </c>
      <c r="I1906" s="11">
        <v>8</v>
      </c>
      <c r="J1906" s="12">
        <v>690</v>
      </c>
      <c r="K1906" s="13">
        <v>0</v>
      </c>
      <c r="L1906" s="12">
        <v>444.9</v>
      </c>
      <c r="M1906" s="14">
        <f>ROUND(tblSprzedaz[[#This Row],[Ilość]]*tblSprzedaz[[#This Row],[Cena netto jednostkowa]]*(1-tblSprzedaz[[#This Row],[Rabat %]]),2)</f>
        <v>5520</v>
      </c>
      <c r="N1906" s="14">
        <f>ROUND(tblSprzedaz[[#This Row],[Ilość]]*tblSprzedaz[[#This Row],[Koszt jednostkowy netto]],2)</f>
        <v>3559.2</v>
      </c>
      <c r="O1906" s="14">
        <f>tblSprzedaz[[#This Row],[Przychód netto]]-tblSprzedaz[[#This Row],[Koszt całkowity netto]]</f>
        <v>1960.8000000000002</v>
      </c>
      <c r="P1906" s="15">
        <f>IFERROR(tblSprzedaz[[#This Row],[Marża kwotowa]]/tblSprzedaz[[#This Row],[Przychód netto]],0)</f>
        <v>0.35521739130434787</v>
      </c>
      <c r="Q1906" s="16">
        <f>YEAR(tblSprzedaz[[#This Row],[Data]])</f>
        <v>2026</v>
      </c>
      <c r="R1906" s="16">
        <f>MONTH(tblSprzedaz[[#This Row],[Data]])</f>
        <v>5</v>
      </c>
      <c r="S1906" s="9" t="str">
        <f>YEAR(tblSprzedaz[[#This Row],[Data]])&amp;"-"&amp;RIGHT("0"&amp;MONTH(tblSprzedaz[[#This Row],[Data]]),2)</f>
        <v>2026-05</v>
      </c>
    </row>
    <row r="1907" spans="1:19" x14ac:dyDescent="0.25">
      <c r="A1907" s="7" t="s">
        <v>3981</v>
      </c>
      <c r="B1907" s="10">
        <v>46169</v>
      </c>
      <c r="C1907" s="7" t="s">
        <v>3982</v>
      </c>
      <c r="D1907" s="8" t="s">
        <v>92</v>
      </c>
      <c r="E1907" s="8" t="s">
        <v>54</v>
      </c>
      <c r="F1907" s="8" t="s">
        <v>31</v>
      </c>
      <c r="G1907" s="8" t="s">
        <v>36</v>
      </c>
      <c r="H1907" s="8" t="s">
        <v>46</v>
      </c>
      <c r="I1907" s="11">
        <v>9</v>
      </c>
      <c r="J1907" s="12">
        <v>207.9</v>
      </c>
      <c r="K1907" s="13">
        <v>0.05</v>
      </c>
      <c r="L1907" s="12">
        <v>139.93</v>
      </c>
      <c r="M1907" s="14">
        <f>ROUND(tblSprzedaz[[#This Row],[Ilość]]*tblSprzedaz[[#This Row],[Cena netto jednostkowa]]*(1-tblSprzedaz[[#This Row],[Rabat %]]),2)</f>
        <v>1777.55</v>
      </c>
      <c r="N1907" s="14">
        <f>ROUND(tblSprzedaz[[#This Row],[Ilość]]*tblSprzedaz[[#This Row],[Koszt jednostkowy netto]],2)</f>
        <v>1259.3699999999999</v>
      </c>
      <c r="O1907" s="14">
        <f>tblSprzedaz[[#This Row],[Przychód netto]]-tblSprzedaz[[#This Row],[Koszt całkowity netto]]</f>
        <v>518.18000000000006</v>
      </c>
      <c r="P1907" s="15">
        <f>IFERROR(tblSprzedaz[[#This Row],[Marża kwotowa]]/tblSprzedaz[[#This Row],[Przychód netto]],0)</f>
        <v>0.29151360018002309</v>
      </c>
      <c r="Q1907" s="16">
        <f>YEAR(tblSprzedaz[[#This Row],[Data]])</f>
        <v>2026</v>
      </c>
      <c r="R1907" s="16">
        <f>MONTH(tblSprzedaz[[#This Row],[Data]])</f>
        <v>5</v>
      </c>
      <c r="S1907" s="9" t="str">
        <f>YEAR(tblSprzedaz[[#This Row],[Data]])&amp;"-"&amp;RIGHT("0"&amp;MONTH(tblSprzedaz[[#This Row],[Data]]),2)</f>
        <v>2026-05</v>
      </c>
    </row>
    <row r="1908" spans="1:19" x14ac:dyDescent="0.25">
      <c r="A1908" s="7" t="s">
        <v>3983</v>
      </c>
      <c r="B1908" s="10">
        <v>46169</v>
      </c>
      <c r="C1908" s="7" t="s">
        <v>3984</v>
      </c>
      <c r="D1908" s="8" t="s">
        <v>86</v>
      </c>
      <c r="E1908" s="8" t="s">
        <v>71</v>
      </c>
      <c r="F1908" s="8" t="s">
        <v>35</v>
      </c>
      <c r="G1908" s="8" t="s">
        <v>32</v>
      </c>
      <c r="H1908" s="8" t="s">
        <v>42</v>
      </c>
      <c r="I1908" s="11">
        <v>11</v>
      </c>
      <c r="J1908" s="12">
        <v>55.76</v>
      </c>
      <c r="K1908" s="13">
        <v>0.05</v>
      </c>
      <c r="L1908" s="12">
        <v>40.49</v>
      </c>
      <c r="M1908" s="14">
        <f>ROUND(tblSprzedaz[[#This Row],[Ilość]]*tblSprzedaz[[#This Row],[Cena netto jednostkowa]]*(1-tblSprzedaz[[#This Row],[Rabat %]]),2)</f>
        <v>582.69000000000005</v>
      </c>
      <c r="N1908" s="14">
        <f>ROUND(tblSprzedaz[[#This Row],[Ilość]]*tblSprzedaz[[#This Row],[Koszt jednostkowy netto]],2)</f>
        <v>445.39</v>
      </c>
      <c r="O1908" s="14">
        <f>tblSprzedaz[[#This Row],[Przychód netto]]-tblSprzedaz[[#This Row],[Koszt całkowity netto]]</f>
        <v>137.30000000000007</v>
      </c>
      <c r="P1908" s="15">
        <f>IFERROR(tblSprzedaz[[#This Row],[Marża kwotowa]]/tblSprzedaz[[#This Row],[Przychód netto]],0)</f>
        <v>0.23563129622955611</v>
      </c>
      <c r="Q1908" s="16">
        <f>YEAR(tblSprzedaz[[#This Row],[Data]])</f>
        <v>2026</v>
      </c>
      <c r="R1908" s="16">
        <f>MONTH(tblSprzedaz[[#This Row],[Data]])</f>
        <v>5</v>
      </c>
      <c r="S1908" s="9" t="str">
        <f>YEAR(tblSprzedaz[[#This Row],[Data]])&amp;"-"&amp;RIGHT("0"&amp;MONTH(tblSprzedaz[[#This Row],[Data]]),2)</f>
        <v>2026-05</v>
      </c>
    </row>
    <row r="1909" spans="1:19" x14ac:dyDescent="0.25">
      <c r="A1909" s="7" t="s">
        <v>3985</v>
      </c>
      <c r="B1909" s="10">
        <v>46169</v>
      </c>
      <c r="C1909" s="7" t="s">
        <v>3986</v>
      </c>
      <c r="D1909" s="8" t="s">
        <v>109</v>
      </c>
      <c r="E1909" s="8" t="s">
        <v>57</v>
      </c>
      <c r="F1909" s="8" t="s">
        <v>31</v>
      </c>
      <c r="G1909" s="8" t="s">
        <v>36</v>
      </c>
      <c r="H1909" s="8" t="s">
        <v>46</v>
      </c>
      <c r="I1909" s="11">
        <v>22</v>
      </c>
      <c r="J1909" s="12">
        <v>315</v>
      </c>
      <c r="K1909" s="13">
        <v>0</v>
      </c>
      <c r="L1909" s="12">
        <v>189.09</v>
      </c>
      <c r="M1909" s="14">
        <f>ROUND(tblSprzedaz[[#This Row],[Ilość]]*tblSprzedaz[[#This Row],[Cena netto jednostkowa]]*(1-tblSprzedaz[[#This Row],[Rabat %]]),2)</f>
        <v>6930</v>
      </c>
      <c r="N1909" s="14">
        <f>ROUND(tblSprzedaz[[#This Row],[Ilość]]*tblSprzedaz[[#This Row],[Koszt jednostkowy netto]],2)</f>
        <v>4159.9799999999996</v>
      </c>
      <c r="O1909" s="14">
        <f>tblSprzedaz[[#This Row],[Przychód netto]]-tblSprzedaz[[#This Row],[Koszt całkowity netto]]</f>
        <v>2770.0200000000004</v>
      </c>
      <c r="P1909" s="15">
        <f>IFERROR(tblSprzedaz[[#This Row],[Marża kwotowa]]/tblSprzedaz[[#This Row],[Przychód netto]],0)</f>
        <v>0.3997142857142858</v>
      </c>
      <c r="Q1909" s="16">
        <f>YEAR(tblSprzedaz[[#This Row],[Data]])</f>
        <v>2026</v>
      </c>
      <c r="R1909" s="16">
        <f>MONTH(tblSprzedaz[[#This Row],[Data]])</f>
        <v>5</v>
      </c>
      <c r="S1909" s="9" t="str">
        <f>YEAR(tblSprzedaz[[#This Row],[Data]])&amp;"-"&amp;RIGHT("0"&amp;MONTH(tblSprzedaz[[#This Row],[Data]]),2)</f>
        <v>2026-05</v>
      </c>
    </row>
    <row r="1910" spans="1:19" x14ac:dyDescent="0.25">
      <c r="A1910" s="7" t="s">
        <v>3987</v>
      </c>
      <c r="B1910" s="10">
        <v>46169</v>
      </c>
      <c r="C1910" s="7" t="s">
        <v>3988</v>
      </c>
      <c r="D1910" s="8" t="s">
        <v>114</v>
      </c>
      <c r="E1910" s="8" t="s">
        <v>67</v>
      </c>
      <c r="F1910" s="8" t="s">
        <v>35</v>
      </c>
      <c r="G1910" s="8" t="s">
        <v>36</v>
      </c>
      <c r="H1910" s="8" t="s">
        <v>46</v>
      </c>
      <c r="I1910" s="11">
        <v>3</v>
      </c>
      <c r="J1910" s="12">
        <v>78.88</v>
      </c>
      <c r="K1910" s="13">
        <v>0.15</v>
      </c>
      <c r="L1910" s="12">
        <v>58.27</v>
      </c>
      <c r="M1910" s="14">
        <f>ROUND(tblSprzedaz[[#This Row],[Ilość]]*tblSprzedaz[[#This Row],[Cena netto jednostkowa]]*(1-tblSprzedaz[[#This Row],[Rabat %]]),2)</f>
        <v>201.14</v>
      </c>
      <c r="N1910" s="14">
        <f>ROUND(tblSprzedaz[[#This Row],[Ilość]]*tblSprzedaz[[#This Row],[Koszt jednostkowy netto]],2)</f>
        <v>174.81</v>
      </c>
      <c r="O1910" s="14">
        <f>tblSprzedaz[[#This Row],[Przychód netto]]-tblSprzedaz[[#This Row],[Koszt całkowity netto]]</f>
        <v>26.329999999999984</v>
      </c>
      <c r="P1910" s="15">
        <f>IFERROR(tblSprzedaz[[#This Row],[Marża kwotowa]]/tblSprzedaz[[#This Row],[Przychód netto]],0)</f>
        <v>0.13090384806602359</v>
      </c>
      <c r="Q1910" s="16">
        <f>YEAR(tblSprzedaz[[#This Row],[Data]])</f>
        <v>2026</v>
      </c>
      <c r="R1910" s="16">
        <f>MONTH(tblSprzedaz[[#This Row],[Data]])</f>
        <v>5</v>
      </c>
      <c r="S1910" s="9" t="str">
        <f>YEAR(tblSprzedaz[[#This Row],[Data]])&amp;"-"&amp;RIGHT("0"&amp;MONTH(tblSprzedaz[[#This Row],[Data]]),2)</f>
        <v>2026-05</v>
      </c>
    </row>
    <row r="1911" spans="1:19" x14ac:dyDescent="0.25">
      <c r="A1911" s="7" t="s">
        <v>3989</v>
      </c>
      <c r="B1911" s="10">
        <v>46169</v>
      </c>
      <c r="C1911" s="7" t="s">
        <v>3990</v>
      </c>
      <c r="D1911" s="8" t="s">
        <v>111</v>
      </c>
      <c r="E1911" s="8" t="s">
        <v>55</v>
      </c>
      <c r="F1911" s="8" t="s">
        <v>31</v>
      </c>
      <c r="G1911" s="8" t="s">
        <v>32</v>
      </c>
      <c r="H1911" s="8" t="s">
        <v>42</v>
      </c>
      <c r="I1911" s="11">
        <v>18</v>
      </c>
      <c r="J1911" s="12">
        <v>243.6</v>
      </c>
      <c r="K1911" s="13">
        <v>0.15</v>
      </c>
      <c r="L1911" s="12">
        <v>153.97</v>
      </c>
      <c r="M1911" s="14">
        <f>ROUND(tblSprzedaz[[#This Row],[Ilość]]*tblSprzedaz[[#This Row],[Cena netto jednostkowa]]*(1-tblSprzedaz[[#This Row],[Rabat %]]),2)</f>
        <v>3727.08</v>
      </c>
      <c r="N1911" s="14">
        <f>ROUND(tblSprzedaz[[#This Row],[Ilość]]*tblSprzedaz[[#This Row],[Koszt jednostkowy netto]],2)</f>
        <v>2771.46</v>
      </c>
      <c r="O1911" s="14">
        <f>tblSprzedaz[[#This Row],[Przychód netto]]-tblSprzedaz[[#This Row],[Koszt całkowity netto]]</f>
        <v>955.61999999999989</v>
      </c>
      <c r="P1911" s="15">
        <f>IFERROR(tblSprzedaz[[#This Row],[Marża kwotowa]]/tblSprzedaz[[#This Row],[Przychód netto]],0)</f>
        <v>0.25639911136868537</v>
      </c>
      <c r="Q1911" s="16">
        <f>YEAR(tblSprzedaz[[#This Row],[Data]])</f>
        <v>2026</v>
      </c>
      <c r="R1911" s="16">
        <f>MONTH(tblSprzedaz[[#This Row],[Data]])</f>
        <v>5</v>
      </c>
      <c r="S1911" s="9" t="str">
        <f>YEAR(tblSprzedaz[[#This Row],[Data]])&amp;"-"&amp;RIGHT("0"&amp;MONTH(tblSprzedaz[[#This Row],[Data]]),2)</f>
        <v>2026-05</v>
      </c>
    </row>
    <row r="1912" spans="1:19" x14ac:dyDescent="0.25">
      <c r="A1912" s="7" t="s">
        <v>3991</v>
      </c>
      <c r="B1912" s="10">
        <v>46169</v>
      </c>
      <c r="C1912" s="7" t="s">
        <v>3992</v>
      </c>
      <c r="D1912" s="8" t="s">
        <v>124</v>
      </c>
      <c r="E1912" s="8" t="s">
        <v>72</v>
      </c>
      <c r="F1912" s="8" t="s">
        <v>37</v>
      </c>
      <c r="G1912" s="8" t="s">
        <v>34</v>
      </c>
      <c r="H1912" s="8" t="s">
        <v>45</v>
      </c>
      <c r="I1912" s="11">
        <v>11</v>
      </c>
      <c r="J1912" s="12">
        <v>94.05</v>
      </c>
      <c r="K1912" s="13">
        <v>0.1</v>
      </c>
      <c r="L1912" s="12">
        <v>76.17</v>
      </c>
      <c r="M1912" s="14">
        <f>ROUND(tblSprzedaz[[#This Row],[Ilość]]*tblSprzedaz[[#This Row],[Cena netto jednostkowa]]*(1-tblSprzedaz[[#This Row],[Rabat %]]),2)</f>
        <v>931.1</v>
      </c>
      <c r="N1912" s="14">
        <f>ROUND(tblSprzedaz[[#This Row],[Ilość]]*tblSprzedaz[[#This Row],[Koszt jednostkowy netto]],2)</f>
        <v>837.87</v>
      </c>
      <c r="O1912" s="14">
        <f>tblSprzedaz[[#This Row],[Przychód netto]]-tblSprzedaz[[#This Row],[Koszt całkowity netto]]</f>
        <v>93.230000000000018</v>
      </c>
      <c r="P1912" s="15">
        <f>IFERROR(tblSprzedaz[[#This Row],[Marża kwotowa]]/tblSprzedaz[[#This Row],[Przychód netto]],0)</f>
        <v>0.10012887981956826</v>
      </c>
      <c r="Q1912" s="16">
        <f>YEAR(tblSprzedaz[[#This Row],[Data]])</f>
        <v>2026</v>
      </c>
      <c r="R1912" s="16">
        <f>MONTH(tblSprzedaz[[#This Row],[Data]])</f>
        <v>5</v>
      </c>
      <c r="S1912" s="9" t="str">
        <f>YEAR(tblSprzedaz[[#This Row],[Data]])&amp;"-"&amp;RIGHT("0"&amp;MONTH(tblSprzedaz[[#This Row],[Data]]),2)</f>
        <v>2026-05</v>
      </c>
    </row>
    <row r="1913" spans="1:19" x14ac:dyDescent="0.25">
      <c r="A1913" s="7" t="s">
        <v>3993</v>
      </c>
      <c r="B1913" s="10">
        <v>46170</v>
      </c>
      <c r="C1913" s="7" t="s">
        <v>3994</v>
      </c>
      <c r="D1913" s="8" t="s">
        <v>127</v>
      </c>
      <c r="E1913" s="8" t="s">
        <v>66</v>
      </c>
      <c r="F1913" s="8" t="s">
        <v>35</v>
      </c>
      <c r="G1913" s="8" t="s">
        <v>32</v>
      </c>
      <c r="H1913" s="8" t="s">
        <v>42</v>
      </c>
      <c r="I1913" s="11">
        <v>14</v>
      </c>
      <c r="J1913" s="12">
        <v>67.319999999999993</v>
      </c>
      <c r="K1913" s="13">
        <v>0.05</v>
      </c>
      <c r="L1913" s="12">
        <v>47.28</v>
      </c>
      <c r="M1913" s="14">
        <f>ROUND(tblSprzedaz[[#This Row],[Ilość]]*tblSprzedaz[[#This Row],[Cena netto jednostkowa]]*(1-tblSprzedaz[[#This Row],[Rabat %]]),2)</f>
        <v>895.36</v>
      </c>
      <c r="N1913" s="14">
        <f>ROUND(tblSprzedaz[[#This Row],[Ilość]]*tblSprzedaz[[#This Row],[Koszt jednostkowy netto]],2)</f>
        <v>661.92</v>
      </c>
      <c r="O1913" s="14">
        <f>tblSprzedaz[[#This Row],[Przychód netto]]-tblSprzedaz[[#This Row],[Koszt całkowity netto]]</f>
        <v>233.44000000000005</v>
      </c>
      <c r="P1913" s="15">
        <f>IFERROR(tblSprzedaz[[#This Row],[Marża kwotowa]]/tblSprzedaz[[#This Row],[Przychód netto]],0)</f>
        <v>0.26072194424588996</v>
      </c>
      <c r="Q1913" s="16">
        <f>YEAR(tblSprzedaz[[#This Row],[Data]])</f>
        <v>2026</v>
      </c>
      <c r="R1913" s="16">
        <f>MONTH(tblSprzedaz[[#This Row],[Data]])</f>
        <v>5</v>
      </c>
      <c r="S1913" s="9" t="str">
        <f>YEAR(tblSprzedaz[[#This Row],[Data]])&amp;"-"&amp;RIGHT("0"&amp;MONTH(tblSprzedaz[[#This Row],[Data]]),2)</f>
        <v>2026-05</v>
      </c>
    </row>
    <row r="1914" spans="1:19" x14ac:dyDescent="0.25">
      <c r="A1914" s="7" t="s">
        <v>3995</v>
      </c>
      <c r="B1914" s="10">
        <v>46170</v>
      </c>
      <c r="C1914" s="7" t="s">
        <v>3996</v>
      </c>
      <c r="D1914" s="8" t="s">
        <v>81</v>
      </c>
      <c r="E1914" s="8" t="s">
        <v>64</v>
      </c>
      <c r="F1914" s="8" t="s">
        <v>33</v>
      </c>
      <c r="G1914" s="8" t="s">
        <v>30</v>
      </c>
      <c r="H1914" s="8" t="s">
        <v>41</v>
      </c>
      <c r="I1914" s="11">
        <v>14</v>
      </c>
      <c r="J1914" s="12">
        <v>768.2</v>
      </c>
      <c r="K1914" s="13">
        <v>0</v>
      </c>
      <c r="L1914" s="12">
        <v>528.29999999999995</v>
      </c>
      <c r="M1914" s="14">
        <f>ROUND(tblSprzedaz[[#This Row],[Ilość]]*tblSprzedaz[[#This Row],[Cena netto jednostkowa]]*(1-tblSprzedaz[[#This Row],[Rabat %]]),2)</f>
        <v>10754.8</v>
      </c>
      <c r="N1914" s="14">
        <f>ROUND(tblSprzedaz[[#This Row],[Ilość]]*tblSprzedaz[[#This Row],[Koszt jednostkowy netto]],2)</f>
        <v>7396.2</v>
      </c>
      <c r="O1914" s="14">
        <f>tblSprzedaz[[#This Row],[Przychód netto]]-tblSprzedaz[[#This Row],[Koszt całkowity netto]]</f>
        <v>3358.5999999999995</v>
      </c>
      <c r="P1914" s="15">
        <f>IFERROR(tblSprzedaz[[#This Row],[Marża kwotowa]]/tblSprzedaz[[#This Row],[Przychód netto]],0)</f>
        <v>0.31228846654517051</v>
      </c>
      <c r="Q1914" s="16">
        <f>YEAR(tblSprzedaz[[#This Row],[Data]])</f>
        <v>2026</v>
      </c>
      <c r="R1914" s="16">
        <f>MONTH(tblSprzedaz[[#This Row],[Data]])</f>
        <v>5</v>
      </c>
      <c r="S1914" s="9" t="str">
        <f>YEAR(tblSprzedaz[[#This Row],[Data]])&amp;"-"&amp;RIGHT("0"&amp;MONTH(tblSprzedaz[[#This Row],[Data]]),2)</f>
        <v>2026-05</v>
      </c>
    </row>
    <row r="1915" spans="1:19" x14ac:dyDescent="0.25">
      <c r="A1915" s="7" t="s">
        <v>3997</v>
      </c>
      <c r="B1915" s="10">
        <v>46170</v>
      </c>
      <c r="C1915" s="7" t="s">
        <v>3998</v>
      </c>
      <c r="D1915" s="8" t="s">
        <v>147</v>
      </c>
      <c r="E1915" s="8" t="s">
        <v>49</v>
      </c>
      <c r="F1915" s="8" t="s">
        <v>29</v>
      </c>
      <c r="G1915" s="8" t="s">
        <v>36</v>
      </c>
      <c r="H1915" s="8" t="s">
        <v>46</v>
      </c>
      <c r="I1915" s="11">
        <v>15</v>
      </c>
      <c r="J1915" s="12">
        <v>39.44</v>
      </c>
      <c r="K1915" s="13">
        <v>0.1</v>
      </c>
      <c r="L1915" s="12">
        <v>22.86</v>
      </c>
      <c r="M1915" s="14">
        <f>ROUND(tblSprzedaz[[#This Row],[Ilość]]*tblSprzedaz[[#This Row],[Cena netto jednostkowa]]*(1-tblSprzedaz[[#This Row],[Rabat %]]),2)</f>
        <v>532.44000000000005</v>
      </c>
      <c r="N1915" s="14">
        <f>ROUND(tblSprzedaz[[#This Row],[Ilość]]*tblSprzedaz[[#This Row],[Koszt jednostkowy netto]],2)</f>
        <v>342.9</v>
      </c>
      <c r="O1915" s="14">
        <f>tblSprzedaz[[#This Row],[Przychód netto]]-tblSprzedaz[[#This Row],[Koszt całkowity netto]]</f>
        <v>189.54000000000008</v>
      </c>
      <c r="P1915" s="15">
        <f>IFERROR(tblSprzedaz[[#This Row],[Marża kwotowa]]/tblSprzedaz[[#This Row],[Przychód netto]],0)</f>
        <v>0.35598377281947274</v>
      </c>
      <c r="Q1915" s="16">
        <f>YEAR(tblSprzedaz[[#This Row],[Data]])</f>
        <v>2026</v>
      </c>
      <c r="R1915" s="16">
        <f>MONTH(tblSprzedaz[[#This Row],[Data]])</f>
        <v>5</v>
      </c>
      <c r="S1915" s="9" t="str">
        <f>YEAR(tblSprzedaz[[#This Row],[Data]])&amp;"-"&amp;RIGHT("0"&amp;MONTH(tblSprzedaz[[#This Row],[Data]]),2)</f>
        <v>2026-05</v>
      </c>
    </row>
    <row r="1916" spans="1:19" x14ac:dyDescent="0.25">
      <c r="A1916" s="7" t="s">
        <v>3999</v>
      </c>
      <c r="B1916" s="10">
        <v>46171</v>
      </c>
      <c r="C1916" s="7" t="s">
        <v>4000</v>
      </c>
      <c r="D1916" s="8" t="s">
        <v>90</v>
      </c>
      <c r="E1916" s="8" t="s">
        <v>59</v>
      </c>
      <c r="F1916" s="8" t="s">
        <v>31</v>
      </c>
      <c r="G1916" s="8" t="s">
        <v>28</v>
      </c>
      <c r="H1916" s="8" t="s">
        <v>39</v>
      </c>
      <c r="I1916" s="11">
        <v>4</v>
      </c>
      <c r="J1916" s="12">
        <v>172.2</v>
      </c>
      <c r="K1916" s="13">
        <v>0.1</v>
      </c>
      <c r="L1916" s="12">
        <v>111.66</v>
      </c>
      <c r="M1916" s="14">
        <f>ROUND(tblSprzedaz[[#This Row],[Ilość]]*tblSprzedaz[[#This Row],[Cena netto jednostkowa]]*(1-tblSprzedaz[[#This Row],[Rabat %]]),2)</f>
        <v>619.91999999999996</v>
      </c>
      <c r="N1916" s="14">
        <f>ROUND(tblSprzedaz[[#This Row],[Ilość]]*tblSprzedaz[[#This Row],[Koszt jednostkowy netto]],2)</f>
        <v>446.64</v>
      </c>
      <c r="O1916" s="14">
        <f>tblSprzedaz[[#This Row],[Przychód netto]]-tblSprzedaz[[#This Row],[Koszt całkowity netto]]</f>
        <v>173.27999999999997</v>
      </c>
      <c r="P1916" s="15">
        <f>IFERROR(tblSprzedaz[[#This Row],[Marża kwotowa]]/tblSprzedaz[[#This Row],[Przychód netto]],0)</f>
        <v>0.27951993805652342</v>
      </c>
      <c r="Q1916" s="16">
        <f>YEAR(tblSprzedaz[[#This Row],[Data]])</f>
        <v>2026</v>
      </c>
      <c r="R1916" s="16">
        <f>MONTH(tblSprzedaz[[#This Row],[Data]])</f>
        <v>5</v>
      </c>
      <c r="S1916" s="9" t="str">
        <f>YEAR(tblSprzedaz[[#This Row],[Data]])&amp;"-"&amp;RIGHT("0"&amp;MONTH(tblSprzedaz[[#This Row],[Data]]),2)</f>
        <v>2026-05</v>
      </c>
    </row>
    <row r="1917" spans="1:19" x14ac:dyDescent="0.25">
      <c r="A1917" s="7" t="s">
        <v>4001</v>
      </c>
      <c r="B1917" s="10">
        <v>46171</v>
      </c>
      <c r="C1917" s="7" t="s">
        <v>4002</v>
      </c>
      <c r="D1917" s="8" t="s">
        <v>133</v>
      </c>
      <c r="E1917" s="8" t="s">
        <v>56</v>
      </c>
      <c r="F1917" s="8" t="s">
        <v>31</v>
      </c>
      <c r="G1917" s="8" t="s">
        <v>32</v>
      </c>
      <c r="H1917" s="8" t="s">
        <v>43</v>
      </c>
      <c r="I1917" s="11">
        <v>2</v>
      </c>
      <c r="J1917" s="12">
        <v>279.3</v>
      </c>
      <c r="K1917" s="13">
        <v>0.15</v>
      </c>
      <c r="L1917" s="12">
        <v>171.02</v>
      </c>
      <c r="M1917" s="14">
        <f>ROUND(tblSprzedaz[[#This Row],[Ilość]]*tblSprzedaz[[#This Row],[Cena netto jednostkowa]]*(1-tblSprzedaz[[#This Row],[Rabat %]]),2)</f>
        <v>474.81</v>
      </c>
      <c r="N1917" s="14">
        <f>ROUND(tblSprzedaz[[#This Row],[Ilość]]*tblSprzedaz[[#This Row],[Koszt jednostkowy netto]],2)</f>
        <v>342.04</v>
      </c>
      <c r="O1917" s="14">
        <f>tblSprzedaz[[#This Row],[Przychód netto]]-tblSprzedaz[[#This Row],[Koszt całkowity netto]]</f>
        <v>132.76999999999998</v>
      </c>
      <c r="P1917" s="15">
        <f>IFERROR(tblSprzedaz[[#This Row],[Marża kwotowa]]/tblSprzedaz[[#This Row],[Przychód netto]],0)</f>
        <v>0.27962764052989614</v>
      </c>
      <c r="Q1917" s="16">
        <f>YEAR(tblSprzedaz[[#This Row],[Data]])</f>
        <v>2026</v>
      </c>
      <c r="R1917" s="16">
        <f>MONTH(tblSprzedaz[[#This Row],[Data]])</f>
        <v>5</v>
      </c>
      <c r="S1917" s="9" t="str">
        <f>YEAR(tblSprzedaz[[#This Row],[Data]])&amp;"-"&amp;RIGHT("0"&amp;MONTH(tblSprzedaz[[#This Row],[Data]]),2)</f>
        <v>2026-05</v>
      </c>
    </row>
    <row r="1918" spans="1:19" x14ac:dyDescent="0.25">
      <c r="A1918" s="7" t="s">
        <v>4003</v>
      </c>
      <c r="B1918" s="10">
        <v>46171</v>
      </c>
      <c r="C1918" s="7" t="s">
        <v>4004</v>
      </c>
      <c r="D1918" s="8" t="s">
        <v>107</v>
      </c>
      <c r="E1918" s="8" t="s">
        <v>61</v>
      </c>
      <c r="F1918" s="8" t="s">
        <v>33</v>
      </c>
      <c r="G1918" s="8" t="s">
        <v>30</v>
      </c>
      <c r="H1918" s="8" t="s">
        <v>41</v>
      </c>
      <c r="I1918" s="11">
        <v>3</v>
      </c>
      <c r="J1918" s="12">
        <v>533.6</v>
      </c>
      <c r="K1918" s="13">
        <v>0.15</v>
      </c>
      <c r="L1918" s="12">
        <v>382.07</v>
      </c>
      <c r="M1918" s="14">
        <f>ROUND(tblSprzedaz[[#This Row],[Ilość]]*tblSprzedaz[[#This Row],[Cena netto jednostkowa]]*(1-tblSprzedaz[[#This Row],[Rabat %]]),2)</f>
        <v>1360.68</v>
      </c>
      <c r="N1918" s="14">
        <f>ROUND(tblSprzedaz[[#This Row],[Ilość]]*tblSprzedaz[[#This Row],[Koszt jednostkowy netto]],2)</f>
        <v>1146.21</v>
      </c>
      <c r="O1918" s="14">
        <f>tblSprzedaz[[#This Row],[Przychód netto]]-tblSprzedaz[[#This Row],[Koszt całkowity netto]]</f>
        <v>214.47000000000003</v>
      </c>
      <c r="P1918" s="15">
        <f>IFERROR(tblSprzedaz[[#This Row],[Marża kwotowa]]/tblSprzedaz[[#This Row],[Przychód netto]],0)</f>
        <v>0.15761971955198872</v>
      </c>
      <c r="Q1918" s="16">
        <f>YEAR(tblSprzedaz[[#This Row],[Data]])</f>
        <v>2026</v>
      </c>
      <c r="R1918" s="16">
        <f>MONTH(tblSprzedaz[[#This Row],[Data]])</f>
        <v>5</v>
      </c>
      <c r="S1918" s="9" t="str">
        <f>YEAR(tblSprzedaz[[#This Row],[Data]])&amp;"-"&amp;RIGHT("0"&amp;MONTH(tblSprzedaz[[#This Row],[Data]]),2)</f>
        <v>2026-05</v>
      </c>
    </row>
    <row r="1919" spans="1:19" x14ac:dyDescent="0.25">
      <c r="A1919" s="7" t="s">
        <v>4005</v>
      </c>
      <c r="B1919" s="10">
        <v>46171</v>
      </c>
      <c r="C1919" s="7" t="s">
        <v>4006</v>
      </c>
      <c r="D1919" s="8" t="s">
        <v>121</v>
      </c>
      <c r="E1919" s="8" t="s">
        <v>68</v>
      </c>
      <c r="F1919" s="8" t="s">
        <v>35</v>
      </c>
      <c r="G1919" s="8" t="s">
        <v>36</v>
      </c>
      <c r="H1919" s="8" t="s">
        <v>47</v>
      </c>
      <c r="I1919" s="11">
        <v>24</v>
      </c>
      <c r="J1919" s="12">
        <v>90.44</v>
      </c>
      <c r="K1919" s="13">
        <v>0</v>
      </c>
      <c r="L1919" s="12">
        <v>67.44</v>
      </c>
      <c r="M1919" s="14">
        <f>ROUND(tblSprzedaz[[#This Row],[Ilość]]*tblSprzedaz[[#This Row],[Cena netto jednostkowa]]*(1-tblSprzedaz[[#This Row],[Rabat %]]),2)</f>
        <v>2170.56</v>
      </c>
      <c r="N1919" s="14">
        <f>ROUND(tblSprzedaz[[#This Row],[Ilość]]*tblSprzedaz[[#This Row],[Koszt jednostkowy netto]],2)</f>
        <v>1618.56</v>
      </c>
      <c r="O1919" s="14">
        <f>tblSprzedaz[[#This Row],[Przychód netto]]-tblSprzedaz[[#This Row],[Koszt całkowity netto]]</f>
        <v>552</v>
      </c>
      <c r="P1919" s="15">
        <f>IFERROR(tblSprzedaz[[#This Row],[Marża kwotowa]]/tblSprzedaz[[#This Row],[Przychód netto]],0)</f>
        <v>0.25431225121627599</v>
      </c>
      <c r="Q1919" s="16">
        <f>YEAR(tblSprzedaz[[#This Row],[Data]])</f>
        <v>2026</v>
      </c>
      <c r="R1919" s="16">
        <f>MONTH(tblSprzedaz[[#This Row],[Data]])</f>
        <v>5</v>
      </c>
      <c r="S1919" s="9" t="str">
        <f>YEAR(tblSprzedaz[[#This Row],[Data]])&amp;"-"&amp;RIGHT("0"&amp;MONTH(tblSprzedaz[[#This Row],[Data]]),2)</f>
        <v>2026-05</v>
      </c>
    </row>
    <row r="1920" spans="1:19" x14ac:dyDescent="0.25">
      <c r="A1920" s="7" t="s">
        <v>4007</v>
      </c>
      <c r="B1920" s="10">
        <v>46171</v>
      </c>
      <c r="C1920" s="7" t="s">
        <v>4008</v>
      </c>
      <c r="D1920" s="8" t="s">
        <v>141</v>
      </c>
      <c r="E1920" s="8" t="s">
        <v>69</v>
      </c>
      <c r="F1920" s="8" t="s">
        <v>35</v>
      </c>
      <c r="G1920" s="8" t="s">
        <v>32</v>
      </c>
      <c r="H1920" s="8" t="s">
        <v>43</v>
      </c>
      <c r="I1920" s="11">
        <v>31</v>
      </c>
      <c r="J1920" s="12">
        <v>102</v>
      </c>
      <c r="K1920" s="13">
        <v>0.05</v>
      </c>
      <c r="L1920" s="12">
        <v>75.41</v>
      </c>
      <c r="M1920" s="14">
        <f>ROUND(tblSprzedaz[[#This Row],[Ilość]]*tblSprzedaz[[#This Row],[Cena netto jednostkowa]]*(1-tblSprzedaz[[#This Row],[Rabat %]]),2)</f>
        <v>3003.9</v>
      </c>
      <c r="N1920" s="14">
        <f>ROUND(tblSprzedaz[[#This Row],[Ilość]]*tblSprzedaz[[#This Row],[Koszt jednostkowy netto]],2)</f>
        <v>2337.71</v>
      </c>
      <c r="O1920" s="14">
        <f>tblSprzedaz[[#This Row],[Przychód netto]]-tblSprzedaz[[#This Row],[Koszt całkowity netto]]</f>
        <v>666.19</v>
      </c>
      <c r="P1920" s="15">
        <f>IFERROR(tblSprzedaz[[#This Row],[Marża kwotowa]]/tblSprzedaz[[#This Row],[Przychód netto]],0)</f>
        <v>0.22177502579979361</v>
      </c>
      <c r="Q1920" s="16">
        <f>YEAR(tblSprzedaz[[#This Row],[Data]])</f>
        <v>2026</v>
      </c>
      <c r="R1920" s="16">
        <f>MONTH(tblSprzedaz[[#This Row],[Data]])</f>
        <v>5</v>
      </c>
      <c r="S1920" s="9" t="str">
        <f>YEAR(tblSprzedaz[[#This Row],[Data]])&amp;"-"&amp;RIGHT("0"&amp;MONTH(tblSprzedaz[[#This Row],[Data]]),2)</f>
        <v>2026-05</v>
      </c>
    </row>
    <row r="1921" spans="1:19" x14ac:dyDescent="0.25">
      <c r="A1921" s="7" t="s">
        <v>4009</v>
      </c>
      <c r="B1921" s="10">
        <v>46172</v>
      </c>
      <c r="C1921" s="7" t="s">
        <v>4010</v>
      </c>
      <c r="D1921" s="8" t="s">
        <v>94</v>
      </c>
      <c r="E1921" s="8" t="s">
        <v>61</v>
      </c>
      <c r="F1921" s="8" t="s">
        <v>33</v>
      </c>
      <c r="G1921" s="8" t="s">
        <v>28</v>
      </c>
      <c r="H1921" s="8" t="s">
        <v>38</v>
      </c>
      <c r="I1921" s="11">
        <v>6</v>
      </c>
      <c r="J1921" s="12">
        <v>533.6</v>
      </c>
      <c r="K1921" s="13">
        <v>0</v>
      </c>
      <c r="L1921" s="12">
        <v>380.06</v>
      </c>
      <c r="M1921" s="14">
        <f>ROUND(tblSprzedaz[[#This Row],[Ilość]]*tblSprzedaz[[#This Row],[Cena netto jednostkowa]]*(1-tblSprzedaz[[#This Row],[Rabat %]]),2)</f>
        <v>3201.6</v>
      </c>
      <c r="N1921" s="14">
        <f>ROUND(tblSprzedaz[[#This Row],[Ilość]]*tblSprzedaz[[#This Row],[Koszt jednostkowy netto]],2)</f>
        <v>2280.36</v>
      </c>
      <c r="O1921" s="14">
        <f>tblSprzedaz[[#This Row],[Przychód netto]]-tblSprzedaz[[#This Row],[Koszt całkowity netto]]</f>
        <v>921.23999999999978</v>
      </c>
      <c r="P1921" s="15">
        <f>IFERROR(tblSprzedaz[[#This Row],[Marża kwotowa]]/tblSprzedaz[[#This Row],[Przychód netto]],0)</f>
        <v>0.28774362818590699</v>
      </c>
      <c r="Q1921" s="16">
        <f>YEAR(tblSprzedaz[[#This Row],[Data]])</f>
        <v>2026</v>
      </c>
      <c r="R1921" s="16">
        <f>MONTH(tblSprzedaz[[#This Row],[Data]])</f>
        <v>5</v>
      </c>
      <c r="S1921" s="9" t="str">
        <f>YEAR(tblSprzedaz[[#This Row],[Data]])&amp;"-"&amp;RIGHT("0"&amp;MONTH(tblSprzedaz[[#This Row],[Data]]),2)</f>
        <v>2026-05</v>
      </c>
    </row>
    <row r="1922" spans="1:19" x14ac:dyDescent="0.25">
      <c r="A1922" s="7" t="s">
        <v>4011</v>
      </c>
      <c r="B1922" s="10">
        <v>46173</v>
      </c>
      <c r="C1922" s="7" t="s">
        <v>4012</v>
      </c>
      <c r="D1922" s="8" t="s">
        <v>146</v>
      </c>
      <c r="E1922" s="8" t="s">
        <v>73</v>
      </c>
      <c r="F1922" s="8" t="s">
        <v>37</v>
      </c>
      <c r="G1922" s="8" t="s">
        <v>36</v>
      </c>
      <c r="H1922" s="8" t="s">
        <v>47</v>
      </c>
      <c r="I1922" s="11">
        <v>24</v>
      </c>
      <c r="J1922" s="12">
        <v>110.2</v>
      </c>
      <c r="K1922" s="13">
        <v>0.05</v>
      </c>
      <c r="L1922" s="12">
        <v>85</v>
      </c>
      <c r="M1922" s="14">
        <f>ROUND(tblSprzedaz[[#This Row],[Ilość]]*tblSprzedaz[[#This Row],[Cena netto jednostkowa]]*(1-tblSprzedaz[[#This Row],[Rabat %]]),2)</f>
        <v>2512.56</v>
      </c>
      <c r="N1922" s="14">
        <f>ROUND(tblSprzedaz[[#This Row],[Ilość]]*tblSprzedaz[[#This Row],[Koszt jednostkowy netto]],2)</f>
        <v>2040</v>
      </c>
      <c r="O1922" s="14">
        <f>tblSprzedaz[[#This Row],[Przychód netto]]-tblSprzedaz[[#This Row],[Koszt całkowity netto]]</f>
        <v>472.55999999999995</v>
      </c>
      <c r="P1922" s="15">
        <f>IFERROR(tblSprzedaz[[#This Row],[Marża kwotowa]]/tblSprzedaz[[#This Row],[Przychód netto]],0)</f>
        <v>0.1880790906485815</v>
      </c>
      <c r="Q1922" s="16">
        <f>YEAR(tblSprzedaz[[#This Row],[Data]])</f>
        <v>2026</v>
      </c>
      <c r="R1922" s="16">
        <f>MONTH(tblSprzedaz[[#This Row],[Data]])</f>
        <v>5</v>
      </c>
      <c r="S1922" s="9" t="str">
        <f>YEAR(tblSprzedaz[[#This Row],[Data]])&amp;"-"&amp;RIGHT("0"&amp;MONTH(tblSprzedaz[[#This Row],[Data]]),2)</f>
        <v>2026-05</v>
      </c>
    </row>
    <row r="1923" spans="1:19" x14ac:dyDescent="0.25">
      <c r="A1923" s="7" t="s">
        <v>4013</v>
      </c>
      <c r="B1923" s="10">
        <v>46173</v>
      </c>
      <c r="C1923" s="7" t="s">
        <v>4014</v>
      </c>
      <c r="D1923" s="8" t="s">
        <v>110</v>
      </c>
      <c r="E1923" s="8" t="s">
        <v>52</v>
      </c>
      <c r="F1923" s="8" t="s">
        <v>29</v>
      </c>
      <c r="G1923" s="8" t="s">
        <v>34</v>
      </c>
      <c r="H1923" s="8" t="s">
        <v>44</v>
      </c>
      <c r="I1923" s="11">
        <v>9</v>
      </c>
      <c r="J1923" s="12">
        <v>56.78</v>
      </c>
      <c r="K1923" s="13">
        <v>0</v>
      </c>
      <c r="L1923" s="12">
        <v>31.78</v>
      </c>
      <c r="M1923" s="14">
        <f>ROUND(tblSprzedaz[[#This Row],[Ilość]]*tblSprzedaz[[#This Row],[Cena netto jednostkowa]]*(1-tblSprzedaz[[#This Row],[Rabat %]]),2)</f>
        <v>511.02</v>
      </c>
      <c r="N1923" s="14">
        <f>ROUND(tblSprzedaz[[#This Row],[Ilość]]*tblSprzedaz[[#This Row],[Koszt jednostkowy netto]],2)</f>
        <v>286.02</v>
      </c>
      <c r="O1923" s="14">
        <f>tblSprzedaz[[#This Row],[Przychód netto]]-tblSprzedaz[[#This Row],[Koszt całkowity netto]]</f>
        <v>225</v>
      </c>
      <c r="P1923" s="15">
        <f>IFERROR(tblSprzedaz[[#This Row],[Marża kwotowa]]/tblSprzedaz[[#This Row],[Przychód netto]],0)</f>
        <v>0.44029587883057414</v>
      </c>
      <c r="Q1923" s="16">
        <f>YEAR(tblSprzedaz[[#This Row],[Data]])</f>
        <v>2026</v>
      </c>
      <c r="R1923" s="16">
        <f>MONTH(tblSprzedaz[[#This Row],[Data]])</f>
        <v>5</v>
      </c>
      <c r="S1923" s="9" t="str">
        <f>YEAR(tblSprzedaz[[#This Row],[Data]])&amp;"-"&amp;RIGHT("0"&amp;MONTH(tblSprzedaz[[#This Row],[Data]]),2)</f>
        <v>2026-05</v>
      </c>
    </row>
    <row r="1924" spans="1:19" x14ac:dyDescent="0.25">
      <c r="A1924" s="7" t="s">
        <v>4015</v>
      </c>
      <c r="B1924" s="10">
        <v>46174</v>
      </c>
      <c r="C1924" s="7" t="s">
        <v>4016</v>
      </c>
      <c r="D1924" s="8" t="s">
        <v>126</v>
      </c>
      <c r="E1924" s="8" t="s">
        <v>62</v>
      </c>
      <c r="F1924" s="8" t="s">
        <v>33</v>
      </c>
      <c r="G1924" s="8" t="s">
        <v>36</v>
      </c>
      <c r="H1924" s="8" t="s">
        <v>47</v>
      </c>
      <c r="I1924" s="11">
        <v>9</v>
      </c>
      <c r="J1924" s="12">
        <v>611.79999999999995</v>
      </c>
      <c r="K1924" s="13">
        <v>0</v>
      </c>
      <c r="L1924" s="12">
        <v>424.28</v>
      </c>
      <c r="M1924" s="14">
        <f>ROUND(tblSprzedaz[[#This Row],[Ilość]]*tblSprzedaz[[#This Row],[Cena netto jednostkowa]]*(1-tblSprzedaz[[#This Row],[Rabat %]]),2)</f>
        <v>5506.2</v>
      </c>
      <c r="N1924" s="14">
        <f>ROUND(tblSprzedaz[[#This Row],[Ilość]]*tblSprzedaz[[#This Row],[Koszt jednostkowy netto]],2)</f>
        <v>3818.52</v>
      </c>
      <c r="O1924" s="14">
        <f>tblSprzedaz[[#This Row],[Przychód netto]]-tblSprzedaz[[#This Row],[Koszt całkowity netto]]</f>
        <v>1687.6799999999998</v>
      </c>
      <c r="P1924" s="15">
        <f>IFERROR(tblSprzedaz[[#This Row],[Marża kwotowa]]/tblSprzedaz[[#This Row],[Przychód netto]],0)</f>
        <v>0.30650539391958154</v>
      </c>
      <c r="Q1924" s="16">
        <f>YEAR(tblSprzedaz[[#This Row],[Data]])</f>
        <v>2026</v>
      </c>
      <c r="R1924" s="16">
        <f>MONTH(tblSprzedaz[[#This Row],[Data]])</f>
        <v>6</v>
      </c>
      <c r="S1924" s="9" t="str">
        <f>YEAR(tblSprzedaz[[#This Row],[Data]])&amp;"-"&amp;RIGHT("0"&amp;MONTH(tblSprzedaz[[#This Row],[Data]]),2)</f>
        <v>2026-06</v>
      </c>
    </row>
    <row r="1925" spans="1:19" x14ac:dyDescent="0.25">
      <c r="A1925" s="7" t="s">
        <v>4017</v>
      </c>
      <c r="B1925" s="10">
        <v>46174</v>
      </c>
      <c r="C1925" s="7" t="s">
        <v>4018</v>
      </c>
      <c r="D1925" s="8" t="s">
        <v>149</v>
      </c>
      <c r="E1925" s="8" t="s">
        <v>62</v>
      </c>
      <c r="F1925" s="8" t="s">
        <v>33</v>
      </c>
      <c r="G1925" s="8" t="s">
        <v>36</v>
      </c>
      <c r="H1925" s="8" t="s">
        <v>46</v>
      </c>
      <c r="I1925" s="11">
        <v>24</v>
      </c>
      <c r="J1925" s="12">
        <v>611.79999999999995</v>
      </c>
      <c r="K1925" s="13">
        <v>0</v>
      </c>
      <c r="L1925" s="12">
        <v>410.41</v>
      </c>
      <c r="M1925" s="14">
        <f>ROUND(tblSprzedaz[[#This Row],[Ilość]]*tblSprzedaz[[#This Row],[Cena netto jednostkowa]]*(1-tblSprzedaz[[#This Row],[Rabat %]]),2)</f>
        <v>14683.2</v>
      </c>
      <c r="N1925" s="14">
        <f>ROUND(tblSprzedaz[[#This Row],[Ilość]]*tblSprzedaz[[#This Row],[Koszt jednostkowy netto]],2)</f>
        <v>9849.84</v>
      </c>
      <c r="O1925" s="14">
        <f>tblSprzedaz[[#This Row],[Przychód netto]]-tblSprzedaz[[#This Row],[Koszt całkowity netto]]</f>
        <v>4833.3600000000006</v>
      </c>
      <c r="P1925" s="15">
        <f>IFERROR(tblSprzedaz[[#This Row],[Marża kwotowa]]/tblSprzedaz[[#This Row],[Przychód netto]],0)</f>
        <v>0.32917620137299775</v>
      </c>
      <c r="Q1925" s="16">
        <f>YEAR(tblSprzedaz[[#This Row],[Data]])</f>
        <v>2026</v>
      </c>
      <c r="R1925" s="16">
        <f>MONTH(tblSprzedaz[[#This Row],[Data]])</f>
        <v>6</v>
      </c>
      <c r="S1925" s="9" t="str">
        <f>YEAR(tblSprzedaz[[#This Row],[Data]])&amp;"-"&amp;RIGHT("0"&amp;MONTH(tblSprzedaz[[#This Row],[Data]]),2)</f>
        <v>2026-06</v>
      </c>
    </row>
    <row r="1926" spans="1:19" x14ac:dyDescent="0.25">
      <c r="A1926" s="7" t="s">
        <v>4019</v>
      </c>
      <c r="B1926" s="10">
        <v>46174</v>
      </c>
      <c r="C1926" s="7" t="s">
        <v>4020</v>
      </c>
      <c r="D1926" s="8" t="s">
        <v>117</v>
      </c>
      <c r="E1926" s="8" t="s">
        <v>68</v>
      </c>
      <c r="F1926" s="8" t="s">
        <v>35</v>
      </c>
      <c r="G1926" s="8" t="s">
        <v>30</v>
      </c>
      <c r="H1926" s="8" t="s">
        <v>41</v>
      </c>
      <c r="I1926" s="11">
        <v>3</v>
      </c>
      <c r="J1926" s="12">
        <v>90.44</v>
      </c>
      <c r="K1926" s="13">
        <v>0</v>
      </c>
      <c r="L1926" s="12">
        <v>68.44</v>
      </c>
      <c r="M1926" s="14">
        <f>ROUND(tblSprzedaz[[#This Row],[Ilość]]*tblSprzedaz[[#This Row],[Cena netto jednostkowa]]*(1-tblSprzedaz[[#This Row],[Rabat %]]),2)</f>
        <v>271.32</v>
      </c>
      <c r="N1926" s="14">
        <f>ROUND(tblSprzedaz[[#This Row],[Ilość]]*tblSprzedaz[[#This Row],[Koszt jednostkowy netto]],2)</f>
        <v>205.32</v>
      </c>
      <c r="O1926" s="14">
        <f>tblSprzedaz[[#This Row],[Przychód netto]]-tblSprzedaz[[#This Row],[Koszt całkowity netto]]</f>
        <v>66</v>
      </c>
      <c r="P1926" s="15">
        <f>IFERROR(tblSprzedaz[[#This Row],[Marża kwotowa]]/tblSprzedaz[[#This Row],[Przychód netto]],0)</f>
        <v>0.24325519681556834</v>
      </c>
      <c r="Q1926" s="16">
        <f>YEAR(tblSprzedaz[[#This Row],[Data]])</f>
        <v>2026</v>
      </c>
      <c r="R1926" s="16">
        <f>MONTH(tblSprzedaz[[#This Row],[Data]])</f>
        <v>6</v>
      </c>
      <c r="S1926" s="9" t="str">
        <f>YEAR(tblSprzedaz[[#This Row],[Data]])&amp;"-"&amp;RIGHT("0"&amp;MONTH(tblSprzedaz[[#This Row],[Data]]),2)</f>
        <v>2026-06</v>
      </c>
    </row>
    <row r="1927" spans="1:19" x14ac:dyDescent="0.25">
      <c r="A1927" s="7" t="s">
        <v>4021</v>
      </c>
      <c r="B1927" s="10">
        <v>46175</v>
      </c>
      <c r="C1927" s="7" t="s">
        <v>4022</v>
      </c>
      <c r="D1927" s="8" t="s">
        <v>133</v>
      </c>
      <c r="E1927" s="8" t="s">
        <v>75</v>
      </c>
      <c r="F1927" s="8" t="s">
        <v>37</v>
      </c>
      <c r="G1927" s="8" t="s">
        <v>30</v>
      </c>
      <c r="H1927" s="8" t="s">
        <v>40</v>
      </c>
      <c r="I1927" s="11">
        <v>7</v>
      </c>
      <c r="J1927" s="12">
        <v>142.5</v>
      </c>
      <c r="K1927" s="13">
        <v>0.05</v>
      </c>
      <c r="L1927" s="12">
        <v>113.54</v>
      </c>
      <c r="M1927" s="14">
        <f>ROUND(tblSprzedaz[[#This Row],[Ilość]]*tblSprzedaz[[#This Row],[Cena netto jednostkowa]]*(1-tblSprzedaz[[#This Row],[Rabat %]]),2)</f>
        <v>947.63</v>
      </c>
      <c r="N1927" s="14">
        <f>ROUND(tblSprzedaz[[#This Row],[Ilość]]*tblSprzedaz[[#This Row],[Koszt jednostkowy netto]],2)</f>
        <v>794.78</v>
      </c>
      <c r="O1927" s="14">
        <f>tblSprzedaz[[#This Row],[Przychód netto]]-tblSprzedaz[[#This Row],[Koszt całkowity netto]]</f>
        <v>152.85000000000002</v>
      </c>
      <c r="P1927" s="15">
        <f>IFERROR(tblSprzedaz[[#This Row],[Marża kwotowa]]/tblSprzedaz[[#This Row],[Przychód netto]],0)</f>
        <v>0.16129713073667995</v>
      </c>
      <c r="Q1927" s="16">
        <f>YEAR(tblSprzedaz[[#This Row],[Data]])</f>
        <v>2026</v>
      </c>
      <c r="R1927" s="16">
        <f>MONTH(tblSprzedaz[[#This Row],[Data]])</f>
        <v>6</v>
      </c>
      <c r="S1927" s="9" t="str">
        <f>YEAR(tblSprzedaz[[#This Row],[Data]])&amp;"-"&amp;RIGHT("0"&amp;MONTH(tblSprzedaz[[#This Row],[Data]]),2)</f>
        <v>2026-06</v>
      </c>
    </row>
    <row r="1928" spans="1:19" x14ac:dyDescent="0.25">
      <c r="A1928" s="7" t="s">
        <v>4023</v>
      </c>
      <c r="B1928" s="10">
        <v>46175</v>
      </c>
      <c r="C1928" s="7" t="s">
        <v>4024</v>
      </c>
      <c r="D1928" s="8" t="s">
        <v>108</v>
      </c>
      <c r="E1928" s="8" t="s">
        <v>50</v>
      </c>
      <c r="F1928" s="8" t="s">
        <v>29</v>
      </c>
      <c r="G1928" s="8" t="s">
        <v>28</v>
      </c>
      <c r="H1928" s="8" t="s">
        <v>38</v>
      </c>
      <c r="I1928" s="11">
        <v>21</v>
      </c>
      <c r="J1928" s="12">
        <v>45.22</v>
      </c>
      <c r="K1928" s="13">
        <v>0.15</v>
      </c>
      <c r="L1928" s="12">
        <v>25.84</v>
      </c>
      <c r="M1928" s="14">
        <f>ROUND(tblSprzedaz[[#This Row],[Ilość]]*tblSprzedaz[[#This Row],[Cena netto jednostkowa]]*(1-tblSprzedaz[[#This Row],[Rabat %]]),2)</f>
        <v>807.18</v>
      </c>
      <c r="N1928" s="14">
        <f>ROUND(tblSprzedaz[[#This Row],[Ilość]]*tblSprzedaz[[#This Row],[Koszt jednostkowy netto]],2)</f>
        <v>542.64</v>
      </c>
      <c r="O1928" s="14">
        <f>tblSprzedaz[[#This Row],[Przychód netto]]-tblSprzedaz[[#This Row],[Koszt całkowity netto]]</f>
        <v>264.53999999999996</v>
      </c>
      <c r="P1928" s="15">
        <f>IFERROR(tblSprzedaz[[#This Row],[Marża kwotowa]]/tblSprzedaz[[#This Row],[Przychód netto]],0)</f>
        <v>0.32773359102059019</v>
      </c>
      <c r="Q1928" s="16">
        <f>YEAR(tblSprzedaz[[#This Row],[Data]])</f>
        <v>2026</v>
      </c>
      <c r="R1928" s="16">
        <f>MONTH(tblSprzedaz[[#This Row],[Data]])</f>
        <v>6</v>
      </c>
      <c r="S1928" s="9" t="str">
        <f>YEAR(tblSprzedaz[[#This Row],[Data]])&amp;"-"&amp;RIGHT("0"&amp;MONTH(tblSprzedaz[[#This Row],[Data]]),2)</f>
        <v>2026-06</v>
      </c>
    </row>
    <row r="1929" spans="1:19" x14ac:dyDescent="0.25">
      <c r="A1929" s="7" t="s">
        <v>4025</v>
      </c>
      <c r="B1929" s="10">
        <v>46175</v>
      </c>
      <c r="C1929" s="7" t="s">
        <v>4026</v>
      </c>
      <c r="D1929" s="8" t="s">
        <v>126</v>
      </c>
      <c r="E1929" s="8" t="s">
        <v>60</v>
      </c>
      <c r="F1929" s="8" t="s">
        <v>33</v>
      </c>
      <c r="G1929" s="8" t="s">
        <v>28</v>
      </c>
      <c r="H1929" s="8" t="s">
        <v>38</v>
      </c>
      <c r="I1929" s="11">
        <v>5</v>
      </c>
      <c r="J1929" s="12">
        <v>455.4</v>
      </c>
      <c r="K1929" s="13">
        <v>0</v>
      </c>
      <c r="L1929" s="12">
        <v>306.17</v>
      </c>
      <c r="M1929" s="14">
        <f>ROUND(tblSprzedaz[[#This Row],[Ilość]]*tblSprzedaz[[#This Row],[Cena netto jednostkowa]]*(1-tblSprzedaz[[#This Row],[Rabat %]]),2)</f>
        <v>2277</v>
      </c>
      <c r="N1929" s="14">
        <f>ROUND(tblSprzedaz[[#This Row],[Ilość]]*tblSprzedaz[[#This Row],[Koszt jednostkowy netto]],2)</f>
        <v>1530.85</v>
      </c>
      <c r="O1929" s="14">
        <f>tblSprzedaz[[#This Row],[Przychód netto]]-tblSprzedaz[[#This Row],[Koszt całkowity netto]]</f>
        <v>746.15000000000009</v>
      </c>
      <c r="P1929" s="15">
        <f>IFERROR(tblSprzedaz[[#This Row],[Marża kwotowa]]/tblSprzedaz[[#This Row],[Przychód netto]],0)</f>
        <v>0.32768994290733428</v>
      </c>
      <c r="Q1929" s="16">
        <f>YEAR(tblSprzedaz[[#This Row],[Data]])</f>
        <v>2026</v>
      </c>
      <c r="R1929" s="16">
        <f>MONTH(tblSprzedaz[[#This Row],[Data]])</f>
        <v>6</v>
      </c>
      <c r="S1929" s="9" t="str">
        <f>YEAR(tblSprzedaz[[#This Row],[Data]])&amp;"-"&amp;RIGHT("0"&amp;MONTH(tblSprzedaz[[#This Row],[Data]]),2)</f>
        <v>2026-06</v>
      </c>
    </row>
    <row r="1930" spans="1:19" x14ac:dyDescent="0.25">
      <c r="A1930" s="7" t="s">
        <v>4027</v>
      </c>
      <c r="B1930" s="10">
        <v>46176</v>
      </c>
      <c r="C1930" s="7" t="s">
        <v>4028</v>
      </c>
      <c r="D1930" s="8" t="s">
        <v>97</v>
      </c>
      <c r="E1930" s="8" t="s">
        <v>69</v>
      </c>
      <c r="F1930" s="8" t="s">
        <v>35</v>
      </c>
      <c r="G1930" s="8" t="s">
        <v>34</v>
      </c>
      <c r="H1930" s="8" t="s">
        <v>44</v>
      </c>
      <c r="I1930" s="11">
        <v>9</v>
      </c>
      <c r="J1930" s="12">
        <v>102</v>
      </c>
      <c r="K1930" s="13">
        <v>0.1</v>
      </c>
      <c r="L1930" s="12">
        <v>71.87</v>
      </c>
      <c r="M1930" s="14">
        <f>ROUND(tblSprzedaz[[#This Row],[Ilość]]*tblSprzedaz[[#This Row],[Cena netto jednostkowa]]*(1-tblSprzedaz[[#This Row],[Rabat %]]),2)</f>
        <v>826.2</v>
      </c>
      <c r="N1930" s="14">
        <f>ROUND(tblSprzedaz[[#This Row],[Ilość]]*tblSprzedaz[[#This Row],[Koszt jednostkowy netto]],2)</f>
        <v>646.83000000000004</v>
      </c>
      <c r="O1930" s="14">
        <f>tblSprzedaz[[#This Row],[Przychód netto]]-tblSprzedaz[[#This Row],[Koszt całkowity netto]]</f>
        <v>179.37</v>
      </c>
      <c r="P1930" s="15">
        <f>IFERROR(tblSprzedaz[[#This Row],[Marża kwotowa]]/tblSprzedaz[[#This Row],[Przychód netto]],0)</f>
        <v>0.21710239651416122</v>
      </c>
      <c r="Q1930" s="16">
        <f>YEAR(tblSprzedaz[[#This Row],[Data]])</f>
        <v>2026</v>
      </c>
      <c r="R1930" s="16">
        <f>MONTH(tblSprzedaz[[#This Row],[Data]])</f>
        <v>6</v>
      </c>
      <c r="S1930" s="9" t="str">
        <f>YEAR(tblSprzedaz[[#This Row],[Data]])&amp;"-"&amp;RIGHT("0"&amp;MONTH(tblSprzedaz[[#This Row],[Data]]),2)</f>
        <v>2026-06</v>
      </c>
    </row>
    <row r="1931" spans="1:19" x14ac:dyDescent="0.25">
      <c r="A1931" s="7" t="s">
        <v>4029</v>
      </c>
      <c r="B1931" s="10">
        <v>46176</v>
      </c>
      <c r="C1931" s="7" t="s">
        <v>4030</v>
      </c>
      <c r="D1931" s="8" t="s">
        <v>122</v>
      </c>
      <c r="E1931" s="8" t="s">
        <v>68</v>
      </c>
      <c r="F1931" s="8" t="s">
        <v>35</v>
      </c>
      <c r="G1931" s="8" t="s">
        <v>36</v>
      </c>
      <c r="H1931" s="8" t="s">
        <v>46</v>
      </c>
      <c r="I1931" s="11">
        <v>14</v>
      </c>
      <c r="J1931" s="12">
        <v>90.44</v>
      </c>
      <c r="K1931" s="13">
        <v>0</v>
      </c>
      <c r="L1931" s="12">
        <v>64.180000000000007</v>
      </c>
      <c r="M1931" s="14">
        <f>ROUND(tblSprzedaz[[#This Row],[Ilość]]*tblSprzedaz[[#This Row],[Cena netto jednostkowa]]*(1-tblSprzedaz[[#This Row],[Rabat %]]),2)</f>
        <v>1266.1600000000001</v>
      </c>
      <c r="N1931" s="14">
        <f>ROUND(tblSprzedaz[[#This Row],[Ilość]]*tblSprzedaz[[#This Row],[Koszt jednostkowy netto]],2)</f>
        <v>898.52</v>
      </c>
      <c r="O1931" s="14">
        <f>tblSprzedaz[[#This Row],[Przychód netto]]-tblSprzedaz[[#This Row],[Koszt całkowity netto]]</f>
        <v>367.6400000000001</v>
      </c>
      <c r="P1931" s="15">
        <f>IFERROR(tblSprzedaz[[#This Row],[Marża kwotowa]]/tblSprzedaz[[#This Row],[Przychód netto]],0)</f>
        <v>0.29035824856258297</v>
      </c>
      <c r="Q1931" s="16">
        <f>YEAR(tblSprzedaz[[#This Row],[Data]])</f>
        <v>2026</v>
      </c>
      <c r="R1931" s="16">
        <f>MONTH(tblSprzedaz[[#This Row],[Data]])</f>
        <v>6</v>
      </c>
      <c r="S1931" s="9" t="str">
        <f>YEAR(tblSprzedaz[[#This Row],[Data]])&amp;"-"&amp;RIGHT("0"&amp;MONTH(tblSprzedaz[[#This Row],[Data]]),2)</f>
        <v>2026-06</v>
      </c>
    </row>
    <row r="1932" spans="1:19" x14ac:dyDescent="0.25">
      <c r="A1932" s="7" t="s">
        <v>4031</v>
      </c>
      <c r="B1932" s="10">
        <v>46176</v>
      </c>
      <c r="C1932" s="7" t="s">
        <v>4032</v>
      </c>
      <c r="D1932" s="8" t="s">
        <v>150</v>
      </c>
      <c r="E1932" s="8" t="s">
        <v>49</v>
      </c>
      <c r="F1932" s="8" t="s">
        <v>29</v>
      </c>
      <c r="G1932" s="8" t="s">
        <v>30</v>
      </c>
      <c r="H1932" s="8" t="s">
        <v>40</v>
      </c>
      <c r="I1932" s="11">
        <v>14</v>
      </c>
      <c r="J1932" s="12">
        <v>39.44</v>
      </c>
      <c r="K1932" s="13">
        <v>0.1</v>
      </c>
      <c r="L1932" s="12">
        <v>23.61</v>
      </c>
      <c r="M1932" s="14">
        <f>ROUND(tblSprzedaz[[#This Row],[Ilość]]*tblSprzedaz[[#This Row],[Cena netto jednostkowa]]*(1-tblSprzedaz[[#This Row],[Rabat %]]),2)</f>
        <v>496.94</v>
      </c>
      <c r="N1932" s="14">
        <f>ROUND(tblSprzedaz[[#This Row],[Ilość]]*tblSprzedaz[[#This Row],[Koszt jednostkowy netto]],2)</f>
        <v>330.54</v>
      </c>
      <c r="O1932" s="14">
        <f>tblSprzedaz[[#This Row],[Przychód netto]]-tblSprzedaz[[#This Row],[Koszt całkowity netto]]</f>
        <v>166.39999999999998</v>
      </c>
      <c r="P1932" s="15">
        <f>IFERROR(tblSprzedaz[[#This Row],[Marża kwotowa]]/tblSprzedaz[[#This Row],[Przychód netto]],0)</f>
        <v>0.33484927757878208</v>
      </c>
      <c r="Q1932" s="16">
        <f>YEAR(tblSprzedaz[[#This Row],[Data]])</f>
        <v>2026</v>
      </c>
      <c r="R1932" s="16">
        <f>MONTH(tblSprzedaz[[#This Row],[Data]])</f>
        <v>6</v>
      </c>
      <c r="S1932" s="9" t="str">
        <f>YEAR(tblSprzedaz[[#This Row],[Data]])&amp;"-"&amp;RIGHT("0"&amp;MONTH(tblSprzedaz[[#This Row],[Data]]),2)</f>
        <v>2026-06</v>
      </c>
    </row>
    <row r="1933" spans="1:19" x14ac:dyDescent="0.25">
      <c r="A1933" s="7" t="s">
        <v>4033</v>
      </c>
      <c r="B1933" s="10">
        <v>46176</v>
      </c>
      <c r="C1933" s="7" t="s">
        <v>4034</v>
      </c>
      <c r="D1933" s="8" t="s">
        <v>94</v>
      </c>
      <c r="E1933" s="8" t="s">
        <v>49</v>
      </c>
      <c r="F1933" s="8" t="s">
        <v>29</v>
      </c>
      <c r="G1933" s="8" t="s">
        <v>34</v>
      </c>
      <c r="H1933" s="8" t="s">
        <v>45</v>
      </c>
      <c r="I1933" s="11">
        <v>2</v>
      </c>
      <c r="J1933" s="12">
        <v>39.44</v>
      </c>
      <c r="K1933" s="13">
        <v>0.15</v>
      </c>
      <c r="L1933" s="12">
        <v>24.45</v>
      </c>
      <c r="M1933" s="14">
        <f>ROUND(tblSprzedaz[[#This Row],[Ilość]]*tblSprzedaz[[#This Row],[Cena netto jednostkowa]]*(1-tblSprzedaz[[#This Row],[Rabat %]]),2)</f>
        <v>67.05</v>
      </c>
      <c r="N1933" s="14">
        <f>ROUND(tblSprzedaz[[#This Row],[Ilość]]*tblSprzedaz[[#This Row],[Koszt jednostkowy netto]],2)</f>
        <v>48.9</v>
      </c>
      <c r="O1933" s="14">
        <f>tblSprzedaz[[#This Row],[Przychód netto]]-tblSprzedaz[[#This Row],[Koszt całkowity netto]]</f>
        <v>18.149999999999999</v>
      </c>
      <c r="P1933" s="15">
        <f>IFERROR(tblSprzedaz[[#This Row],[Marża kwotowa]]/tblSprzedaz[[#This Row],[Przychód netto]],0)</f>
        <v>0.27069351230425054</v>
      </c>
      <c r="Q1933" s="16">
        <f>YEAR(tblSprzedaz[[#This Row],[Data]])</f>
        <v>2026</v>
      </c>
      <c r="R1933" s="16">
        <f>MONTH(tblSprzedaz[[#This Row],[Data]])</f>
        <v>6</v>
      </c>
      <c r="S1933" s="9" t="str">
        <f>YEAR(tblSprzedaz[[#This Row],[Data]])&amp;"-"&amp;RIGHT("0"&amp;MONTH(tblSprzedaz[[#This Row],[Data]]),2)</f>
        <v>2026-06</v>
      </c>
    </row>
    <row r="1934" spans="1:19" x14ac:dyDescent="0.25">
      <c r="A1934" s="7" t="s">
        <v>4035</v>
      </c>
      <c r="B1934" s="10">
        <v>46176</v>
      </c>
      <c r="C1934" s="7" t="s">
        <v>4036</v>
      </c>
      <c r="D1934" s="8" t="s">
        <v>87</v>
      </c>
      <c r="E1934" s="8" t="s">
        <v>55</v>
      </c>
      <c r="F1934" s="8" t="s">
        <v>31</v>
      </c>
      <c r="G1934" s="8" t="s">
        <v>36</v>
      </c>
      <c r="H1934" s="8" t="s">
        <v>47</v>
      </c>
      <c r="I1934" s="11">
        <v>5</v>
      </c>
      <c r="J1934" s="12">
        <v>243.6</v>
      </c>
      <c r="K1934" s="13">
        <v>0</v>
      </c>
      <c r="L1934" s="12">
        <v>151.56</v>
      </c>
      <c r="M1934" s="14">
        <f>ROUND(tblSprzedaz[[#This Row],[Ilość]]*tblSprzedaz[[#This Row],[Cena netto jednostkowa]]*(1-tblSprzedaz[[#This Row],[Rabat %]]),2)</f>
        <v>1218</v>
      </c>
      <c r="N1934" s="14">
        <f>ROUND(tblSprzedaz[[#This Row],[Ilość]]*tblSprzedaz[[#This Row],[Koszt jednostkowy netto]],2)</f>
        <v>757.8</v>
      </c>
      <c r="O1934" s="14">
        <f>tblSprzedaz[[#This Row],[Przychód netto]]-tblSprzedaz[[#This Row],[Koszt całkowity netto]]</f>
        <v>460.20000000000005</v>
      </c>
      <c r="P1934" s="15">
        <f>IFERROR(tblSprzedaz[[#This Row],[Marża kwotowa]]/tblSprzedaz[[#This Row],[Przychód netto]],0)</f>
        <v>0.37783251231527099</v>
      </c>
      <c r="Q1934" s="16">
        <f>YEAR(tblSprzedaz[[#This Row],[Data]])</f>
        <v>2026</v>
      </c>
      <c r="R1934" s="16">
        <f>MONTH(tblSprzedaz[[#This Row],[Data]])</f>
        <v>6</v>
      </c>
      <c r="S1934" s="9" t="str">
        <f>YEAR(tblSprzedaz[[#This Row],[Data]])&amp;"-"&amp;RIGHT("0"&amp;MONTH(tblSprzedaz[[#This Row],[Data]]),2)</f>
        <v>2026-06</v>
      </c>
    </row>
    <row r="1935" spans="1:19" x14ac:dyDescent="0.25">
      <c r="A1935" s="7" t="s">
        <v>4037</v>
      </c>
      <c r="B1935" s="10">
        <v>46176</v>
      </c>
      <c r="C1935" s="7" t="s">
        <v>4038</v>
      </c>
      <c r="D1935" s="8" t="s">
        <v>93</v>
      </c>
      <c r="E1935" s="8" t="s">
        <v>62</v>
      </c>
      <c r="F1935" s="8" t="s">
        <v>33</v>
      </c>
      <c r="G1935" s="8" t="s">
        <v>28</v>
      </c>
      <c r="H1935" s="8" t="s">
        <v>38</v>
      </c>
      <c r="I1935" s="11">
        <v>16</v>
      </c>
      <c r="J1935" s="12">
        <v>611.79999999999995</v>
      </c>
      <c r="K1935" s="13">
        <v>0.15</v>
      </c>
      <c r="L1935" s="12">
        <v>417.72</v>
      </c>
      <c r="M1935" s="14">
        <f>ROUND(tblSprzedaz[[#This Row],[Ilość]]*tblSprzedaz[[#This Row],[Cena netto jednostkowa]]*(1-tblSprzedaz[[#This Row],[Rabat %]]),2)</f>
        <v>8320.48</v>
      </c>
      <c r="N1935" s="14">
        <f>ROUND(tblSprzedaz[[#This Row],[Ilość]]*tblSprzedaz[[#This Row],[Koszt jednostkowy netto]],2)</f>
        <v>6683.52</v>
      </c>
      <c r="O1935" s="14">
        <f>tblSprzedaz[[#This Row],[Przychód netto]]-tblSprzedaz[[#This Row],[Koszt całkowity netto]]</f>
        <v>1636.9599999999991</v>
      </c>
      <c r="P1935" s="15">
        <f>IFERROR(tblSprzedaz[[#This Row],[Marża kwotowa]]/tblSprzedaz[[#This Row],[Przychód netto]],0)</f>
        <v>0.19673864969328683</v>
      </c>
      <c r="Q1935" s="16">
        <f>YEAR(tblSprzedaz[[#This Row],[Data]])</f>
        <v>2026</v>
      </c>
      <c r="R1935" s="16">
        <f>MONTH(tblSprzedaz[[#This Row],[Data]])</f>
        <v>6</v>
      </c>
      <c r="S1935" s="9" t="str">
        <f>YEAR(tblSprzedaz[[#This Row],[Data]])&amp;"-"&amp;RIGHT("0"&amp;MONTH(tblSprzedaz[[#This Row],[Data]]),2)</f>
        <v>2026-06</v>
      </c>
    </row>
    <row r="1936" spans="1:19" x14ac:dyDescent="0.25">
      <c r="A1936" s="7" t="s">
        <v>4039</v>
      </c>
      <c r="B1936" s="10">
        <v>46177</v>
      </c>
      <c r="C1936" s="7" t="s">
        <v>4040</v>
      </c>
      <c r="D1936" s="8" t="s">
        <v>122</v>
      </c>
      <c r="E1936" s="8" t="s">
        <v>54</v>
      </c>
      <c r="F1936" s="8" t="s">
        <v>31</v>
      </c>
      <c r="G1936" s="8" t="s">
        <v>32</v>
      </c>
      <c r="H1936" s="8" t="s">
        <v>43</v>
      </c>
      <c r="I1936" s="11">
        <v>16</v>
      </c>
      <c r="J1936" s="12">
        <v>207.9</v>
      </c>
      <c r="K1936" s="13">
        <v>0.05</v>
      </c>
      <c r="L1936" s="12">
        <v>138.02000000000001</v>
      </c>
      <c r="M1936" s="14">
        <f>ROUND(tblSprzedaz[[#This Row],[Ilość]]*tblSprzedaz[[#This Row],[Cena netto jednostkowa]]*(1-tblSprzedaz[[#This Row],[Rabat %]]),2)</f>
        <v>3160.08</v>
      </c>
      <c r="N1936" s="14">
        <f>ROUND(tblSprzedaz[[#This Row],[Ilość]]*tblSprzedaz[[#This Row],[Koszt jednostkowy netto]],2)</f>
        <v>2208.3200000000002</v>
      </c>
      <c r="O1936" s="14">
        <f>tblSprzedaz[[#This Row],[Przychód netto]]-tblSprzedaz[[#This Row],[Koszt całkowity netto]]</f>
        <v>951.75999999999976</v>
      </c>
      <c r="P1936" s="15">
        <f>IFERROR(tblSprzedaz[[#This Row],[Marża kwotowa]]/tblSprzedaz[[#This Row],[Przychód netto]],0)</f>
        <v>0.30118224855066955</v>
      </c>
      <c r="Q1936" s="16">
        <f>YEAR(tblSprzedaz[[#This Row],[Data]])</f>
        <v>2026</v>
      </c>
      <c r="R1936" s="16">
        <f>MONTH(tblSprzedaz[[#This Row],[Data]])</f>
        <v>6</v>
      </c>
      <c r="S1936" s="9" t="str">
        <f>YEAR(tblSprzedaz[[#This Row],[Data]])&amp;"-"&amp;RIGHT("0"&amp;MONTH(tblSprzedaz[[#This Row],[Data]]),2)</f>
        <v>2026-06</v>
      </c>
    </row>
    <row r="1937" spans="1:19" x14ac:dyDescent="0.25">
      <c r="A1937" s="7" t="s">
        <v>4041</v>
      </c>
      <c r="B1937" s="10">
        <v>46177</v>
      </c>
      <c r="C1937" s="7" t="s">
        <v>4042</v>
      </c>
      <c r="D1937" s="8" t="s">
        <v>80</v>
      </c>
      <c r="E1937" s="8" t="s">
        <v>62</v>
      </c>
      <c r="F1937" s="8" t="s">
        <v>33</v>
      </c>
      <c r="G1937" s="8" t="s">
        <v>32</v>
      </c>
      <c r="H1937" s="8" t="s">
        <v>42</v>
      </c>
      <c r="I1937" s="11">
        <v>22</v>
      </c>
      <c r="J1937" s="12">
        <v>611.79999999999995</v>
      </c>
      <c r="K1937" s="13">
        <v>0.15</v>
      </c>
      <c r="L1937" s="12">
        <v>420.54</v>
      </c>
      <c r="M1937" s="14">
        <f>ROUND(tblSprzedaz[[#This Row],[Ilość]]*tblSprzedaz[[#This Row],[Cena netto jednostkowa]]*(1-tblSprzedaz[[#This Row],[Rabat %]]),2)</f>
        <v>11440.66</v>
      </c>
      <c r="N1937" s="14">
        <f>ROUND(tblSprzedaz[[#This Row],[Ilość]]*tblSprzedaz[[#This Row],[Koszt jednostkowy netto]],2)</f>
        <v>9251.8799999999992</v>
      </c>
      <c r="O1937" s="14">
        <f>tblSprzedaz[[#This Row],[Przychód netto]]-tblSprzedaz[[#This Row],[Koszt całkowity netto]]</f>
        <v>2188.7800000000007</v>
      </c>
      <c r="P1937" s="15">
        <f>IFERROR(tblSprzedaz[[#This Row],[Marża kwotowa]]/tblSprzedaz[[#This Row],[Przychód netto]],0)</f>
        <v>0.1913158856219834</v>
      </c>
      <c r="Q1937" s="16">
        <f>YEAR(tblSprzedaz[[#This Row],[Data]])</f>
        <v>2026</v>
      </c>
      <c r="R1937" s="16">
        <f>MONTH(tblSprzedaz[[#This Row],[Data]])</f>
        <v>6</v>
      </c>
      <c r="S1937" s="9" t="str">
        <f>YEAR(tblSprzedaz[[#This Row],[Data]])&amp;"-"&amp;RIGHT("0"&amp;MONTH(tblSprzedaz[[#This Row],[Data]]),2)</f>
        <v>2026-06</v>
      </c>
    </row>
    <row r="1938" spans="1:19" x14ac:dyDescent="0.25">
      <c r="A1938" s="7" t="s">
        <v>4043</v>
      </c>
      <c r="B1938" s="10">
        <v>46177</v>
      </c>
      <c r="C1938" s="7" t="s">
        <v>4044</v>
      </c>
      <c r="D1938" s="8" t="s">
        <v>115</v>
      </c>
      <c r="E1938" s="8" t="s">
        <v>50</v>
      </c>
      <c r="F1938" s="8" t="s">
        <v>29</v>
      </c>
      <c r="G1938" s="8" t="s">
        <v>30</v>
      </c>
      <c r="H1938" s="8" t="s">
        <v>40</v>
      </c>
      <c r="I1938" s="11">
        <v>11</v>
      </c>
      <c r="J1938" s="12">
        <v>45.22</v>
      </c>
      <c r="K1938" s="13">
        <v>0.1</v>
      </c>
      <c r="L1938" s="12">
        <v>24.87</v>
      </c>
      <c r="M1938" s="14">
        <f>ROUND(tblSprzedaz[[#This Row],[Ilość]]*tblSprzedaz[[#This Row],[Cena netto jednostkowa]]*(1-tblSprzedaz[[#This Row],[Rabat %]]),2)</f>
        <v>447.68</v>
      </c>
      <c r="N1938" s="14">
        <f>ROUND(tblSprzedaz[[#This Row],[Ilość]]*tblSprzedaz[[#This Row],[Koszt jednostkowy netto]],2)</f>
        <v>273.57</v>
      </c>
      <c r="O1938" s="14">
        <f>tblSprzedaz[[#This Row],[Przychód netto]]-tblSprzedaz[[#This Row],[Koszt całkowity netto]]</f>
        <v>174.11</v>
      </c>
      <c r="P1938" s="15">
        <f>IFERROR(tblSprzedaz[[#This Row],[Marża kwotowa]]/tblSprzedaz[[#This Row],[Przychód netto]],0)</f>
        <v>0.3889161901358113</v>
      </c>
      <c r="Q1938" s="16">
        <f>YEAR(tblSprzedaz[[#This Row],[Data]])</f>
        <v>2026</v>
      </c>
      <c r="R1938" s="16">
        <f>MONTH(tblSprzedaz[[#This Row],[Data]])</f>
        <v>6</v>
      </c>
      <c r="S1938" s="9" t="str">
        <f>YEAR(tblSprzedaz[[#This Row],[Data]])&amp;"-"&amp;RIGHT("0"&amp;MONTH(tblSprzedaz[[#This Row],[Data]]),2)</f>
        <v>2026-06</v>
      </c>
    </row>
    <row r="1939" spans="1:19" x14ac:dyDescent="0.25">
      <c r="A1939" s="7" t="s">
        <v>4045</v>
      </c>
      <c r="B1939" s="10">
        <v>46177</v>
      </c>
      <c r="C1939" s="7" t="s">
        <v>4046</v>
      </c>
      <c r="D1939" s="8" t="s">
        <v>119</v>
      </c>
      <c r="E1939" s="8" t="s">
        <v>63</v>
      </c>
      <c r="F1939" s="8" t="s">
        <v>33</v>
      </c>
      <c r="G1939" s="8" t="s">
        <v>36</v>
      </c>
      <c r="H1939" s="8" t="s">
        <v>47</v>
      </c>
      <c r="I1939" s="11">
        <v>21</v>
      </c>
      <c r="J1939" s="12">
        <v>690</v>
      </c>
      <c r="K1939" s="13">
        <v>0.05</v>
      </c>
      <c r="L1939" s="12">
        <v>472.59</v>
      </c>
      <c r="M1939" s="14">
        <f>ROUND(tblSprzedaz[[#This Row],[Ilość]]*tblSprzedaz[[#This Row],[Cena netto jednostkowa]]*(1-tblSprzedaz[[#This Row],[Rabat %]]),2)</f>
        <v>13765.5</v>
      </c>
      <c r="N1939" s="14">
        <f>ROUND(tblSprzedaz[[#This Row],[Ilość]]*tblSprzedaz[[#This Row],[Koszt jednostkowy netto]],2)</f>
        <v>9924.39</v>
      </c>
      <c r="O1939" s="14">
        <f>tblSprzedaz[[#This Row],[Przychód netto]]-tblSprzedaz[[#This Row],[Koszt całkowity netto]]</f>
        <v>3841.1100000000006</v>
      </c>
      <c r="P1939" s="15">
        <f>IFERROR(tblSprzedaz[[#This Row],[Marża kwotowa]]/tblSprzedaz[[#This Row],[Przychód netto]],0)</f>
        <v>0.2790389016018307</v>
      </c>
      <c r="Q1939" s="16">
        <f>YEAR(tblSprzedaz[[#This Row],[Data]])</f>
        <v>2026</v>
      </c>
      <c r="R1939" s="16">
        <f>MONTH(tblSprzedaz[[#This Row],[Data]])</f>
        <v>6</v>
      </c>
      <c r="S1939" s="9" t="str">
        <f>YEAR(tblSprzedaz[[#This Row],[Data]])&amp;"-"&amp;RIGHT("0"&amp;MONTH(tblSprzedaz[[#This Row],[Data]]),2)</f>
        <v>2026-06</v>
      </c>
    </row>
    <row r="1940" spans="1:19" x14ac:dyDescent="0.25">
      <c r="A1940" s="7" t="s">
        <v>4047</v>
      </c>
      <c r="B1940" s="10">
        <v>46177</v>
      </c>
      <c r="C1940" s="7" t="s">
        <v>4048</v>
      </c>
      <c r="D1940" s="8" t="s">
        <v>97</v>
      </c>
      <c r="E1940" s="8" t="s">
        <v>55</v>
      </c>
      <c r="F1940" s="8" t="s">
        <v>31</v>
      </c>
      <c r="G1940" s="8" t="s">
        <v>36</v>
      </c>
      <c r="H1940" s="8" t="s">
        <v>46</v>
      </c>
      <c r="I1940" s="11">
        <v>2</v>
      </c>
      <c r="J1940" s="12">
        <v>243.6</v>
      </c>
      <c r="K1940" s="13">
        <v>0.1</v>
      </c>
      <c r="L1940" s="12">
        <v>156.57</v>
      </c>
      <c r="M1940" s="14">
        <f>ROUND(tblSprzedaz[[#This Row],[Ilość]]*tblSprzedaz[[#This Row],[Cena netto jednostkowa]]*(1-tblSprzedaz[[#This Row],[Rabat %]]),2)</f>
        <v>438.48</v>
      </c>
      <c r="N1940" s="14">
        <f>ROUND(tblSprzedaz[[#This Row],[Ilość]]*tblSprzedaz[[#This Row],[Koszt jednostkowy netto]],2)</f>
        <v>313.14</v>
      </c>
      <c r="O1940" s="14">
        <f>tblSprzedaz[[#This Row],[Przychód netto]]-tblSprzedaz[[#This Row],[Koszt całkowity netto]]</f>
        <v>125.34000000000003</v>
      </c>
      <c r="P1940" s="15">
        <f>IFERROR(tblSprzedaz[[#This Row],[Marża kwotowa]]/tblSprzedaz[[#This Row],[Przychód netto]],0)</f>
        <v>0.28585112205801866</v>
      </c>
      <c r="Q1940" s="16">
        <f>YEAR(tblSprzedaz[[#This Row],[Data]])</f>
        <v>2026</v>
      </c>
      <c r="R1940" s="16">
        <f>MONTH(tblSprzedaz[[#This Row],[Data]])</f>
        <v>6</v>
      </c>
      <c r="S1940" s="9" t="str">
        <f>YEAR(tblSprzedaz[[#This Row],[Data]])&amp;"-"&amp;RIGHT("0"&amp;MONTH(tblSprzedaz[[#This Row],[Data]]),2)</f>
        <v>2026-06</v>
      </c>
    </row>
    <row r="1941" spans="1:19" x14ac:dyDescent="0.25">
      <c r="A1941" s="7" t="s">
        <v>4049</v>
      </c>
      <c r="B1941" s="10">
        <v>46178</v>
      </c>
      <c r="C1941" s="7" t="s">
        <v>4050</v>
      </c>
      <c r="D1941" s="8" t="s">
        <v>115</v>
      </c>
      <c r="E1941" s="8" t="s">
        <v>48</v>
      </c>
      <c r="F1941" s="8" t="s">
        <v>29</v>
      </c>
      <c r="G1941" s="8" t="s">
        <v>28</v>
      </c>
      <c r="H1941" s="8" t="s">
        <v>38</v>
      </c>
      <c r="I1941" s="11">
        <v>2</v>
      </c>
      <c r="J1941" s="12">
        <v>33.659999999999997</v>
      </c>
      <c r="K1941" s="13">
        <v>0</v>
      </c>
      <c r="L1941" s="12">
        <v>20.93</v>
      </c>
      <c r="M1941" s="14">
        <f>ROUND(tblSprzedaz[[#This Row],[Ilość]]*tblSprzedaz[[#This Row],[Cena netto jednostkowa]]*(1-tblSprzedaz[[#This Row],[Rabat %]]),2)</f>
        <v>67.319999999999993</v>
      </c>
      <c r="N1941" s="14">
        <f>ROUND(tblSprzedaz[[#This Row],[Ilość]]*tblSprzedaz[[#This Row],[Koszt jednostkowy netto]],2)</f>
        <v>41.86</v>
      </c>
      <c r="O1941" s="14">
        <f>tblSprzedaz[[#This Row],[Przychód netto]]-tblSprzedaz[[#This Row],[Koszt całkowity netto]]</f>
        <v>25.459999999999994</v>
      </c>
      <c r="P1941" s="15">
        <f>IFERROR(tblSprzedaz[[#This Row],[Marża kwotowa]]/tblSprzedaz[[#This Row],[Przychód netto]],0)</f>
        <v>0.37819370172311345</v>
      </c>
      <c r="Q1941" s="16">
        <f>YEAR(tblSprzedaz[[#This Row],[Data]])</f>
        <v>2026</v>
      </c>
      <c r="R1941" s="16">
        <f>MONTH(tblSprzedaz[[#This Row],[Data]])</f>
        <v>6</v>
      </c>
      <c r="S1941" s="9" t="str">
        <f>YEAR(tblSprzedaz[[#This Row],[Data]])&amp;"-"&amp;RIGHT("0"&amp;MONTH(tblSprzedaz[[#This Row],[Data]]),2)</f>
        <v>2026-06</v>
      </c>
    </row>
    <row r="1942" spans="1:19" x14ac:dyDescent="0.25">
      <c r="A1942" s="7" t="s">
        <v>4051</v>
      </c>
      <c r="B1942" s="10">
        <v>46178</v>
      </c>
      <c r="C1942" s="7" t="s">
        <v>4052</v>
      </c>
      <c r="D1942" s="8" t="s">
        <v>146</v>
      </c>
      <c r="E1942" s="8" t="s">
        <v>59</v>
      </c>
      <c r="F1942" s="8" t="s">
        <v>31</v>
      </c>
      <c r="G1942" s="8" t="s">
        <v>30</v>
      </c>
      <c r="H1942" s="8" t="s">
        <v>40</v>
      </c>
      <c r="I1942" s="11">
        <v>14</v>
      </c>
      <c r="J1942" s="12">
        <v>172.2</v>
      </c>
      <c r="K1942" s="13">
        <v>0.1</v>
      </c>
      <c r="L1942" s="12">
        <v>114.75</v>
      </c>
      <c r="M1942" s="14">
        <f>ROUND(tblSprzedaz[[#This Row],[Ilość]]*tblSprzedaz[[#This Row],[Cena netto jednostkowa]]*(1-tblSprzedaz[[#This Row],[Rabat %]]),2)</f>
        <v>2169.7199999999998</v>
      </c>
      <c r="N1942" s="14">
        <f>ROUND(tblSprzedaz[[#This Row],[Ilość]]*tblSprzedaz[[#This Row],[Koszt jednostkowy netto]],2)</f>
        <v>1606.5</v>
      </c>
      <c r="O1942" s="14">
        <f>tblSprzedaz[[#This Row],[Przychód netto]]-tblSprzedaz[[#This Row],[Koszt całkowity netto]]</f>
        <v>563.2199999999998</v>
      </c>
      <c r="P1942" s="15">
        <f>IFERROR(tblSprzedaz[[#This Row],[Marża kwotowa]]/tblSprzedaz[[#This Row],[Przychód netto]],0)</f>
        <v>0.25958188153310097</v>
      </c>
      <c r="Q1942" s="16">
        <f>YEAR(tblSprzedaz[[#This Row],[Data]])</f>
        <v>2026</v>
      </c>
      <c r="R1942" s="16">
        <f>MONTH(tblSprzedaz[[#This Row],[Data]])</f>
        <v>6</v>
      </c>
      <c r="S1942" s="9" t="str">
        <f>YEAR(tblSprzedaz[[#This Row],[Data]])&amp;"-"&amp;RIGHT("0"&amp;MONTH(tblSprzedaz[[#This Row],[Data]]),2)</f>
        <v>2026-06</v>
      </c>
    </row>
    <row r="1943" spans="1:19" x14ac:dyDescent="0.25">
      <c r="A1943" s="7" t="s">
        <v>4053</v>
      </c>
      <c r="B1943" s="10">
        <v>46178</v>
      </c>
      <c r="C1943" s="7" t="s">
        <v>4054</v>
      </c>
      <c r="D1943" s="8" t="s">
        <v>144</v>
      </c>
      <c r="E1943" s="8" t="s">
        <v>70</v>
      </c>
      <c r="F1943" s="8" t="s">
        <v>35</v>
      </c>
      <c r="G1943" s="8" t="s">
        <v>36</v>
      </c>
      <c r="H1943" s="8" t="s">
        <v>46</v>
      </c>
      <c r="I1943" s="11">
        <v>24</v>
      </c>
      <c r="J1943" s="12">
        <v>113.56</v>
      </c>
      <c r="K1943" s="13">
        <v>0</v>
      </c>
      <c r="L1943" s="12">
        <v>82.77</v>
      </c>
      <c r="M1943" s="14">
        <f>ROUND(tblSprzedaz[[#This Row],[Ilość]]*tblSprzedaz[[#This Row],[Cena netto jednostkowa]]*(1-tblSprzedaz[[#This Row],[Rabat %]]),2)</f>
        <v>2725.44</v>
      </c>
      <c r="N1943" s="14">
        <f>ROUND(tblSprzedaz[[#This Row],[Ilość]]*tblSprzedaz[[#This Row],[Koszt jednostkowy netto]],2)</f>
        <v>1986.48</v>
      </c>
      <c r="O1943" s="14">
        <f>tblSprzedaz[[#This Row],[Przychód netto]]-tblSprzedaz[[#This Row],[Koszt całkowity netto]]</f>
        <v>738.96</v>
      </c>
      <c r="P1943" s="15">
        <f>IFERROR(tblSprzedaz[[#This Row],[Marża kwotowa]]/tblSprzedaz[[#This Row],[Przychód netto]],0)</f>
        <v>0.27113420218386758</v>
      </c>
      <c r="Q1943" s="16">
        <f>YEAR(tblSprzedaz[[#This Row],[Data]])</f>
        <v>2026</v>
      </c>
      <c r="R1943" s="16">
        <f>MONTH(tblSprzedaz[[#This Row],[Data]])</f>
        <v>6</v>
      </c>
      <c r="S1943" s="9" t="str">
        <f>YEAR(tblSprzedaz[[#This Row],[Data]])&amp;"-"&amp;RIGHT("0"&amp;MONTH(tblSprzedaz[[#This Row],[Data]]),2)</f>
        <v>2026-06</v>
      </c>
    </row>
    <row r="1944" spans="1:19" x14ac:dyDescent="0.25">
      <c r="A1944" s="7" t="s">
        <v>4055</v>
      </c>
      <c r="B1944" s="10">
        <v>46179</v>
      </c>
      <c r="C1944" s="7" t="s">
        <v>4056</v>
      </c>
      <c r="D1944" s="8" t="s">
        <v>92</v>
      </c>
      <c r="E1944" s="8" t="s">
        <v>64</v>
      </c>
      <c r="F1944" s="8" t="s">
        <v>33</v>
      </c>
      <c r="G1944" s="8" t="s">
        <v>32</v>
      </c>
      <c r="H1944" s="8" t="s">
        <v>42</v>
      </c>
      <c r="I1944" s="11">
        <v>3</v>
      </c>
      <c r="J1944" s="12">
        <v>768.2</v>
      </c>
      <c r="K1944" s="13">
        <v>0</v>
      </c>
      <c r="L1944" s="12">
        <v>549.04999999999995</v>
      </c>
      <c r="M1944" s="14">
        <f>ROUND(tblSprzedaz[[#This Row],[Ilość]]*tblSprzedaz[[#This Row],[Cena netto jednostkowa]]*(1-tblSprzedaz[[#This Row],[Rabat %]]),2)</f>
        <v>2304.6</v>
      </c>
      <c r="N1944" s="14">
        <f>ROUND(tblSprzedaz[[#This Row],[Ilość]]*tblSprzedaz[[#This Row],[Koszt jednostkowy netto]],2)</f>
        <v>1647.15</v>
      </c>
      <c r="O1944" s="14">
        <f>tblSprzedaz[[#This Row],[Przychód netto]]-tblSprzedaz[[#This Row],[Koszt całkowity netto]]</f>
        <v>657.44999999999982</v>
      </c>
      <c r="P1944" s="15">
        <f>IFERROR(tblSprzedaz[[#This Row],[Marża kwotowa]]/tblSprzedaz[[#This Row],[Przychód netto]],0)</f>
        <v>0.28527727154386873</v>
      </c>
      <c r="Q1944" s="16">
        <f>YEAR(tblSprzedaz[[#This Row],[Data]])</f>
        <v>2026</v>
      </c>
      <c r="R1944" s="16">
        <f>MONTH(tblSprzedaz[[#This Row],[Data]])</f>
        <v>6</v>
      </c>
      <c r="S1944" s="9" t="str">
        <f>YEAR(tblSprzedaz[[#This Row],[Data]])&amp;"-"&amp;RIGHT("0"&amp;MONTH(tblSprzedaz[[#This Row],[Data]]),2)</f>
        <v>2026-06</v>
      </c>
    </row>
    <row r="1945" spans="1:19" x14ac:dyDescent="0.25">
      <c r="A1945" s="7" t="s">
        <v>4057</v>
      </c>
      <c r="B1945" s="10">
        <v>46180</v>
      </c>
      <c r="C1945" s="7" t="s">
        <v>4058</v>
      </c>
      <c r="D1945" s="8" t="s">
        <v>83</v>
      </c>
      <c r="E1945" s="8" t="s">
        <v>57</v>
      </c>
      <c r="F1945" s="8" t="s">
        <v>31</v>
      </c>
      <c r="G1945" s="8" t="s">
        <v>36</v>
      </c>
      <c r="H1945" s="8" t="s">
        <v>47</v>
      </c>
      <c r="I1945" s="11">
        <v>14</v>
      </c>
      <c r="J1945" s="12">
        <v>315</v>
      </c>
      <c r="K1945" s="13">
        <v>0</v>
      </c>
      <c r="L1945" s="12">
        <v>190.13</v>
      </c>
      <c r="M1945" s="14">
        <f>ROUND(tblSprzedaz[[#This Row],[Ilość]]*tblSprzedaz[[#This Row],[Cena netto jednostkowa]]*(1-tblSprzedaz[[#This Row],[Rabat %]]),2)</f>
        <v>4410</v>
      </c>
      <c r="N1945" s="14">
        <f>ROUND(tblSprzedaz[[#This Row],[Ilość]]*tblSprzedaz[[#This Row],[Koszt jednostkowy netto]],2)</f>
        <v>2661.82</v>
      </c>
      <c r="O1945" s="14">
        <f>tblSprzedaz[[#This Row],[Przychód netto]]-tblSprzedaz[[#This Row],[Koszt całkowity netto]]</f>
        <v>1748.1799999999998</v>
      </c>
      <c r="P1945" s="15">
        <f>IFERROR(tblSprzedaz[[#This Row],[Marża kwotowa]]/tblSprzedaz[[#This Row],[Przychód netto]],0)</f>
        <v>0.39641269841269838</v>
      </c>
      <c r="Q1945" s="16">
        <f>YEAR(tblSprzedaz[[#This Row],[Data]])</f>
        <v>2026</v>
      </c>
      <c r="R1945" s="16">
        <f>MONTH(tblSprzedaz[[#This Row],[Data]])</f>
        <v>6</v>
      </c>
      <c r="S1945" s="9" t="str">
        <f>YEAR(tblSprzedaz[[#This Row],[Data]])&amp;"-"&amp;RIGHT("0"&amp;MONTH(tblSprzedaz[[#This Row],[Data]]),2)</f>
        <v>2026-06</v>
      </c>
    </row>
    <row r="1946" spans="1:19" x14ac:dyDescent="0.25">
      <c r="A1946" s="7" t="s">
        <v>4059</v>
      </c>
      <c r="B1946" s="10">
        <v>46180</v>
      </c>
      <c r="C1946" s="7" t="s">
        <v>4060</v>
      </c>
      <c r="D1946" s="8" t="s">
        <v>81</v>
      </c>
      <c r="E1946" s="8" t="s">
        <v>60</v>
      </c>
      <c r="F1946" s="8" t="s">
        <v>33</v>
      </c>
      <c r="G1946" s="8" t="s">
        <v>30</v>
      </c>
      <c r="H1946" s="8" t="s">
        <v>40</v>
      </c>
      <c r="I1946" s="11">
        <v>24</v>
      </c>
      <c r="J1946" s="12">
        <v>455.4</v>
      </c>
      <c r="K1946" s="13">
        <v>0.05</v>
      </c>
      <c r="L1946" s="12">
        <v>315.24</v>
      </c>
      <c r="M1946" s="14">
        <f>ROUND(tblSprzedaz[[#This Row],[Ilość]]*tblSprzedaz[[#This Row],[Cena netto jednostkowa]]*(1-tblSprzedaz[[#This Row],[Rabat %]]),2)</f>
        <v>10383.120000000001</v>
      </c>
      <c r="N1946" s="14">
        <f>ROUND(tblSprzedaz[[#This Row],[Ilość]]*tblSprzedaz[[#This Row],[Koszt jednostkowy netto]],2)</f>
        <v>7565.76</v>
      </c>
      <c r="O1946" s="14">
        <f>tblSprzedaz[[#This Row],[Przychód netto]]-tblSprzedaz[[#This Row],[Koszt całkowity netto]]</f>
        <v>2817.3600000000006</v>
      </c>
      <c r="P1946" s="15">
        <f>IFERROR(tblSprzedaz[[#This Row],[Marża kwotowa]]/tblSprzedaz[[#This Row],[Przychód netto]],0)</f>
        <v>0.27134040635184803</v>
      </c>
      <c r="Q1946" s="16">
        <f>YEAR(tblSprzedaz[[#This Row],[Data]])</f>
        <v>2026</v>
      </c>
      <c r="R1946" s="16">
        <f>MONTH(tblSprzedaz[[#This Row],[Data]])</f>
        <v>6</v>
      </c>
      <c r="S1946" s="9" t="str">
        <f>YEAR(tblSprzedaz[[#This Row],[Data]])&amp;"-"&amp;RIGHT("0"&amp;MONTH(tblSprzedaz[[#This Row],[Data]]),2)</f>
        <v>2026-06</v>
      </c>
    </row>
    <row r="1947" spans="1:19" x14ac:dyDescent="0.25">
      <c r="A1947" s="7" t="s">
        <v>4061</v>
      </c>
      <c r="B1947" s="10">
        <v>46181</v>
      </c>
      <c r="C1947" s="7" t="s">
        <v>4062</v>
      </c>
      <c r="D1947" s="8" t="s">
        <v>107</v>
      </c>
      <c r="E1947" s="8" t="s">
        <v>77</v>
      </c>
      <c r="F1947" s="8" t="s">
        <v>37</v>
      </c>
      <c r="G1947" s="8" t="s">
        <v>28</v>
      </c>
      <c r="H1947" s="8" t="s">
        <v>38</v>
      </c>
      <c r="I1947" s="11">
        <v>15</v>
      </c>
      <c r="J1947" s="12">
        <v>77.900000000000006</v>
      </c>
      <c r="K1947" s="13">
        <v>0.05</v>
      </c>
      <c r="L1947" s="12">
        <v>61.69</v>
      </c>
      <c r="M1947" s="14">
        <f>ROUND(tblSprzedaz[[#This Row],[Ilość]]*tblSprzedaz[[#This Row],[Cena netto jednostkowa]]*(1-tblSprzedaz[[#This Row],[Rabat %]]),2)</f>
        <v>1110.08</v>
      </c>
      <c r="N1947" s="14">
        <f>ROUND(tblSprzedaz[[#This Row],[Ilość]]*tblSprzedaz[[#This Row],[Koszt jednostkowy netto]],2)</f>
        <v>925.35</v>
      </c>
      <c r="O1947" s="14">
        <f>tblSprzedaz[[#This Row],[Przychód netto]]-tblSprzedaz[[#This Row],[Koszt całkowity netto]]</f>
        <v>184.7299999999999</v>
      </c>
      <c r="P1947" s="15">
        <f>IFERROR(tblSprzedaz[[#This Row],[Marża kwotowa]]/tblSprzedaz[[#This Row],[Przychód netto]],0)</f>
        <v>0.16641142980686069</v>
      </c>
      <c r="Q1947" s="16">
        <f>YEAR(tblSprzedaz[[#This Row],[Data]])</f>
        <v>2026</v>
      </c>
      <c r="R1947" s="16">
        <f>MONTH(tblSprzedaz[[#This Row],[Data]])</f>
        <v>6</v>
      </c>
      <c r="S1947" s="9" t="str">
        <f>YEAR(tblSprzedaz[[#This Row],[Data]])&amp;"-"&amp;RIGHT("0"&amp;MONTH(tblSprzedaz[[#This Row],[Data]]),2)</f>
        <v>2026-06</v>
      </c>
    </row>
    <row r="1948" spans="1:19" x14ac:dyDescent="0.25">
      <c r="A1948" s="7" t="s">
        <v>4063</v>
      </c>
      <c r="B1948" s="10">
        <v>46181</v>
      </c>
      <c r="C1948" s="7" t="s">
        <v>4064</v>
      </c>
      <c r="D1948" s="8" t="s">
        <v>100</v>
      </c>
      <c r="E1948" s="8" t="s">
        <v>73</v>
      </c>
      <c r="F1948" s="8" t="s">
        <v>37</v>
      </c>
      <c r="G1948" s="8" t="s">
        <v>30</v>
      </c>
      <c r="H1948" s="8" t="s">
        <v>40</v>
      </c>
      <c r="I1948" s="11">
        <v>20</v>
      </c>
      <c r="J1948" s="12">
        <v>110.2</v>
      </c>
      <c r="K1948" s="13">
        <v>0.1</v>
      </c>
      <c r="L1948" s="12">
        <v>80.84</v>
      </c>
      <c r="M1948" s="14">
        <f>ROUND(tblSprzedaz[[#This Row],[Ilość]]*tblSprzedaz[[#This Row],[Cena netto jednostkowa]]*(1-tblSprzedaz[[#This Row],[Rabat %]]),2)</f>
        <v>1983.6</v>
      </c>
      <c r="N1948" s="14">
        <f>ROUND(tblSprzedaz[[#This Row],[Ilość]]*tblSprzedaz[[#This Row],[Koszt jednostkowy netto]],2)</f>
        <v>1616.8</v>
      </c>
      <c r="O1948" s="14">
        <f>tblSprzedaz[[#This Row],[Przychód netto]]-tblSprzedaz[[#This Row],[Koszt całkowity netto]]</f>
        <v>366.79999999999995</v>
      </c>
      <c r="P1948" s="15">
        <f>IFERROR(tblSprzedaz[[#This Row],[Marża kwotowa]]/tblSprzedaz[[#This Row],[Przychód netto]],0)</f>
        <v>0.18491631377293807</v>
      </c>
      <c r="Q1948" s="16">
        <f>YEAR(tblSprzedaz[[#This Row],[Data]])</f>
        <v>2026</v>
      </c>
      <c r="R1948" s="16">
        <f>MONTH(tblSprzedaz[[#This Row],[Data]])</f>
        <v>6</v>
      </c>
      <c r="S1948" s="9" t="str">
        <f>YEAR(tblSprzedaz[[#This Row],[Data]])&amp;"-"&amp;RIGHT("0"&amp;MONTH(tblSprzedaz[[#This Row],[Data]]),2)</f>
        <v>2026-06</v>
      </c>
    </row>
    <row r="1949" spans="1:19" x14ac:dyDescent="0.25">
      <c r="A1949" s="7" t="s">
        <v>4065</v>
      </c>
      <c r="B1949" s="10">
        <v>46181</v>
      </c>
      <c r="C1949" s="7" t="s">
        <v>4066</v>
      </c>
      <c r="D1949" s="8" t="s">
        <v>145</v>
      </c>
      <c r="E1949" s="8" t="s">
        <v>74</v>
      </c>
      <c r="F1949" s="8" t="s">
        <v>37</v>
      </c>
      <c r="G1949" s="8" t="s">
        <v>28</v>
      </c>
      <c r="H1949" s="8" t="s">
        <v>39</v>
      </c>
      <c r="I1949" s="11">
        <v>14</v>
      </c>
      <c r="J1949" s="12">
        <v>126.35</v>
      </c>
      <c r="K1949" s="13">
        <v>0.15</v>
      </c>
      <c r="L1949" s="12">
        <v>93.9</v>
      </c>
      <c r="M1949" s="14">
        <f>ROUND(tblSprzedaz[[#This Row],[Ilość]]*tblSprzedaz[[#This Row],[Cena netto jednostkowa]]*(1-tblSprzedaz[[#This Row],[Rabat %]]),2)</f>
        <v>1503.57</v>
      </c>
      <c r="N1949" s="14">
        <f>ROUND(tblSprzedaz[[#This Row],[Ilość]]*tblSprzedaz[[#This Row],[Koszt jednostkowy netto]],2)</f>
        <v>1314.6</v>
      </c>
      <c r="O1949" s="14">
        <f>tblSprzedaz[[#This Row],[Przychód netto]]-tblSprzedaz[[#This Row],[Koszt całkowity netto]]</f>
        <v>188.97000000000003</v>
      </c>
      <c r="P1949" s="15">
        <f>IFERROR(tblSprzedaz[[#This Row],[Marża kwotowa]]/tblSprzedaz[[#This Row],[Przychód netto]],0)</f>
        <v>0.1256808795067739</v>
      </c>
      <c r="Q1949" s="16">
        <f>YEAR(tblSprzedaz[[#This Row],[Data]])</f>
        <v>2026</v>
      </c>
      <c r="R1949" s="16">
        <f>MONTH(tblSprzedaz[[#This Row],[Data]])</f>
        <v>6</v>
      </c>
      <c r="S1949" s="9" t="str">
        <f>YEAR(tblSprzedaz[[#This Row],[Data]])&amp;"-"&amp;RIGHT("0"&amp;MONTH(tblSprzedaz[[#This Row],[Data]]),2)</f>
        <v>2026-06</v>
      </c>
    </row>
    <row r="1950" spans="1:19" x14ac:dyDescent="0.25">
      <c r="A1950" s="7" t="s">
        <v>4067</v>
      </c>
      <c r="B1950" s="10">
        <v>46181</v>
      </c>
      <c r="C1950" s="7" t="s">
        <v>4068</v>
      </c>
      <c r="D1950" s="8" t="s">
        <v>117</v>
      </c>
      <c r="E1950" s="8" t="s">
        <v>72</v>
      </c>
      <c r="F1950" s="8" t="s">
        <v>37</v>
      </c>
      <c r="G1950" s="8" t="s">
        <v>34</v>
      </c>
      <c r="H1950" s="8" t="s">
        <v>44</v>
      </c>
      <c r="I1950" s="11">
        <v>4</v>
      </c>
      <c r="J1950" s="12">
        <v>94.05</v>
      </c>
      <c r="K1950" s="13">
        <v>0</v>
      </c>
      <c r="L1950" s="12">
        <v>70.33</v>
      </c>
      <c r="M1950" s="14">
        <f>ROUND(tblSprzedaz[[#This Row],[Ilość]]*tblSprzedaz[[#This Row],[Cena netto jednostkowa]]*(1-tblSprzedaz[[#This Row],[Rabat %]]),2)</f>
        <v>376.2</v>
      </c>
      <c r="N1950" s="14">
        <f>ROUND(tblSprzedaz[[#This Row],[Ilość]]*tblSprzedaz[[#This Row],[Koszt jednostkowy netto]],2)</f>
        <v>281.32</v>
      </c>
      <c r="O1950" s="14">
        <f>tblSprzedaz[[#This Row],[Przychód netto]]-tblSprzedaz[[#This Row],[Koszt całkowity netto]]</f>
        <v>94.88</v>
      </c>
      <c r="P1950" s="15">
        <f>IFERROR(tblSprzedaz[[#This Row],[Marża kwotowa]]/tblSprzedaz[[#This Row],[Przychód netto]],0)</f>
        <v>0.25220627325890482</v>
      </c>
      <c r="Q1950" s="16">
        <f>YEAR(tblSprzedaz[[#This Row],[Data]])</f>
        <v>2026</v>
      </c>
      <c r="R1950" s="16">
        <f>MONTH(tblSprzedaz[[#This Row],[Data]])</f>
        <v>6</v>
      </c>
      <c r="S1950" s="9" t="str">
        <f>YEAR(tblSprzedaz[[#This Row],[Data]])&amp;"-"&amp;RIGHT("0"&amp;MONTH(tblSprzedaz[[#This Row],[Data]]),2)</f>
        <v>2026-06</v>
      </c>
    </row>
    <row r="1951" spans="1:19" x14ac:dyDescent="0.25">
      <c r="A1951" s="7" t="s">
        <v>4069</v>
      </c>
      <c r="B1951" s="10">
        <v>46181</v>
      </c>
      <c r="C1951" s="7" t="s">
        <v>4070</v>
      </c>
      <c r="D1951" s="8" t="s">
        <v>83</v>
      </c>
      <c r="E1951" s="8" t="s">
        <v>49</v>
      </c>
      <c r="F1951" s="8" t="s">
        <v>29</v>
      </c>
      <c r="G1951" s="8" t="s">
        <v>28</v>
      </c>
      <c r="H1951" s="8" t="s">
        <v>38</v>
      </c>
      <c r="I1951" s="11">
        <v>17</v>
      </c>
      <c r="J1951" s="12">
        <v>39.44</v>
      </c>
      <c r="K1951" s="13">
        <v>0</v>
      </c>
      <c r="L1951" s="12">
        <v>21.86</v>
      </c>
      <c r="M1951" s="14">
        <f>ROUND(tblSprzedaz[[#This Row],[Ilość]]*tblSprzedaz[[#This Row],[Cena netto jednostkowa]]*(1-tblSprzedaz[[#This Row],[Rabat %]]),2)</f>
        <v>670.48</v>
      </c>
      <c r="N1951" s="14">
        <f>ROUND(tblSprzedaz[[#This Row],[Ilość]]*tblSprzedaz[[#This Row],[Koszt jednostkowy netto]],2)</f>
        <v>371.62</v>
      </c>
      <c r="O1951" s="14">
        <f>tblSprzedaz[[#This Row],[Przychód netto]]-tblSprzedaz[[#This Row],[Koszt całkowity netto]]</f>
        <v>298.86</v>
      </c>
      <c r="P1951" s="15">
        <f>IFERROR(tblSprzedaz[[#This Row],[Marża kwotowa]]/tblSprzedaz[[#This Row],[Przychód netto]],0)</f>
        <v>0.4457403651115619</v>
      </c>
      <c r="Q1951" s="16">
        <f>YEAR(tblSprzedaz[[#This Row],[Data]])</f>
        <v>2026</v>
      </c>
      <c r="R1951" s="16">
        <f>MONTH(tblSprzedaz[[#This Row],[Data]])</f>
        <v>6</v>
      </c>
      <c r="S1951" s="9" t="str">
        <f>YEAR(tblSprzedaz[[#This Row],[Data]])&amp;"-"&amp;RIGHT("0"&amp;MONTH(tblSprzedaz[[#This Row],[Data]]),2)</f>
        <v>2026-06</v>
      </c>
    </row>
    <row r="1952" spans="1:19" x14ac:dyDescent="0.25">
      <c r="A1952" s="7" t="s">
        <v>4071</v>
      </c>
      <c r="B1952" s="10">
        <v>46181</v>
      </c>
      <c r="C1952" s="7" t="s">
        <v>4072</v>
      </c>
      <c r="D1952" s="8" t="s">
        <v>117</v>
      </c>
      <c r="E1952" s="8" t="s">
        <v>73</v>
      </c>
      <c r="F1952" s="8" t="s">
        <v>37</v>
      </c>
      <c r="G1952" s="8" t="s">
        <v>28</v>
      </c>
      <c r="H1952" s="8" t="s">
        <v>38</v>
      </c>
      <c r="I1952" s="11">
        <v>17</v>
      </c>
      <c r="J1952" s="12">
        <v>110.2</v>
      </c>
      <c r="K1952" s="13">
        <v>0</v>
      </c>
      <c r="L1952" s="12">
        <v>82.65</v>
      </c>
      <c r="M1952" s="14">
        <f>ROUND(tblSprzedaz[[#This Row],[Ilość]]*tblSprzedaz[[#This Row],[Cena netto jednostkowa]]*(1-tblSprzedaz[[#This Row],[Rabat %]]),2)</f>
        <v>1873.4</v>
      </c>
      <c r="N1952" s="14">
        <f>ROUND(tblSprzedaz[[#This Row],[Ilość]]*tblSprzedaz[[#This Row],[Koszt jednostkowy netto]],2)</f>
        <v>1405.05</v>
      </c>
      <c r="O1952" s="14">
        <f>tblSprzedaz[[#This Row],[Przychód netto]]-tblSprzedaz[[#This Row],[Koszt całkowity netto]]</f>
        <v>468.35000000000014</v>
      </c>
      <c r="P1952" s="15">
        <f>IFERROR(tblSprzedaz[[#This Row],[Marża kwotowa]]/tblSprzedaz[[#This Row],[Przychód netto]],0)</f>
        <v>0.25000000000000006</v>
      </c>
      <c r="Q1952" s="16">
        <f>YEAR(tblSprzedaz[[#This Row],[Data]])</f>
        <v>2026</v>
      </c>
      <c r="R1952" s="16">
        <f>MONTH(tblSprzedaz[[#This Row],[Data]])</f>
        <v>6</v>
      </c>
      <c r="S1952" s="9" t="str">
        <f>YEAR(tblSprzedaz[[#This Row],[Data]])&amp;"-"&amp;RIGHT("0"&amp;MONTH(tblSprzedaz[[#This Row],[Data]]),2)</f>
        <v>2026-06</v>
      </c>
    </row>
    <row r="1953" spans="1:19" x14ac:dyDescent="0.25">
      <c r="A1953" s="7" t="s">
        <v>4073</v>
      </c>
      <c r="B1953" s="10">
        <v>46182</v>
      </c>
      <c r="C1953" s="7" t="s">
        <v>4074</v>
      </c>
      <c r="D1953" s="8" t="s">
        <v>100</v>
      </c>
      <c r="E1953" s="8" t="s">
        <v>59</v>
      </c>
      <c r="F1953" s="8" t="s">
        <v>31</v>
      </c>
      <c r="G1953" s="8" t="s">
        <v>30</v>
      </c>
      <c r="H1953" s="8" t="s">
        <v>41</v>
      </c>
      <c r="I1953" s="11">
        <v>11</v>
      </c>
      <c r="J1953" s="12">
        <v>172.2</v>
      </c>
      <c r="K1953" s="13">
        <v>0.1</v>
      </c>
      <c r="L1953" s="12">
        <v>109.5</v>
      </c>
      <c r="M1953" s="14">
        <f>ROUND(tblSprzedaz[[#This Row],[Ilość]]*tblSprzedaz[[#This Row],[Cena netto jednostkowa]]*(1-tblSprzedaz[[#This Row],[Rabat %]]),2)</f>
        <v>1704.78</v>
      </c>
      <c r="N1953" s="14">
        <f>ROUND(tblSprzedaz[[#This Row],[Ilość]]*tblSprzedaz[[#This Row],[Koszt jednostkowy netto]],2)</f>
        <v>1204.5</v>
      </c>
      <c r="O1953" s="14">
        <f>tblSprzedaz[[#This Row],[Przychód netto]]-tblSprzedaz[[#This Row],[Koszt całkowity netto]]</f>
        <v>500.28</v>
      </c>
      <c r="P1953" s="15">
        <f>IFERROR(tblSprzedaz[[#This Row],[Marża kwotowa]]/tblSprzedaz[[#This Row],[Przychód netto]],0)</f>
        <v>0.29345722028648857</v>
      </c>
      <c r="Q1953" s="16">
        <f>YEAR(tblSprzedaz[[#This Row],[Data]])</f>
        <v>2026</v>
      </c>
      <c r="R1953" s="16">
        <f>MONTH(tblSprzedaz[[#This Row],[Data]])</f>
        <v>6</v>
      </c>
      <c r="S1953" s="9" t="str">
        <f>YEAR(tblSprzedaz[[#This Row],[Data]])&amp;"-"&amp;RIGHT("0"&amp;MONTH(tblSprzedaz[[#This Row],[Data]]),2)</f>
        <v>2026-06</v>
      </c>
    </row>
    <row r="1954" spans="1:19" x14ac:dyDescent="0.25">
      <c r="A1954" s="7" t="s">
        <v>4075</v>
      </c>
      <c r="B1954" s="10">
        <v>46182</v>
      </c>
      <c r="C1954" s="7" t="s">
        <v>4076</v>
      </c>
      <c r="D1954" s="8" t="s">
        <v>85</v>
      </c>
      <c r="E1954" s="8" t="s">
        <v>61</v>
      </c>
      <c r="F1954" s="8" t="s">
        <v>33</v>
      </c>
      <c r="G1954" s="8" t="s">
        <v>30</v>
      </c>
      <c r="H1954" s="8" t="s">
        <v>41</v>
      </c>
      <c r="I1954" s="11">
        <v>20</v>
      </c>
      <c r="J1954" s="12">
        <v>533.6</v>
      </c>
      <c r="K1954" s="13">
        <v>0</v>
      </c>
      <c r="L1954" s="12">
        <v>342.78</v>
      </c>
      <c r="M1954" s="14">
        <f>ROUND(tblSprzedaz[[#This Row],[Ilość]]*tblSprzedaz[[#This Row],[Cena netto jednostkowa]]*(1-tblSprzedaz[[#This Row],[Rabat %]]),2)</f>
        <v>10672</v>
      </c>
      <c r="N1954" s="14">
        <f>ROUND(tblSprzedaz[[#This Row],[Ilość]]*tblSprzedaz[[#This Row],[Koszt jednostkowy netto]],2)</f>
        <v>6855.6</v>
      </c>
      <c r="O1954" s="14">
        <f>tblSprzedaz[[#This Row],[Przychód netto]]-tblSprzedaz[[#This Row],[Koszt całkowity netto]]</f>
        <v>3816.3999999999996</v>
      </c>
      <c r="P1954" s="15">
        <f>IFERROR(tblSprzedaz[[#This Row],[Marża kwotowa]]/tblSprzedaz[[#This Row],[Przychód netto]],0)</f>
        <v>0.3576086956521739</v>
      </c>
      <c r="Q1954" s="16">
        <f>YEAR(tblSprzedaz[[#This Row],[Data]])</f>
        <v>2026</v>
      </c>
      <c r="R1954" s="16">
        <f>MONTH(tblSprzedaz[[#This Row],[Data]])</f>
        <v>6</v>
      </c>
      <c r="S1954" s="9" t="str">
        <f>YEAR(tblSprzedaz[[#This Row],[Data]])&amp;"-"&amp;RIGHT("0"&amp;MONTH(tblSprzedaz[[#This Row],[Data]]),2)</f>
        <v>2026-06</v>
      </c>
    </row>
    <row r="1955" spans="1:19" x14ac:dyDescent="0.25">
      <c r="A1955" s="7" t="s">
        <v>4077</v>
      </c>
      <c r="B1955" s="10">
        <v>46182</v>
      </c>
      <c r="C1955" s="7" t="s">
        <v>4078</v>
      </c>
      <c r="D1955" s="8" t="s">
        <v>126</v>
      </c>
      <c r="E1955" s="8" t="s">
        <v>72</v>
      </c>
      <c r="F1955" s="8" t="s">
        <v>37</v>
      </c>
      <c r="G1955" s="8" t="s">
        <v>30</v>
      </c>
      <c r="H1955" s="8" t="s">
        <v>41</v>
      </c>
      <c r="I1955" s="11">
        <v>13</v>
      </c>
      <c r="J1955" s="12">
        <v>94.05</v>
      </c>
      <c r="K1955" s="13">
        <v>0</v>
      </c>
      <c r="L1955" s="12">
        <v>70.709999999999994</v>
      </c>
      <c r="M1955" s="14">
        <f>ROUND(tblSprzedaz[[#This Row],[Ilość]]*tblSprzedaz[[#This Row],[Cena netto jednostkowa]]*(1-tblSprzedaz[[#This Row],[Rabat %]]),2)</f>
        <v>1222.6500000000001</v>
      </c>
      <c r="N1955" s="14">
        <f>ROUND(tblSprzedaz[[#This Row],[Ilość]]*tblSprzedaz[[#This Row],[Koszt jednostkowy netto]],2)</f>
        <v>919.23</v>
      </c>
      <c r="O1955" s="14">
        <f>tblSprzedaz[[#This Row],[Przychód netto]]-tblSprzedaz[[#This Row],[Koszt całkowity netto]]</f>
        <v>303.42000000000007</v>
      </c>
      <c r="P1955" s="15">
        <f>IFERROR(tblSprzedaz[[#This Row],[Marża kwotowa]]/tblSprzedaz[[#This Row],[Przychód netto]],0)</f>
        <v>0.24816586921850084</v>
      </c>
      <c r="Q1955" s="16">
        <f>YEAR(tblSprzedaz[[#This Row],[Data]])</f>
        <v>2026</v>
      </c>
      <c r="R1955" s="16">
        <f>MONTH(tblSprzedaz[[#This Row],[Data]])</f>
        <v>6</v>
      </c>
      <c r="S1955" s="9" t="str">
        <f>YEAR(tblSprzedaz[[#This Row],[Data]])&amp;"-"&amp;RIGHT("0"&amp;MONTH(tblSprzedaz[[#This Row],[Data]]),2)</f>
        <v>2026-06</v>
      </c>
    </row>
    <row r="1956" spans="1:19" x14ac:dyDescent="0.25">
      <c r="A1956" s="7" t="s">
        <v>4079</v>
      </c>
      <c r="B1956" s="10">
        <v>46182</v>
      </c>
      <c r="C1956" s="7" t="s">
        <v>4080</v>
      </c>
      <c r="D1956" s="8" t="s">
        <v>96</v>
      </c>
      <c r="E1956" s="8" t="s">
        <v>60</v>
      </c>
      <c r="F1956" s="8" t="s">
        <v>33</v>
      </c>
      <c r="G1956" s="8" t="s">
        <v>30</v>
      </c>
      <c r="H1956" s="8" t="s">
        <v>40</v>
      </c>
      <c r="I1956" s="11">
        <v>15</v>
      </c>
      <c r="J1956" s="12">
        <v>455.4</v>
      </c>
      <c r="K1956" s="13">
        <v>0.1</v>
      </c>
      <c r="L1956" s="12">
        <v>294.77999999999997</v>
      </c>
      <c r="M1956" s="14">
        <f>ROUND(tblSprzedaz[[#This Row],[Ilość]]*tblSprzedaz[[#This Row],[Cena netto jednostkowa]]*(1-tblSprzedaz[[#This Row],[Rabat %]]),2)</f>
        <v>6147.9</v>
      </c>
      <c r="N1956" s="14">
        <f>ROUND(tblSprzedaz[[#This Row],[Ilość]]*tblSprzedaz[[#This Row],[Koszt jednostkowy netto]],2)</f>
        <v>4421.7</v>
      </c>
      <c r="O1956" s="14">
        <f>tblSprzedaz[[#This Row],[Przychód netto]]-tblSprzedaz[[#This Row],[Koszt całkowity netto]]</f>
        <v>1726.1999999999998</v>
      </c>
      <c r="P1956" s="15">
        <f>IFERROR(tblSprzedaz[[#This Row],[Marża kwotowa]]/tblSprzedaz[[#This Row],[Przychód netto]],0)</f>
        <v>0.28077880251793291</v>
      </c>
      <c r="Q1956" s="16">
        <f>YEAR(tblSprzedaz[[#This Row],[Data]])</f>
        <v>2026</v>
      </c>
      <c r="R1956" s="16">
        <f>MONTH(tblSprzedaz[[#This Row],[Data]])</f>
        <v>6</v>
      </c>
      <c r="S1956" s="9" t="str">
        <f>YEAR(tblSprzedaz[[#This Row],[Data]])&amp;"-"&amp;RIGHT("0"&amp;MONTH(tblSprzedaz[[#This Row],[Data]]),2)</f>
        <v>2026-06</v>
      </c>
    </row>
    <row r="1957" spans="1:19" x14ac:dyDescent="0.25">
      <c r="A1957" s="7" t="s">
        <v>4081</v>
      </c>
      <c r="B1957" s="10">
        <v>46183</v>
      </c>
      <c r="C1957" s="7" t="s">
        <v>4082</v>
      </c>
      <c r="D1957" s="8" t="s">
        <v>105</v>
      </c>
      <c r="E1957" s="8" t="s">
        <v>55</v>
      </c>
      <c r="F1957" s="8" t="s">
        <v>31</v>
      </c>
      <c r="G1957" s="8" t="s">
        <v>28</v>
      </c>
      <c r="H1957" s="8" t="s">
        <v>39</v>
      </c>
      <c r="I1957" s="11">
        <v>21</v>
      </c>
      <c r="J1957" s="12">
        <v>243.6</v>
      </c>
      <c r="K1957" s="13">
        <v>0</v>
      </c>
      <c r="L1957" s="12">
        <v>162.69999999999999</v>
      </c>
      <c r="M1957" s="14">
        <f>ROUND(tblSprzedaz[[#This Row],[Ilość]]*tblSprzedaz[[#This Row],[Cena netto jednostkowa]]*(1-tblSprzedaz[[#This Row],[Rabat %]]),2)</f>
        <v>5115.6000000000004</v>
      </c>
      <c r="N1957" s="14">
        <f>ROUND(tblSprzedaz[[#This Row],[Ilość]]*tblSprzedaz[[#This Row],[Koszt jednostkowy netto]],2)</f>
        <v>3416.7</v>
      </c>
      <c r="O1957" s="14">
        <f>tblSprzedaz[[#This Row],[Przychód netto]]-tblSprzedaz[[#This Row],[Koszt całkowity netto]]</f>
        <v>1698.9000000000005</v>
      </c>
      <c r="P1957" s="15">
        <f>IFERROR(tblSprzedaz[[#This Row],[Marża kwotowa]]/tblSprzedaz[[#This Row],[Przychód netto]],0)</f>
        <v>0.33210180623973734</v>
      </c>
      <c r="Q1957" s="16">
        <f>YEAR(tblSprzedaz[[#This Row],[Data]])</f>
        <v>2026</v>
      </c>
      <c r="R1957" s="16">
        <f>MONTH(tblSprzedaz[[#This Row],[Data]])</f>
        <v>6</v>
      </c>
      <c r="S1957" s="9" t="str">
        <f>YEAR(tblSprzedaz[[#This Row],[Data]])&amp;"-"&amp;RIGHT("0"&amp;MONTH(tblSprzedaz[[#This Row],[Data]]),2)</f>
        <v>2026-06</v>
      </c>
    </row>
    <row r="1958" spans="1:19" x14ac:dyDescent="0.25">
      <c r="A1958" s="7" t="s">
        <v>4083</v>
      </c>
      <c r="B1958" s="10">
        <v>46183</v>
      </c>
      <c r="C1958" s="7" t="s">
        <v>4084</v>
      </c>
      <c r="D1958" s="8" t="s">
        <v>100</v>
      </c>
      <c r="E1958" s="8" t="s">
        <v>50</v>
      </c>
      <c r="F1958" s="8" t="s">
        <v>29</v>
      </c>
      <c r="G1958" s="8" t="s">
        <v>36</v>
      </c>
      <c r="H1958" s="8" t="s">
        <v>46</v>
      </c>
      <c r="I1958" s="11">
        <v>14</v>
      </c>
      <c r="J1958" s="12">
        <v>45.22</v>
      </c>
      <c r="K1958" s="13">
        <v>0.1</v>
      </c>
      <c r="L1958" s="12">
        <v>27.76</v>
      </c>
      <c r="M1958" s="14">
        <f>ROUND(tblSprzedaz[[#This Row],[Ilość]]*tblSprzedaz[[#This Row],[Cena netto jednostkowa]]*(1-tblSprzedaz[[#This Row],[Rabat %]]),2)</f>
        <v>569.77</v>
      </c>
      <c r="N1958" s="14">
        <f>ROUND(tblSprzedaz[[#This Row],[Ilość]]*tblSprzedaz[[#This Row],[Koszt jednostkowy netto]],2)</f>
        <v>388.64</v>
      </c>
      <c r="O1958" s="14">
        <f>tblSprzedaz[[#This Row],[Przychód netto]]-tblSprzedaz[[#This Row],[Koszt całkowity netto]]</f>
        <v>181.13</v>
      </c>
      <c r="P1958" s="15">
        <f>IFERROR(tblSprzedaz[[#This Row],[Marża kwotowa]]/tblSprzedaz[[#This Row],[Przychód netto]],0)</f>
        <v>0.31790020534601682</v>
      </c>
      <c r="Q1958" s="16">
        <f>YEAR(tblSprzedaz[[#This Row],[Data]])</f>
        <v>2026</v>
      </c>
      <c r="R1958" s="16">
        <f>MONTH(tblSprzedaz[[#This Row],[Data]])</f>
        <v>6</v>
      </c>
      <c r="S1958" s="9" t="str">
        <f>YEAR(tblSprzedaz[[#This Row],[Data]])&amp;"-"&amp;RIGHT("0"&amp;MONTH(tblSprzedaz[[#This Row],[Data]]),2)</f>
        <v>2026-06</v>
      </c>
    </row>
    <row r="1959" spans="1:19" x14ac:dyDescent="0.25">
      <c r="A1959" s="7" t="s">
        <v>4085</v>
      </c>
      <c r="B1959" s="10">
        <v>46183</v>
      </c>
      <c r="C1959" s="7" t="s">
        <v>4086</v>
      </c>
      <c r="D1959" s="8" t="s">
        <v>108</v>
      </c>
      <c r="E1959" s="8" t="s">
        <v>71</v>
      </c>
      <c r="F1959" s="8" t="s">
        <v>35</v>
      </c>
      <c r="G1959" s="8" t="s">
        <v>30</v>
      </c>
      <c r="H1959" s="8" t="s">
        <v>41</v>
      </c>
      <c r="I1959" s="11">
        <v>3</v>
      </c>
      <c r="J1959" s="12">
        <v>55.76</v>
      </c>
      <c r="K1959" s="13">
        <v>0.1</v>
      </c>
      <c r="L1959" s="12">
        <v>40.07</v>
      </c>
      <c r="M1959" s="14">
        <f>ROUND(tblSprzedaz[[#This Row],[Ilość]]*tblSprzedaz[[#This Row],[Cena netto jednostkowa]]*(1-tblSprzedaz[[#This Row],[Rabat %]]),2)</f>
        <v>150.55000000000001</v>
      </c>
      <c r="N1959" s="14">
        <f>ROUND(tblSprzedaz[[#This Row],[Ilość]]*tblSprzedaz[[#This Row],[Koszt jednostkowy netto]],2)</f>
        <v>120.21</v>
      </c>
      <c r="O1959" s="14">
        <f>tblSprzedaz[[#This Row],[Przychód netto]]-tblSprzedaz[[#This Row],[Koszt całkowity netto]]</f>
        <v>30.340000000000018</v>
      </c>
      <c r="P1959" s="15">
        <f>IFERROR(tblSprzedaz[[#This Row],[Marża kwotowa]]/tblSprzedaz[[#This Row],[Przychód netto]],0)</f>
        <v>0.20152773165061452</v>
      </c>
      <c r="Q1959" s="16">
        <f>YEAR(tblSprzedaz[[#This Row],[Data]])</f>
        <v>2026</v>
      </c>
      <c r="R1959" s="16">
        <f>MONTH(tblSprzedaz[[#This Row],[Data]])</f>
        <v>6</v>
      </c>
      <c r="S1959" s="9" t="str">
        <f>YEAR(tblSprzedaz[[#This Row],[Data]])&amp;"-"&amp;RIGHT("0"&amp;MONTH(tblSprzedaz[[#This Row],[Data]]),2)</f>
        <v>2026-06</v>
      </c>
    </row>
    <row r="1960" spans="1:19" x14ac:dyDescent="0.25">
      <c r="A1960" s="7" t="s">
        <v>4087</v>
      </c>
      <c r="B1960" s="10">
        <v>46184</v>
      </c>
      <c r="C1960" s="7" t="s">
        <v>4088</v>
      </c>
      <c r="D1960" s="8" t="s">
        <v>129</v>
      </c>
      <c r="E1960" s="8" t="s">
        <v>67</v>
      </c>
      <c r="F1960" s="8" t="s">
        <v>35</v>
      </c>
      <c r="G1960" s="8" t="s">
        <v>34</v>
      </c>
      <c r="H1960" s="8" t="s">
        <v>45</v>
      </c>
      <c r="I1960" s="11">
        <v>1</v>
      </c>
      <c r="J1960" s="12">
        <v>78.88</v>
      </c>
      <c r="K1960" s="13">
        <v>0</v>
      </c>
      <c r="L1960" s="12">
        <v>58.72</v>
      </c>
      <c r="M1960" s="14">
        <f>ROUND(tblSprzedaz[[#This Row],[Ilość]]*tblSprzedaz[[#This Row],[Cena netto jednostkowa]]*(1-tblSprzedaz[[#This Row],[Rabat %]]),2)</f>
        <v>78.88</v>
      </c>
      <c r="N1960" s="14">
        <f>ROUND(tblSprzedaz[[#This Row],[Ilość]]*tblSprzedaz[[#This Row],[Koszt jednostkowy netto]],2)</f>
        <v>58.72</v>
      </c>
      <c r="O1960" s="14">
        <f>tblSprzedaz[[#This Row],[Przychód netto]]-tblSprzedaz[[#This Row],[Koszt całkowity netto]]</f>
        <v>20.159999999999997</v>
      </c>
      <c r="P1960" s="15">
        <f>IFERROR(tblSprzedaz[[#This Row],[Marża kwotowa]]/tblSprzedaz[[#This Row],[Przychód netto]],0)</f>
        <v>0.255578093306288</v>
      </c>
      <c r="Q1960" s="16">
        <f>YEAR(tblSprzedaz[[#This Row],[Data]])</f>
        <v>2026</v>
      </c>
      <c r="R1960" s="16">
        <f>MONTH(tblSprzedaz[[#This Row],[Data]])</f>
        <v>6</v>
      </c>
      <c r="S1960" s="9" t="str">
        <f>YEAR(tblSprzedaz[[#This Row],[Data]])&amp;"-"&amp;RIGHT("0"&amp;MONTH(tblSprzedaz[[#This Row],[Data]]),2)</f>
        <v>2026-06</v>
      </c>
    </row>
    <row r="1961" spans="1:19" x14ac:dyDescent="0.25">
      <c r="A1961" s="7" t="s">
        <v>4089</v>
      </c>
      <c r="B1961" s="10">
        <v>46184</v>
      </c>
      <c r="C1961" s="7" t="s">
        <v>4090</v>
      </c>
      <c r="D1961" s="8" t="s">
        <v>103</v>
      </c>
      <c r="E1961" s="8" t="s">
        <v>55</v>
      </c>
      <c r="F1961" s="8" t="s">
        <v>31</v>
      </c>
      <c r="G1961" s="8" t="s">
        <v>30</v>
      </c>
      <c r="H1961" s="8" t="s">
        <v>41</v>
      </c>
      <c r="I1961" s="11">
        <v>5</v>
      </c>
      <c r="J1961" s="12">
        <v>243.6</v>
      </c>
      <c r="K1961" s="13">
        <v>0.1</v>
      </c>
      <c r="L1961" s="12">
        <v>162.41</v>
      </c>
      <c r="M1961" s="14">
        <f>ROUND(tblSprzedaz[[#This Row],[Ilość]]*tblSprzedaz[[#This Row],[Cena netto jednostkowa]]*(1-tblSprzedaz[[#This Row],[Rabat %]]),2)</f>
        <v>1096.2</v>
      </c>
      <c r="N1961" s="14">
        <f>ROUND(tblSprzedaz[[#This Row],[Ilość]]*tblSprzedaz[[#This Row],[Koszt jednostkowy netto]],2)</f>
        <v>812.05</v>
      </c>
      <c r="O1961" s="14">
        <f>tblSprzedaz[[#This Row],[Przychód netto]]-tblSprzedaz[[#This Row],[Koszt całkowity netto]]</f>
        <v>284.15000000000009</v>
      </c>
      <c r="P1961" s="15">
        <f>IFERROR(tblSprzedaz[[#This Row],[Marża kwotowa]]/tblSprzedaz[[#This Row],[Przychód netto]],0)</f>
        <v>0.2592136471446817</v>
      </c>
      <c r="Q1961" s="16">
        <f>YEAR(tblSprzedaz[[#This Row],[Data]])</f>
        <v>2026</v>
      </c>
      <c r="R1961" s="16">
        <f>MONTH(tblSprzedaz[[#This Row],[Data]])</f>
        <v>6</v>
      </c>
      <c r="S1961" s="9" t="str">
        <f>YEAR(tblSprzedaz[[#This Row],[Data]])&amp;"-"&amp;RIGHT("0"&amp;MONTH(tblSprzedaz[[#This Row],[Data]]),2)</f>
        <v>2026-06</v>
      </c>
    </row>
    <row r="1962" spans="1:19" x14ac:dyDescent="0.25">
      <c r="A1962" s="7" t="s">
        <v>4091</v>
      </c>
      <c r="B1962" s="10">
        <v>46184</v>
      </c>
      <c r="C1962" s="7" t="s">
        <v>4092</v>
      </c>
      <c r="D1962" s="8" t="s">
        <v>124</v>
      </c>
      <c r="E1962" s="8" t="s">
        <v>48</v>
      </c>
      <c r="F1962" s="8" t="s">
        <v>29</v>
      </c>
      <c r="G1962" s="8" t="s">
        <v>32</v>
      </c>
      <c r="H1962" s="8" t="s">
        <v>42</v>
      </c>
      <c r="I1962" s="11">
        <v>29</v>
      </c>
      <c r="J1962" s="12">
        <v>33.659999999999997</v>
      </c>
      <c r="K1962" s="13">
        <v>0</v>
      </c>
      <c r="L1962" s="12">
        <v>18.8</v>
      </c>
      <c r="M1962" s="14">
        <f>ROUND(tblSprzedaz[[#This Row],[Ilość]]*tblSprzedaz[[#This Row],[Cena netto jednostkowa]]*(1-tblSprzedaz[[#This Row],[Rabat %]]),2)</f>
        <v>976.14</v>
      </c>
      <c r="N1962" s="14">
        <f>ROUND(tblSprzedaz[[#This Row],[Ilość]]*tblSprzedaz[[#This Row],[Koszt jednostkowy netto]],2)</f>
        <v>545.20000000000005</v>
      </c>
      <c r="O1962" s="14">
        <f>tblSprzedaz[[#This Row],[Przychód netto]]-tblSprzedaz[[#This Row],[Koszt całkowity netto]]</f>
        <v>430.93999999999994</v>
      </c>
      <c r="P1962" s="15">
        <f>IFERROR(tblSprzedaz[[#This Row],[Marża kwotowa]]/tblSprzedaz[[#This Row],[Przychód netto]],0)</f>
        <v>0.44147355912061786</v>
      </c>
      <c r="Q1962" s="16">
        <f>YEAR(tblSprzedaz[[#This Row],[Data]])</f>
        <v>2026</v>
      </c>
      <c r="R1962" s="16">
        <f>MONTH(tblSprzedaz[[#This Row],[Data]])</f>
        <v>6</v>
      </c>
      <c r="S1962" s="9" t="str">
        <f>YEAR(tblSprzedaz[[#This Row],[Data]])&amp;"-"&amp;RIGHT("0"&amp;MONTH(tblSprzedaz[[#This Row],[Data]]),2)</f>
        <v>2026-06</v>
      </c>
    </row>
    <row r="1963" spans="1:19" x14ac:dyDescent="0.25">
      <c r="A1963" s="7" t="s">
        <v>4093</v>
      </c>
      <c r="B1963" s="10">
        <v>46184</v>
      </c>
      <c r="C1963" s="7" t="s">
        <v>4094</v>
      </c>
      <c r="D1963" s="8" t="s">
        <v>94</v>
      </c>
      <c r="E1963" s="8" t="s">
        <v>52</v>
      </c>
      <c r="F1963" s="8" t="s">
        <v>29</v>
      </c>
      <c r="G1963" s="8" t="s">
        <v>36</v>
      </c>
      <c r="H1963" s="8" t="s">
        <v>47</v>
      </c>
      <c r="I1963" s="11">
        <v>25</v>
      </c>
      <c r="J1963" s="12">
        <v>56.78</v>
      </c>
      <c r="K1963" s="13">
        <v>0</v>
      </c>
      <c r="L1963" s="12">
        <v>31.94</v>
      </c>
      <c r="M1963" s="14">
        <f>ROUND(tblSprzedaz[[#This Row],[Ilość]]*tblSprzedaz[[#This Row],[Cena netto jednostkowa]]*(1-tblSprzedaz[[#This Row],[Rabat %]]),2)</f>
        <v>1419.5</v>
      </c>
      <c r="N1963" s="14">
        <f>ROUND(tblSprzedaz[[#This Row],[Ilość]]*tblSprzedaz[[#This Row],[Koszt jednostkowy netto]],2)</f>
        <v>798.5</v>
      </c>
      <c r="O1963" s="14">
        <f>tblSprzedaz[[#This Row],[Przychód netto]]-tblSprzedaz[[#This Row],[Koszt całkowity netto]]</f>
        <v>621</v>
      </c>
      <c r="P1963" s="15">
        <f>IFERROR(tblSprzedaz[[#This Row],[Marża kwotowa]]/tblSprzedaz[[#This Row],[Przychód netto]],0)</f>
        <v>0.43747798520605846</v>
      </c>
      <c r="Q1963" s="16">
        <f>YEAR(tblSprzedaz[[#This Row],[Data]])</f>
        <v>2026</v>
      </c>
      <c r="R1963" s="16">
        <f>MONTH(tblSprzedaz[[#This Row],[Data]])</f>
        <v>6</v>
      </c>
      <c r="S1963" s="9" t="str">
        <f>YEAR(tblSprzedaz[[#This Row],[Data]])&amp;"-"&amp;RIGHT("0"&amp;MONTH(tblSprzedaz[[#This Row],[Data]]),2)</f>
        <v>2026-06</v>
      </c>
    </row>
    <row r="1964" spans="1:19" x14ac:dyDescent="0.25">
      <c r="A1964" s="7" t="s">
        <v>4095</v>
      </c>
      <c r="B1964" s="10">
        <v>46184</v>
      </c>
      <c r="C1964" s="7" t="s">
        <v>4096</v>
      </c>
      <c r="D1964" s="8" t="s">
        <v>87</v>
      </c>
      <c r="E1964" s="8" t="s">
        <v>67</v>
      </c>
      <c r="F1964" s="8" t="s">
        <v>35</v>
      </c>
      <c r="G1964" s="8" t="s">
        <v>36</v>
      </c>
      <c r="H1964" s="8" t="s">
        <v>46</v>
      </c>
      <c r="I1964" s="11">
        <v>25</v>
      </c>
      <c r="J1964" s="12">
        <v>78.88</v>
      </c>
      <c r="K1964" s="13">
        <v>0.15</v>
      </c>
      <c r="L1964" s="12">
        <v>57.47</v>
      </c>
      <c r="M1964" s="14">
        <f>ROUND(tblSprzedaz[[#This Row],[Ilość]]*tblSprzedaz[[#This Row],[Cena netto jednostkowa]]*(1-tblSprzedaz[[#This Row],[Rabat %]]),2)</f>
        <v>1676.2</v>
      </c>
      <c r="N1964" s="14">
        <f>ROUND(tblSprzedaz[[#This Row],[Ilość]]*tblSprzedaz[[#This Row],[Koszt jednostkowy netto]],2)</f>
        <v>1436.75</v>
      </c>
      <c r="O1964" s="14">
        <f>tblSprzedaz[[#This Row],[Przychód netto]]-tblSprzedaz[[#This Row],[Koszt całkowity netto]]</f>
        <v>239.45000000000005</v>
      </c>
      <c r="P1964" s="15">
        <f>IFERROR(tblSprzedaz[[#This Row],[Marża kwotowa]]/tblSprzedaz[[#This Row],[Przychód netto]],0)</f>
        <v>0.14285288151771866</v>
      </c>
      <c r="Q1964" s="16">
        <f>YEAR(tblSprzedaz[[#This Row],[Data]])</f>
        <v>2026</v>
      </c>
      <c r="R1964" s="16">
        <f>MONTH(tblSprzedaz[[#This Row],[Data]])</f>
        <v>6</v>
      </c>
      <c r="S1964" s="9" t="str">
        <f>YEAR(tblSprzedaz[[#This Row],[Data]])&amp;"-"&amp;RIGHT("0"&amp;MONTH(tblSprzedaz[[#This Row],[Data]]),2)</f>
        <v>2026-06</v>
      </c>
    </row>
    <row r="1965" spans="1:19" x14ac:dyDescent="0.25">
      <c r="A1965" s="7" t="s">
        <v>4097</v>
      </c>
      <c r="B1965" s="10">
        <v>46185</v>
      </c>
      <c r="C1965" s="7" t="s">
        <v>4098</v>
      </c>
      <c r="D1965" s="8" t="s">
        <v>142</v>
      </c>
      <c r="E1965" s="8" t="s">
        <v>50</v>
      </c>
      <c r="F1965" s="8" t="s">
        <v>29</v>
      </c>
      <c r="G1965" s="8" t="s">
        <v>34</v>
      </c>
      <c r="H1965" s="8" t="s">
        <v>45</v>
      </c>
      <c r="I1965" s="11">
        <v>5</v>
      </c>
      <c r="J1965" s="12">
        <v>45.22</v>
      </c>
      <c r="K1965" s="13">
        <v>0</v>
      </c>
      <c r="L1965" s="12">
        <v>26.8</v>
      </c>
      <c r="M1965" s="14">
        <f>ROUND(tblSprzedaz[[#This Row],[Ilość]]*tblSprzedaz[[#This Row],[Cena netto jednostkowa]]*(1-tblSprzedaz[[#This Row],[Rabat %]]),2)</f>
        <v>226.1</v>
      </c>
      <c r="N1965" s="14">
        <f>ROUND(tblSprzedaz[[#This Row],[Ilość]]*tblSprzedaz[[#This Row],[Koszt jednostkowy netto]],2)</f>
        <v>134</v>
      </c>
      <c r="O1965" s="14">
        <f>tblSprzedaz[[#This Row],[Przychód netto]]-tblSprzedaz[[#This Row],[Koszt całkowity netto]]</f>
        <v>92.1</v>
      </c>
      <c r="P1965" s="15">
        <f>IFERROR(tblSprzedaz[[#This Row],[Marża kwotowa]]/tblSprzedaz[[#This Row],[Przychód netto]],0)</f>
        <v>0.40734188412206984</v>
      </c>
      <c r="Q1965" s="16">
        <f>YEAR(tblSprzedaz[[#This Row],[Data]])</f>
        <v>2026</v>
      </c>
      <c r="R1965" s="16">
        <f>MONTH(tblSprzedaz[[#This Row],[Data]])</f>
        <v>6</v>
      </c>
      <c r="S1965" s="9" t="str">
        <f>YEAR(tblSprzedaz[[#This Row],[Data]])&amp;"-"&amp;RIGHT("0"&amp;MONTH(tblSprzedaz[[#This Row],[Data]]),2)</f>
        <v>2026-06</v>
      </c>
    </row>
    <row r="1966" spans="1:19" x14ac:dyDescent="0.25">
      <c r="A1966" s="7" t="s">
        <v>4099</v>
      </c>
      <c r="B1966" s="10">
        <v>46185</v>
      </c>
      <c r="C1966" s="7" t="s">
        <v>4100</v>
      </c>
      <c r="D1966" s="8" t="s">
        <v>138</v>
      </c>
      <c r="E1966" s="8" t="s">
        <v>76</v>
      </c>
      <c r="F1966" s="8" t="s">
        <v>37</v>
      </c>
      <c r="G1966" s="8" t="s">
        <v>34</v>
      </c>
      <c r="H1966" s="8" t="s">
        <v>44</v>
      </c>
      <c r="I1966" s="11">
        <v>2</v>
      </c>
      <c r="J1966" s="12">
        <v>158.65</v>
      </c>
      <c r="K1966" s="13">
        <v>0</v>
      </c>
      <c r="L1966" s="12">
        <v>116.05</v>
      </c>
      <c r="M1966" s="14">
        <f>ROUND(tblSprzedaz[[#This Row],[Ilość]]*tblSprzedaz[[#This Row],[Cena netto jednostkowa]]*(1-tblSprzedaz[[#This Row],[Rabat %]]),2)</f>
        <v>317.3</v>
      </c>
      <c r="N1966" s="14">
        <f>ROUND(tblSprzedaz[[#This Row],[Ilość]]*tblSprzedaz[[#This Row],[Koszt jednostkowy netto]],2)</f>
        <v>232.1</v>
      </c>
      <c r="O1966" s="14">
        <f>tblSprzedaz[[#This Row],[Przychód netto]]-tblSprzedaz[[#This Row],[Koszt całkowity netto]]</f>
        <v>85.200000000000017</v>
      </c>
      <c r="P1966" s="15">
        <f>IFERROR(tblSprzedaz[[#This Row],[Marża kwotowa]]/tblSprzedaz[[#This Row],[Przychód netto]],0)</f>
        <v>0.26851560037819105</v>
      </c>
      <c r="Q1966" s="16">
        <f>YEAR(tblSprzedaz[[#This Row],[Data]])</f>
        <v>2026</v>
      </c>
      <c r="R1966" s="16">
        <f>MONTH(tblSprzedaz[[#This Row],[Data]])</f>
        <v>6</v>
      </c>
      <c r="S1966" s="9" t="str">
        <f>YEAR(tblSprzedaz[[#This Row],[Data]])&amp;"-"&amp;RIGHT("0"&amp;MONTH(tblSprzedaz[[#This Row],[Data]]),2)</f>
        <v>2026-06</v>
      </c>
    </row>
    <row r="1967" spans="1:19" x14ac:dyDescent="0.25">
      <c r="A1967" s="7" t="s">
        <v>4101</v>
      </c>
      <c r="B1967" s="10">
        <v>46185</v>
      </c>
      <c r="C1967" s="7" t="s">
        <v>4102</v>
      </c>
      <c r="D1967" s="8" t="s">
        <v>131</v>
      </c>
      <c r="E1967" s="8" t="s">
        <v>52</v>
      </c>
      <c r="F1967" s="8" t="s">
        <v>29</v>
      </c>
      <c r="G1967" s="8" t="s">
        <v>28</v>
      </c>
      <c r="H1967" s="8" t="s">
        <v>38</v>
      </c>
      <c r="I1967" s="11">
        <v>7</v>
      </c>
      <c r="J1967" s="12">
        <v>56.78</v>
      </c>
      <c r="K1967" s="13">
        <v>0</v>
      </c>
      <c r="L1967" s="12">
        <v>31.75</v>
      </c>
      <c r="M1967" s="14">
        <f>ROUND(tblSprzedaz[[#This Row],[Ilość]]*tblSprzedaz[[#This Row],[Cena netto jednostkowa]]*(1-tblSprzedaz[[#This Row],[Rabat %]]),2)</f>
        <v>397.46</v>
      </c>
      <c r="N1967" s="14">
        <f>ROUND(tblSprzedaz[[#This Row],[Ilość]]*tblSprzedaz[[#This Row],[Koszt jednostkowy netto]],2)</f>
        <v>222.25</v>
      </c>
      <c r="O1967" s="14">
        <f>tblSprzedaz[[#This Row],[Przychód netto]]-tblSprzedaz[[#This Row],[Koszt całkowity netto]]</f>
        <v>175.20999999999998</v>
      </c>
      <c r="P1967" s="15">
        <f>IFERROR(tblSprzedaz[[#This Row],[Marża kwotowa]]/tblSprzedaz[[#This Row],[Przychód netto]],0)</f>
        <v>0.44082423388517078</v>
      </c>
      <c r="Q1967" s="16">
        <f>YEAR(tblSprzedaz[[#This Row],[Data]])</f>
        <v>2026</v>
      </c>
      <c r="R1967" s="16">
        <f>MONTH(tblSprzedaz[[#This Row],[Data]])</f>
        <v>6</v>
      </c>
      <c r="S1967" s="9" t="str">
        <f>YEAR(tblSprzedaz[[#This Row],[Data]])&amp;"-"&amp;RIGHT("0"&amp;MONTH(tblSprzedaz[[#This Row],[Data]]),2)</f>
        <v>2026-06</v>
      </c>
    </row>
    <row r="1968" spans="1:19" x14ac:dyDescent="0.25">
      <c r="A1968" s="7" t="s">
        <v>4103</v>
      </c>
      <c r="B1968" s="10">
        <v>46185</v>
      </c>
      <c r="C1968" s="7" t="s">
        <v>4104</v>
      </c>
      <c r="D1968" s="8" t="s">
        <v>126</v>
      </c>
      <c r="E1968" s="8" t="s">
        <v>56</v>
      </c>
      <c r="F1968" s="8" t="s">
        <v>31</v>
      </c>
      <c r="G1968" s="8" t="s">
        <v>32</v>
      </c>
      <c r="H1968" s="8" t="s">
        <v>42</v>
      </c>
      <c r="I1968" s="11">
        <v>23</v>
      </c>
      <c r="J1968" s="12">
        <v>279.3</v>
      </c>
      <c r="K1968" s="13">
        <v>0</v>
      </c>
      <c r="L1968" s="12">
        <v>183.65</v>
      </c>
      <c r="M1968" s="14">
        <f>ROUND(tblSprzedaz[[#This Row],[Ilość]]*tblSprzedaz[[#This Row],[Cena netto jednostkowa]]*(1-tblSprzedaz[[#This Row],[Rabat %]]),2)</f>
        <v>6423.9</v>
      </c>
      <c r="N1968" s="14">
        <f>ROUND(tblSprzedaz[[#This Row],[Ilość]]*tblSprzedaz[[#This Row],[Koszt jednostkowy netto]],2)</f>
        <v>4223.95</v>
      </c>
      <c r="O1968" s="14">
        <f>tblSprzedaz[[#This Row],[Przychód netto]]-tblSprzedaz[[#This Row],[Koszt całkowity netto]]</f>
        <v>2199.9499999999998</v>
      </c>
      <c r="P1968" s="15">
        <f>IFERROR(tblSprzedaz[[#This Row],[Marża kwotowa]]/tblSprzedaz[[#This Row],[Przychód netto]],0)</f>
        <v>0.34246330110991763</v>
      </c>
      <c r="Q1968" s="16">
        <f>YEAR(tblSprzedaz[[#This Row],[Data]])</f>
        <v>2026</v>
      </c>
      <c r="R1968" s="16">
        <f>MONTH(tblSprzedaz[[#This Row],[Data]])</f>
        <v>6</v>
      </c>
      <c r="S1968" s="9" t="str">
        <f>YEAR(tblSprzedaz[[#This Row],[Data]])&amp;"-"&amp;RIGHT("0"&amp;MONTH(tblSprzedaz[[#This Row],[Data]]),2)</f>
        <v>2026-06</v>
      </c>
    </row>
    <row r="1969" spans="1:19" x14ac:dyDescent="0.25">
      <c r="A1969" s="7" t="s">
        <v>4105</v>
      </c>
      <c r="B1969" s="10">
        <v>46186</v>
      </c>
      <c r="C1969" s="7" t="s">
        <v>4106</v>
      </c>
      <c r="D1969" s="8" t="s">
        <v>121</v>
      </c>
      <c r="E1969" s="8" t="s">
        <v>67</v>
      </c>
      <c r="F1969" s="8" t="s">
        <v>35</v>
      </c>
      <c r="G1969" s="8" t="s">
        <v>36</v>
      </c>
      <c r="H1969" s="8" t="s">
        <v>46</v>
      </c>
      <c r="I1969" s="11">
        <v>4</v>
      </c>
      <c r="J1969" s="12">
        <v>78.88</v>
      </c>
      <c r="K1969" s="13">
        <v>0</v>
      </c>
      <c r="L1969" s="12">
        <v>56.19</v>
      </c>
      <c r="M1969" s="14">
        <f>ROUND(tblSprzedaz[[#This Row],[Ilość]]*tblSprzedaz[[#This Row],[Cena netto jednostkowa]]*(1-tblSprzedaz[[#This Row],[Rabat %]]),2)</f>
        <v>315.52</v>
      </c>
      <c r="N1969" s="14">
        <f>ROUND(tblSprzedaz[[#This Row],[Ilość]]*tblSprzedaz[[#This Row],[Koszt jednostkowy netto]],2)</f>
        <v>224.76</v>
      </c>
      <c r="O1969" s="14">
        <f>tblSprzedaz[[#This Row],[Przychód netto]]-tblSprzedaz[[#This Row],[Koszt całkowity netto]]</f>
        <v>90.759999999999991</v>
      </c>
      <c r="P1969" s="15">
        <f>IFERROR(tblSprzedaz[[#This Row],[Marża kwotowa]]/tblSprzedaz[[#This Row],[Przychód netto]],0)</f>
        <v>0.2876521298174442</v>
      </c>
      <c r="Q1969" s="16">
        <f>YEAR(tblSprzedaz[[#This Row],[Data]])</f>
        <v>2026</v>
      </c>
      <c r="R1969" s="16">
        <f>MONTH(tblSprzedaz[[#This Row],[Data]])</f>
        <v>6</v>
      </c>
      <c r="S1969" s="9" t="str">
        <f>YEAR(tblSprzedaz[[#This Row],[Data]])&amp;"-"&amp;RIGHT("0"&amp;MONTH(tblSprzedaz[[#This Row],[Data]]),2)</f>
        <v>2026-06</v>
      </c>
    </row>
    <row r="1970" spans="1:19" x14ac:dyDescent="0.25">
      <c r="A1970" s="7" t="s">
        <v>4107</v>
      </c>
      <c r="B1970" s="10">
        <v>46186</v>
      </c>
      <c r="C1970" s="7" t="s">
        <v>4108</v>
      </c>
      <c r="D1970" s="8" t="s">
        <v>149</v>
      </c>
      <c r="E1970" s="8" t="s">
        <v>57</v>
      </c>
      <c r="F1970" s="8" t="s">
        <v>31</v>
      </c>
      <c r="G1970" s="8" t="s">
        <v>32</v>
      </c>
      <c r="H1970" s="8" t="s">
        <v>42</v>
      </c>
      <c r="I1970" s="11">
        <v>22</v>
      </c>
      <c r="J1970" s="12">
        <v>315</v>
      </c>
      <c r="K1970" s="13">
        <v>0.05</v>
      </c>
      <c r="L1970" s="12">
        <v>189.66</v>
      </c>
      <c r="M1970" s="14">
        <f>ROUND(tblSprzedaz[[#This Row],[Ilość]]*tblSprzedaz[[#This Row],[Cena netto jednostkowa]]*(1-tblSprzedaz[[#This Row],[Rabat %]]),2)</f>
        <v>6583.5</v>
      </c>
      <c r="N1970" s="14">
        <f>ROUND(tblSprzedaz[[#This Row],[Ilość]]*tblSprzedaz[[#This Row],[Koszt jednostkowy netto]],2)</f>
        <v>4172.5200000000004</v>
      </c>
      <c r="O1970" s="14">
        <f>tblSprzedaz[[#This Row],[Przychód netto]]-tblSprzedaz[[#This Row],[Koszt całkowity netto]]</f>
        <v>2410.9799999999996</v>
      </c>
      <c r="P1970" s="15">
        <f>IFERROR(tblSprzedaz[[#This Row],[Marża kwotowa]]/tblSprzedaz[[#This Row],[Przychód netto]],0)</f>
        <v>0.36621553884711772</v>
      </c>
      <c r="Q1970" s="16">
        <f>YEAR(tblSprzedaz[[#This Row],[Data]])</f>
        <v>2026</v>
      </c>
      <c r="R1970" s="16">
        <f>MONTH(tblSprzedaz[[#This Row],[Data]])</f>
        <v>6</v>
      </c>
      <c r="S1970" s="9" t="str">
        <f>YEAR(tblSprzedaz[[#This Row],[Data]])&amp;"-"&amp;RIGHT("0"&amp;MONTH(tblSprzedaz[[#This Row],[Data]]),2)</f>
        <v>2026-06</v>
      </c>
    </row>
    <row r="1971" spans="1:19" x14ac:dyDescent="0.25">
      <c r="A1971" s="7" t="s">
        <v>4109</v>
      </c>
      <c r="B1971" s="10">
        <v>46187</v>
      </c>
      <c r="C1971" s="7" t="s">
        <v>4110</v>
      </c>
      <c r="D1971" s="8" t="s">
        <v>106</v>
      </c>
      <c r="E1971" s="8" t="s">
        <v>67</v>
      </c>
      <c r="F1971" s="8" t="s">
        <v>35</v>
      </c>
      <c r="G1971" s="8" t="s">
        <v>28</v>
      </c>
      <c r="H1971" s="8" t="s">
        <v>38</v>
      </c>
      <c r="I1971" s="11">
        <v>3</v>
      </c>
      <c r="J1971" s="12">
        <v>78.88</v>
      </c>
      <c r="K1971" s="13">
        <v>0.05</v>
      </c>
      <c r="L1971" s="12">
        <v>60.22</v>
      </c>
      <c r="M1971" s="14">
        <f>ROUND(tblSprzedaz[[#This Row],[Ilość]]*tblSprzedaz[[#This Row],[Cena netto jednostkowa]]*(1-tblSprzedaz[[#This Row],[Rabat %]]),2)</f>
        <v>224.81</v>
      </c>
      <c r="N1971" s="14">
        <f>ROUND(tblSprzedaz[[#This Row],[Ilość]]*tblSprzedaz[[#This Row],[Koszt jednostkowy netto]],2)</f>
        <v>180.66</v>
      </c>
      <c r="O1971" s="14">
        <f>tblSprzedaz[[#This Row],[Przychód netto]]-tblSprzedaz[[#This Row],[Koszt całkowity netto]]</f>
        <v>44.150000000000006</v>
      </c>
      <c r="P1971" s="15">
        <f>IFERROR(tblSprzedaz[[#This Row],[Marża kwotowa]]/tblSprzedaz[[#This Row],[Przychód netto]],0)</f>
        <v>0.19638806102931367</v>
      </c>
      <c r="Q1971" s="16">
        <f>YEAR(tblSprzedaz[[#This Row],[Data]])</f>
        <v>2026</v>
      </c>
      <c r="R1971" s="16">
        <f>MONTH(tblSprzedaz[[#This Row],[Data]])</f>
        <v>6</v>
      </c>
      <c r="S1971" s="9" t="str">
        <f>YEAR(tblSprzedaz[[#This Row],[Data]])&amp;"-"&amp;RIGHT("0"&amp;MONTH(tblSprzedaz[[#This Row],[Data]]),2)</f>
        <v>2026-06</v>
      </c>
    </row>
    <row r="1972" spans="1:19" x14ac:dyDescent="0.25">
      <c r="A1972" s="7" t="s">
        <v>4111</v>
      </c>
      <c r="B1972" s="10">
        <v>46187</v>
      </c>
      <c r="C1972" s="7" t="s">
        <v>4112</v>
      </c>
      <c r="D1972" s="8" t="s">
        <v>83</v>
      </c>
      <c r="E1972" s="8" t="s">
        <v>59</v>
      </c>
      <c r="F1972" s="8" t="s">
        <v>31</v>
      </c>
      <c r="G1972" s="8" t="s">
        <v>30</v>
      </c>
      <c r="H1972" s="8" t="s">
        <v>40</v>
      </c>
      <c r="I1972" s="11">
        <v>16</v>
      </c>
      <c r="J1972" s="12">
        <v>172.2</v>
      </c>
      <c r="K1972" s="13">
        <v>0.1</v>
      </c>
      <c r="L1972" s="12">
        <v>106.09</v>
      </c>
      <c r="M1972" s="14">
        <f>ROUND(tblSprzedaz[[#This Row],[Ilość]]*tblSprzedaz[[#This Row],[Cena netto jednostkowa]]*(1-tblSprzedaz[[#This Row],[Rabat %]]),2)</f>
        <v>2479.6799999999998</v>
      </c>
      <c r="N1972" s="14">
        <f>ROUND(tblSprzedaz[[#This Row],[Ilość]]*tblSprzedaz[[#This Row],[Koszt jednostkowy netto]],2)</f>
        <v>1697.44</v>
      </c>
      <c r="O1972" s="14">
        <f>tblSprzedaz[[#This Row],[Przychód netto]]-tblSprzedaz[[#This Row],[Koszt całkowity netto]]</f>
        <v>782.23999999999978</v>
      </c>
      <c r="P1972" s="15">
        <f>IFERROR(tblSprzedaz[[#This Row],[Marża kwotowa]]/tblSprzedaz[[#This Row],[Przychód netto]],0)</f>
        <v>0.31546005936249832</v>
      </c>
      <c r="Q1972" s="16">
        <f>YEAR(tblSprzedaz[[#This Row],[Data]])</f>
        <v>2026</v>
      </c>
      <c r="R1972" s="16">
        <f>MONTH(tblSprzedaz[[#This Row],[Data]])</f>
        <v>6</v>
      </c>
      <c r="S1972" s="9" t="str">
        <f>YEAR(tblSprzedaz[[#This Row],[Data]])&amp;"-"&amp;RIGHT("0"&amp;MONTH(tblSprzedaz[[#This Row],[Data]]),2)</f>
        <v>2026-06</v>
      </c>
    </row>
    <row r="1973" spans="1:19" x14ac:dyDescent="0.25">
      <c r="A1973" s="7" t="s">
        <v>4113</v>
      </c>
      <c r="B1973" s="10">
        <v>46188</v>
      </c>
      <c r="C1973" s="7" t="s">
        <v>4114</v>
      </c>
      <c r="D1973" s="8" t="s">
        <v>105</v>
      </c>
      <c r="E1973" s="8" t="s">
        <v>53</v>
      </c>
      <c r="F1973" s="8" t="s">
        <v>29</v>
      </c>
      <c r="G1973" s="8" t="s">
        <v>34</v>
      </c>
      <c r="H1973" s="8" t="s">
        <v>45</v>
      </c>
      <c r="I1973" s="11">
        <v>11</v>
      </c>
      <c r="J1973" s="12">
        <v>27.88</v>
      </c>
      <c r="K1973" s="13">
        <v>0.1</v>
      </c>
      <c r="L1973" s="12">
        <v>15.85</v>
      </c>
      <c r="M1973" s="14">
        <f>ROUND(tblSprzedaz[[#This Row],[Ilość]]*tblSprzedaz[[#This Row],[Cena netto jednostkowa]]*(1-tblSprzedaz[[#This Row],[Rabat %]]),2)</f>
        <v>276.01</v>
      </c>
      <c r="N1973" s="14">
        <f>ROUND(tblSprzedaz[[#This Row],[Ilość]]*tblSprzedaz[[#This Row],[Koszt jednostkowy netto]],2)</f>
        <v>174.35</v>
      </c>
      <c r="O1973" s="14">
        <f>tblSprzedaz[[#This Row],[Przychód netto]]-tblSprzedaz[[#This Row],[Koszt całkowity netto]]</f>
        <v>101.66</v>
      </c>
      <c r="P1973" s="15">
        <f>IFERROR(tblSprzedaz[[#This Row],[Marża kwotowa]]/tblSprzedaz[[#This Row],[Przychód netto]],0)</f>
        <v>0.36831998840621716</v>
      </c>
      <c r="Q1973" s="16">
        <f>YEAR(tblSprzedaz[[#This Row],[Data]])</f>
        <v>2026</v>
      </c>
      <c r="R1973" s="16">
        <f>MONTH(tblSprzedaz[[#This Row],[Data]])</f>
        <v>6</v>
      </c>
      <c r="S1973" s="9" t="str">
        <f>YEAR(tblSprzedaz[[#This Row],[Data]])&amp;"-"&amp;RIGHT("0"&amp;MONTH(tblSprzedaz[[#This Row],[Data]]),2)</f>
        <v>2026-06</v>
      </c>
    </row>
    <row r="1974" spans="1:19" x14ac:dyDescent="0.25">
      <c r="A1974" s="7" t="s">
        <v>4115</v>
      </c>
      <c r="B1974" s="10">
        <v>46188</v>
      </c>
      <c r="C1974" s="7" t="s">
        <v>4116</v>
      </c>
      <c r="D1974" s="8" t="s">
        <v>129</v>
      </c>
      <c r="E1974" s="8" t="s">
        <v>61</v>
      </c>
      <c r="F1974" s="8" t="s">
        <v>33</v>
      </c>
      <c r="G1974" s="8" t="s">
        <v>36</v>
      </c>
      <c r="H1974" s="8" t="s">
        <v>47</v>
      </c>
      <c r="I1974" s="11">
        <v>3</v>
      </c>
      <c r="J1974" s="12">
        <v>533.6</v>
      </c>
      <c r="K1974" s="13">
        <v>0.1</v>
      </c>
      <c r="L1974" s="12">
        <v>364.16</v>
      </c>
      <c r="M1974" s="14">
        <f>ROUND(tblSprzedaz[[#This Row],[Ilość]]*tblSprzedaz[[#This Row],[Cena netto jednostkowa]]*(1-tblSprzedaz[[#This Row],[Rabat %]]),2)</f>
        <v>1440.72</v>
      </c>
      <c r="N1974" s="14">
        <f>ROUND(tblSprzedaz[[#This Row],[Ilość]]*tblSprzedaz[[#This Row],[Koszt jednostkowy netto]],2)</f>
        <v>1092.48</v>
      </c>
      <c r="O1974" s="14">
        <f>tblSprzedaz[[#This Row],[Przychód netto]]-tblSprzedaz[[#This Row],[Koszt całkowity netto]]</f>
        <v>348.24</v>
      </c>
      <c r="P1974" s="15">
        <f>IFERROR(tblSprzedaz[[#This Row],[Marża kwotowa]]/tblSprzedaz[[#This Row],[Przychód netto]],0)</f>
        <v>0.24171247709478594</v>
      </c>
      <c r="Q1974" s="16">
        <f>YEAR(tblSprzedaz[[#This Row],[Data]])</f>
        <v>2026</v>
      </c>
      <c r="R1974" s="16">
        <f>MONTH(tblSprzedaz[[#This Row],[Data]])</f>
        <v>6</v>
      </c>
      <c r="S1974" s="9" t="str">
        <f>YEAR(tblSprzedaz[[#This Row],[Data]])&amp;"-"&amp;RIGHT("0"&amp;MONTH(tblSprzedaz[[#This Row],[Data]]),2)</f>
        <v>2026-06</v>
      </c>
    </row>
    <row r="1975" spans="1:19" x14ac:dyDescent="0.25">
      <c r="A1975" s="7" t="s">
        <v>4117</v>
      </c>
      <c r="B1975" s="10">
        <v>46188</v>
      </c>
      <c r="C1975" s="7" t="s">
        <v>4118</v>
      </c>
      <c r="D1975" s="8" t="s">
        <v>126</v>
      </c>
      <c r="E1975" s="8" t="s">
        <v>76</v>
      </c>
      <c r="F1975" s="8" t="s">
        <v>37</v>
      </c>
      <c r="G1975" s="8" t="s">
        <v>34</v>
      </c>
      <c r="H1975" s="8" t="s">
        <v>45</v>
      </c>
      <c r="I1975" s="11">
        <v>4</v>
      </c>
      <c r="J1975" s="12">
        <v>158.65</v>
      </c>
      <c r="K1975" s="13">
        <v>0</v>
      </c>
      <c r="L1975" s="12">
        <v>125.6</v>
      </c>
      <c r="M1975" s="14">
        <f>ROUND(tblSprzedaz[[#This Row],[Ilość]]*tblSprzedaz[[#This Row],[Cena netto jednostkowa]]*(1-tblSprzedaz[[#This Row],[Rabat %]]),2)</f>
        <v>634.6</v>
      </c>
      <c r="N1975" s="14">
        <f>ROUND(tblSprzedaz[[#This Row],[Ilość]]*tblSprzedaz[[#This Row],[Koszt jednostkowy netto]],2)</f>
        <v>502.4</v>
      </c>
      <c r="O1975" s="14">
        <f>tblSprzedaz[[#This Row],[Przychód netto]]-tblSprzedaz[[#This Row],[Koszt całkowity netto]]</f>
        <v>132.20000000000005</v>
      </c>
      <c r="P1975" s="15">
        <f>IFERROR(tblSprzedaz[[#This Row],[Marża kwotowa]]/tblSprzedaz[[#This Row],[Przychód netto]],0)</f>
        <v>0.2083202017018595</v>
      </c>
      <c r="Q1975" s="16">
        <f>YEAR(tblSprzedaz[[#This Row],[Data]])</f>
        <v>2026</v>
      </c>
      <c r="R1975" s="16">
        <f>MONTH(tblSprzedaz[[#This Row],[Data]])</f>
        <v>6</v>
      </c>
      <c r="S1975" s="9" t="str">
        <f>YEAR(tblSprzedaz[[#This Row],[Data]])&amp;"-"&amp;RIGHT("0"&amp;MONTH(tblSprzedaz[[#This Row],[Data]]),2)</f>
        <v>2026-06</v>
      </c>
    </row>
    <row r="1976" spans="1:19" x14ac:dyDescent="0.25">
      <c r="A1976" s="7" t="s">
        <v>4119</v>
      </c>
      <c r="B1976" s="10">
        <v>46188</v>
      </c>
      <c r="C1976" s="7" t="s">
        <v>4120</v>
      </c>
      <c r="D1976" s="8" t="s">
        <v>131</v>
      </c>
      <c r="E1976" s="8" t="s">
        <v>53</v>
      </c>
      <c r="F1976" s="8" t="s">
        <v>29</v>
      </c>
      <c r="G1976" s="8" t="s">
        <v>30</v>
      </c>
      <c r="H1976" s="8" t="s">
        <v>40</v>
      </c>
      <c r="I1976" s="11">
        <v>16</v>
      </c>
      <c r="J1976" s="12">
        <v>27.88</v>
      </c>
      <c r="K1976" s="13">
        <v>0.05</v>
      </c>
      <c r="L1976" s="12">
        <v>16.71</v>
      </c>
      <c r="M1976" s="14">
        <f>ROUND(tblSprzedaz[[#This Row],[Ilość]]*tblSprzedaz[[#This Row],[Cena netto jednostkowa]]*(1-tblSprzedaz[[#This Row],[Rabat %]]),2)</f>
        <v>423.78</v>
      </c>
      <c r="N1976" s="14">
        <f>ROUND(tblSprzedaz[[#This Row],[Ilość]]*tblSprzedaz[[#This Row],[Koszt jednostkowy netto]],2)</f>
        <v>267.36</v>
      </c>
      <c r="O1976" s="14">
        <f>tblSprzedaz[[#This Row],[Przychód netto]]-tblSprzedaz[[#This Row],[Koszt całkowity netto]]</f>
        <v>156.41999999999996</v>
      </c>
      <c r="P1976" s="15">
        <f>IFERROR(tblSprzedaz[[#This Row],[Marża kwotowa]]/tblSprzedaz[[#This Row],[Przychód netto]],0)</f>
        <v>0.36910661192127986</v>
      </c>
      <c r="Q1976" s="16">
        <f>YEAR(tblSprzedaz[[#This Row],[Data]])</f>
        <v>2026</v>
      </c>
      <c r="R1976" s="16">
        <f>MONTH(tblSprzedaz[[#This Row],[Data]])</f>
        <v>6</v>
      </c>
      <c r="S1976" s="9" t="str">
        <f>YEAR(tblSprzedaz[[#This Row],[Data]])&amp;"-"&amp;RIGHT("0"&amp;MONTH(tblSprzedaz[[#This Row],[Data]]),2)</f>
        <v>2026-06</v>
      </c>
    </row>
    <row r="1977" spans="1:19" x14ac:dyDescent="0.25">
      <c r="A1977" s="7" t="s">
        <v>4121</v>
      </c>
      <c r="B1977" s="10">
        <v>46188</v>
      </c>
      <c r="C1977" s="7" t="s">
        <v>4122</v>
      </c>
      <c r="D1977" s="8" t="s">
        <v>93</v>
      </c>
      <c r="E1977" s="8" t="s">
        <v>59</v>
      </c>
      <c r="F1977" s="8" t="s">
        <v>31</v>
      </c>
      <c r="G1977" s="8" t="s">
        <v>28</v>
      </c>
      <c r="H1977" s="8" t="s">
        <v>38</v>
      </c>
      <c r="I1977" s="11">
        <v>6</v>
      </c>
      <c r="J1977" s="12">
        <v>172.2</v>
      </c>
      <c r="K1977" s="13">
        <v>0</v>
      </c>
      <c r="L1977" s="12">
        <v>105.6</v>
      </c>
      <c r="M1977" s="14">
        <f>ROUND(tblSprzedaz[[#This Row],[Ilość]]*tblSprzedaz[[#This Row],[Cena netto jednostkowa]]*(1-tblSprzedaz[[#This Row],[Rabat %]]),2)</f>
        <v>1033.2</v>
      </c>
      <c r="N1977" s="14">
        <f>ROUND(tblSprzedaz[[#This Row],[Ilość]]*tblSprzedaz[[#This Row],[Koszt jednostkowy netto]],2)</f>
        <v>633.6</v>
      </c>
      <c r="O1977" s="14">
        <f>tblSprzedaz[[#This Row],[Przychód netto]]-tblSprzedaz[[#This Row],[Koszt całkowity netto]]</f>
        <v>399.6</v>
      </c>
      <c r="P1977" s="15">
        <f>IFERROR(tblSprzedaz[[#This Row],[Marża kwotowa]]/tblSprzedaz[[#This Row],[Przychód netto]],0)</f>
        <v>0.38675958188153309</v>
      </c>
      <c r="Q1977" s="16">
        <f>YEAR(tblSprzedaz[[#This Row],[Data]])</f>
        <v>2026</v>
      </c>
      <c r="R1977" s="16">
        <f>MONTH(tblSprzedaz[[#This Row],[Data]])</f>
        <v>6</v>
      </c>
      <c r="S1977" s="9" t="str">
        <f>YEAR(tblSprzedaz[[#This Row],[Data]])&amp;"-"&amp;RIGHT("0"&amp;MONTH(tblSprzedaz[[#This Row],[Data]]),2)</f>
        <v>2026-06</v>
      </c>
    </row>
    <row r="1978" spans="1:19" x14ac:dyDescent="0.25">
      <c r="A1978" s="7" t="s">
        <v>4123</v>
      </c>
      <c r="B1978" s="10">
        <v>46189</v>
      </c>
      <c r="C1978" s="7" t="s">
        <v>4124</v>
      </c>
      <c r="D1978" s="8" t="s">
        <v>140</v>
      </c>
      <c r="E1978" s="8" t="s">
        <v>58</v>
      </c>
      <c r="F1978" s="8" t="s">
        <v>31</v>
      </c>
      <c r="G1978" s="8" t="s">
        <v>34</v>
      </c>
      <c r="H1978" s="8" t="s">
        <v>45</v>
      </c>
      <c r="I1978" s="11">
        <v>9</v>
      </c>
      <c r="J1978" s="12">
        <v>350.7</v>
      </c>
      <c r="K1978" s="13">
        <v>0</v>
      </c>
      <c r="L1978" s="12">
        <v>227.73</v>
      </c>
      <c r="M1978" s="14">
        <f>ROUND(tblSprzedaz[[#This Row],[Ilość]]*tblSprzedaz[[#This Row],[Cena netto jednostkowa]]*(1-tblSprzedaz[[#This Row],[Rabat %]]),2)</f>
        <v>3156.3</v>
      </c>
      <c r="N1978" s="14">
        <f>ROUND(tblSprzedaz[[#This Row],[Ilość]]*tblSprzedaz[[#This Row],[Koszt jednostkowy netto]],2)</f>
        <v>2049.5700000000002</v>
      </c>
      <c r="O1978" s="14">
        <f>tblSprzedaz[[#This Row],[Przychód netto]]-tblSprzedaz[[#This Row],[Koszt całkowity netto]]</f>
        <v>1106.73</v>
      </c>
      <c r="P1978" s="15">
        <f>IFERROR(tblSprzedaz[[#This Row],[Marża kwotowa]]/tblSprzedaz[[#This Row],[Przychód netto]],0)</f>
        <v>0.35064157399486739</v>
      </c>
      <c r="Q1978" s="16">
        <f>YEAR(tblSprzedaz[[#This Row],[Data]])</f>
        <v>2026</v>
      </c>
      <c r="R1978" s="16">
        <f>MONTH(tblSprzedaz[[#This Row],[Data]])</f>
        <v>6</v>
      </c>
      <c r="S1978" s="9" t="str">
        <f>YEAR(tblSprzedaz[[#This Row],[Data]])&amp;"-"&amp;RIGHT("0"&amp;MONTH(tblSprzedaz[[#This Row],[Data]]),2)</f>
        <v>2026-06</v>
      </c>
    </row>
    <row r="1979" spans="1:19" x14ac:dyDescent="0.25">
      <c r="A1979" s="7" t="s">
        <v>4125</v>
      </c>
      <c r="B1979" s="10">
        <v>46189</v>
      </c>
      <c r="C1979" s="7" t="s">
        <v>4126</v>
      </c>
      <c r="D1979" s="8" t="s">
        <v>151</v>
      </c>
      <c r="E1979" s="8" t="s">
        <v>65</v>
      </c>
      <c r="F1979" s="8" t="s">
        <v>33</v>
      </c>
      <c r="G1979" s="8" t="s">
        <v>28</v>
      </c>
      <c r="H1979" s="8" t="s">
        <v>38</v>
      </c>
      <c r="I1979" s="11">
        <v>22</v>
      </c>
      <c r="J1979" s="12">
        <v>377.2</v>
      </c>
      <c r="K1979" s="13">
        <v>0.1</v>
      </c>
      <c r="L1979" s="12">
        <v>248.99</v>
      </c>
      <c r="M1979" s="14">
        <f>ROUND(tblSprzedaz[[#This Row],[Ilość]]*tblSprzedaz[[#This Row],[Cena netto jednostkowa]]*(1-tblSprzedaz[[#This Row],[Rabat %]]),2)</f>
        <v>7468.56</v>
      </c>
      <c r="N1979" s="14">
        <f>ROUND(tblSprzedaz[[#This Row],[Ilość]]*tblSprzedaz[[#This Row],[Koszt jednostkowy netto]],2)</f>
        <v>5477.78</v>
      </c>
      <c r="O1979" s="14">
        <f>tblSprzedaz[[#This Row],[Przychód netto]]-tblSprzedaz[[#This Row],[Koszt całkowity netto]]</f>
        <v>1990.7800000000007</v>
      </c>
      <c r="P1979" s="15">
        <f>IFERROR(tblSprzedaz[[#This Row],[Marża kwotowa]]/tblSprzedaz[[#This Row],[Przychód netto]],0)</f>
        <v>0.26655473076469904</v>
      </c>
      <c r="Q1979" s="16">
        <f>YEAR(tblSprzedaz[[#This Row],[Data]])</f>
        <v>2026</v>
      </c>
      <c r="R1979" s="16">
        <f>MONTH(tblSprzedaz[[#This Row],[Data]])</f>
        <v>6</v>
      </c>
      <c r="S1979" s="9" t="str">
        <f>YEAR(tblSprzedaz[[#This Row],[Data]])&amp;"-"&amp;RIGHT("0"&amp;MONTH(tblSprzedaz[[#This Row],[Data]]),2)</f>
        <v>2026-06</v>
      </c>
    </row>
    <row r="1980" spans="1:19" x14ac:dyDescent="0.25">
      <c r="A1980" s="7" t="s">
        <v>4127</v>
      </c>
      <c r="B1980" s="10">
        <v>46189</v>
      </c>
      <c r="C1980" s="7" t="s">
        <v>4128</v>
      </c>
      <c r="D1980" s="8" t="s">
        <v>120</v>
      </c>
      <c r="E1980" s="8" t="s">
        <v>64</v>
      </c>
      <c r="F1980" s="8" t="s">
        <v>33</v>
      </c>
      <c r="G1980" s="8" t="s">
        <v>34</v>
      </c>
      <c r="H1980" s="8" t="s">
        <v>44</v>
      </c>
      <c r="I1980" s="11">
        <v>5</v>
      </c>
      <c r="J1980" s="12">
        <v>768.2</v>
      </c>
      <c r="K1980" s="13">
        <v>0.1</v>
      </c>
      <c r="L1980" s="12">
        <v>518.79</v>
      </c>
      <c r="M1980" s="14">
        <f>ROUND(tblSprzedaz[[#This Row],[Ilość]]*tblSprzedaz[[#This Row],[Cena netto jednostkowa]]*(1-tblSprzedaz[[#This Row],[Rabat %]]),2)</f>
        <v>3456.9</v>
      </c>
      <c r="N1980" s="14">
        <f>ROUND(tblSprzedaz[[#This Row],[Ilość]]*tblSprzedaz[[#This Row],[Koszt jednostkowy netto]],2)</f>
        <v>2593.9499999999998</v>
      </c>
      <c r="O1980" s="14">
        <f>tblSprzedaz[[#This Row],[Przychód netto]]-tblSprzedaz[[#This Row],[Koszt całkowity netto]]</f>
        <v>862.95000000000027</v>
      </c>
      <c r="P1980" s="15">
        <f>IFERROR(tblSprzedaz[[#This Row],[Marża kwotowa]]/tblSprzedaz[[#This Row],[Przychód netto]],0)</f>
        <v>0.24963117243773331</v>
      </c>
      <c r="Q1980" s="16">
        <f>YEAR(tblSprzedaz[[#This Row],[Data]])</f>
        <v>2026</v>
      </c>
      <c r="R1980" s="16">
        <f>MONTH(tblSprzedaz[[#This Row],[Data]])</f>
        <v>6</v>
      </c>
      <c r="S1980" s="9" t="str">
        <f>YEAR(tblSprzedaz[[#This Row],[Data]])&amp;"-"&amp;RIGHT("0"&amp;MONTH(tblSprzedaz[[#This Row],[Data]]),2)</f>
        <v>2026-06</v>
      </c>
    </row>
    <row r="1981" spans="1:19" x14ac:dyDescent="0.25">
      <c r="A1981" s="7" t="s">
        <v>4129</v>
      </c>
      <c r="B1981" s="10">
        <v>46189</v>
      </c>
      <c r="C1981" s="7" t="s">
        <v>4130</v>
      </c>
      <c r="D1981" s="8" t="s">
        <v>142</v>
      </c>
      <c r="E1981" s="8" t="s">
        <v>63</v>
      </c>
      <c r="F1981" s="8" t="s">
        <v>33</v>
      </c>
      <c r="G1981" s="8" t="s">
        <v>34</v>
      </c>
      <c r="H1981" s="8" t="s">
        <v>44</v>
      </c>
      <c r="I1981" s="11">
        <v>3</v>
      </c>
      <c r="J1981" s="12">
        <v>690</v>
      </c>
      <c r="K1981" s="13">
        <v>0.1</v>
      </c>
      <c r="L1981" s="12">
        <v>492.26</v>
      </c>
      <c r="M1981" s="14">
        <f>ROUND(tblSprzedaz[[#This Row],[Ilość]]*tblSprzedaz[[#This Row],[Cena netto jednostkowa]]*(1-tblSprzedaz[[#This Row],[Rabat %]]),2)</f>
        <v>1863</v>
      </c>
      <c r="N1981" s="14">
        <f>ROUND(tblSprzedaz[[#This Row],[Ilość]]*tblSprzedaz[[#This Row],[Koszt jednostkowy netto]],2)</f>
        <v>1476.78</v>
      </c>
      <c r="O1981" s="14">
        <f>tblSprzedaz[[#This Row],[Przychód netto]]-tblSprzedaz[[#This Row],[Koszt całkowity netto]]</f>
        <v>386.22</v>
      </c>
      <c r="P1981" s="15">
        <f>IFERROR(tblSprzedaz[[#This Row],[Marża kwotowa]]/tblSprzedaz[[#This Row],[Przychód netto]],0)</f>
        <v>0.20731078904991951</v>
      </c>
      <c r="Q1981" s="16">
        <f>YEAR(tblSprzedaz[[#This Row],[Data]])</f>
        <v>2026</v>
      </c>
      <c r="R1981" s="16">
        <f>MONTH(tblSprzedaz[[#This Row],[Data]])</f>
        <v>6</v>
      </c>
      <c r="S1981" s="9" t="str">
        <f>YEAR(tblSprzedaz[[#This Row],[Data]])&amp;"-"&amp;RIGHT("0"&amp;MONTH(tblSprzedaz[[#This Row],[Data]]),2)</f>
        <v>2026-06</v>
      </c>
    </row>
    <row r="1982" spans="1:19" x14ac:dyDescent="0.25">
      <c r="A1982" s="7" t="s">
        <v>4131</v>
      </c>
      <c r="B1982" s="10">
        <v>46190</v>
      </c>
      <c r="C1982" s="7" t="s">
        <v>4132</v>
      </c>
      <c r="D1982" s="8" t="s">
        <v>123</v>
      </c>
      <c r="E1982" s="8" t="s">
        <v>50</v>
      </c>
      <c r="F1982" s="8" t="s">
        <v>29</v>
      </c>
      <c r="G1982" s="8" t="s">
        <v>32</v>
      </c>
      <c r="H1982" s="8" t="s">
        <v>43</v>
      </c>
      <c r="I1982" s="11">
        <v>20</v>
      </c>
      <c r="J1982" s="12">
        <v>45.22</v>
      </c>
      <c r="K1982" s="13">
        <v>0</v>
      </c>
      <c r="L1982" s="12">
        <v>24.91</v>
      </c>
      <c r="M1982" s="14">
        <f>ROUND(tblSprzedaz[[#This Row],[Ilość]]*tblSprzedaz[[#This Row],[Cena netto jednostkowa]]*(1-tblSprzedaz[[#This Row],[Rabat %]]),2)</f>
        <v>904.4</v>
      </c>
      <c r="N1982" s="14">
        <f>ROUND(tblSprzedaz[[#This Row],[Ilość]]*tblSprzedaz[[#This Row],[Koszt jednostkowy netto]],2)</f>
        <v>498.2</v>
      </c>
      <c r="O1982" s="14">
        <f>tblSprzedaz[[#This Row],[Przychód netto]]-tblSprzedaz[[#This Row],[Koszt całkowity netto]]</f>
        <v>406.2</v>
      </c>
      <c r="P1982" s="15">
        <f>IFERROR(tblSprzedaz[[#This Row],[Marża kwotowa]]/tblSprzedaz[[#This Row],[Przychód netto]],0)</f>
        <v>0.4491375497567448</v>
      </c>
      <c r="Q1982" s="16">
        <f>YEAR(tblSprzedaz[[#This Row],[Data]])</f>
        <v>2026</v>
      </c>
      <c r="R1982" s="16">
        <f>MONTH(tblSprzedaz[[#This Row],[Data]])</f>
        <v>6</v>
      </c>
      <c r="S1982" s="9" t="str">
        <f>YEAR(tblSprzedaz[[#This Row],[Data]])&amp;"-"&amp;RIGHT("0"&amp;MONTH(tblSprzedaz[[#This Row],[Data]]),2)</f>
        <v>2026-06</v>
      </c>
    </row>
    <row r="1983" spans="1:19" x14ac:dyDescent="0.25">
      <c r="A1983" s="7" t="s">
        <v>4133</v>
      </c>
      <c r="B1983" s="10">
        <v>46190</v>
      </c>
      <c r="C1983" s="7" t="s">
        <v>4134</v>
      </c>
      <c r="D1983" s="8" t="s">
        <v>107</v>
      </c>
      <c r="E1983" s="8" t="s">
        <v>76</v>
      </c>
      <c r="F1983" s="8" t="s">
        <v>37</v>
      </c>
      <c r="G1983" s="8" t="s">
        <v>30</v>
      </c>
      <c r="H1983" s="8" t="s">
        <v>40</v>
      </c>
      <c r="I1983" s="11">
        <v>25</v>
      </c>
      <c r="J1983" s="12">
        <v>158.65</v>
      </c>
      <c r="K1983" s="13">
        <v>0.1</v>
      </c>
      <c r="L1983" s="12">
        <v>123.04</v>
      </c>
      <c r="M1983" s="14">
        <f>ROUND(tblSprzedaz[[#This Row],[Ilość]]*tblSprzedaz[[#This Row],[Cena netto jednostkowa]]*(1-tblSprzedaz[[#This Row],[Rabat %]]),2)</f>
        <v>3569.63</v>
      </c>
      <c r="N1983" s="14">
        <f>ROUND(tblSprzedaz[[#This Row],[Ilość]]*tblSprzedaz[[#This Row],[Koszt jednostkowy netto]],2)</f>
        <v>3076</v>
      </c>
      <c r="O1983" s="14">
        <f>tblSprzedaz[[#This Row],[Przychód netto]]-tblSprzedaz[[#This Row],[Koszt całkowity netto]]</f>
        <v>493.63000000000011</v>
      </c>
      <c r="P1983" s="15">
        <f>IFERROR(tblSprzedaz[[#This Row],[Marża kwotowa]]/tblSprzedaz[[#This Row],[Przychód netto]],0)</f>
        <v>0.13828604085017218</v>
      </c>
      <c r="Q1983" s="16">
        <f>YEAR(tblSprzedaz[[#This Row],[Data]])</f>
        <v>2026</v>
      </c>
      <c r="R1983" s="16">
        <f>MONTH(tblSprzedaz[[#This Row],[Data]])</f>
        <v>6</v>
      </c>
      <c r="S1983" s="9" t="str">
        <f>YEAR(tblSprzedaz[[#This Row],[Data]])&amp;"-"&amp;RIGHT("0"&amp;MONTH(tblSprzedaz[[#This Row],[Data]]),2)</f>
        <v>2026-06</v>
      </c>
    </row>
    <row r="1984" spans="1:19" x14ac:dyDescent="0.25">
      <c r="A1984" s="7" t="s">
        <v>4135</v>
      </c>
      <c r="B1984" s="10">
        <v>46190</v>
      </c>
      <c r="C1984" s="7" t="s">
        <v>4136</v>
      </c>
      <c r="D1984" s="8" t="s">
        <v>82</v>
      </c>
      <c r="E1984" s="8" t="s">
        <v>53</v>
      </c>
      <c r="F1984" s="8" t="s">
        <v>29</v>
      </c>
      <c r="G1984" s="8" t="s">
        <v>36</v>
      </c>
      <c r="H1984" s="8" t="s">
        <v>47</v>
      </c>
      <c r="I1984" s="11">
        <v>7</v>
      </c>
      <c r="J1984" s="12">
        <v>27.88</v>
      </c>
      <c r="K1984" s="13">
        <v>0</v>
      </c>
      <c r="L1984" s="12">
        <v>16.559999999999999</v>
      </c>
      <c r="M1984" s="14">
        <f>ROUND(tblSprzedaz[[#This Row],[Ilość]]*tblSprzedaz[[#This Row],[Cena netto jednostkowa]]*(1-tblSprzedaz[[#This Row],[Rabat %]]),2)</f>
        <v>195.16</v>
      </c>
      <c r="N1984" s="14">
        <f>ROUND(tblSprzedaz[[#This Row],[Ilość]]*tblSprzedaz[[#This Row],[Koszt jednostkowy netto]],2)</f>
        <v>115.92</v>
      </c>
      <c r="O1984" s="14">
        <f>tblSprzedaz[[#This Row],[Przychód netto]]-tblSprzedaz[[#This Row],[Koszt całkowity netto]]</f>
        <v>79.239999999999995</v>
      </c>
      <c r="P1984" s="15">
        <f>IFERROR(tblSprzedaz[[#This Row],[Marża kwotowa]]/tblSprzedaz[[#This Row],[Przychód netto]],0)</f>
        <v>0.40602582496413198</v>
      </c>
      <c r="Q1984" s="16">
        <f>YEAR(tblSprzedaz[[#This Row],[Data]])</f>
        <v>2026</v>
      </c>
      <c r="R1984" s="16">
        <f>MONTH(tblSprzedaz[[#This Row],[Data]])</f>
        <v>6</v>
      </c>
      <c r="S1984" s="9" t="str">
        <f>YEAR(tblSprzedaz[[#This Row],[Data]])&amp;"-"&amp;RIGHT("0"&amp;MONTH(tblSprzedaz[[#This Row],[Data]]),2)</f>
        <v>2026-06</v>
      </c>
    </row>
    <row r="1985" spans="1:19" x14ac:dyDescent="0.25">
      <c r="A1985" s="7" t="s">
        <v>4137</v>
      </c>
      <c r="B1985" s="10">
        <v>46190</v>
      </c>
      <c r="C1985" s="7" t="s">
        <v>4138</v>
      </c>
      <c r="D1985" s="8" t="s">
        <v>142</v>
      </c>
      <c r="E1985" s="8" t="s">
        <v>54</v>
      </c>
      <c r="F1985" s="8" t="s">
        <v>31</v>
      </c>
      <c r="G1985" s="8" t="s">
        <v>28</v>
      </c>
      <c r="H1985" s="8" t="s">
        <v>39</v>
      </c>
      <c r="I1985" s="11">
        <v>22</v>
      </c>
      <c r="J1985" s="12">
        <v>207.9</v>
      </c>
      <c r="K1985" s="13">
        <v>0.05</v>
      </c>
      <c r="L1985" s="12">
        <v>131.69</v>
      </c>
      <c r="M1985" s="14">
        <f>ROUND(tblSprzedaz[[#This Row],[Ilość]]*tblSprzedaz[[#This Row],[Cena netto jednostkowa]]*(1-tblSprzedaz[[#This Row],[Rabat %]]),2)</f>
        <v>4345.1099999999997</v>
      </c>
      <c r="N1985" s="14">
        <f>ROUND(tblSprzedaz[[#This Row],[Ilość]]*tblSprzedaz[[#This Row],[Koszt jednostkowy netto]],2)</f>
        <v>2897.18</v>
      </c>
      <c r="O1985" s="14">
        <f>tblSprzedaz[[#This Row],[Przychód netto]]-tblSprzedaz[[#This Row],[Koszt całkowity netto]]</f>
        <v>1447.9299999999998</v>
      </c>
      <c r="P1985" s="15">
        <f>IFERROR(tblSprzedaz[[#This Row],[Marża kwotowa]]/tblSprzedaz[[#This Row],[Przychód netto]],0)</f>
        <v>0.33323207007417532</v>
      </c>
      <c r="Q1985" s="16">
        <f>YEAR(tblSprzedaz[[#This Row],[Data]])</f>
        <v>2026</v>
      </c>
      <c r="R1985" s="16">
        <f>MONTH(tblSprzedaz[[#This Row],[Data]])</f>
        <v>6</v>
      </c>
      <c r="S1985" s="9" t="str">
        <f>YEAR(tblSprzedaz[[#This Row],[Data]])&amp;"-"&amp;RIGHT("0"&amp;MONTH(tblSprzedaz[[#This Row],[Data]]),2)</f>
        <v>2026-06</v>
      </c>
    </row>
    <row r="1986" spans="1:19" x14ac:dyDescent="0.25">
      <c r="A1986" s="7" t="s">
        <v>4139</v>
      </c>
      <c r="B1986" s="10">
        <v>46190</v>
      </c>
      <c r="C1986" s="7" t="s">
        <v>4140</v>
      </c>
      <c r="D1986" s="8" t="s">
        <v>147</v>
      </c>
      <c r="E1986" s="8" t="s">
        <v>64</v>
      </c>
      <c r="F1986" s="8" t="s">
        <v>33</v>
      </c>
      <c r="G1986" s="8" t="s">
        <v>32</v>
      </c>
      <c r="H1986" s="8" t="s">
        <v>42</v>
      </c>
      <c r="I1986" s="11">
        <v>13</v>
      </c>
      <c r="J1986" s="12">
        <v>768.2</v>
      </c>
      <c r="K1986" s="13">
        <v>0.05</v>
      </c>
      <c r="L1986" s="12">
        <v>518.63</v>
      </c>
      <c r="M1986" s="14">
        <f>ROUND(tblSprzedaz[[#This Row],[Ilość]]*tblSprzedaz[[#This Row],[Cena netto jednostkowa]]*(1-tblSprzedaz[[#This Row],[Rabat %]]),2)</f>
        <v>9487.27</v>
      </c>
      <c r="N1986" s="14">
        <f>ROUND(tblSprzedaz[[#This Row],[Ilość]]*tblSprzedaz[[#This Row],[Koszt jednostkowy netto]],2)</f>
        <v>6742.19</v>
      </c>
      <c r="O1986" s="14">
        <f>tblSprzedaz[[#This Row],[Przychód netto]]-tblSprzedaz[[#This Row],[Koszt całkowity netto]]</f>
        <v>2745.0800000000008</v>
      </c>
      <c r="P1986" s="15">
        <f>IFERROR(tblSprzedaz[[#This Row],[Marża kwotowa]]/tblSprzedaz[[#This Row],[Przychód netto]],0)</f>
        <v>0.28934350977678519</v>
      </c>
      <c r="Q1986" s="16">
        <f>YEAR(tblSprzedaz[[#This Row],[Data]])</f>
        <v>2026</v>
      </c>
      <c r="R1986" s="16">
        <f>MONTH(tblSprzedaz[[#This Row],[Data]])</f>
        <v>6</v>
      </c>
      <c r="S1986" s="9" t="str">
        <f>YEAR(tblSprzedaz[[#This Row],[Data]])&amp;"-"&amp;RIGHT("0"&amp;MONTH(tblSprzedaz[[#This Row],[Data]]),2)</f>
        <v>2026-06</v>
      </c>
    </row>
    <row r="1987" spans="1:19" x14ac:dyDescent="0.25">
      <c r="A1987" s="7" t="s">
        <v>4141</v>
      </c>
      <c r="B1987" s="10">
        <v>46191</v>
      </c>
      <c r="C1987" s="7" t="s">
        <v>4142</v>
      </c>
      <c r="D1987" s="8" t="s">
        <v>121</v>
      </c>
      <c r="E1987" s="8" t="s">
        <v>61</v>
      </c>
      <c r="F1987" s="8" t="s">
        <v>33</v>
      </c>
      <c r="G1987" s="8" t="s">
        <v>28</v>
      </c>
      <c r="H1987" s="8" t="s">
        <v>38</v>
      </c>
      <c r="I1987" s="11">
        <v>7</v>
      </c>
      <c r="J1987" s="12">
        <v>533.6</v>
      </c>
      <c r="K1987" s="13">
        <v>0.05</v>
      </c>
      <c r="L1987" s="12">
        <v>378.57</v>
      </c>
      <c r="M1987" s="14">
        <f>ROUND(tblSprzedaz[[#This Row],[Ilość]]*tblSprzedaz[[#This Row],[Cena netto jednostkowa]]*(1-tblSprzedaz[[#This Row],[Rabat %]]),2)</f>
        <v>3548.44</v>
      </c>
      <c r="N1987" s="14">
        <f>ROUND(tblSprzedaz[[#This Row],[Ilość]]*tblSprzedaz[[#This Row],[Koszt jednostkowy netto]],2)</f>
        <v>2649.99</v>
      </c>
      <c r="O1987" s="14">
        <f>tblSprzedaz[[#This Row],[Przychód netto]]-tblSprzedaz[[#This Row],[Koszt całkowity netto]]</f>
        <v>898.45000000000027</v>
      </c>
      <c r="P1987" s="15">
        <f>IFERROR(tblSprzedaz[[#This Row],[Marża kwotowa]]/tblSprzedaz[[#This Row],[Przychód netto]],0)</f>
        <v>0.25319577053578479</v>
      </c>
      <c r="Q1987" s="16">
        <f>YEAR(tblSprzedaz[[#This Row],[Data]])</f>
        <v>2026</v>
      </c>
      <c r="R1987" s="16">
        <f>MONTH(tblSprzedaz[[#This Row],[Data]])</f>
        <v>6</v>
      </c>
      <c r="S1987" s="9" t="str">
        <f>YEAR(tblSprzedaz[[#This Row],[Data]])&amp;"-"&amp;RIGHT("0"&amp;MONTH(tblSprzedaz[[#This Row],[Data]]),2)</f>
        <v>2026-06</v>
      </c>
    </row>
    <row r="1988" spans="1:19" x14ac:dyDescent="0.25">
      <c r="A1988" s="7" t="s">
        <v>4143</v>
      </c>
      <c r="B1988" s="10">
        <v>46191</v>
      </c>
      <c r="C1988" s="7" t="s">
        <v>4144</v>
      </c>
      <c r="D1988" s="8" t="s">
        <v>119</v>
      </c>
      <c r="E1988" s="8" t="s">
        <v>73</v>
      </c>
      <c r="F1988" s="8" t="s">
        <v>37</v>
      </c>
      <c r="G1988" s="8" t="s">
        <v>28</v>
      </c>
      <c r="H1988" s="8" t="s">
        <v>38</v>
      </c>
      <c r="I1988" s="11">
        <v>2</v>
      </c>
      <c r="J1988" s="12">
        <v>110.2</v>
      </c>
      <c r="K1988" s="13">
        <v>0</v>
      </c>
      <c r="L1988" s="12">
        <v>82.63</v>
      </c>
      <c r="M1988" s="14">
        <f>ROUND(tblSprzedaz[[#This Row],[Ilość]]*tblSprzedaz[[#This Row],[Cena netto jednostkowa]]*(1-tblSprzedaz[[#This Row],[Rabat %]]),2)</f>
        <v>220.4</v>
      </c>
      <c r="N1988" s="14">
        <f>ROUND(tblSprzedaz[[#This Row],[Ilość]]*tblSprzedaz[[#This Row],[Koszt jednostkowy netto]],2)</f>
        <v>165.26</v>
      </c>
      <c r="O1988" s="14">
        <f>tblSprzedaz[[#This Row],[Przychód netto]]-tblSprzedaz[[#This Row],[Koszt całkowity netto]]</f>
        <v>55.140000000000015</v>
      </c>
      <c r="P1988" s="15">
        <f>IFERROR(tblSprzedaz[[#This Row],[Marża kwotowa]]/tblSprzedaz[[#This Row],[Przychód netto]],0)</f>
        <v>0.25018148820326686</v>
      </c>
      <c r="Q1988" s="16">
        <f>YEAR(tblSprzedaz[[#This Row],[Data]])</f>
        <v>2026</v>
      </c>
      <c r="R1988" s="16">
        <f>MONTH(tblSprzedaz[[#This Row],[Data]])</f>
        <v>6</v>
      </c>
      <c r="S1988" s="9" t="str">
        <f>YEAR(tblSprzedaz[[#This Row],[Data]])&amp;"-"&amp;RIGHT("0"&amp;MONTH(tblSprzedaz[[#This Row],[Data]]),2)</f>
        <v>2026-06</v>
      </c>
    </row>
    <row r="1989" spans="1:19" x14ac:dyDescent="0.25">
      <c r="A1989" s="7" t="s">
        <v>4145</v>
      </c>
      <c r="B1989" s="10">
        <v>46191</v>
      </c>
      <c r="C1989" s="7" t="s">
        <v>4146</v>
      </c>
      <c r="D1989" s="8" t="s">
        <v>110</v>
      </c>
      <c r="E1989" s="8" t="s">
        <v>55</v>
      </c>
      <c r="F1989" s="8" t="s">
        <v>31</v>
      </c>
      <c r="G1989" s="8" t="s">
        <v>28</v>
      </c>
      <c r="H1989" s="8" t="s">
        <v>38</v>
      </c>
      <c r="I1989" s="11">
        <v>18</v>
      </c>
      <c r="J1989" s="12">
        <v>243.6</v>
      </c>
      <c r="K1989" s="13">
        <v>0.1</v>
      </c>
      <c r="L1989" s="12">
        <v>158.24</v>
      </c>
      <c r="M1989" s="14">
        <f>ROUND(tblSprzedaz[[#This Row],[Ilość]]*tblSprzedaz[[#This Row],[Cena netto jednostkowa]]*(1-tblSprzedaz[[#This Row],[Rabat %]]),2)</f>
        <v>3946.32</v>
      </c>
      <c r="N1989" s="14">
        <f>ROUND(tblSprzedaz[[#This Row],[Ilość]]*tblSprzedaz[[#This Row],[Koszt jednostkowy netto]],2)</f>
        <v>2848.32</v>
      </c>
      <c r="O1989" s="14">
        <f>tblSprzedaz[[#This Row],[Przychód netto]]-tblSprzedaz[[#This Row],[Koszt całkowity netto]]</f>
        <v>1098</v>
      </c>
      <c r="P1989" s="15">
        <f>IFERROR(tblSprzedaz[[#This Row],[Marża kwotowa]]/tblSprzedaz[[#This Row],[Przychód netto]],0)</f>
        <v>0.2782338989235541</v>
      </c>
      <c r="Q1989" s="16">
        <f>YEAR(tblSprzedaz[[#This Row],[Data]])</f>
        <v>2026</v>
      </c>
      <c r="R1989" s="16">
        <f>MONTH(tblSprzedaz[[#This Row],[Data]])</f>
        <v>6</v>
      </c>
      <c r="S1989" s="9" t="str">
        <f>YEAR(tblSprzedaz[[#This Row],[Data]])&amp;"-"&amp;RIGHT("0"&amp;MONTH(tblSprzedaz[[#This Row],[Data]]),2)</f>
        <v>2026-06</v>
      </c>
    </row>
    <row r="1990" spans="1:19" x14ac:dyDescent="0.25">
      <c r="A1990" s="7" t="s">
        <v>4147</v>
      </c>
      <c r="B1990" s="10">
        <v>46191</v>
      </c>
      <c r="C1990" s="7" t="s">
        <v>4148</v>
      </c>
      <c r="D1990" s="8" t="s">
        <v>89</v>
      </c>
      <c r="E1990" s="8" t="s">
        <v>76</v>
      </c>
      <c r="F1990" s="8" t="s">
        <v>37</v>
      </c>
      <c r="G1990" s="8" t="s">
        <v>34</v>
      </c>
      <c r="H1990" s="8" t="s">
        <v>44</v>
      </c>
      <c r="I1990" s="11">
        <v>9</v>
      </c>
      <c r="J1990" s="12">
        <v>158.65</v>
      </c>
      <c r="K1990" s="13">
        <v>0.05</v>
      </c>
      <c r="L1990" s="12">
        <v>126.74</v>
      </c>
      <c r="M1990" s="14">
        <f>ROUND(tblSprzedaz[[#This Row],[Ilość]]*tblSprzedaz[[#This Row],[Cena netto jednostkowa]]*(1-tblSprzedaz[[#This Row],[Rabat %]]),2)</f>
        <v>1356.46</v>
      </c>
      <c r="N1990" s="14">
        <f>ROUND(tblSprzedaz[[#This Row],[Ilość]]*tblSprzedaz[[#This Row],[Koszt jednostkowy netto]],2)</f>
        <v>1140.6600000000001</v>
      </c>
      <c r="O1990" s="14">
        <f>tblSprzedaz[[#This Row],[Przychód netto]]-tblSprzedaz[[#This Row],[Koszt całkowity netto]]</f>
        <v>215.79999999999995</v>
      </c>
      <c r="P1990" s="15">
        <f>IFERROR(tblSprzedaz[[#This Row],[Marża kwotowa]]/tblSprzedaz[[#This Row],[Przychód netto]],0)</f>
        <v>0.15909057399407278</v>
      </c>
      <c r="Q1990" s="16">
        <f>YEAR(tblSprzedaz[[#This Row],[Data]])</f>
        <v>2026</v>
      </c>
      <c r="R1990" s="16">
        <f>MONTH(tblSprzedaz[[#This Row],[Data]])</f>
        <v>6</v>
      </c>
      <c r="S1990" s="9" t="str">
        <f>YEAR(tblSprzedaz[[#This Row],[Data]])&amp;"-"&amp;RIGHT("0"&amp;MONTH(tblSprzedaz[[#This Row],[Data]]),2)</f>
        <v>2026-06</v>
      </c>
    </row>
    <row r="1991" spans="1:19" x14ac:dyDescent="0.25">
      <c r="A1991" s="7" t="s">
        <v>4149</v>
      </c>
      <c r="B1991" s="10">
        <v>46192</v>
      </c>
      <c r="C1991" s="7" t="s">
        <v>4150</v>
      </c>
      <c r="D1991" s="8" t="s">
        <v>92</v>
      </c>
      <c r="E1991" s="8" t="s">
        <v>57</v>
      </c>
      <c r="F1991" s="8" t="s">
        <v>31</v>
      </c>
      <c r="G1991" s="8" t="s">
        <v>34</v>
      </c>
      <c r="H1991" s="8" t="s">
        <v>45</v>
      </c>
      <c r="I1991" s="11">
        <v>11</v>
      </c>
      <c r="J1991" s="12">
        <v>315</v>
      </c>
      <c r="K1991" s="13">
        <v>0</v>
      </c>
      <c r="L1991" s="12">
        <v>211.11</v>
      </c>
      <c r="M1991" s="14">
        <f>ROUND(tblSprzedaz[[#This Row],[Ilość]]*tblSprzedaz[[#This Row],[Cena netto jednostkowa]]*(1-tblSprzedaz[[#This Row],[Rabat %]]),2)</f>
        <v>3465</v>
      </c>
      <c r="N1991" s="14">
        <f>ROUND(tblSprzedaz[[#This Row],[Ilość]]*tblSprzedaz[[#This Row],[Koszt jednostkowy netto]],2)</f>
        <v>2322.21</v>
      </c>
      <c r="O1991" s="14">
        <f>tblSprzedaz[[#This Row],[Przychód netto]]-tblSprzedaz[[#This Row],[Koszt całkowity netto]]</f>
        <v>1142.79</v>
      </c>
      <c r="P1991" s="15">
        <f>IFERROR(tblSprzedaz[[#This Row],[Marża kwotowa]]/tblSprzedaz[[#This Row],[Przychód netto]],0)</f>
        <v>0.32980952380952377</v>
      </c>
      <c r="Q1991" s="16">
        <f>YEAR(tblSprzedaz[[#This Row],[Data]])</f>
        <v>2026</v>
      </c>
      <c r="R1991" s="16">
        <f>MONTH(tblSprzedaz[[#This Row],[Data]])</f>
        <v>6</v>
      </c>
      <c r="S1991" s="9" t="str">
        <f>YEAR(tblSprzedaz[[#This Row],[Data]])&amp;"-"&amp;RIGHT("0"&amp;MONTH(tblSprzedaz[[#This Row],[Data]]),2)</f>
        <v>2026-06</v>
      </c>
    </row>
    <row r="1992" spans="1:19" x14ac:dyDescent="0.25">
      <c r="A1992" s="7" t="s">
        <v>4151</v>
      </c>
      <c r="B1992" s="10">
        <v>46192</v>
      </c>
      <c r="C1992" s="7" t="s">
        <v>4152</v>
      </c>
      <c r="D1992" s="8" t="s">
        <v>97</v>
      </c>
      <c r="E1992" s="8" t="s">
        <v>68</v>
      </c>
      <c r="F1992" s="8" t="s">
        <v>35</v>
      </c>
      <c r="G1992" s="8" t="s">
        <v>32</v>
      </c>
      <c r="H1992" s="8" t="s">
        <v>43</v>
      </c>
      <c r="I1992" s="11">
        <v>30</v>
      </c>
      <c r="J1992" s="12">
        <v>90.44</v>
      </c>
      <c r="K1992" s="13">
        <v>0.15</v>
      </c>
      <c r="L1992" s="12">
        <v>65.38</v>
      </c>
      <c r="M1992" s="14">
        <f>ROUND(tblSprzedaz[[#This Row],[Ilość]]*tblSprzedaz[[#This Row],[Cena netto jednostkowa]]*(1-tblSprzedaz[[#This Row],[Rabat %]]),2)</f>
        <v>2306.2199999999998</v>
      </c>
      <c r="N1992" s="14">
        <f>ROUND(tblSprzedaz[[#This Row],[Ilość]]*tblSprzedaz[[#This Row],[Koszt jednostkowy netto]],2)</f>
        <v>1961.4</v>
      </c>
      <c r="O1992" s="14">
        <f>tblSprzedaz[[#This Row],[Przychód netto]]-tblSprzedaz[[#This Row],[Koszt całkowity netto]]</f>
        <v>344.81999999999971</v>
      </c>
      <c r="P1992" s="15">
        <f>IFERROR(tblSprzedaz[[#This Row],[Marża kwotowa]]/tblSprzedaz[[#This Row],[Przychód netto]],0)</f>
        <v>0.14951739209615725</v>
      </c>
      <c r="Q1992" s="16">
        <f>YEAR(tblSprzedaz[[#This Row],[Data]])</f>
        <v>2026</v>
      </c>
      <c r="R1992" s="16">
        <f>MONTH(tblSprzedaz[[#This Row],[Data]])</f>
        <v>6</v>
      </c>
      <c r="S1992" s="9" t="str">
        <f>YEAR(tblSprzedaz[[#This Row],[Data]])&amp;"-"&amp;RIGHT("0"&amp;MONTH(tblSprzedaz[[#This Row],[Data]]),2)</f>
        <v>2026-06</v>
      </c>
    </row>
    <row r="1993" spans="1:19" x14ac:dyDescent="0.25">
      <c r="A1993" s="7" t="s">
        <v>4153</v>
      </c>
      <c r="B1993" s="10">
        <v>46192</v>
      </c>
      <c r="C1993" s="7" t="s">
        <v>4154</v>
      </c>
      <c r="D1993" s="8" t="s">
        <v>134</v>
      </c>
      <c r="E1993" s="8" t="s">
        <v>69</v>
      </c>
      <c r="F1993" s="8" t="s">
        <v>35</v>
      </c>
      <c r="G1993" s="8" t="s">
        <v>28</v>
      </c>
      <c r="H1993" s="8" t="s">
        <v>39</v>
      </c>
      <c r="I1993" s="11">
        <v>3</v>
      </c>
      <c r="J1993" s="12">
        <v>102</v>
      </c>
      <c r="K1993" s="13">
        <v>0.05</v>
      </c>
      <c r="L1993" s="12">
        <v>72.36</v>
      </c>
      <c r="M1993" s="14">
        <f>ROUND(tblSprzedaz[[#This Row],[Ilość]]*tblSprzedaz[[#This Row],[Cena netto jednostkowa]]*(1-tblSprzedaz[[#This Row],[Rabat %]]),2)</f>
        <v>290.7</v>
      </c>
      <c r="N1993" s="14">
        <f>ROUND(tblSprzedaz[[#This Row],[Ilość]]*tblSprzedaz[[#This Row],[Koszt jednostkowy netto]],2)</f>
        <v>217.08</v>
      </c>
      <c r="O1993" s="14">
        <f>tblSprzedaz[[#This Row],[Przychód netto]]-tblSprzedaz[[#This Row],[Koszt całkowity netto]]</f>
        <v>73.619999999999976</v>
      </c>
      <c r="P1993" s="15">
        <f>IFERROR(tblSprzedaz[[#This Row],[Marża kwotowa]]/tblSprzedaz[[#This Row],[Przychód netto]],0)</f>
        <v>0.25325077399380796</v>
      </c>
      <c r="Q1993" s="16">
        <f>YEAR(tblSprzedaz[[#This Row],[Data]])</f>
        <v>2026</v>
      </c>
      <c r="R1993" s="16">
        <f>MONTH(tblSprzedaz[[#This Row],[Data]])</f>
        <v>6</v>
      </c>
      <c r="S1993" s="9" t="str">
        <f>YEAR(tblSprzedaz[[#This Row],[Data]])&amp;"-"&amp;RIGHT("0"&amp;MONTH(tblSprzedaz[[#This Row],[Data]]),2)</f>
        <v>2026-06</v>
      </c>
    </row>
    <row r="1994" spans="1:19" x14ac:dyDescent="0.25">
      <c r="A1994" s="7" t="s">
        <v>4155</v>
      </c>
      <c r="B1994" s="10">
        <v>46192</v>
      </c>
      <c r="C1994" s="7" t="s">
        <v>4156</v>
      </c>
      <c r="D1994" s="8" t="s">
        <v>128</v>
      </c>
      <c r="E1994" s="8" t="s">
        <v>65</v>
      </c>
      <c r="F1994" s="8" t="s">
        <v>33</v>
      </c>
      <c r="G1994" s="8" t="s">
        <v>28</v>
      </c>
      <c r="H1994" s="8" t="s">
        <v>39</v>
      </c>
      <c r="I1994" s="11">
        <v>23</v>
      </c>
      <c r="J1994" s="12">
        <v>377.2</v>
      </c>
      <c r="K1994" s="13">
        <v>0.15</v>
      </c>
      <c r="L1994" s="12">
        <v>241.65</v>
      </c>
      <c r="M1994" s="14">
        <f>ROUND(tblSprzedaz[[#This Row],[Ilość]]*tblSprzedaz[[#This Row],[Cena netto jednostkowa]]*(1-tblSprzedaz[[#This Row],[Rabat %]]),2)</f>
        <v>7374.26</v>
      </c>
      <c r="N1994" s="14">
        <f>ROUND(tblSprzedaz[[#This Row],[Ilość]]*tblSprzedaz[[#This Row],[Koszt jednostkowy netto]],2)</f>
        <v>5557.95</v>
      </c>
      <c r="O1994" s="14">
        <f>tblSprzedaz[[#This Row],[Przychód netto]]-tblSprzedaz[[#This Row],[Koszt całkowity netto]]</f>
        <v>1816.3100000000004</v>
      </c>
      <c r="P1994" s="15">
        <f>IFERROR(tblSprzedaz[[#This Row],[Marża kwotowa]]/tblSprzedaz[[#This Row],[Przychód netto]],0)</f>
        <v>0.24630403593038491</v>
      </c>
      <c r="Q1994" s="16">
        <f>YEAR(tblSprzedaz[[#This Row],[Data]])</f>
        <v>2026</v>
      </c>
      <c r="R1994" s="16">
        <f>MONTH(tblSprzedaz[[#This Row],[Data]])</f>
        <v>6</v>
      </c>
      <c r="S1994" s="9" t="str">
        <f>YEAR(tblSprzedaz[[#This Row],[Data]])&amp;"-"&amp;RIGHT("0"&amp;MONTH(tblSprzedaz[[#This Row],[Data]]),2)</f>
        <v>2026-06</v>
      </c>
    </row>
    <row r="1995" spans="1:19" x14ac:dyDescent="0.25">
      <c r="A1995" s="7" t="s">
        <v>4157</v>
      </c>
      <c r="B1995" s="10">
        <v>46192</v>
      </c>
      <c r="C1995" s="7" t="s">
        <v>4158</v>
      </c>
      <c r="D1995" s="8" t="s">
        <v>87</v>
      </c>
      <c r="E1995" s="8" t="s">
        <v>66</v>
      </c>
      <c r="F1995" s="8" t="s">
        <v>35</v>
      </c>
      <c r="G1995" s="8" t="s">
        <v>30</v>
      </c>
      <c r="H1995" s="8" t="s">
        <v>40</v>
      </c>
      <c r="I1995" s="11">
        <v>15</v>
      </c>
      <c r="J1995" s="12">
        <v>67.319999999999993</v>
      </c>
      <c r="K1995" s="13">
        <v>0.1</v>
      </c>
      <c r="L1995" s="12">
        <v>46.27</v>
      </c>
      <c r="M1995" s="14">
        <f>ROUND(tblSprzedaz[[#This Row],[Ilość]]*tblSprzedaz[[#This Row],[Cena netto jednostkowa]]*(1-tblSprzedaz[[#This Row],[Rabat %]]),2)</f>
        <v>908.82</v>
      </c>
      <c r="N1995" s="14">
        <f>ROUND(tblSprzedaz[[#This Row],[Ilość]]*tblSprzedaz[[#This Row],[Koszt jednostkowy netto]],2)</f>
        <v>694.05</v>
      </c>
      <c r="O1995" s="14">
        <f>tblSprzedaz[[#This Row],[Przychód netto]]-tblSprzedaz[[#This Row],[Koszt całkowity netto]]</f>
        <v>214.7700000000001</v>
      </c>
      <c r="P1995" s="15">
        <f>IFERROR(tblSprzedaz[[#This Row],[Marża kwotowa]]/tblSprzedaz[[#This Row],[Przychód netto]],0)</f>
        <v>0.23631742259193247</v>
      </c>
      <c r="Q1995" s="16">
        <f>YEAR(tblSprzedaz[[#This Row],[Data]])</f>
        <v>2026</v>
      </c>
      <c r="R1995" s="16">
        <f>MONTH(tblSprzedaz[[#This Row],[Data]])</f>
        <v>6</v>
      </c>
      <c r="S1995" s="9" t="str">
        <f>YEAR(tblSprzedaz[[#This Row],[Data]])&amp;"-"&amp;RIGHT("0"&amp;MONTH(tblSprzedaz[[#This Row],[Data]]),2)</f>
        <v>2026-06</v>
      </c>
    </row>
    <row r="1996" spans="1:19" x14ac:dyDescent="0.25">
      <c r="A1996" s="7" t="s">
        <v>4159</v>
      </c>
      <c r="B1996" s="10">
        <v>46192</v>
      </c>
      <c r="C1996" s="7" t="s">
        <v>4160</v>
      </c>
      <c r="D1996" s="8" t="s">
        <v>109</v>
      </c>
      <c r="E1996" s="8" t="s">
        <v>53</v>
      </c>
      <c r="F1996" s="8" t="s">
        <v>29</v>
      </c>
      <c r="G1996" s="8" t="s">
        <v>34</v>
      </c>
      <c r="H1996" s="8" t="s">
        <v>45</v>
      </c>
      <c r="I1996" s="11">
        <v>4</v>
      </c>
      <c r="J1996" s="12">
        <v>27.88</v>
      </c>
      <c r="K1996" s="13">
        <v>0</v>
      </c>
      <c r="L1996" s="12">
        <v>15.83</v>
      </c>
      <c r="M1996" s="14">
        <f>ROUND(tblSprzedaz[[#This Row],[Ilość]]*tblSprzedaz[[#This Row],[Cena netto jednostkowa]]*(1-tblSprzedaz[[#This Row],[Rabat %]]),2)</f>
        <v>111.52</v>
      </c>
      <c r="N1996" s="14">
        <f>ROUND(tblSprzedaz[[#This Row],[Ilość]]*tblSprzedaz[[#This Row],[Koszt jednostkowy netto]],2)</f>
        <v>63.32</v>
      </c>
      <c r="O1996" s="14">
        <f>tblSprzedaz[[#This Row],[Przychód netto]]-tblSprzedaz[[#This Row],[Koszt całkowity netto]]</f>
        <v>48.199999999999996</v>
      </c>
      <c r="P1996" s="15">
        <f>IFERROR(tblSprzedaz[[#This Row],[Marża kwotowa]]/tblSprzedaz[[#This Row],[Przychód netto]],0)</f>
        <v>0.43220946915351505</v>
      </c>
      <c r="Q1996" s="16">
        <f>YEAR(tblSprzedaz[[#This Row],[Data]])</f>
        <v>2026</v>
      </c>
      <c r="R1996" s="16">
        <f>MONTH(tblSprzedaz[[#This Row],[Data]])</f>
        <v>6</v>
      </c>
      <c r="S1996" s="9" t="str">
        <f>YEAR(tblSprzedaz[[#This Row],[Data]])&amp;"-"&amp;RIGHT("0"&amp;MONTH(tblSprzedaz[[#This Row],[Data]]),2)</f>
        <v>2026-06</v>
      </c>
    </row>
    <row r="1997" spans="1:19" x14ac:dyDescent="0.25">
      <c r="A1997" s="7" t="s">
        <v>4161</v>
      </c>
      <c r="B1997" s="10">
        <v>46193</v>
      </c>
      <c r="C1997" s="7" t="s">
        <v>4162</v>
      </c>
      <c r="D1997" s="8" t="s">
        <v>143</v>
      </c>
      <c r="E1997" s="8" t="s">
        <v>53</v>
      </c>
      <c r="F1997" s="8" t="s">
        <v>29</v>
      </c>
      <c r="G1997" s="8" t="s">
        <v>34</v>
      </c>
      <c r="H1997" s="8" t="s">
        <v>45</v>
      </c>
      <c r="I1997" s="11">
        <v>1</v>
      </c>
      <c r="J1997" s="12">
        <v>27.88</v>
      </c>
      <c r="K1997" s="13">
        <v>0.15</v>
      </c>
      <c r="L1997" s="12">
        <v>16.149999999999999</v>
      </c>
      <c r="M1997" s="14">
        <f>ROUND(tblSprzedaz[[#This Row],[Ilość]]*tblSprzedaz[[#This Row],[Cena netto jednostkowa]]*(1-tblSprzedaz[[#This Row],[Rabat %]]),2)</f>
        <v>23.7</v>
      </c>
      <c r="N1997" s="14">
        <f>ROUND(tblSprzedaz[[#This Row],[Ilość]]*tblSprzedaz[[#This Row],[Koszt jednostkowy netto]],2)</f>
        <v>16.149999999999999</v>
      </c>
      <c r="O1997" s="14">
        <f>tblSprzedaz[[#This Row],[Przychód netto]]-tblSprzedaz[[#This Row],[Koszt całkowity netto]]</f>
        <v>7.5500000000000007</v>
      </c>
      <c r="P1997" s="15">
        <f>IFERROR(tblSprzedaz[[#This Row],[Marża kwotowa]]/tblSprzedaz[[#This Row],[Przychód netto]],0)</f>
        <v>0.31856540084388191</v>
      </c>
      <c r="Q1997" s="16">
        <f>YEAR(tblSprzedaz[[#This Row],[Data]])</f>
        <v>2026</v>
      </c>
      <c r="R1997" s="16">
        <f>MONTH(tblSprzedaz[[#This Row],[Data]])</f>
        <v>6</v>
      </c>
      <c r="S1997" s="9" t="str">
        <f>YEAR(tblSprzedaz[[#This Row],[Data]])&amp;"-"&amp;RIGHT("0"&amp;MONTH(tblSprzedaz[[#This Row],[Data]]),2)</f>
        <v>2026-06</v>
      </c>
    </row>
    <row r="1998" spans="1:19" x14ac:dyDescent="0.25">
      <c r="A1998" s="7" t="s">
        <v>4163</v>
      </c>
      <c r="B1998" s="10">
        <v>46194</v>
      </c>
      <c r="C1998" s="7" t="s">
        <v>4164</v>
      </c>
      <c r="D1998" s="8" t="s">
        <v>105</v>
      </c>
      <c r="E1998" s="8" t="s">
        <v>60</v>
      </c>
      <c r="F1998" s="8" t="s">
        <v>33</v>
      </c>
      <c r="G1998" s="8" t="s">
        <v>28</v>
      </c>
      <c r="H1998" s="8" t="s">
        <v>38</v>
      </c>
      <c r="I1998" s="11">
        <v>20</v>
      </c>
      <c r="J1998" s="12">
        <v>455.4</v>
      </c>
      <c r="K1998" s="13">
        <v>0.15</v>
      </c>
      <c r="L1998" s="12">
        <v>312.51</v>
      </c>
      <c r="M1998" s="14">
        <f>ROUND(tblSprzedaz[[#This Row],[Ilość]]*tblSprzedaz[[#This Row],[Cena netto jednostkowa]]*(1-tblSprzedaz[[#This Row],[Rabat %]]),2)</f>
        <v>7741.8</v>
      </c>
      <c r="N1998" s="14">
        <f>ROUND(tblSprzedaz[[#This Row],[Ilość]]*tblSprzedaz[[#This Row],[Koszt jednostkowy netto]],2)</f>
        <v>6250.2</v>
      </c>
      <c r="O1998" s="14">
        <f>tblSprzedaz[[#This Row],[Przychód netto]]-tblSprzedaz[[#This Row],[Koszt całkowity netto]]</f>
        <v>1491.6000000000004</v>
      </c>
      <c r="P1998" s="15">
        <f>IFERROR(tblSprzedaz[[#This Row],[Marża kwotowa]]/tblSprzedaz[[#This Row],[Przychód netto]],0)</f>
        <v>0.19266837169650472</v>
      </c>
      <c r="Q1998" s="16">
        <f>YEAR(tblSprzedaz[[#This Row],[Data]])</f>
        <v>2026</v>
      </c>
      <c r="R1998" s="16">
        <f>MONTH(tblSprzedaz[[#This Row],[Data]])</f>
        <v>6</v>
      </c>
      <c r="S1998" s="9" t="str">
        <f>YEAR(tblSprzedaz[[#This Row],[Data]])&amp;"-"&amp;RIGHT("0"&amp;MONTH(tblSprzedaz[[#This Row],[Data]]),2)</f>
        <v>2026-06</v>
      </c>
    </row>
    <row r="1999" spans="1:19" x14ac:dyDescent="0.25">
      <c r="A1999" s="7" t="s">
        <v>4165</v>
      </c>
      <c r="B1999" s="10">
        <v>46195</v>
      </c>
      <c r="C1999" s="7" t="s">
        <v>4166</v>
      </c>
      <c r="D1999" s="8" t="s">
        <v>91</v>
      </c>
      <c r="E1999" s="8" t="s">
        <v>73</v>
      </c>
      <c r="F1999" s="8" t="s">
        <v>37</v>
      </c>
      <c r="G1999" s="8" t="s">
        <v>28</v>
      </c>
      <c r="H1999" s="8" t="s">
        <v>38</v>
      </c>
      <c r="I1999" s="11">
        <v>13</v>
      </c>
      <c r="J1999" s="12">
        <v>110.2</v>
      </c>
      <c r="K1999" s="13">
        <v>0.1</v>
      </c>
      <c r="L1999" s="12">
        <v>85.48</v>
      </c>
      <c r="M1999" s="14">
        <f>ROUND(tblSprzedaz[[#This Row],[Ilość]]*tblSprzedaz[[#This Row],[Cena netto jednostkowa]]*(1-tblSprzedaz[[#This Row],[Rabat %]]),2)</f>
        <v>1289.3399999999999</v>
      </c>
      <c r="N1999" s="14">
        <f>ROUND(tblSprzedaz[[#This Row],[Ilość]]*tblSprzedaz[[#This Row],[Koszt jednostkowy netto]],2)</f>
        <v>1111.24</v>
      </c>
      <c r="O1999" s="14">
        <f>tblSprzedaz[[#This Row],[Przychód netto]]-tblSprzedaz[[#This Row],[Koszt całkowity netto]]</f>
        <v>178.09999999999991</v>
      </c>
      <c r="P1999" s="15">
        <f>IFERROR(tblSprzedaz[[#This Row],[Marża kwotowa]]/tblSprzedaz[[#This Row],[Przychód netto]],0)</f>
        <v>0.13813268804194387</v>
      </c>
      <c r="Q1999" s="16">
        <f>YEAR(tblSprzedaz[[#This Row],[Data]])</f>
        <v>2026</v>
      </c>
      <c r="R1999" s="16">
        <f>MONTH(tblSprzedaz[[#This Row],[Data]])</f>
        <v>6</v>
      </c>
      <c r="S1999" s="9" t="str">
        <f>YEAR(tblSprzedaz[[#This Row],[Data]])&amp;"-"&amp;RIGHT("0"&amp;MONTH(tblSprzedaz[[#This Row],[Data]]),2)</f>
        <v>2026-06</v>
      </c>
    </row>
    <row r="2000" spans="1:19" x14ac:dyDescent="0.25">
      <c r="A2000" s="7" t="s">
        <v>4167</v>
      </c>
      <c r="B2000" s="10">
        <v>46195</v>
      </c>
      <c r="C2000" s="7" t="s">
        <v>4168</v>
      </c>
      <c r="D2000" s="8" t="s">
        <v>149</v>
      </c>
      <c r="E2000" s="8" t="s">
        <v>48</v>
      </c>
      <c r="F2000" s="8" t="s">
        <v>29</v>
      </c>
      <c r="G2000" s="8" t="s">
        <v>36</v>
      </c>
      <c r="H2000" s="8" t="s">
        <v>47</v>
      </c>
      <c r="I2000" s="11">
        <v>11</v>
      </c>
      <c r="J2000" s="12">
        <v>33.659999999999997</v>
      </c>
      <c r="K2000" s="13">
        <v>0.1</v>
      </c>
      <c r="L2000" s="12">
        <v>19.91</v>
      </c>
      <c r="M2000" s="14">
        <f>ROUND(tblSprzedaz[[#This Row],[Ilość]]*tblSprzedaz[[#This Row],[Cena netto jednostkowa]]*(1-tblSprzedaz[[#This Row],[Rabat %]]),2)</f>
        <v>333.23</v>
      </c>
      <c r="N2000" s="14">
        <f>ROUND(tblSprzedaz[[#This Row],[Ilość]]*tblSprzedaz[[#This Row],[Koszt jednostkowy netto]],2)</f>
        <v>219.01</v>
      </c>
      <c r="O2000" s="14">
        <f>tblSprzedaz[[#This Row],[Przychód netto]]-tblSprzedaz[[#This Row],[Koszt całkowity netto]]</f>
        <v>114.22000000000003</v>
      </c>
      <c r="P2000" s="15">
        <f>IFERROR(tblSprzedaz[[#This Row],[Marża kwotowa]]/tblSprzedaz[[#This Row],[Przychód netto]],0)</f>
        <v>0.34276625753983742</v>
      </c>
      <c r="Q2000" s="16">
        <f>YEAR(tblSprzedaz[[#This Row],[Data]])</f>
        <v>2026</v>
      </c>
      <c r="R2000" s="16">
        <f>MONTH(tblSprzedaz[[#This Row],[Data]])</f>
        <v>6</v>
      </c>
      <c r="S2000" s="9" t="str">
        <f>YEAR(tblSprzedaz[[#This Row],[Data]])&amp;"-"&amp;RIGHT("0"&amp;MONTH(tblSprzedaz[[#This Row],[Data]]),2)</f>
        <v>2026-06</v>
      </c>
    </row>
    <row r="2001" spans="1:19" x14ac:dyDescent="0.25">
      <c r="A2001" s="7" t="s">
        <v>4169</v>
      </c>
      <c r="B2001" s="10">
        <v>46195</v>
      </c>
      <c r="C2001" s="7" t="s">
        <v>4170</v>
      </c>
      <c r="D2001" s="8" t="s">
        <v>151</v>
      </c>
      <c r="E2001" s="8" t="s">
        <v>64</v>
      </c>
      <c r="F2001" s="8" t="s">
        <v>33</v>
      </c>
      <c r="G2001" s="8" t="s">
        <v>30</v>
      </c>
      <c r="H2001" s="8" t="s">
        <v>41</v>
      </c>
      <c r="I2001" s="11">
        <v>3</v>
      </c>
      <c r="J2001" s="12">
        <v>768.2</v>
      </c>
      <c r="K2001" s="13">
        <v>0.15</v>
      </c>
      <c r="L2001" s="12">
        <v>499.81</v>
      </c>
      <c r="M2001" s="14">
        <f>ROUND(tblSprzedaz[[#This Row],[Ilość]]*tblSprzedaz[[#This Row],[Cena netto jednostkowa]]*(1-tblSprzedaz[[#This Row],[Rabat %]]),2)</f>
        <v>1958.91</v>
      </c>
      <c r="N2001" s="14">
        <f>ROUND(tblSprzedaz[[#This Row],[Ilość]]*tblSprzedaz[[#This Row],[Koszt jednostkowy netto]],2)</f>
        <v>1499.43</v>
      </c>
      <c r="O2001" s="14">
        <f>tblSprzedaz[[#This Row],[Przychód netto]]-tblSprzedaz[[#This Row],[Koszt całkowity netto]]</f>
        <v>459.48</v>
      </c>
      <c r="P2001" s="15">
        <f>IFERROR(tblSprzedaz[[#This Row],[Marża kwotowa]]/tblSprzedaz[[#This Row],[Przychód netto]],0)</f>
        <v>0.23455901496240256</v>
      </c>
      <c r="Q2001" s="16">
        <f>YEAR(tblSprzedaz[[#This Row],[Data]])</f>
        <v>2026</v>
      </c>
      <c r="R2001" s="16">
        <f>MONTH(tblSprzedaz[[#This Row],[Data]])</f>
        <v>6</v>
      </c>
      <c r="S2001" s="9" t="str">
        <f>YEAR(tblSprzedaz[[#This Row],[Data]])&amp;"-"&amp;RIGHT("0"&amp;MONTH(tblSprzedaz[[#This Row],[Data]]),2)</f>
        <v>2026-06</v>
      </c>
    </row>
    <row r="2002" spans="1:19" x14ac:dyDescent="0.25">
      <c r="A2002" s="7" t="s">
        <v>4171</v>
      </c>
      <c r="B2002" s="10">
        <v>46195</v>
      </c>
      <c r="C2002" s="7" t="s">
        <v>4172</v>
      </c>
      <c r="D2002" s="8" t="s">
        <v>120</v>
      </c>
      <c r="E2002" s="8" t="s">
        <v>62</v>
      </c>
      <c r="F2002" s="8" t="s">
        <v>33</v>
      </c>
      <c r="G2002" s="8" t="s">
        <v>36</v>
      </c>
      <c r="H2002" s="8" t="s">
        <v>46</v>
      </c>
      <c r="I2002" s="11">
        <v>20</v>
      </c>
      <c r="J2002" s="12">
        <v>611.79999999999995</v>
      </c>
      <c r="K2002" s="13">
        <v>0</v>
      </c>
      <c r="L2002" s="12">
        <v>426.44</v>
      </c>
      <c r="M2002" s="14">
        <f>ROUND(tblSprzedaz[[#This Row],[Ilość]]*tblSprzedaz[[#This Row],[Cena netto jednostkowa]]*(1-tblSprzedaz[[#This Row],[Rabat %]]),2)</f>
        <v>12236</v>
      </c>
      <c r="N2002" s="14">
        <f>ROUND(tblSprzedaz[[#This Row],[Ilość]]*tblSprzedaz[[#This Row],[Koszt jednostkowy netto]],2)</f>
        <v>8528.7999999999993</v>
      </c>
      <c r="O2002" s="14">
        <f>tblSprzedaz[[#This Row],[Przychód netto]]-tblSprzedaz[[#This Row],[Koszt całkowity netto]]</f>
        <v>3707.2000000000007</v>
      </c>
      <c r="P2002" s="15">
        <f>IFERROR(tblSprzedaz[[#This Row],[Marża kwotowa]]/tblSprzedaz[[#This Row],[Przychód netto]],0)</f>
        <v>0.30297482837528611</v>
      </c>
      <c r="Q2002" s="16">
        <f>YEAR(tblSprzedaz[[#This Row],[Data]])</f>
        <v>2026</v>
      </c>
      <c r="R2002" s="16">
        <f>MONTH(tblSprzedaz[[#This Row],[Data]])</f>
        <v>6</v>
      </c>
      <c r="S2002" s="9" t="str">
        <f>YEAR(tblSprzedaz[[#This Row],[Data]])&amp;"-"&amp;RIGHT("0"&amp;MONTH(tblSprzedaz[[#This Row],[Data]]),2)</f>
        <v>2026-06</v>
      </c>
    </row>
    <row r="2003" spans="1:19" x14ac:dyDescent="0.25">
      <c r="A2003" s="7" t="s">
        <v>4173</v>
      </c>
      <c r="B2003" s="10">
        <v>46195</v>
      </c>
      <c r="C2003" s="7" t="s">
        <v>4174</v>
      </c>
      <c r="D2003" s="8" t="s">
        <v>152</v>
      </c>
      <c r="E2003" s="8" t="s">
        <v>56</v>
      </c>
      <c r="F2003" s="8" t="s">
        <v>31</v>
      </c>
      <c r="G2003" s="8" t="s">
        <v>32</v>
      </c>
      <c r="H2003" s="8" t="s">
        <v>43</v>
      </c>
      <c r="I2003" s="11">
        <v>29</v>
      </c>
      <c r="J2003" s="12">
        <v>279.3</v>
      </c>
      <c r="K2003" s="13">
        <v>0.1</v>
      </c>
      <c r="L2003" s="12">
        <v>169.8</v>
      </c>
      <c r="M2003" s="14">
        <f>ROUND(tblSprzedaz[[#This Row],[Ilość]]*tblSprzedaz[[#This Row],[Cena netto jednostkowa]]*(1-tblSprzedaz[[#This Row],[Rabat %]]),2)</f>
        <v>7289.73</v>
      </c>
      <c r="N2003" s="14">
        <f>ROUND(tblSprzedaz[[#This Row],[Ilość]]*tblSprzedaz[[#This Row],[Koszt jednostkowy netto]],2)</f>
        <v>4924.2</v>
      </c>
      <c r="O2003" s="14">
        <f>tblSprzedaz[[#This Row],[Przychód netto]]-tblSprzedaz[[#This Row],[Koszt całkowity netto]]</f>
        <v>2365.5299999999997</v>
      </c>
      <c r="P2003" s="15">
        <f>IFERROR(tblSprzedaz[[#This Row],[Marża kwotowa]]/tblSprzedaz[[#This Row],[Przychód netto]],0)</f>
        <v>0.32450173051676812</v>
      </c>
      <c r="Q2003" s="16">
        <f>YEAR(tblSprzedaz[[#This Row],[Data]])</f>
        <v>2026</v>
      </c>
      <c r="R2003" s="16">
        <f>MONTH(tblSprzedaz[[#This Row],[Data]])</f>
        <v>6</v>
      </c>
      <c r="S2003" s="9" t="str">
        <f>YEAR(tblSprzedaz[[#This Row],[Data]])&amp;"-"&amp;RIGHT("0"&amp;MONTH(tblSprzedaz[[#This Row],[Data]]),2)</f>
        <v>2026-06</v>
      </c>
    </row>
    <row r="2004" spans="1:19" x14ac:dyDescent="0.25">
      <c r="A2004" s="7" t="s">
        <v>4175</v>
      </c>
      <c r="B2004" s="10">
        <v>46195</v>
      </c>
      <c r="C2004" s="7" t="s">
        <v>4176</v>
      </c>
      <c r="D2004" s="8" t="s">
        <v>121</v>
      </c>
      <c r="E2004" s="8" t="s">
        <v>74</v>
      </c>
      <c r="F2004" s="8" t="s">
        <v>37</v>
      </c>
      <c r="G2004" s="8" t="s">
        <v>34</v>
      </c>
      <c r="H2004" s="8" t="s">
        <v>44</v>
      </c>
      <c r="I2004" s="11">
        <v>11</v>
      </c>
      <c r="J2004" s="12">
        <v>126.35</v>
      </c>
      <c r="K2004" s="13">
        <v>0.05</v>
      </c>
      <c r="L2004" s="12">
        <v>92.3</v>
      </c>
      <c r="M2004" s="14">
        <f>ROUND(tblSprzedaz[[#This Row],[Ilość]]*tblSprzedaz[[#This Row],[Cena netto jednostkowa]]*(1-tblSprzedaz[[#This Row],[Rabat %]]),2)</f>
        <v>1320.36</v>
      </c>
      <c r="N2004" s="14">
        <f>ROUND(tblSprzedaz[[#This Row],[Ilość]]*tblSprzedaz[[#This Row],[Koszt jednostkowy netto]],2)</f>
        <v>1015.3</v>
      </c>
      <c r="O2004" s="14">
        <f>tblSprzedaz[[#This Row],[Przychód netto]]-tblSprzedaz[[#This Row],[Koszt całkowity netto]]</f>
        <v>305.05999999999995</v>
      </c>
      <c r="P2004" s="15">
        <f>IFERROR(tblSprzedaz[[#This Row],[Marża kwotowa]]/tblSprzedaz[[#This Row],[Przychód netto]],0)</f>
        <v>0.2310430488654609</v>
      </c>
      <c r="Q2004" s="16">
        <f>YEAR(tblSprzedaz[[#This Row],[Data]])</f>
        <v>2026</v>
      </c>
      <c r="R2004" s="16">
        <f>MONTH(tblSprzedaz[[#This Row],[Data]])</f>
        <v>6</v>
      </c>
      <c r="S2004" s="9" t="str">
        <f>YEAR(tblSprzedaz[[#This Row],[Data]])&amp;"-"&amp;RIGHT("0"&amp;MONTH(tblSprzedaz[[#This Row],[Data]]),2)</f>
        <v>2026-06</v>
      </c>
    </row>
    <row r="2005" spans="1:19" x14ac:dyDescent="0.25">
      <c r="A2005" s="7" t="s">
        <v>4177</v>
      </c>
      <c r="B2005" s="10">
        <v>46195</v>
      </c>
      <c r="C2005" s="7" t="s">
        <v>4178</v>
      </c>
      <c r="D2005" s="8" t="s">
        <v>78</v>
      </c>
      <c r="E2005" s="8" t="s">
        <v>63</v>
      </c>
      <c r="F2005" s="8" t="s">
        <v>33</v>
      </c>
      <c r="G2005" s="8" t="s">
        <v>28</v>
      </c>
      <c r="H2005" s="8" t="s">
        <v>38</v>
      </c>
      <c r="I2005" s="11">
        <v>3</v>
      </c>
      <c r="J2005" s="12">
        <v>690</v>
      </c>
      <c r="K2005" s="13">
        <v>0.1</v>
      </c>
      <c r="L2005" s="12">
        <v>445.64</v>
      </c>
      <c r="M2005" s="14">
        <f>ROUND(tblSprzedaz[[#This Row],[Ilość]]*tblSprzedaz[[#This Row],[Cena netto jednostkowa]]*(1-tblSprzedaz[[#This Row],[Rabat %]]),2)</f>
        <v>1863</v>
      </c>
      <c r="N2005" s="14">
        <f>ROUND(tblSprzedaz[[#This Row],[Ilość]]*tblSprzedaz[[#This Row],[Koszt jednostkowy netto]],2)</f>
        <v>1336.92</v>
      </c>
      <c r="O2005" s="14">
        <f>tblSprzedaz[[#This Row],[Przychód netto]]-tblSprzedaz[[#This Row],[Koszt całkowity netto]]</f>
        <v>526.07999999999993</v>
      </c>
      <c r="P2005" s="15">
        <f>IFERROR(tblSprzedaz[[#This Row],[Marża kwotowa]]/tblSprzedaz[[#This Row],[Przychód netto]],0)</f>
        <v>0.28238325281803539</v>
      </c>
      <c r="Q2005" s="16">
        <f>YEAR(tblSprzedaz[[#This Row],[Data]])</f>
        <v>2026</v>
      </c>
      <c r="R2005" s="16">
        <f>MONTH(tblSprzedaz[[#This Row],[Data]])</f>
        <v>6</v>
      </c>
      <c r="S2005" s="9" t="str">
        <f>YEAR(tblSprzedaz[[#This Row],[Data]])&amp;"-"&amp;RIGHT("0"&amp;MONTH(tblSprzedaz[[#This Row],[Data]]),2)</f>
        <v>2026-06</v>
      </c>
    </row>
    <row r="2006" spans="1:19" x14ac:dyDescent="0.25">
      <c r="A2006" s="7" t="s">
        <v>4179</v>
      </c>
      <c r="B2006" s="10">
        <v>46196</v>
      </c>
      <c r="C2006" s="7" t="s">
        <v>4180</v>
      </c>
      <c r="D2006" s="8" t="s">
        <v>147</v>
      </c>
      <c r="E2006" s="8" t="s">
        <v>61</v>
      </c>
      <c r="F2006" s="8" t="s">
        <v>33</v>
      </c>
      <c r="G2006" s="8" t="s">
        <v>36</v>
      </c>
      <c r="H2006" s="8" t="s">
        <v>46</v>
      </c>
      <c r="I2006" s="11">
        <v>13</v>
      </c>
      <c r="J2006" s="12">
        <v>533.6</v>
      </c>
      <c r="K2006" s="13">
        <v>0.15</v>
      </c>
      <c r="L2006" s="12">
        <v>342.84</v>
      </c>
      <c r="M2006" s="14">
        <f>ROUND(tblSprzedaz[[#This Row],[Ilość]]*tblSprzedaz[[#This Row],[Cena netto jednostkowa]]*(1-tblSprzedaz[[#This Row],[Rabat %]]),2)</f>
        <v>5896.28</v>
      </c>
      <c r="N2006" s="14">
        <f>ROUND(tblSprzedaz[[#This Row],[Ilość]]*tblSprzedaz[[#This Row],[Koszt jednostkowy netto]],2)</f>
        <v>4456.92</v>
      </c>
      <c r="O2006" s="14">
        <f>tblSprzedaz[[#This Row],[Przychód netto]]-tblSprzedaz[[#This Row],[Koszt całkowity netto]]</f>
        <v>1439.3599999999997</v>
      </c>
      <c r="P2006" s="15">
        <f>IFERROR(tblSprzedaz[[#This Row],[Marża kwotowa]]/tblSprzedaz[[#This Row],[Przychód netto]],0)</f>
        <v>0.24411323749889757</v>
      </c>
      <c r="Q2006" s="16">
        <f>YEAR(tblSprzedaz[[#This Row],[Data]])</f>
        <v>2026</v>
      </c>
      <c r="R2006" s="16">
        <f>MONTH(tblSprzedaz[[#This Row],[Data]])</f>
        <v>6</v>
      </c>
      <c r="S2006" s="9" t="str">
        <f>YEAR(tblSprzedaz[[#This Row],[Data]])&amp;"-"&amp;RIGHT("0"&amp;MONTH(tblSprzedaz[[#This Row],[Data]]),2)</f>
        <v>2026-06</v>
      </c>
    </row>
    <row r="2007" spans="1:19" x14ac:dyDescent="0.25">
      <c r="A2007" s="7" t="s">
        <v>4181</v>
      </c>
      <c r="B2007" s="10">
        <v>46196</v>
      </c>
      <c r="C2007" s="7" t="s">
        <v>4182</v>
      </c>
      <c r="D2007" s="8" t="s">
        <v>126</v>
      </c>
      <c r="E2007" s="8" t="s">
        <v>56</v>
      </c>
      <c r="F2007" s="8" t="s">
        <v>31</v>
      </c>
      <c r="G2007" s="8" t="s">
        <v>32</v>
      </c>
      <c r="H2007" s="8" t="s">
        <v>42</v>
      </c>
      <c r="I2007" s="11">
        <v>8</v>
      </c>
      <c r="J2007" s="12">
        <v>279.3</v>
      </c>
      <c r="K2007" s="13">
        <v>0</v>
      </c>
      <c r="L2007" s="12">
        <v>178.12</v>
      </c>
      <c r="M2007" s="14">
        <f>ROUND(tblSprzedaz[[#This Row],[Ilość]]*tblSprzedaz[[#This Row],[Cena netto jednostkowa]]*(1-tblSprzedaz[[#This Row],[Rabat %]]),2)</f>
        <v>2234.4</v>
      </c>
      <c r="N2007" s="14">
        <f>ROUND(tblSprzedaz[[#This Row],[Ilość]]*tblSprzedaz[[#This Row],[Koszt jednostkowy netto]],2)</f>
        <v>1424.96</v>
      </c>
      <c r="O2007" s="14">
        <f>tblSprzedaz[[#This Row],[Przychód netto]]-tblSprzedaz[[#This Row],[Koszt całkowity netto]]</f>
        <v>809.44</v>
      </c>
      <c r="P2007" s="15">
        <f>IFERROR(tblSprzedaz[[#This Row],[Marża kwotowa]]/tblSprzedaz[[#This Row],[Przychód netto]],0)</f>
        <v>0.36226279985678483</v>
      </c>
      <c r="Q2007" s="16">
        <f>YEAR(tblSprzedaz[[#This Row],[Data]])</f>
        <v>2026</v>
      </c>
      <c r="R2007" s="16">
        <f>MONTH(tblSprzedaz[[#This Row],[Data]])</f>
        <v>6</v>
      </c>
      <c r="S2007" s="9" t="str">
        <f>YEAR(tblSprzedaz[[#This Row],[Data]])&amp;"-"&amp;RIGHT("0"&amp;MONTH(tblSprzedaz[[#This Row],[Data]]),2)</f>
        <v>2026-06</v>
      </c>
    </row>
    <row r="2008" spans="1:19" x14ac:dyDescent="0.25">
      <c r="A2008" s="7" t="s">
        <v>4183</v>
      </c>
      <c r="B2008" s="10">
        <v>46196</v>
      </c>
      <c r="C2008" s="7" t="s">
        <v>4184</v>
      </c>
      <c r="D2008" s="8" t="s">
        <v>122</v>
      </c>
      <c r="E2008" s="8" t="s">
        <v>48</v>
      </c>
      <c r="F2008" s="8" t="s">
        <v>29</v>
      </c>
      <c r="G2008" s="8" t="s">
        <v>36</v>
      </c>
      <c r="H2008" s="8" t="s">
        <v>47</v>
      </c>
      <c r="I2008" s="11">
        <v>6</v>
      </c>
      <c r="J2008" s="12">
        <v>33.659999999999997</v>
      </c>
      <c r="K2008" s="13">
        <v>0</v>
      </c>
      <c r="L2008" s="12">
        <v>20.54</v>
      </c>
      <c r="M2008" s="14">
        <f>ROUND(tblSprzedaz[[#This Row],[Ilość]]*tblSprzedaz[[#This Row],[Cena netto jednostkowa]]*(1-tblSprzedaz[[#This Row],[Rabat %]]),2)</f>
        <v>201.96</v>
      </c>
      <c r="N2008" s="14">
        <f>ROUND(tblSprzedaz[[#This Row],[Ilość]]*tblSprzedaz[[#This Row],[Koszt jednostkowy netto]],2)</f>
        <v>123.24</v>
      </c>
      <c r="O2008" s="14">
        <f>tblSprzedaz[[#This Row],[Przychód netto]]-tblSprzedaz[[#This Row],[Koszt całkowity netto]]</f>
        <v>78.720000000000013</v>
      </c>
      <c r="P2008" s="15">
        <f>IFERROR(tblSprzedaz[[#This Row],[Marża kwotowa]]/tblSprzedaz[[#This Row],[Przychód netto]],0)</f>
        <v>0.38978015448603687</v>
      </c>
      <c r="Q2008" s="16">
        <f>YEAR(tblSprzedaz[[#This Row],[Data]])</f>
        <v>2026</v>
      </c>
      <c r="R2008" s="16">
        <f>MONTH(tblSprzedaz[[#This Row],[Data]])</f>
        <v>6</v>
      </c>
      <c r="S2008" s="9" t="str">
        <f>YEAR(tblSprzedaz[[#This Row],[Data]])&amp;"-"&amp;RIGHT("0"&amp;MONTH(tblSprzedaz[[#This Row],[Data]]),2)</f>
        <v>2026-06</v>
      </c>
    </row>
    <row r="2009" spans="1:19" x14ac:dyDescent="0.25">
      <c r="A2009" s="7" t="s">
        <v>4185</v>
      </c>
      <c r="B2009" s="10">
        <v>46196</v>
      </c>
      <c r="C2009" s="7" t="s">
        <v>4186</v>
      </c>
      <c r="D2009" s="8" t="s">
        <v>136</v>
      </c>
      <c r="E2009" s="8" t="s">
        <v>49</v>
      </c>
      <c r="F2009" s="8" t="s">
        <v>29</v>
      </c>
      <c r="G2009" s="8" t="s">
        <v>30</v>
      </c>
      <c r="H2009" s="8" t="s">
        <v>40</v>
      </c>
      <c r="I2009" s="11">
        <v>4</v>
      </c>
      <c r="J2009" s="12">
        <v>39.44</v>
      </c>
      <c r="K2009" s="13">
        <v>0.1</v>
      </c>
      <c r="L2009" s="12">
        <v>24.73</v>
      </c>
      <c r="M2009" s="14">
        <f>ROUND(tblSprzedaz[[#This Row],[Ilość]]*tblSprzedaz[[#This Row],[Cena netto jednostkowa]]*(1-tblSprzedaz[[#This Row],[Rabat %]]),2)</f>
        <v>141.97999999999999</v>
      </c>
      <c r="N2009" s="14">
        <f>ROUND(tblSprzedaz[[#This Row],[Ilość]]*tblSprzedaz[[#This Row],[Koszt jednostkowy netto]],2)</f>
        <v>98.92</v>
      </c>
      <c r="O2009" s="14">
        <f>tblSprzedaz[[#This Row],[Przychód netto]]-tblSprzedaz[[#This Row],[Koszt całkowity netto]]</f>
        <v>43.059999999999988</v>
      </c>
      <c r="P2009" s="15">
        <f>IFERROR(tblSprzedaz[[#This Row],[Marża kwotowa]]/tblSprzedaz[[#This Row],[Przychód netto]],0)</f>
        <v>0.30328215241583317</v>
      </c>
      <c r="Q2009" s="16">
        <f>YEAR(tblSprzedaz[[#This Row],[Data]])</f>
        <v>2026</v>
      </c>
      <c r="R2009" s="16">
        <f>MONTH(tblSprzedaz[[#This Row],[Data]])</f>
        <v>6</v>
      </c>
      <c r="S2009" s="9" t="str">
        <f>YEAR(tblSprzedaz[[#This Row],[Data]])&amp;"-"&amp;RIGHT("0"&amp;MONTH(tblSprzedaz[[#This Row],[Data]]),2)</f>
        <v>2026-06</v>
      </c>
    </row>
    <row r="2010" spans="1:19" x14ac:dyDescent="0.25">
      <c r="A2010" s="7" t="s">
        <v>4187</v>
      </c>
      <c r="B2010" s="10">
        <v>46196</v>
      </c>
      <c r="C2010" s="7" t="s">
        <v>4188</v>
      </c>
      <c r="D2010" s="8" t="s">
        <v>136</v>
      </c>
      <c r="E2010" s="8" t="s">
        <v>62</v>
      </c>
      <c r="F2010" s="8" t="s">
        <v>33</v>
      </c>
      <c r="G2010" s="8" t="s">
        <v>36</v>
      </c>
      <c r="H2010" s="8" t="s">
        <v>46</v>
      </c>
      <c r="I2010" s="11">
        <v>24</v>
      </c>
      <c r="J2010" s="12">
        <v>611.79999999999995</v>
      </c>
      <c r="K2010" s="13">
        <v>0.1</v>
      </c>
      <c r="L2010" s="12">
        <v>419.99</v>
      </c>
      <c r="M2010" s="14">
        <f>ROUND(tblSprzedaz[[#This Row],[Ilość]]*tblSprzedaz[[#This Row],[Cena netto jednostkowa]]*(1-tblSprzedaz[[#This Row],[Rabat %]]),2)</f>
        <v>13214.88</v>
      </c>
      <c r="N2010" s="14">
        <f>ROUND(tblSprzedaz[[#This Row],[Ilość]]*tblSprzedaz[[#This Row],[Koszt jednostkowy netto]],2)</f>
        <v>10079.76</v>
      </c>
      <c r="O2010" s="14">
        <f>tblSprzedaz[[#This Row],[Przychód netto]]-tblSprzedaz[[#This Row],[Koszt całkowity netto]]</f>
        <v>3135.119999999999</v>
      </c>
      <c r="P2010" s="15">
        <f>IFERROR(tblSprzedaz[[#This Row],[Marża kwotowa]]/tblSprzedaz[[#This Row],[Przychód netto]],0)</f>
        <v>0.23724165486179211</v>
      </c>
      <c r="Q2010" s="16">
        <f>YEAR(tblSprzedaz[[#This Row],[Data]])</f>
        <v>2026</v>
      </c>
      <c r="R2010" s="16">
        <f>MONTH(tblSprzedaz[[#This Row],[Data]])</f>
        <v>6</v>
      </c>
      <c r="S2010" s="9" t="str">
        <f>YEAR(tblSprzedaz[[#This Row],[Data]])&amp;"-"&amp;RIGHT("0"&amp;MONTH(tblSprzedaz[[#This Row],[Data]]),2)</f>
        <v>2026-06</v>
      </c>
    </row>
    <row r="2011" spans="1:19" x14ac:dyDescent="0.25">
      <c r="A2011" s="7" t="s">
        <v>4189</v>
      </c>
      <c r="B2011" s="10">
        <v>46196</v>
      </c>
      <c r="C2011" s="7" t="s">
        <v>4190</v>
      </c>
      <c r="D2011" s="8" t="s">
        <v>151</v>
      </c>
      <c r="E2011" s="8" t="s">
        <v>64</v>
      </c>
      <c r="F2011" s="8" t="s">
        <v>33</v>
      </c>
      <c r="G2011" s="8" t="s">
        <v>30</v>
      </c>
      <c r="H2011" s="8" t="s">
        <v>40</v>
      </c>
      <c r="I2011" s="11">
        <v>20</v>
      </c>
      <c r="J2011" s="12">
        <v>768.2</v>
      </c>
      <c r="K2011" s="13">
        <v>0.05</v>
      </c>
      <c r="L2011" s="12">
        <v>541.28</v>
      </c>
      <c r="M2011" s="14">
        <f>ROUND(tblSprzedaz[[#This Row],[Ilość]]*tblSprzedaz[[#This Row],[Cena netto jednostkowa]]*(1-tblSprzedaz[[#This Row],[Rabat %]]),2)</f>
        <v>14595.8</v>
      </c>
      <c r="N2011" s="14">
        <f>ROUND(tblSprzedaz[[#This Row],[Ilość]]*tblSprzedaz[[#This Row],[Koszt jednostkowy netto]],2)</f>
        <v>10825.6</v>
      </c>
      <c r="O2011" s="14">
        <f>tblSprzedaz[[#This Row],[Przychód netto]]-tblSprzedaz[[#This Row],[Koszt całkowity netto]]</f>
        <v>3770.1999999999989</v>
      </c>
      <c r="P2011" s="15">
        <f>IFERROR(tblSprzedaz[[#This Row],[Marża kwotowa]]/tblSprzedaz[[#This Row],[Przychód netto]],0)</f>
        <v>0.25830718425848526</v>
      </c>
      <c r="Q2011" s="16">
        <f>YEAR(tblSprzedaz[[#This Row],[Data]])</f>
        <v>2026</v>
      </c>
      <c r="R2011" s="16">
        <f>MONTH(tblSprzedaz[[#This Row],[Data]])</f>
        <v>6</v>
      </c>
      <c r="S2011" s="9" t="str">
        <f>YEAR(tblSprzedaz[[#This Row],[Data]])&amp;"-"&amp;RIGHT("0"&amp;MONTH(tblSprzedaz[[#This Row],[Data]]),2)</f>
        <v>2026-06</v>
      </c>
    </row>
    <row r="2012" spans="1:19" x14ac:dyDescent="0.25">
      <c r="A2012" s="7" t="s">
        <v>4191</v>
      </c>
      <c r="B2012" s="10">
        <v>46197</v>
      </c>
      <c r="C2012" s="7" t="s">
        <v>4192</v>
      </c>
      <c r="D2012" s="8" t="s">
        <v>128</v>
      </c>
      <c r="E2012" s="8" t="s">
        <v>76</v>
      </c>
      <c r="F2012" s="8" t="s">
        <v>37</v>
      </c>
      <c r="G2012" s="8" t="s">
        <v>36</v>
      </c>
      <c r="H2012" s="8" t="s">
        <v>47</v>
      </c>
      <c r="I2012" s="11">
        <v>9</v>
      </c>
      <c r="J2012" s="12">
        <v>158.65</v>
      </c>
      <c r="K2012" s="13">
        <v>0.15</v>
      </c>
      <c r="L2012" s="12">
        <v>119.85</v>
      </c>
      <c r="M2012" s="14">
        <f>ROUND(tblSprzedaz[[#This Row],[Ilość]]*tblSprzedaz[[#This Row],[Cena netto jednostkowa]]*(1-tblSprzedaz[[#This Row],[Rabat %]]),2)</f>
        <v>1213.67</v>
      </c>
      <c r="N2012" s="14">
        <f>ROUND(tblSprzedaz[[#This Row],[Ilość]]*tblSprzedaz[[#This Row],[Koszt jednostkowy netto]],2)</f>
        <v>1078.6500000000001</v>
      </c>
      <c r="O2012" s="14">
        <f>tblSprzedaz[[#This Row],[Przychód netto]]-tblSprzedaz[[#This Row],[Koszt całkowity netto]]</f>
        <v>135.01999999999998</v>
      </c>
      <c r="P2012" s="15">
        <f>IFERROR(tblSprzedaz[[#This Row],[Marża kwotowa]]/tblSprzedaz[[#This Row],[Przychód netto]],0)</f>
        <v>0.11124935114157883</v>
      </c>
      <c r="Q2012" s="16">
        <f>YEAR(tblSprzedaz[[#This Row],[Data]])</f>
        <v>2026</v>
      </c>
      <c r="R2012" s="16">
        <f>MONTH(tblSprzedaz[[#This Row],[Data]])</f>
        <v>6</v>
      </c>
      <c r="S2012" s="9" t="str">
        <f>YEAR(tblSprzedaz[[#This Row],[Data]])&amp;"-"&amp;RIGHT("0"&amp;MONTH(tblSprzedaz[[#This Row],[Data]]),2)</f>
        <v>2026-06</v>
      </c>
    </row>
    <row r="2013" spans="1:19" x14ac:dyDescent="0.25">
      <c r="A2013" s="7" t="s">
        <v>4193</v>
      </c>
      <c r="B2013" s="10">
        <v>46197</v>
      </c>
      <c r="C2013" s="7" t="s">
        <v>4194</v>
      </c>
      <c r="D2013" s="8" t="s">
        <v>129</v>
      </c>
      <c r="E2013" s="8" t="s">
        <v>70</v>
      </c>
      <c r="F2013" s="8" t="s">
        <v>35</v>
      </c>
      <c r="G2013" s="8" t="s">
        <v>32</v>
      </c>
      <c r="H2013" s="8" t="s">
        <v>42</v>
      </c>
      <c r="I2013" s="11">
        <v>17</v>
      </c>
      <c r="J2013" s="12">
        <v>113.56</v>
      </c>
      <c r="K2013" s="13">
        <v>0.1</v>
      </c>
      <c r="L2013" s="12">
        <v>78.959999999999994</v>
      </c>
      <c r="M2013" s="14">
        <f>ROUND(tblSprzedaz[[#This Row],[Ilość]]*tblSprzedaz[[#This Row],[Cena netto jednostkowa]]*(1-tblSprzedaz[[#This Row],[Rabat %]]),2)</f>
        <v>1737.47</v>
      </c>
      <c r="N2013" s="14">
        <f>ROUND(tblSprzedaz[[#This Row],[Ilość]]*tblSprzedaz[[#This Row],[Koszt jednostkowy netto]],2)</f>
        <v>1342.32</v>
      </c>
      <c r="O2013" s="14">
        <f>tblSprzedaz[[#This Row],[Przychód netto]]-tblSprzedaz[[#This Row],[Koszt całkowity netto]]</f>
        <v>395.15000000000009</v>
      </c>
      <c r="P2013" s="15">
        <f>IFERROR(tblSprzedaz[[#This Row],[Marża kwotowa]]/tblSprzedaz[[#This Row],[Przychód netto]],0)</f>
        <v>0.2274283872527296</v>
      </c>
      <c r="Q2013" s="16">
        <f>YEAR(tblSprzedaz[[#This Row],[Data]])</f>
        <v>2026</v>
      </c>
      <c r="R2013" s="16">
        <f>MONTH(tblSprzedaz[[#This Row],[Data]])</f>
        <v>6</v>
      </c>
      <c r="S2013" s="9" t="str">
        <f>YEAR(tblSprzedaz[[#This Row],[Data]])&amp;"-"&amp;RIGHT("0"&amp;MONTH(tblSprzedaz[[#This Row],[Data]]),2)</f>
        <v>2026-06</v>
      </c>
    </row>
    <row r="2014" spans="1:19" x14ac:dyDescent="0.25">
      <c r="A2014" s="7" t="s">
        <v>4195</v>
      </c>
      <c r="B2014" s="10">
        <v>46197</v>
      </c>
      <c r="C2014" s="7" t="s">
        <v>4196</v>
      </c>
      <c r="D2014" s="8" t="s">
        <v>96</v>
      </c>
      <c r="E2014" s="8" t="s">
        <v>63</v>
      </c>
      <c r="F2014" s="8" t="s">
        <v>33</v>
      </c>
      <c r="G2014" s="8" t="s">
        <v>36</v>
      </c>
      <c r="H2014" s="8" t="s">
        <v>47</v>
      </c>
      <c r="I2014" s="11">
        <v>24</v>
      </c>
      <c r="J2014" s="12">
        <v>690</v>
      </c>
      <c r="K2014" s="13">
        <v>0</v>
      </c>
      <c r="L2014" s="12">
        <v>444.59</v>
      </c>
      <c r="M2014" s="14">
        <f>ROUND(tblSprzedaz[[#This Row],[Ilość]]*tblSprzedaz[[#This Row],[Cena netto jednostkowa]]*(1-tblSprzedaz[[#This Row],[Rabat %]]),2)</f>
        <v>16560</v>
      </c>
      <c r="N2014" s="14">
        <f>ROUND(tblSprzedaz[[#This Row],[Ilość]]*tblSprzedaz[[#This Row],[Koszt jednostkowy netto]],2)</f>
        <v>10670.16</v>
      </c>
      <c r="O2014" s="14">
        <f>tblSprzedaz[[#This Row],[Przychód netto]]-tblSprzedaz[[#This Row],[Koszt całkowity netto]]</f>
        <v>5889.84</v>
      </c>
      <c r="P2014" s="15">
        <f>IFERROR(tblSprzedaz[[#This Row],[Marża kwotowa]]/tblSprzedaz[[#This Row],[Przychód netto]],0)</f>
        <v>0.35566666666666669</v>
      </c>
      <c r="Q2014" s="16">
        <f>YEAR(tblSprzedaz[[#This Row],[Data]])</f>
        <v>2026</v>
      </c>
      <c r="R2014" s="16">
        <f>MONTH(tblSprzedaz[[#This Row],[Data]])</f>
        <v>6</v>
      </c>
      <c r="S2014" s="9" t="str">
        <f>YEAR(tblSprzedaz[[#This Row],[Data]])&amp;"-"&amp;RIGHT("0"&amp;MONTH(tblSprzedaz[[#This Row],[Data]]),2)</f>
        <v>2026-06</v>
      </c>
    </row>
    <row r="2015" spans="1:19" x14ac:dyDescent="0.25">
      <c r="A2015" s="7" t="s">
        <v>4197</v>
      </c>
      <c r="B2015" s="10">
        <v>46197</v>
      </c>
      <c r="C2015" s="7" t="s">
        <v>4198</v>
      </c>
      <c r="D2015" s="8" t="s">
        <v>105</v>
      </c>
      <c r="E2015" s="8" t="s">
        <v>49</v>
      </c>
      <c r="F2015" s="8" t="s">
        <v>29</v>
      </c>
      <c r="G2015" s="8" t="s">
        <v>34</v>
      </c>
      <c r="H2015" s="8" t="s">
        <v>44</v>
      </c>
      <c r="I2015" s="11">
        <v>1</v>
      </c>
      <c r="J2015" s="12">
        <v>39.44</v>
      </c>
      <c r="K2015" s="13">
        <v>0.1</v>
      </c>
      <c r="L2015" s="12">
        <v>22.33</v>
      </c>
      <c r="M2015" s="14">
        <f>ROUND(tblSprzedaz[[#This Row],[Ilość]]*tblSprzedaz[[#This Row],[Cena netto jednostkowa]]*(1-tblSprzedaz[[#This Row],[Rabat %]]),2)</f>
        <v>35.5</v>
      </c>
      <c r="N2015" s="14">
        <f>ROUND(tblSprzedaz[[#This Row],[Ilość]]*tblSprzedaz[[#This Row],[Koszt jednostkowy netto]],2)</f>
        <v>22.33</v>
      </c>
      <c r="O2015" s="14">
        <f>tblSprzedaz[[#This Row],[Przychód netto]]-tblSprzedaz[[#This Row],[Koszt całkowity netto]]</f>
        <v>13.170000000000002</v>
      </c>
      <c r="P2015" s="15">
        <f>IFERROR(tblSprzedaz[[#This Row],[Marża kwotowa]]/tblSprzedaz[[#This Row],[Przychód netto]],0)</f>
        <v>0.37098591549295779</v>
      </c>
      <c r="Q2015" s="16">
        <f>YEAR(tblSprzedaz[[#This Row],[Data]])</f>
        <v>2026</v>
      </c>
      <c r="R2015" s="16">
        <f>MONTH(tblSprzedaz[[#This Row],[Data]])</f>
        <v>6</v>
      </c>
      <c r="S2015" s="9" t="str">
        <f>YEAR(tblSprzedaz[[#This Row],[Data]])&amp;"-"&amp;RIGHT("0"&amp;MONTH(tblSprzedaz[[#This Row],[Data]]),2)</f>
        <v>2026-06</v>
      </c>
    </row>
    <row r="2016" spans="1:19" x14ac:dyDescent="0.25">
      <c r="A2016" s="7" t="s">
        <v>4199</v>
      </c>
      <c r="B2016" s="10">
        <v>46197</v>
      </c>
      <c r="C2016" s="7" t="s">
        <v>4200</v>
      </c>
      <c r="D2016" s="8" t="s">
        <v>115</v>
      </c>
      <c r="E2016" s="8" t="s">
        <v>70</v>
      </c>
      <c r="F2016" s="8" t="s">
        <v>35</v>
      </c>
      <c r="G2016" s="8" t="s">
        <v>32</v>
      </c>
      <c r="H2016" s="8" t="s">
        <v>42</v>
      </c>
      <c r="I2016" s="11">
        <v>11</v>
      </c>
      <c r="J2016" s="12">
        <v>113.56</v>
      </c>
      <c r="K2016" s="13">
        <v>0</v>
      </c>
      <c r="L2016" s="12">
        <v>79.59</v>
      </c>
      <c r="M2016" s="14">
        <f>ROUND(tblSprzedaz[[#This Row],[Ilość]]*tblSprzedaz[[#This Row],[Cena netto jednostkowa]]*(1-tblSprzedaz[[#This Row],[Rabat %]]),2)</f>
        <v>1249.1600000000001</v>
      </c>
      <c r="N2016" s="14">
        <f>ROUND(tblSprzedaz[[#This Row],[Ilość]]*tblSprzedaz[[#This Row],[Koszt jednostkowy netto]],2)</f>
        <v>875.49</v>
      </c>
      <c r="O2016" s="14">
        <f>tblSprzedaz[[#This Row],[Przychód netto]]-tblSprzedaz[[#This Row],[Koszt całkowity netto]]</f>
        <v>373.67000000000007</v>
      </c>
      <c r="P2016" s="15">
        <f>IFERROR(tblSprzedaz[[#This Row],[Marża kwotowa]]/tblSprzedaz[[#This Row],[Przychód netto]],0)</f>
        <v>0.2991370200774921</v>
      </c>
      <c r="Q2016" s="16">
        <f>YEAR(tblSprzedaz[[#This Row],[Data]])</f>
        <v>2026</v>
      </c>
      <c r="R2016" s="16">
        <f>MONTH(tblSprzedaz[[#This Row],[Data]])</f>
        <v>6</v>
      </c>
      <c r="S2016" s="9" t="str">
        <f>YEAR(tblSprzedaz[[#This Row],[Data]])&amp;"-"&amp;RIGHT("0"&amp;MONTH(tblSprzedaz[[#This Row],[Data]]),2)</f>
        <v>2026-06</v>
      </c>
    </row>
    <row r="2017" spans="1:19" x14ac:dyDescent="0.25">
      <c r="A2017" s="7" t="s">
        <v>4201</v>
      </c>
      <c r="B2017" s="10">
        <v>46197</v>
      </c>
      <c r="C2017" s="7" t="s">
        <v>4202</v>
      </c>
      <c r="D2017" s="8" t="s">
        <v>148</v>
      </c>
      <c r="E2017" s="8" t="s">
        <v>64</v>
      </c>
      <c r="F2017" s="8" t="s">
        <v>33</v>
      </c>
      <c r="G2017" s="8" t="s">
        <v>32</v>
      </c>
      <c r="H2017" s="8" t="s">
        <v>43</v>
      </c>
      <c r="I2017" s="11">
        <v>6</v>
      </c>
      <c r="J2017" s="12">
        <v>768.2</v>
      </c>
      <c r="K2017" s="13">
        <v>0.05</v>
      </c>
      <c r="L2017" s="12">
        <v>542.08000000000004</v>
      </c>
      <c r="M2017" s="14">
        <f>ROUND(tblSprzedaz[[#This Row],[Ilość]]*tblSprzedaz[[#This Row],[Cena netto jednostkowa]]*(1-tblSprzedaz[[#This Row],[Rabat %]]),2)</f>
        <v>4378.74</v>
      </c>
      <c r="N2017" s="14">
        <f>ROUND(tblSprzedaz[[#This Row],[Ilość]]*tblSprzedaz[[#This Row],[Koszt jednostkowy netto]],2)</f>
        <v>3252.48</v>
      </c>
      <c r="O2017" s="14">
        <f>tblSprzedaz[[#This Row],[Przychód netto]]-tblSprzedaz[[#This Row],[Koszt całkowity netto]]</f>
        <v>1126.2599999999998</v>
      </c>
      <c r="P2017" s="15">
        <f>IFERROR(tblSprzedaz[[#This Row],[Marża kwotowa]]/tblSprzedaz[[#This Row],[Przychód netto]],0)</f>
        <v>0.25721097850066454</v>
      </c>
      <c r="Q2017" s="16">
        <f>YEAR(tblSprzedaz[[#This Row],[Data]])</f>
        <v>2026</v>
      </c>
      <c r="R2017" s="16">
        <f>MONTH(tblSprzedaz[[#This Row],[Data]])</f>
        <v>6</v>
      </c>
      <c r="S2017" s="9" t="str">
        <f>YEAR(tblSprzedaz[[#This Row],[Data]])&amp;"-"&amp;RIGHT("0"&amp;MONTH(tblSprzedaz[[#This Row],[Data]]),2)</f>
        <v>2026-06</v>
      </c>
    </row>
    <row r="2018" spans="1:19" x14ac:dyDescent="0.25">
      <c r="A2018" s="7" t="s">
        <v>4203</v>
      </c>
      <c r="B2018" s="10">
        <v>46198</v>
      </c>
      <c r="C2018" s="7" t="s">
        <v>4204</v>
      </c>
      <c r="D2018" s="8" t="s">
        <v>101</v>
      </c>
      <c r="E2018" s="8" t="s">
        <v>72</v>
      </c>
      <c r="F2018" s="8" t="s">
        <v>37</v>
      </c>
      <c r="G2018" s="8" t="s">
        <v>30</v>
      </c>
      <c r="H2018" s="8" t="s">
        <v>41</v>
      </c>
      <c r="I2018" s="11">
        <v>13</v>
      </c>
      <c r="J2018" s="12">
        <v>94.05</v>
      </c>
      <c r="K2018" s="13">
        <v>0.05</v>
      </c>
      <c r="L2018" s="12">
        <v>74.84</v>
      </c>
      <c r="M2018" s="14">
        <f>ROUND(tblSprzedaz[[#This Row],[Ilość]]*tblSprzedaz[[#This Row],[Cena netto jednostkowa]]*(1-tblSprzedaz[[#This Row],[Rabat %]]),2)</f>
        <v>1161.52</v>
      </c>
      <c r="N2018" s="14">
        <f>ROUND(tblSprzedaz[[#This Row],[Ilość]]*tblSprzedaz[[#This Row],[Koszt jednostkowy netto]],2)</f>
        <v>972.92</v>
      </c>
      <c r="O2018" s="14">
        <f>tblSprzedaz[[#This Row],[Przychód netto]]-tblSprzedaz[[#This Row],[Koszt całkowity netto]]</f>
        <v>188.60000000000002</v>
      </c>
      <c r="P2018" s="15">
        <f>IFERROR(tblSprzedaz[[#This Row],[Marża kwotowa]]/tblSprzedaz[[#This Row],[Przychód netto]],0)</f>
        <v>0.16237344169708659</v>
      </c>
      <c r="Q2018" s="16">
        <f>YEAR(tblSprzedaz[[#This Row],[Data]])</f>
        <v>2026</v>
      </c>
      <c r="R2018" s="16">
        <f>MONTH(tblSprzedaz[[#This Row],[Data]])</f>
        <v>6</v>
      </c>
      <c r="S2018" s="9" t="str">
        <f>YEAR(tblSprzedaz[[#This Row],[Data]])&amp;"-"&amp;RIGHT("0"&amp;MONTH(tblSprzedaz[[#This Row],[Data]]),2)</f>
        <v>2026-06</v>
      </c>
    </row>
    <row r="2019" spans="1:19" x14ac:dyDescent="0.25">
      <c r="A2019" s="7" t="s">
        <v>4205</v>
      </c>
      <c r="B2019" s="10">
        <v>46198</v>
      </c>
      <c r="C2019" s="7" t="s">
        <v>4206</v>
      </c>
      <c r="D2019" s="8" t="s">
        <v>113</v>
      </c>
      <c r="E2019" s="8" t="s">
        <v>60</v>
      </c>
      <c r="F2019" s="8" t="s">
        <v>33</v>
      </c>
      <c r="G2019" s="8" t="s">
        <v>36</v>
      </c>
      <c r="H2019" s="8" t="s">
        <v>46</v>
      </c>
      <c r="I2019" s="11">
        <v>4</v>
      </c>
      <c r="J2019" s="12">
        <v>455.4</v>
      </c>
      <c r="K2019" s="13">
        <v>0.1</v>
      </c>
      <c r="L2019" s="12">
        <v>297.56</v>
      </c>
      <c r="M2019" s="14">
        <f>ROUND(tblSprzedaz[[#This Row],[Ilość]]*tblSprzedaz[[#This Row],[Cena netto jednostkowa]]*(1-tblSprzedaz[[#This Row],[Rabat %]]),2)</f>
        <v>1639.44</v>
      </c>
      <c r="N2019" s="14">
        <f>ROUND(tblSprzedaz[[#This Row],[Ilość]]*tblSprzedaz[[#This Row],[Koszt jednostkowy netto]],2)</f>
        <v>1190.24</v>
      </c>
      <c r="O2019" s="14">
        <f>tblSprzedaz[[#This Row],[Przychód netto]]-tblSprzedaz[[#This Row],[Koszt całkowity netto]]</f>
        <v>449.20000000000005</v>
      </c>
      <c r="P2019" s="15">
        <f>IFERROR(tblSprzedaz[[#This Row],[Marża kwotowa]]/tblSprzedaz[[#This Row],[Przychód netto]],0)</f>
        <v>0.27399599863367979</v>
      </c>
      <c r="Q2019" s="16">
        <f>YEAR(tblSprzedaz[[#This Row],[Data]])</f>
        <v>2026</v>
      </c>
      <c r="R2019" s="16">
        <f>MONTH(tblSprzedaz[[#This Row],[Data]])</f>
        <v>6</v>
      </c>
      <c r="S2019" s="9" t="str">
        <f>YEAR(tblSprzedaz[[#This Row],[Data]])&amp;"-"&amp;RIGHT("0"&amp;MONTH(tblSprzedaz[[#This Row],[Data]]),2)</f>
        <v>2026-06</v>
      </c>
    </row>
    <row r="2020" spans="1:19" x14ac:dyDescent="0.25">
      <c r="A2020" s="7" t="s">
        <v>4207</v>
      </c>
      <c r="B2020" s="10">
        <v>46198</v>
      </c>
      <c r="C2020" s="7" t="s">
        <v>4208</v>
      </c>
      <c r="D2020" s="8" t="s">
        <v>141</v>
      </c>
      <c r="E2020" s="8" t="s">
        <v>66</v>
      </c>
      <c r="F2020" s="8" t="s">
        <v>35</v>
      </c>
      <c r="G2020" s="8" t="s">
        <v>34</v>
      </c>
      <c r="H2020" s="8" t="s">
        <v>44</v>
      </c>
      <c r="I2020" s="11">
        <v>5</v>
      </c>
      <c r="J2020" s="12">
        <v>67.319999999999993</v>
      </c>
      <c r="K2020" s="13">
        <v>0.05</v>
      </c>
      <c r="L2020" s="12">
        <v>47.82</v>
      </c>
      <c r="M2020" s="14">
        <f>ROUND(tblSprzedaz[[#This Row],[Ilość]]*tblSprzedaz[[#This Row],[Cena netto jednostkowa]]*(1-tblSprzedaz[[#This Row],[Rabat %]]),2)</f>
        <v>319.77</v>
      </c>
      <c r="N2020" s="14">
        <f>ROUND(tblSprzedaz[[#This Row],[Ilość]]*tblSprzedaz[[#This Row],[Koszt jednostkowy netto]],2)</f>
        <v>239.1</v>
      </c>
      <c r="O2020" s="14">
        <f>tblSprzedaz[[#This Row],[Przychód netto]]-tblSprzedaz[[#This Row],[Koszt całkowity netto]]</f>
        <v>80.669999999999987</v>
      </c>
      <c r="P2020" s="15">
        <f>IFERROR(tblSprzedaz[[#This Row],[Marża kwotowa]]/tblSprzedaz[[#This Row],[Przychód netto]],0)</f>
        <v>0.25227507270850924</v>
      </c>
      <c r="Q2020" s="16">
        <f>YEAR(tblSprzedaz[[#This Row],[Data]])</f>
        <v>2026</v>
      </c>
      <c r="R2020" s="16">
        <f>MONTH(tblSprzedaz[[#This Row],[Data]])</f>
        <v>6</v>
      </c>
      <c r="S2020" s="9" t="str">
        <f>YEAR(tblSprzedaz[[#This Row],[Data]])&amp;"-"&amp;RIGHT("0"&amp;MONTH(tblSprzedaz[[#This Row],[Data]]),2)</f>
        <v>2026-06</v>
      </c>
    </row>
    <row r="2021" spans="1:19" x14ac:dyDescent="0.25">
      <c r="A2021" s="7" t="s">
        <v>4209</v>
      </c>
      <c r="B2021" s="10">
        <v>46198</v>
      </c>
      <c r="C2021" s="7" t="s">
        <v>4210</v>
      </c>
      <c r="D2021" s="8" t="s">
        <v>104</v>
      </c>
      <c r="E2021" s="8" t="s">
        <v>62</v>
      </c>
      <c r="F2021" s="8" t="s">
        <v>33</v>
      </c>
      <c r="G2021" s="8" t="s">
        <v>30</v>
      </c>
      <c r="H2021" s="8" t="s">
        <v>40</v>
      </c>
      <c r="I2021" s="11">
        <v>23</v>
      </c>
      <c r="J2021" s="12">
        <v>611.79999999999995</v>
      </c>
      <c r="K2021" s="13">
        <v>0</v>
      </c>
      <c r="L2021" s="12">
        <v>414.86</v>
      </c>
      <c r="M2021" s="14">
        <f>ROUND(tblSprzedaz[[#This Row],[Ilość]]*tblSprzedaz[[#This Row],[Cena netto jednostkowa]]*(1-tblSprzedaz[[#This Row],[Rabat %]]),2)</f>
        <v>14071.4</v>
      </c>
      <c r="N2021" s="14">
        <f>ROUND(tblSprzedaz[[#This Row],[Ilość]]*tblSprzedaz[[#This Row],[Koszt jednostkowy netto]],2)</f>
        <v>9541.7800000000007</v>
      </c>
      <c r="O2021" s="14">
        <f>tblSprzedaz[[#This Row],[Przychód netto]]-tblSprzedaz[[#This Row],[Koszt całkowity netto]]</f>
        <v>4529.619999999999</v>
      </c>
      <c r="P2021" s="15">
        <f>IFERROR(tblSprzedaz[[#This Row],[Marża kwotowa]]/tblSprzedaz[[#This Row],[Przychód netto]],0)</f>
        <v>0.32190258254331472</v>
      </c>
      <c r="Q2021" s="16">
        <f>YEAR(tblSprzedaz[[#This Row],[Data]])</f>
        <v>2026</v>
      </c>
      <c r="R2021" s="16">
        <f>MONTH(tblSprzedaz[[#This Row],[Data]])</f>
        <v>6</v>
      </c>
      <c r="S2021" s="9" t="str">
        <f>YEAR(tblSprzedaz[[#This Row],[Data]])&amp;"-"&amp;RIGHT("0"&amp;MONTH(tblSprzedaz[[#This Row],[Data]]),2)</f>
        <v>2026-06</v>
      </c>
    </row>
    <row r="2022" spans="1:19" x14ac:dyDescent="0.25">
      <c r="A2022" s="7" t="s">
        <v>4211</v>
      </c>
      <c r="B2022" s="10">
        <v>46198</v>
      </c>
      <c r="C2022" s="7" t="s">
        <v>4212</v>
      </c>
      <c r="D2022" s="8" t="s">
        <v>147</v>
      </c>
      <c r="E2022" s="8" t="s">
        <v>54</v>
      </c>
      <c r="F2022" s="8" t="s">
        <v>31</v>
      </c>
      <c r="G2022" s="8" t="s">
        <v>28</v>
      </c>
      <c r="H2022" s="8" t="s">
        <v>39</v>
      </c>
      <c r="I2022" s="11">
        <v>9</v>
      </c>
      <c r="J2022" s="12">
        <v>207.9</v>
      </c>
      <c r="K2022" s="13">
        <v>0.15</v>
      </c>
      <c r="L2022" s="12">
        <v>126.11</v>
      </c>
      <c r="M2022" s="14">
        <f>ROUND(tblSprzedaz[[#This Row],[Ilość]]*tblSprzedaz[[#This Row],[Cena netto jednostkowa]]*(1-tblSprzedaz[[#This Row],[Rabat %]]),2)</f>
        <v>1590.44</v>
      </c>
      <c r="N2022" s="14">
        <f>ROUND(tblSprzedaz[[#This Row],[Ilość]]*tblSprzedaz[[#This Row],[Koszt jednostkowy netto]],2)</f>
        <v>1134.99</v>
      </c>
      <c r="O2022" s="14">
        <f>tblSprzedaz[[#This Row],[Przychód netto]]-tblSprzedaz[[#This Row],[Koszt całkowity netto]]</f>
        <v>455.45000000000005</v>
      </c>
      <c r="P2022" s="15">
        <f>IFERROR(tblSprzedaz[[#This Row],[Marża kwotowa]]/tblSprzedaz[[#This Row],[Przychód netto]],0)</f>
        <v>0.28636729458514626</v>
      </c>
      <c r="Q2022" s="16">
        <f>YEAR(tblSprzedaz[[#This Row],[Data]])</f>
        <v>2026</v>
      </c>
      <c r="R2022" s="16">
        <f>MONTH(tblSprzedaz[[#This Row],[Data]])</f>
        <v>6</v>
      </c>
      <c r="S2022" s="9" t="str">
        <f>YEAR(tblSprzedaz[[#This Row],[Data]])&amp;"-"&amp;RIGHT("0"&amp;MONTH(tblSprzedaz[[#This Row],[Data]]),2)</f>
        <v>2026-06</v>
      </c>
    </row>
    <row r="2023" spans="1:19" x14ac:dyDescent="0.25">
      <c r="A2023" s="7" t="s">
        <v>4213</v>
      </c>
      <c r="B2023" s="10">
        <v>46198</v>
      </c>
      <c r="C2023" s="7" t="s">
        <v>4214</v>
      </c>
      <c r="D2023" s="8" t="s">
        <v>119</v>
      </c>
      <c r="E2023" s="8" t="s">
        <v>57</v>
      </c>
      <c r="F2023" s="8" t="s">
        <v>31</v>
      </c>
      <c r="G2023" s="8" t="s">
        <v>32</v>
      </c>
      <c r="H2023" s="8" t="s">
        <v>42</v>
      </c>
      <c r="I2023" s="11">
        <v>16</v>
      </c>
      <c r="J2023" s="12">
        <v>315</v>
      </c>
      <c r="K2023" s="13">
        <v>0.1</v>
      </c>
      <c r="L2023" s="12">
        <v>201.01</v>
      </c>
      <c r="M2023" s="14">
        <f>ROUND(tblSprzedaz[[#This Row],[Ilość]]*tblSprzedaz[[#This Row],[Cena netto jednostkowa]]*(1-tblSprzedaz[[#This Row],[Rabat %]]),2)</f>
        <v>4536</v>
      </c>
      <c r="N2023" s="14">
        <f>ROUND(tblSprzedaz[[#This Row],[Ilość]]*tblSprzedaz[[#This Row],[Koszt jednostkowy netto]],2)</f>
        <v>3216.16</v>
      </c>
      <c r="O2023" s="14">
        <f>tblSprzedaz[[#This Row],[Przychód netto]]-tblSprzedaz[[#This Row],[Koszt całkowity netto]]</f>
        <v>1319.8400000000001</v>
      </c>
      <c r="P2023" s="15">
        <f>IFERROR(tblSprzedaz[[#This Row],[Marża kwotowa]]/tblSprzedaz[[#This Row],[Przychód netto]],0)</f>
        <v>0.29097001763668434</v>
      </c>
      <c r="Q2023" s="16">
        <f>YEAR(tblSprzedaz[[#This Row],[Data]])</f>
        <v>2026</v>
      </c>
      <c r="R2023" s="16">
        <f>MONTH(tblSprzedaz[[#This Row],[Data]])</f>
        <v>6</v>
      </c>
      <c r="S2023" s="9" t="str">
        <f>YEAR(tblSprzedaz[[#This Row],[Data]])&amp;"-"&amp;RIGHT("0"&amp;MONTH(tblSprzedaz[[#This Row],[Data]]),2)</f>
        <v>2026-06</v>
      </c>
    </row>
    <row r="2024" spans="1:19" x14ac:dyDescent="0.25">
      <c r="A2024" s="7" t="s">
        <v>4215</v>
      </c>
      <c r="B2024" s="10">
        <v>46199</v>
      </c>
      <c r="C2024" s="7" t="s">
        <v>4216</v>
      </c>
      <c r="D2024" s="8" t="s">
        <v>112</v>
      </c>
      <c r="E2024" s="8" t="s">
        <v>58</v>
      </c>
      <c r="F2024" s="8" t="s">
        <v>31</v>
      </c>
      <c r="G2024" s="8" t="s">
        <v>28</v>
      </c>
      <c r="H2024" s="8" t="s">
        <v>38</v>
      </c>
      <c r="I2024" s="11">
        <v>22</v>
      </c>
      <c r="J2024" s="12">
        <v>350.7</v>
      </c>
      <c r="K2024" s="13">
        <v>0.05</v>
      </c>
      <c r="L2024" s="12">
        <v>210.37</v>
      </c>
      <c r="M2024" s="14">
        <f>ROUND(tblSprzedaz[[#This Row],[Ilość]]*tblSprzedaz[[#This Row],[Cena netto jednostkowa]]*(1-tblSprzedaz[[#This Row],[Rabat %]]),2)</f>
        <v>7329.63</v>
      </c>
      <c r="N2024" s="14">
        <f>ROUND(tblSprzedaz[[#This Row],[Ilość]]*tblSprzedaz[[#This Row],[Koszt jednostkowy netto]],2)</f>
        <v>4628.1400000000003</v>
      </c>
      <c r="O2024" s="14">
        <f>tblSprzedaz[[#This Row],[Przychód netto]]-tblSprzedaz[[#This Row],[Koszt całkowity netto]]</f>
        <v>2701.49</v>
      </c>
      <c r="P2024" s="15">
        <f>IFERROR(tblSprzedaz[[#This Row],[Marża kwotowa]]/tblSprzedaz[[#This Row],[Przychód netto]],0)</f>
        <v>0.36857112841985201</v>
      </c>
      <c r="Q2024" s="16">
        <f>YEAR(tblSprzedaz[[#This Row],[Data]])</f>
        <v>2026</v>
      </c>
      <c r="R2024" s="16">
        <f>MONTH(tblSprzedaz[[#This Row],[Data]])</f>
        <v>6</v>
      </c>
      <c r="S2024" s="9" t="str">
        <f>YEAR(tblSprzedaz[[#This Row],[Data]])&amp;"-"&amp;RIGHT("0"&amp;MONTH(tblSprzedaz[[#This Row],[Data]]),2)</f>
        <v>2026-06</v>
      </c>
    </row>
    <row r="2025" spans="1:19" x14ac:dyDescent="0.25">
      <c r="A2025" s="7" t="s">
        <v>4217</v>
      </c>
      <c r="B2025" s="10">
        <v>46199</v>
      </c>
      <c r="C2025" s="7" t="s">
        <v>4218</v>
      </c>
      <c r="D2025" s="8" t="s">
        <v>93</v>
      </c>
      <c r="E2025" s="8" t="s">
        <v>56</v>
      </c>
      <c r="F2025" s="8" t="s">
        <v>31</v>
      </c>
      <c r="G2025" s="8" t="s">
        <v>30</v>
      </c>
      <c r="H2025" s="8" t="s">
        <v>40</v>
      </c>
      <c r="I2025" s="11">
        <v>8</v>
      </c>
      <c r="J2025" s="12">
        <v>279.3</v>
      </c>
      <c r="K2025" s="13">
        <v>0.1</v>
      </c>
      <c r="L2025" s="12">
        <v>176.21</v>
      </c>
      <c r="M2025" s="14">
        <f>ROUND(tblSprzedaz[[#This Row],[Ilość]]*tblSprzedaz[[#This Row],[Cena netto jednostkowa]]*(1-tblSprzedaz[[#This Row],[Rabat %]]),2)</f>
        <v>2010.96</v>
      </c>
      <c r="N2025" s="14">
        <f>ROUND(tblSprzedaz[[#This Row],[Ilość]]*tblSprzedaz[[#This Row],[Koszt jednostkowy netto]],2)</f>
        <v>1409.68</v>
      </c>
      <c r="O2025" s="14">
        <f>tblSprzedaz[[#This Row],[Przychód netto]]-tblSprzedaz[[#This Row],[Koszt całkowity netto]]</f>
        <v>601.28</v>
      </c>
      <c r="P2025" s="15">
        <f>IFERROR(tblSprzedaz[[#This Row],[Marża kwotowa]]/tblSprzedaz[[#This Row],[Przychód netto]],0)</f>
        <v>0.29900147193380272</v>
      </c>
      <c r="Q2025" s="16">
        <f>YEAR(tblSprzedaz[[#This Row],[Data]])</f>
        <v>2026</v>
      </c>
      <c r="R2025" s="16">
        <f>MONTH(tblSprzedaz[[#This Row],[Data]])</f>
        <v>6</v>
      </c>
      <c r="S2025" s="9" t="str">
        <f>YEAR(tblSprzedaz[[#This Row],[Data]])&amp;"-"&amp;RIGHT("0"&amp;MONTH(tblSprzedaz[[#This Row],[Data]]),2)</f>
        <v>2026-06</v>
      </c>
    </row>
    <row r="2026" spans="1:19" x14ac:dyDescent="0.25">
      <c r="A2026" s="7" t="s">
        <v>4219</v>
      </c>
      <c r="B2026" s="10">
        <v>46199</v>
      </c>
      <c r="C2026" s="7" t="s">
        <v>4220</v>
      </c>
      <c r="D2026" s="8" t="s">
        <v>106</v>
      </c>
      <c r="E2026" s="8" t="s">
        <v>74</v>
      </c>
      <c r="F2026" s="8" t="s">
        <v>37</v>
      </c>
      <c r="G2026" s="8" t="s">
        <v>28</v>
      </c>
      <c r="H2026" s="8" t="s">
        <v>39</v>
      </c>
      <c r="I2026" s="11">
        <v>11</v>
      </c>
      <c r="J2026" s="12">
        <v>126.35</v>
      </c>
      <c r="K2026" s="13">
        <v>0.15</v>
      </c>
      <c r="L2026" s="12">
        <v>93.44</v>
      </c>
      <c r="M2026" s="14">
        <f>ROUND(tblSprzedaz[[#This Row],[Ilość]]*tblSprzedaz[[#This Row],[Cena netto jednostkowa]]*(1-tblSprzedaz[[#This Row],[Rabat %]]),2)</f>
        <v>1181.3699999999999</v>
      </c>
      <c r="N2026" s="14">
        <f>ROUND(tblSprzedaz[[#This Row],[Ilość]]*tblSprzedaz[[#This Row],[Koszt jednostkowy netto]],2)</f>
        <v>1027.8399999999999</v>
      </c>
      <c r="O2026" s="14">
        <f>tblSprzedaz[[#This Row],[Przychód netto]]-tblSprzedaz[[#This Row],[Koszt całkowity netto]]</f>
        <v>153.52999999999997</v>
      </c>
      <c r="P2026" s="15">
        <f>IFERROR(tblSprzedaz[[#This Row],[Marża kwotowa]]/tblSprzedaz[[#This Row],[Przychód netto]],0)</f>
        <v>0.12995928455945216</v>
      </c>
      <c r="Q2026" s="16">
        <f>YEAR(tblSprzedaz[[#This Row],[Data]])</f>
        <v>2026</v>
      </c>
      <c r="R2026" s="16">
        <f>MONTH(tblSprzedaz[[#This Row],[Data]])</f>
        <v>6</v>
      </c>
      <c r="S2026" s="9" t="str">
        <f>YEAR(tblSprzedaz[[#This Row],[Data]])&amp;"-"&amp;RIGHT("0"&amp;MONTH(tblSprzedaz[[#This Row],[Data]]),2)</f>
        <v>2026-06</v>
      </c>
    </row>
    <row r="2027" spans="1:19" x14ac:dyDescent="0.25">
      <c r="A2027" s="7" t="s">
        <v>4221</v>
      </c>
      <c r="B2027" s="10">
        <v>46199</v>
      </c>
      <c r="C2027" s="7" t="s">
        <v>4222</v>
      </c>
      <c r="D2027" s="8" t="s">
        <v>86</v>
      </c>
      <c r="E2027" s="8" t="s">
        <v>70</v>
      </c>
      <c r="F2027" s="8" t="s">
        <v>35</v>
      </c>
      <c r="G2027" s="8" t="s">
        <v>36</v>
      </c>
      <c r="H2027" s="8" t="s">
        <v>46</v>
      </c>
      <c r="I2027" s="11">
        <v>9</v>
      </c>
      <c r="J2027" s="12">
        <v>113.56</v>
      </c>
      <c r="K2027" s="13">
        <v>0</v>
      </c>
      <c r="L2027" s="12">
        <v>86.52</v>
      </c>
      <c r="M2027" s="14">
        <f>ROUND(tblSprzedaz[[#This Row],[Ilość]]*tblSprzedaz[[#This Row],[Cena netto jednostkowa]]*(1-tblSprzedaz[[#This Row],[Rabat %]]),2)</f>
        <v>1022.04</v>
      </c>
      <c r="N2027" s="14">
        <f>ROUND(tblSprzedaz[[#This Row],[Ilość]]*tblSprzedaz[[#This Row],[Koszt jednostkowy netto]],2)</f>
        <v>778.68</v>
      </c>
      <c r="O2027" s="14">
        <f>tblSprzedaz[[#This Row],[Przychód netto]]-tblSprzedaz[[#This Row],[Koszt całkowity netto]]</f>
        <v>243.36</v>
      </c>
      <c r="P2027" s="15">
        <f>IFERROR(tblSprzedaz[[#This Row],[Marża kwotowa]]/tblSprzedaz[[#This Row],[Przychód netto]],0)</f>
        <v>0.23811201127157453</v>
      </c>
      <c r="Q2027" s="16">
        <f>YEAR(tblSprzedaz[[#This Row],[Data]])</f>
        <v>2026</v>
      </c>
      <c r="R2027" s="16">
        <f>MONTH(tblSprzedaz[[#This Row],[Data]])</f>
        <v>6</v>
      </c>
      <c r="S2027" s="9" t="str">
        <f>YEAR(tblSprzedaz[[#This Row],[Data]])&amp;"-"&amp;RIGHT("0"&amp;MONTH(tblSprzedaz[[#This Row],[Data]]),2)</f>
        <v>2026-06</v>
      </c>
    </row>
    <row r="2028" spans="1:19" x14ac:dyDescent="0.25">
      <c r="A2028" s="7" t="s">
        <v>4223</v>
      </c>
      <c r="B2028" s="10">
        <v>46199</v>
      </c>
      <c r="C2028" s="7" t="s">
        <v>4224</v>
      </c>
      <c r="D2028" s="8" t="s">
        <v>134</v>
      </c>
      <c r="E2028" s="8" t="s">
        <v>72</v>
      </c>
      <c r="F2028" s="8" t="s">
        <v>37</v>
      </c>
      <c r="G2028" s="8" t="s">
        <v>34</v>
      </c>
      <c r="H2028" s="8" t="s">
        <v>44</v>
      </c>
      <c r="I2028" s="11">
        <v>5</v>
      </c>
      <c r="J2028" s="12">
        <v>94.05</v>
      </c>
      <c r="K2028" s="13">
        <v>0</v>
      </c>
      <c r="L2028" s="12">
        <v>70.489999999999995</v>
      </c>
      <c r="M2028" s="14">
        <f>ROUND(tblSprzedaz[[#This Row],[Ilość]]*tblSprzedaz[[#This Row],[Cena netto jednostkowa]]*(1-tblSprzedaz[[#This Row],[Rabat %]]),2)</f>
        <v>470.25</v>
      </c>
      <c r="N2028" s="14">
        <f>ROUND(tblSprzedaz[[#This Row],[Ilość]]*tblSprzedaz[[#This Row],[Koszt jednostkowy netto]],2)</f>
        <v>352.45</v>
      </c>
      <c r="O2028" s="14">
        <f>tblSprzedaz[[#This Row],[Przychód netto]]-tblSprzedaz[[#This Row],[Koszt całkowity netto]]</f>
        <v>117.80000000000001</v>
      </c>
      <c r="P2028" s="15">
        <f>IFERROR(tblSprzedaz[[#This Row],[Marża kwotowa]]/tblSprzedaz[[#This Row],[Przychód netto]],0)</f>
        <v>0.25050505050505051</v>
      </c>
      <c r="Q2028" s="16">
        <f>YEAR(tblSprzedaz[[#This Row],[Data]])</f>
        <v>2026</v>
      </c>
      <c r="R2028" s="16">
        <f>MONTH(tblSprzedaz[[#This Row],[Data]])</f>
        <v>6</v>
      </c>
      <c r="S2028" s="9" t="str">
        <f>YEAR(tblSprzedaz[[#This Row],[Data]])&amp;"-"&amp;RIGHT("0"&amp;MONTH(tblSprzedaz[[#This Row],[Data]]),2)</f>
        <v>2026-06</v>
      </c>
    </row>
    <row r="2029" spans="1:19" x14ac:dyDescent="0.25">
      <c r="A2029" s="7" t="s">
        <v>4225</v>
      </c>
      <c r="B2029" s="10">
        <v>46199</v>
      </c>
      <c r="C2029" s="7" t="s">
        <v>4226</v>
      </c>
      <c r="D2029" s="8" t="s">
        <v>79</v>
      </c>
      <c r="E2029" s="8" t="s">
        <v>53</v>
      </c>
      <c r="F2029" s="8" t="s">
        <v>29</v>
      </c>
      <c r="G2029" s="8" t="s">
        <v>34</v>
      </c>
      <c r="H2029" s="8" t="s">
        <v>44</v>
      </c>
      <c r="I2029" s="11">
        <v>8</v>
      </c>
      <c r="J2029" s="12">
        <v>27.88</v>
      </c>
      <c r="K2029" s="13">
        <v>0.15</v>
      </c>
      <c r="L2029" s="12">
        <v>16.14</v>
      </c>
      <c r="M2029" s="14">
        <f>ROUND(tblSprzedaz[[#This Row],[Ilość]]*tblSprzedaz[[#This Row],[Cena netto jednostkowa]]*(1-tblSprzedaz[[#This Row],[Rabat %]]),2)</f>
        <v>189.58</v>
      </c>
      <c r="N2029" s="14">
        <f>ROUND(tblSprzedaz[[#This Row],[Ilość]]*tblSprzedaz[[#This Row],[Koszt jednostkowy netto]],2)</f>
        <v>129.12</v>
      </c>
      <c r="O2029" s="14">
        <f>tblSprzedaz[[#This Row],[Przychód netto]]-tblSprzedaz[[#This Row],[Koszt całkowity netto]]</f>
        <v>60.460000000000008</v>
      </c>
      <c r="P2029" s="15">
        <f>IFERROR(tblSprzedaz[[#This Row],[Marża kwotowa]]/tblSprzedaz[[#This Row],[Przychód netto]],0)</f>
        <v>0.3189154974153392</v>
      </c>
      <c r="Q2029" s="16">
        <f>YEAR(tblSprzedaz[[#This Row],[Data]])</f>
        <v>2026</v>
      </c>
      <c r="R2029" s="16">
        <f>MONTH(tblSprzedaz[[#This Row],[Data]])</f>
        <v>6</v>
      </c>
      <c r="S2029" s="9" t="str">
        <f>YEAR(tblSprzedaz[[#This Row],[Data]])&amp;"-"&amp;RIGHT("0"&amp;MONTH(tblSprzedaz[[#This Row],[Data]]),2)</f>
        <v>2026-06</v>
      </c>
    </row>
    <row r="2030" spans="1:19" x14ac:dyDescent="0.25">
      <c r="A2030" s="7" t="s">
        <v>4227</v>
      </c>
      <c r="B2030" s="10">
        <v>46200</v>
      </c>
      <c r="C2030" s="7" t="s">
        <v>4228</v>
      </c>
      <c r="D2030" s="8" t="s">
        <v>99</v>
      </c>
      <c r="E2030" s="8" t="s">
        <v>50</v>
      </c>
      <c r="F2030" s="8" t="s">
        <v>29</v>
      </c>
      <c r="G2030" s="8" t="s">
        <v>36</v>
      </c>
      <c r="H2030" s="8" t="s">
        <v>47</v>
      </c>
      <c r="I2030" s="11">
        <v>22</v>
      </c>
      <c r="J2030" s="12">
        <v>45.22</v>
      </c>
      <c r="K2030" s="13">
        <v>0</v>
      </c>
      <c r="L2030" s="12">
        <v>26.04</v>
      </c>
      <c r="M2030" s="14">
        <f>ROUND(tblSprzedaz[[#This Row],[Ilość]]*tblSprzedaz[[#This Row],[Cena netto jednostkowa]]*(1-tblSprzedaz[[#This Row],[Rabat %]]),2)</f>
        <v>994.84</v>
      </c>
      <c r="N2030" s="14">
        <f>ROUND(tblSprzedaz[[#This Row],[Ilość]]*tblSprzedaz[[#This Row],[Koszt jednostkowy netto]],2)</f>
        <v>572.88</v>
      </c>
      <c r="O2030" s="14">
        <f>tblSprzedaz[[#This Row],[Przychód netto]]-tblSprzedaz[[#This Row],[Koszt całkowity netto]]</f>
        <v>421.96000000000004</v>
      </c>
      <c r="P2030" s="15">
        <f>IFERROR(tblSprzedaz[[#This Row],[Marża kwotowa]]/tblSprzedaz[[#This Row],[Przychód netto]],0)</f>
        <v>0.42414860681114552</v>
      </c>
      <c r="Q2030" s="16">
        <f>YEAR(tblSprzedaz[[#This Row],[Data]])</f>
        <v>2026</v>
      </c>
      <c r="R2030" s="16">
        <f>MONTH(tblSprzedaz[[#This Row],[Data]])</f>
        <v>6</v>
      </c>
      <c r="S2030" s="9" t="str">
        <f>YEAR(tblSprzedaz[[#This Row],[Data]])&amp;"-"&amp;RIGHT("0"&amp;MONTH(tblSprzedaz[[#This Row],[Data]]),2)</f>
        <v>2026-06</v>
      </c>
    </row>
    <row r="2031" spans="1:19" x14ac:dyDescent="0.25">
      <c r="A2031" s="7" t="s">
        <v>4229</v>
      </c>
      <c r="B2031" s="10">
        <v>46201</v>
      </c>
      <c r="C2031" s="7" t="s">
        <v>4230</v>
      </c>
      <c r="D2031" s="8" t="s">
        <v>130</v>
      </c>
      <c r="E2031" s="8" t="s">
        <v>58</v>
      </c>
      <c r="F2031" s="8" t="s">
        <v>31</v>
      </c>
      <c r="G2031" s="8" t="s">
        <v>30</v>
      </c>
      <c r="H2031" s="8" t="s">
        <v>40</v>
      </c>
      <c r="I2031" s="11">
        <v>5</v>
      </c>
      <c r="J2031" s="12">
        <v>350.7</v>
      </c>
      <c r="K2031" s="13">
        <v>0.15</v>
      </c>
      <c r="L2031" s="12">
        <v>214.63</v>
      </c>
      <c r="M2031" s="14">
        <f>ROUND(tblSprzedaz[[#This Row],[Ilość]]*tblSprzedaz[[#This Row],[Cena netto jednostkowa]]*(1-tblSprzedaz[[#This Row],[Rabat %]]),2)</f>
        <v>1490.48</v>
      </c>
      <c r="N2031" s="14">
        <f>ROUND(tblSprzedaz[[#This Row],[Ilość]]*tblSprzedaz[[#This Row],[Koszt jednostkowy netto]],2)</f>
        <v>1073.1500000000001</v>
      </c>
      <c r="O2031" s="14">
        <f>tblSprzedaz[[#This Row],[Przychód netto]]-tblSprzedaz[[#This Row],[Koszt całkowity netto]]</f>
        <v>417.32999999999993</v>
      </c>
      <c r="P2031" s="15">
        <f>IFERROR(tblSprzedaz[[#This Row],[Marża kwotowa]]/tblSprzedaz[[#This Row],[Przychód netto]],0)</f>
        <v>0.27999704793086788</v>
      </c>
      <c r="Q2031" s="16">
        <f>YEAR(tblSprzedaz[[#This Row],[Data]])</f>
        <v>2026</v>
      </c>
      <c r="R2031" s="16">
        <f>MONTH(tblSprzedaz[[#This Row],[Data]])</f>
        <v>6</v>
      </c>
      <c r="S2031" s="9" t="str">
        <f>YEAR(tblSprzedaz[[#This Row],[Data]])&amp;"-"&amp;RIGHT("0"&amp;MONTH(tblSprzedaz[[#This Row],[Data]]),2)</f>
        <v>2026-06</v>
      </c>
    </row>
    <row r="2032" spans="1:19" x14ac:dyDescent="0.25">
      <c r="A2032" s="7" t="s">
        <v>4231</v>
      </c>
      <c r="B2032" s="10">
        <v>46202</v>
      </c>
      <c r="C2032" s="7" t="s">
        <v>4232</v>
      </c>
      <c r="D2032" s="8" t="s">
        <v>115</v>
      </c>
      <c r="E2032" s="8" t="s">
        <v>57</v>
      </c>
      <c r="F2032" s="8" t="s">
        <v>31</v>
      </c>
      <c r="G2032" s="8" t="s">
        <v>30</v>
      </c>
      <c r="H2032" s="8" t="s">
        <v>41</v>
      </c>
      <c r="I2032" s="11">
        <v>9</v>
      </c>
      <c r="J2032" s="12">
        <v>315</v>
      </c>
      <c r="K2032" s="13">
        <v>0</v>
      </c>
      <c r="L2032" s="12">
        <v>203.21</v>
      </c>
      <c r="M2032" s="14">
        <f>ROUND(tblSprzedaz[[#This Row],[Ilość]]*tblSprzedaz[[#This Row],[Cena netto jednostkowa]]*(1-tblSprzedaz[[#This Row],[Rabat %]]),2)</f>
        <v>2835</v>
      </c>
      <c r="N2032" s="14">
        <f>ROUND(tblSprzedaz[[#This Row],[Ilość]]*tblSprzedaz[[#This Row],[Koszt jednostkowy netto]],2)</f>
        <v>1828.89</v>
      </c>
      <c r="O2032" s="14">
        <f>tblSprzedaz[[#This Row],[Przychód netto]]-tblSprzedaz[[#This Row],[Koszt całkowity netto]]</f>
        <v>1006.1099999999999</v>
      </c>
      <c r="P2032" s="15">
        <f>IFERROR(tblSprzedaz[[#This Row],[Marża kwotowa]]/tblSprzedaz[[#This Row],[Przychód netto]],0)</f>
        <v>0.35488888888888886</v>
      </c>
      <c r="Q2032" s="16">
        <f>YEAR(tblSprzedaz[[#This Row],[Data]])</f>
        <v>2026</v>
      </c>
      <c r="R2032" s="16">
        <f>MONTH(tblSprzedaz[[#This Row],[Data]])</f>
        <v>6</v>
      </c>
      <c r="S2032" s="9" t="str">
        <f>YEAR(tblSprzedaz[[#This Row],[Data]])&amp;"-"&amp;RIGHT("0"&amp;MONTH(tblSprzedaz[[#This Row],[Data]]),2)</f>
        <v>2026-06</v>
      </c>
    </row>
    <row r="2033" spans="1:19" x14ac:dyDescent="0.25">
      <c r="A2033" s="7" t="s">
        <v>4233</v>
      </c>
      <c r="B2033" s="10">
        <v>46202</v>
      </c>
      <c r="C2033" s="7" t="s">
        <v>4234</v>
      </c>
      <c r="D2033" s="8" t="s">
        <v>122</v>
      </c>
      <c r="E2033" s="8" t="s">
        <v>59</v>
      </c>
      <c r="F2033" s="8" t="s">
        <v>31</v>
      </c>
      <c r="G2033" s="8" t="s">
        <v>30</v>
      </c>
      <c r="H2033" s="8" t="s">
        <v>41</v>
      </c>
      <c r="I2033" s="11">
        <v>20</v>
      </c>
      <c r="J2033" s="12">
        <v>172.2</v>
      </c>
      <c r="K2033" s="13">
        <v>0.1</v>
      </c>
      <c r="L2033" s="12">
        <v>105.83</v>
      </c>
      <c r="M2033" s="14">
        <f>ROUND(tblSprzedaz[[#This Row],[Ilość]]*tblSprzedaz[[#This Row],[Cena netto jednostkowa]]*(1-tblSprzedaz[[#This Row],[Rabat %]]),2)</f>
        <v>3099.6</v>
      </c>
      <c r="N2033" s="14">
        <f>ROUND(tblSprzedaz[[#This Row],[Ilość]]*tblSprzedaz[[#This Row],[Koszt jednostkowy netto]],2)</f>
        <v>2116.6</v>
      </c>
      <c r="O2033" s="14">
        <f>tblSprzedaz[[#This Row],[Przychód netto]]-tblSprzedaz[[#This Row],[Koszt całkowity netto]]</f>
        <v>983</v>
      </c>
      <c r="P2033" s="15">
        <f>IFERROR(tblSprzedaz[[#This Row],[Marża kwotowa]]/tblSprzedaz[[#This Row],[Przychód netto]],0)</f>
        <v>0.31713769518647567</v>
      </c>
      <c r="Q2033" s="16">
        <f>YEAR(tblSprzedaz[[#This Row],[Data]])</f>
        <v>2026</v>
      </c>
      <c r="R2033" s="16">
        <f>MONTH(tblSprzedaz[[#This Row],[Data]])</f>
        <v>6</v>
      </c>
      <c r="S2033" s="9" t="str">
        <f>YEAR(tblSprzedaz[[#This Row],[Data]])&amp;"-"&amp;RIGHT("0"&amp;MONTH(tblSprzedaz[[#This Row],[Data]]),2)</f>
        <v>2026-06</v>
      </c>
    </row>
    <row r="2034" spans="1:19" x14ac:dyDescent="0.25">
      <c r="A2034" s="7" t="s">
        <v>4235</v>
      </c>
      <c r="B2034" s="10">
        <v>46202</v>
      </c>
      <c r="C2034" s="7" t="s">
        <v>4236</v>
      </c>
      <c r="D2034" s="8" t="s">
        <v>125</v>
      </c>
      <c r="E2034" s="8" t="s">
        <v>57</v>
      </c>
      <c r="F2034" s="8" t="s">
        <v>31</v>
      </c>
      <c r="G2034" s="8" t="s">
        <v>30</v>
      </c>
      <c r="H2034" s="8" t="s">
        <v>40</v>
      </c>
      <c r="I2034" s="11">
        <v>26</v>
      </c>
      <c r="J2034" s="12">
        <v>315</v>
      </c>
      <c r="K2034" s="13">
        <v>0.15</v>
      </c>
      <c r="L2034" s="12">
        <v>191.04</v>
      </c>
      <c r="M2034" s="14">
        <f>ROUND(tblSprzedaz[[#This Row],[Ilość]]*tblSprzedaz[[#This Row],[Cena netto jednostkowa]]*(1-tblSprzedaz[[#This Row],[Rabat %]]),2)</f>
        <v>6961.5</v>
      </c>
      <c r="N2034" s="14">
        <f>ROUND(tblSprzedaz[[#This Row],[Ilość]]*tblSprzedaz[[#This Row],[Koszt jednostkowy netto]],2)</f>
        <v>4967.04</v>
      </c>
      <c r="O2034" s="14">
        <f>tblSprzedaz[[#This Row],[Przychód netto]]-tblSprzedaz[[#This Row],[Koszt całkowity netto]]</f>
        <v>1994.46</v>
      </c>
      <c r="P2034" s="15">
        <f>IFERROR(tblSprzedaz[[#This Row],[Marża kwotowa]]/tblSprzedaz[[#This Row],[Przychód netto]],0)</f>
        <v>0.2864985994397759</v>
      </c>
      <c r="Q2034" s="16">
        <f>YEAR(tblSprzedaz[[#This Row],[Data]])</f>
        <v>2026</v>
      </c>
      <c r="R2034" s="16">
        <f>MONTH(tblSprzedaz[[#This Row],[Data]])</f>
        <v>6</v>
      </c>
      <c r="S2034" s="9" t="str">
        <f>YEAR(tblSprzedaz[[#This Row],[Data]])&amp;"-"&amp;RIGHT("0"&amp;MONTH(tblSprzedaz[[#This Row],[Data]]),2)</f>
        <v>2026-06</v>
      </c>
    </row>
    <row r="2035" spans="1:19" x14ac:dyDescent="0.25">
      <c r="A2035" s="7" t="s">
        <v>4237</v>
      </c>
      <c r="B2035" s="10">
        <v>46202</v>
      </c>
      <c r="C2035" s="7" t="s">
        <v>4238</v>
      </c>
      <c r="D2035" s="8" t="s">
        <v>98</v>
      </c>
      <c r="E2035" s="8" t="s">
        <v>50</v>
      </c>
      <c r="F2035" s="8" t="s">
        <v>29</v>
      </c>
      <c r="G2035" s="8" t="s">
        <v>36</v>
      </c>
      <c r="H2035" s="8" t="s">
        <v>47</v>
      </c>
      <c r="I2035" s="11">
        <v>20</v>
      </c>
      <c r="J2035" s="12">
        <v>45.22</v>
      </c>
      <c r="K2035" s="13">
        <v>0.1</v>
      </c>
      <c r="L2035" s="12">
        <v>25.72</v>
      </c>
      <c r="M2035" s="14">
        <f>ROUND(tblSprzedaz[[#This Row],[Ilość]]*tblSprzedaz[[#This Row],[Cena netto jednostkowa]]*(1-tblSprzedaz[[#This Row],[Rabat %]]),2)</f>
        <v>813.96</v>
      </c>
      <c r="N2035" s="14">
        <f>ROUND(tblSprzedaz[[#This Row],[Ilość]]*tblSprzedaz[[#This Row],[Koszt jednostkowy netto]],2)</f>
        <v>514.4</v>
      </c>
      <c r="O2035" s="14">
        <f>tblSprzedaz[[#This Row],[Przychód netto]]-tblSprzedaz[[#This Row],[Koszt całkowity netto]]</f>
        <v>299.56000000000006</v>
      </c>
      <c r="P2035" s="15">
        <f>IFERROR(tblSprzedaz[[#This Row],[Marża kwotowa]]/tblSprzedaz[[#This Row],[Przychód netto]],0)</f>
        <v>0.36802791291955383</v>
      </c>
      <c r="Q2035" s="16">
        <f>YEAR(tblSprzedaz[[#This Row],[Data]])</f>
        <v>2026</v>
      </c>
      <c r="R2035" s="16">
        <f>MONTH(tblSprzedaz[[#This Row],[Data]])</f>
        <v>6</v>
      </c>
      <c r="S2035" s="9" t="str">
        <f>YEAR(tblSprzedaz[[#This Row],[Data]])&amp;"-"&amp;RIGHT("0"&amp;MONTH(tblSprzedaz[[#This Row],[Data]]),2)</f>
        <v>2026-06</v>
      </c>
    </row>
    <row r="2036" spans="1:19" x14ac:dyDescent="0.25">
      <c r="A2036" s="7" t="s">
        <v>4239</v>
      </c>
      <c r="B2036" s="10">
        <v>46203</v>
      </c>
      <c r="C2036" s="7" t="s">
        <v>4240</v>
      </c>
      <c r="D2036" s="8" t="s">
        <v>89</v>
      </c>
      <c r="E2036" s="8" t="s">
        <v>60</v>
      </c>
      <c r="F2036" s="8" t="s">
        <v>33</v>
      </c>
      <c r="G2036" s="8" t="s">
        <v>32</v>
      </c>
      <c r="H2036" s="8" t="s">
        <v>43</v>
      </c>
      <c r="I2036" s="11">
        <v>16</v>
      </c>
      <c r="J2036" s="12">
        <v>455.4</v>
      </c>
      <c r="K2036" s="13">
        <v>0.1</v>
      </c>
      <c r="L2036" s="12">
        <v>322.44</v>
      </c>
      <c r="M2036" s="14">
        <f>ROUND(tblSprzedaz[[#This Row],[Ilość]]*tblSprzedaz[[#This Row],[Cena netto jednostkowa]]*(1-tblSprzedaz[[#This Row],[Rabat %]]),2)</f>
        <v>6557.76</v>
      </c>
      <c r="N2036" s="14">
        <f>ROUND(tblSprzedaz[[#This Row],[Ilość]]*tblSprzedaz[[#This Row],[Koszt jednostkowy netto]],2)</f>
        <v>5159.04</v>
      </c>
      <c r="O2036" s="14">
        <f>tblSprzedaz[[#This Row],[Przychód netto]]-tblSprzedaz[[#This Row],[Koszt całkowity netto]]</f>
        <v>1398.7200000000003</v>
      </c>
      <c r="P2036" s="15">
        <f>IFERROR(tblSprzedaz[[#This Row],[Marża kwotowa]]/tblSprzedaz[[#This Row],[Przychód netto]],0)</f>
        <v>0.21329234372712635</v>
      </c>
      <c r="Q2036" s="16">
        <f>YEAR(tblSprzedaz[[#This Row],[Data]])</f>
        <v>2026</v>
      </c>
      <c r="R2036" s="16">
        <f>MONTH(tblSprzedaz[[#This Row],[Data]])</f>
        <v>6</v>
      </c>
      <c r="S2036" s="9" t="str">
        <f>YEAR(tblSprzedaz[[#This Row],[Data]])&amp;"-"&amp;RIGHT("0"&amp;MONTH(tblSprzedaz[[#This Row],[Data]]),2)</f>
        <v>2026-06</v>
      </c>
    </row>
    <row r="2037" spans="1:19" x14ac:dyDescent="0.25">
      <c r="A2037" s="7" t="s">
        <v>4241</v>
      </c>
      <c r="B2037" s="10">
        <v>46203</v>
      </c>
      <c r="C2037" s="7" t="s">
        <v>4242</v>
      </c>
      <c r="D2037" s="8" t="s">
        <v>89</v>
      </c>
      <c r="E2037" s="8" t="s">
        <v>64</v>
      </c>
      <c r="F2037" s="8" t="s">
        <v>33</v>
      </c>
      <c r="G2037" s="8" t="s">
        <v>30</v>
      </c>
      <c r="H2037" s="8" t="s">
        <v>40</v>
      </c>
      <c r="I2037" s="11">
        <v>5</v>
      </c>
      <c r="J2037" s="12">
        <v>768.2</v>
      </c>
      <c r="K2037" s="13">
        <v>0.1</v>
      </c>
      <c r="L2037" s="12">
        <v>500.36</v>
      </c>
      <c r="M2037" s="14">
        <f>ROUND(tblSprzedaz[[#This Row],[Ilość]]*tblSprzedaz[[#This Row],[Cena netto jednostkowa]]*(1-tblSprzedaz[[#This Row],[Rabat %]]),2)</f>
        <v>3456.9</v>
      </c>
      <c r="N2037" s="14">
        <f>ROUND(tblSprzedaz[[#This Row],[Ilość]]*tblSprzedaz[[#This Row],[Koszt jednostkowy netto]],2)</f>
        <v>2501.8000000000002</v>
      </c>
      <c r="O2037" s="14">
        <f>tblSprzedaz[[#This Row],[Przychód netto]]-tblSprzedaz[[#This Row],[Koszt całkowity netto]]</f>
        <v>955.09999999999991</v>
      </c>
      <c r="P2037" s="15">
        <f>IFERROR(tblSprzedaz[[#This Row],[Marża kwotowa]]/tblSprzedaz[[#This Row],[Przychód netto]],0)</f>
        <v>0.27628800370273943</v>
      </c>
      <c r="Q2037" s="16">
        <f>YEAR(tblSprzedaz[[#This Row],[Data]])</f>
        <v>2026</v>
      </c>
      <c r="R2037" s="16">
        <f>MONTH(tblSprzedaz[[#This Row],[Data]])</f>
        <v>6</v>
      </c>
      <c r="S2037" s="9" t="str">
        <f>YEAR(tblSprzedaz[[#This Row],[Data]])&amp;"-"&amp;RIGHT("0"&amp;MONTH(tblSprzedaz[[#This Row],[Data]]),2)</f>
        <v>2026-06</v>
      </c>
    </row>
    <row r="2038" spans="1:19" x14ac:dyDescent="0.25">
      <c r="A2038" s="7" t="s">
        <v>4243</v>
      </c>
      <c r="B2038" s="10">
        <v>46203</v>
      </c>
      <c r="C2038" s="7" t="s">
        <v>4244</v>
      </c>
      <c r="D2038" s="8" t="s">
        <v>132</v>
      </c>
      <c r="E2038" s="8" t="s">
        <v>63</v>
      </c>
      <c r="F2038" s="8" t="s">
        <v>33</v>
      </c>
      <c r="G2038" s="8" t="s">
        <v>30</v>
      </c>
      <c r="H2038" s="8" t="s">
        <v>41</v>
      </c>
      <c r="I2038" s="11">
        <v>5</v>
      </c>
      <c r="J2038" s="12">
        <v>690</v>
      </c>
      <c r="K2038" s="13">
        <v>0</v>
      </c>
      <c r="L2038" s="12">
        <v>447.06</v>
      </c>
      <c r="M2038" s="14">
        <f>ROUND(tblSprzedaz[[#This Row],[Ilość]]*tblSprzedaz[[#This Row],[Cena netto jednostkowa]]*(1-tblSprzedaz[[#This Row],[Rabat %]]),2)</f>
        <v>3450</v>
      </c>
      <c r="N2038" s="14">
        <f>ROUND(tblSprzedaz[[#This Row],[Ilość]]*tblSprzedaz[[#This Row],[Koszt jednostkowy netto]],2)</f>
        <v>2235.3000000000002</v>
      </c>
      <c r="O2038" s="14">
        <f>tblSprzedaz[[#This Row],[Przychód netto]]-tblSprzedaz[[#This Row],[Koszt całkowity netto]]</f>
        <v>1214.6999999999998</v>
      </c>
      <c r="P2038" s="15">
        <f>IFERROR(tblSprzedaz[[#This Row],[Marża kwotowa]]/tblSprzedaz[[#This Row],[Przychód netto]],0)</f>
        <v>0.3520869565217391</v>
      </c>
      <c r="Q2038" s="16">
        <f>YEAR(tblSprzedaz[[#This Row],[Data]])</f>
        <v>2026</v>
      </c>
      <c r="R2038" s="16">
        <f>MONTH(tblSprzedaz[[#This Row],[Data]])</f>
        <v>6</v>
      </c>
      <c r="S2038" s="9" t="str">
        <f>YEAR(tblSprzedaz[[#This Row],[Data]])&amp;"-"&amp;RIGHT("0"&amp;MONTH(tblSprzedaz[[#This Row],[Data]]),2)</f>
        <v>2026-06</v>
      </c>
    </row>
    <row r="2039" spans="1:19" x14ac:dyDescent="0.25">
      <c r="A2039" s="7" t="s">
        <v>4245</v>
      </c>
      <c r="B2039" s="10">
        <v>46203</v>
      </c>
      <c r="C2039" s="7" t="s">
        <v>4246</v>
      </c>
      <c r="D2039" s="8" t="s">
        <v>84</v>
      </c>
      <c r="E2039" s="8" t="s">
        <v>66</v>
      </c>
      <c r="F2039" s="8" t="s">
        <v>35</v>
      </c>
      <c r="G2039" s="8" t="s">
        <v>32</v>
      </c>
      <c r="H2039" s="8" t="s">
        <v>43</v>
      </c>
      <c r="I2039" s="11">
        <v>22</v>
      </c>
      <c r="J2039" s="12">
        <v>67.319999999999993</v>
      </c>
      <c r="K2039" s="13">
        <v>0</v>
      </c>
      <c r="L2039" s="12">
        <v>49.65</v>
      </c>
      <c r="M2039" s="14">
        <f>ROUND(tblSprzedaz[[#This Row],[Ilość]]*tblSprzedaz[[#This Row],[Cena netto jednostkowa]]*(1-tblSprzedaz[[#This Row],[Rabat %]]),2)</f>
        <v>1481.04</v>
      </c>
      <c r="N2039" s="14">
        <f>ROUND(tblSprzedaz[[#This Row],[Ilość]]*tblSprzedaz[[#This Row],[Koszt jednostkowy netto]],2)</f>
        <v>1092.3</v>
      </c>
      <c r="O2039" s="14">
        <f>tblSprzedaz[[#This Row],[Przychód netto]]-tblSprzedaz[[#This Row],[Koszt całkowity netto]]</f>
        <v>388.74</v>
      </c>
      <c r="P2039" s="15">
        <f>IFERROR(tblSprzedaz[[#This Row],[Marża kwotowa]]/tblSprzedaz[[#This Row],[Przychód netto]],0)</f>
        <v>0.26247771836007133</v>
      </c>
      <c r="Q2039" s="16">
        <f>YEAR(tblSprzedaz[[#This Row],[Data]])</f>
        <v>2026</v>
      </c>
      <c r="R2039" s="16">
        <f>MONTH(tblSprzedaz[[#This Row],[Data]])</f>
        <v>6</v>
      </c>
      <c r="S2039" s="9" t="str">
        <f>YEAR(tblSprzedaz[[#This Row],[Data]])&amp;"-"&amp;RIGHT("0"&amp;MONTH(tblSprzedaz[[#This Row],[Data]]),2)</f>
        <v>2026-06</v>
      </c>
    </row>
    <row r="2040" spans="1:19" x14ac:dyDescent="0.25">
      <c r="A2040" s="7" t="s">
        <v>4247</v>
      </c>
      <c r="B2040" s="10">
        <v>46203</v>
      </c>
      <c r="C2040" s="7" t="s">
        <v>4248</v>
      </c>
      <c r="D2040" s="8" t="s">
        <v>103</v>
      </c>
      <c r="E2040" s="8" t="s">
        <v>66</v>
      </c>
      <c r="F2040" s="8" t="s">
        <v>35</v>
      </c>
      <c r="G2040" s="8" t="s">
        <v>36</v>
      </c>
      <c r="H2040" s="8" t="s">
        <v>46</v>
      </c>
      <c r="I2040" s="11">
        <v>13</v>
      </c>
      <c r="J2040" s="12">
        <v>67.319999999999993</v>
      </c>
      <c r="K2040" s="13">
        <v>0.1</v>
      </c>
      <c r="L2040" s="12">
        <v>47.17</v>
      </c>
      <c r="M2040" s="14">
        <f>ROUND(tblSprzedaz[[#This Row],[Ilość]]*tblSprzedaz[[#This Row],[Cena netto jednostkowa]]*(1-tblSprzedaz[[#This Row],[Rabat %]]),2)</f>
        <v>787.64</v>
      </c>
      <c r="N2040" s="14">
        <f>ROUND(tblSprzedaz[[#This Row],[Ilość]]*tblSprzedaz[[#This Row],[Koszt jednostkowy netto]],2)</f>
        <v>613.21</v>
      </c>
      <c r="O2040" s="14">
        <f>tblSprzedaz[[#This Row],[Przychód netto]]-tblSprzedaz[[#This Row],[Koszt całkowity netto]]</f>
        <v>174.42999999999995</v>
      </c>
      <c r="P2040" s="15">
        <f>IFERROR(tblSprzedaz[[#This Row],[Marża kwotowa]]/tblSprzedaz[[#This Row],[Przychód netto]],0)</f>
        <v>0.22145904220202117</v>
      </c>
      <c r="Q2040" s="16">
        <f>YEAR(tblSprzedaz[[#This Row],[Data]])</f>
        <v>2026</v>
      </c>
      <c r="R2040" s="16">
        <f>MONTH(tblSprzedaz[[#This Row],[Data]])</f>
        <v>6</v>
      </c>
      <c r="S2040" s="9" t="str">
        <f>YEAR(tblSprzedaz[[#This Row],[Data]])&amp;"-"&amp;RIGHT("0"&amp;MONTH(tblSprzedaz[[#This Row],[Data]]),2)</f>
        <v>2026-06</v>
      </c>
    </row>
    <row r="2041" spans="1:19" x14ac:dyDescent="0.25">
      <c r="A2041" s="7" t="s">
        <v>4249</v>
      </c>
      <c r="B2041" s="10">
        <v>46204</v>
      </c>
      <c r="C2041" s="7" t="s">
        <v>4250</v>
      </c>
      <c r="D2041" s="8" t="s">
        <v>121</v>
      </c>
      <c r="E2041" s="8" t="s">
        <v>65</v>
      </c>
      <c r="F2041" s="8" t="s">
        <v>33</v>
      </c>
      <c r="G2041" s="8" t="s">
        <v>32</v>
      </c>
      <c r="H2041" s="8" t="s">
        <v>42</v>
      </c>
      <c r="I2041" s="11">
        <v>3</v>
      </c>
      <c r="J2041" s="12">
        <v>377.2</v>
      </c>
      <c r="K2041" s="13">
        <v>0</v>
      </c>
      <c r="L2041" s="12">
        <v>247.15</v>
      </c>
      <c r="M2041" s="14">
        <f>ROUND(tblSprzedaz[[#This Row],[Ilość]]*tblSprzedaz[[#This Row],[Cena netto jednostkowa]]*(1-tblSprzedaz[[#This Row],[Rabat %]]),2)</f>
        <v>1131.5999999999999</v>
      </c>
      <c r="N2041" s="14">
        <f>ROUND(tblSprzedaz[[#This Row],[Ilość]]*tblSprzedaz[[#This Row],[Koszt jednostkowy netto]],2)</f>
        <v>741.45</v>
      </c>
      <c r="O2041" s="14">
        <f>tblSprzedaz[[#This Row],[Przychód netto]]-tblSprzedaz[[#This Row],[Koszt całkowity netto]]</f>
        <v>390.14999999999986</v>
      </c>
      <c r="P2041" s="15">
        <f>IFERROR(tblSprzedaz[[#This Row],[Marża kwotowa]]/tblSprzedaz[[#This Row],[Przychód netto]],0)</f>
        <v>0.34477730646871679</v>
      </c>
      <c r="Q2041" s="16">
        <f>YEAR(tblSprzedaz[[#This Row],[Data]])</f>
        <v>2026</v>
      </c>
      <c r="R2041" s="16">
        <f>MONTH(tblSprzedaz[[#This Row],[Data]])</f>
        <v>7</v>
      </c>
      <c r="S2041" s="9" t="str">
        <f>YEAR(tblSprzedaz[[#This Row],[Data]])&amp;"-"&amp;RIGHT("0"&amp;MONTH(tblSprzedaz[[#This Row],[Data]]),2)</f>
        <v>2026-07</v>
      </c>
    </row>
    <row r="2042" spans="1:19" x14ac:dyDescent="0.25">
      <c r="A2042" s="7" t="s">
        <v>4251</v>
      </c>
      <c r="B2042" s="10">
        <v>46204</v>
      </c>
      <c r="C2042" s="7" t="s">
        <v>4252</v>
      </c>
      <c r="D2042" s="8" t="s">
        <v>130</v>
      </c>
      <c r="E2042" s="8" t="s">
        <v>77</v>
      </c>
      <c r="F2042" s="8" t="s">
        <v>37</v>
      </c>
      <c r="G2042" s="8" t="s">
        <v>28</v>
      </c>
      <c r="H2042" s="8" t="s">
        <v>38</v>
      </c>
      <c r="I2042" s="11">
        <v>4</v>
      </c>
      <c r="J2042" s="12">
        <v>77.900000000000006</v>
      </c>
      <c r="K2042" s="13">
        <v>0.15</v>
      </c>
      <c r="L2042" s="12">
        <v>59.91</v>
      </c>
      <c r="M2042" s="14">
        <f>ROUND(tblSprzedaz[[#This Row],[Ilość]]*tblSprzedaz[[#This Row],[Cena netto jednostkowa]]*(1-tblSprzedaz[[#This Row],[Rabat %]]),2)</f>
        <v>264.86</v>
      </c>
      <c r="N2042" s="14">
        <f>ROUND(tblSprzedaz[[#This Row],[Ilość]]*tblSprzedaz[[#This Row],[Koszt jednostkowy netto]],2)</f>
        <v>239.64</v>
      </c>
      <c r="O2042" s="14">
        <f>tblSprzedaz[[#This Row],[Przychód netto]]-tblSprzedaz[[#This Row],[Koszt całkowity netto]]</f>
        <v>25.220000000000027</v>
      </c>
      <c r="P2042" s="15">
        <f>IFERROR(tblSprzedaz[[#This Row],[Marża kwotowa]]/tblSprzedaz[[#This Row],[Przychód netto]],0)</f>
        <v>9.5220116287850279E-2</v>
      </c>
      <c r="Q2042" s="16">
        <f>YEAR(tblSprzedaz[[#This Row],[Data]])</f>
        <v>2026</v>
      </c>
      <c r="R2042" s="16">
        <f>MONTH(tblSprzedaz[[#This Row],[Data]])</f>
        <v>7</v>
      </c>
      <c r="S2042" s="9" t="str">
        <f>YEAR(tblSprzedaz[[#This Row],[Data]])&amp;"-"&amp;RIGHT("0"&amp;MONTH(tblSprzedaz[[#This Row],[Data]]),2)</f>
        <v>2026-07</v>
      </c>
    </row>
    <row r="2043" spans="1:19" x14ac:dyDescent="0.25">
      <c r="A2043" s="7" t="s">
        <v>4253</v>
      </c>
      <c r="B2043" s="10">
        <v>46204</v>
      </c>
      <c r="C2043" s="7" t="s">
        <v>4254</v>
      </c>
      <c r="D2043" s="8" t="s">
        <v>82</v>
      </c>
      <c r="E2043" s="8" t="s">
        <v>53</v>
      </c>
      <c r="F2043" s="8" t="s">
        <v>29</v>
      </c>
      <c r="G2043" s="8" t="s">
        <v>30</v>
      </c>
      <c r="H2043" s="8" t="s">
        <v>40</v>
      </c>
      <c r="I2043" s="11">
        <v>3</v>
      </c>
      <c r="J2043" s="12">
        <v>27.88</v>
      </c>
      <c r="K2043" s="13">
        <v>0.05</v>
      </c>
      <c r="L2043" s="12">
        <v>15.49</v>
      </c>
      <c r="M2043" s="14">
        <f>ROUND(tblSprzedaz[[#This Row],[Ilość]]*tblSprzedaz[[#This Row],[Cena netto jednostkowa]]*(1-tblSprzedaz[[#This Row],[Rabat %]]),2)</f>
        <v>79.459999999999994</v>
      </c>
      <c r="N2043" s="14">
        <f>ROUND(tblSprzedaz[[#This Row],[Ilość]]*tblSprzedaz[[#This Row],[Koszt jednostkowy netto]],2)</f>
        <v>46.47</v>
      </c>
      <c r="O2043" s="14">
        <f>tblSprzedaz[[#This Row],[Przychód netto]]-tblSprzedaz[[#This Row],[Koszt całkowity netto]]</f>
        <v>32.989999999999995</v>
      </c>
      <c r="P2043" s="15">
        <f>IFERROR(tblSprzedaz[[#This Row],[Marża kwotowa]]/tblSprzedaz[[#This Row],[Przychód netto]],0)</f>
        <v>0.41517744777246413</v>
      </c>
      <c r="Q2043" s="16">
        <f>YEAR(tblSprzedaz[[#This Row],[Data]])</f>
        <v>2026</v>
      </c>
      <c r="R2043" s="16">
        <f>MONTH(tblSprzedaz[[#This Row],[Data]])</f>
        <v>7</v>
      </c>
      <c r="S2043" s="9" t="str">
        <f>YEAR(tblSprzedaz[[#This Row],[Data]])&amp;"-"&amp;RIGHT("0"&amp;MONTH(tblSprzedaz[[#This Row],[Data]]),2)</f>
        <v>2026-07</v>
      </c>
    </row>
    <row r="2044" spans="1:19" x14ac:dyDescent="0.25">
      <c r="A2044" s="7" t="s">
        <v>4255</v>
      </c>
      <c r="B2044" s="10">
        <v>46204</v>
      </c>
      <c r="C2044" s="7" t="s">
        <v>4256</v>
      </c>
      <c r="D2044" s="8" t="s">
        <v>92</v>
      </c>
      <c r="E2044" s="8" t="s">
        <v>51</v>
      </c>
      <c r="F2044" s="8" t="s">
        <v>29</v>
      </c>
      <c r="G2044" s="8" t="s">
        <v>36</v>
      </c>
      <c r="H2044" s="8" t="s">
        <v>46</v>
      </c>
      <c r="I2044" s="11">
        <v>14</v>
      </c>
      <c r="J2044" s="12">
        <v>51</v>
      </c>
      <c r="K2044" s="13">
        <v>0.05</v>
      </c>
      <c r="L2044" s="12">
        <v>29.22</v>
      </c>
      <c r="M2044" s="14">
        <f>ROUND(tblSprzedaz[[#This Row],[Ilość]]*tblSprzedaz[[#This Row],[Cena netto jednostkowa]]*(1-tblSprzedaz[[#This Row],[Rabat %]]),2)</f>
        <v>678.3</v>
      </c>
      <c r="N2044" s="14">
        <f>ROUND(tblSprzedaz[[#This Row],[Ilość]]*tblSprzedaz[[#This Row],[Koszt jednostkowy netto]],2)</f>
        <v>409.08</v>
      </c>
      <c r="O2044" s="14">
        <f>tblSprzedaz[[#This Row],[Przychód netto]]-tblSprzedaz[[#This Row],[Koszt całkowity netto]]</f>
        <v>269.21999999999997</v>
      </c>
      <c r="P2044" s="15">
        <f>IFERROR(tblSprzedaz[[#This Row],[Marża kwotowa]]/tblSprzedaz[[#This Row],[Przychód netto]],0)</f>
        <v>0.39690402476780184</v>
      </c>
      <c r="Q2044" s="16">
        <f>YEAR(tblSprzedaz[[#This Row],[Data]])</f>
        <v>2026</v>
      </c>
      <c r="R2044" s="16">
        <f>MONTH(tblSprzedaz[[#This Row],[Data]])</f>
        <v>7</v>
      </c>
      <c r="S2044" s="9" t="str">
        <f>YEAR(tblSprzedaz[[#This Row],[Data]])&amp;"-"&amp;RIGHT("0"&amp;MONTH(tblSprzedaz[[#This Row],[Data]]),2)</f>
        <v>2026-07</v>
      </c>
    </row>
    <row r="2045" spans="1:19" x14ac:dyDescent="0.25">
      <c r="A2045" s="7" t="s">
        <v>4257</v>
      </c>
      <c r="B2045" s="10">
        <v>46205</v>
      </c>
      <c r="C2045" s="7" t="s">
        <v>4258</v>
      </c>
      <c r="D2045" s="8" t="s">
        <v>114</v>
      </c>
      <c r="E2045" s="8" t="s">
        <v>58</v>
      </c>
      <c r="F2045" s="8" t="s">
        <v>31</v>
      </c>
      <c r="G2045" s="8" t="s">
        <v>34</v>
      </c>
      <c r="H2045" s="8" t="s">
        <v>45</v>
      </c>
      <c r="I2045" s="11">
        <v>4</v>
      </c>
      <c r="J2045" s="12">
        <v>350.7</v>
      </c>
      <c r="K2045" s="13">
        <v>0</v>
      </c>
      <c r="L2045" s="12">
        <v>231.6</v>
      </c>
      <c r="M2045" s="14">
        <f>ROUND(tblSprzedaz[[#This Row],[Ilość]]*tblSprzedaz[[#This Row],[Cena netto jednostkowa]]*(1-tblSprzedaz[[#This Row],[Rabat %]]),2)</f>
        <v>1402.8</v>
      </c>
      <c r="N2045" s="14">
        <f>ROUND(tblSprzedaz[[#This Row],[Ilość]]*tblSprzedaz[[#This Row],[Koszt jednostkowy netto]],2)</f>
        <v>926.4</v>
      </c>
      <c r="O2045" s="14">
        <f>tblSprzedaz[[#This Row],[Przychód netto]]-tblSprzedaz[[#This Row],[Koszt całkowity netto]]</f>
        <v>476.4</v>
      </c>
      <c r="P2045" s="15">
        <f>IFERROR(tblSprzedaz[[#This Row],[Marża kwotowa]]/tblSprzedaz[[#This Row],[Przychód netto]],0)</f>
        <v>0.33960650128314801</v>
      </c>
      <c r="Q2045" s="16">
        <f>YEAR(tblSprzedaz[[#This Row],[Data]])</f>
        <v>2026</v>
      </c>
      <c r="R2045" s="16">
        <f>MONTH(tblSprzedaz[[#This Row],[Data]])</f>
        <v>7</v>
      </c>
      <c r="S2045" s="9" t="str">
        <f>YEAR(tblSprzedaz[[#This Row],[Data]])&amp;"-"&amp;RIGHT("0"&amp;MONTH(tblSprzedaz[[#This Row],[Data]]),2)</f>
        <v>2026-07</v>
      </c>
    </row>
    <row r="2046" spans="1:19" x14ac:dyDescent="0.25">
      <c r="A2046" s="7" t="s">
        <v>4259</v>
      </c>
      <c r="B2046" s="10">
        <v>46205</v>
      </c>
      <c r="C2046" s="7" t="s">
        <v>4260</v>
      </c>
      <c r="D2046" s="8" t="s">
        <v>145</v>
      </c>
      <c r="E2046" s="8" t="s">
        <v>70</v>
      </c>
      <c r="F2046" s="8" t="s">
        <v>35</v>
      </c>
      <c r="G2046" s="8" t="s">
        <v>34</v>
      </c>
      <c r="H2046" s="8" t="s">
        <v>44</v>
      </c>
      <c r="I2046" s="11">
        <v>4</v>
      </c>
      <c r="J2046" s="12">
        <v>113.56</v>
      </c>
      <c r="K2046" s="13">
        <v>0.05</v>
      </c>
      <c r="L2046" s="12">
        <v>78.86</v>
      </c>
      <c r="M2046" s="14">
        <f>ROUND(tblSprzedaz[[#This Row],[Ilość]]*tblSprzedaz[[#This Row],[Cena netto jednostkowa]]*(1-tblSprzedaz[[#This Row],[Rabat %]]),2)</f>
        <v>431.53</v>
      </c>
      <c r="N2046" s="14">
        <f>ROUND(tblSprzedaz[[#This Row],[Ilość]]*tblSprzedaz[[#This Row],[Koszt jednostkowy netto]],2)</f>
        <v>315.44</v>
      </c>
      <c r="O2046" s="14">
        <f>tblSprzedaz[[#This Row],[Przychód netto]]-tblSprzedaz[[#This Row],[Koszt całkowity netto]]</f>
        <v>116.08999999999997</v>
      </c>
      <c r="P2046" s="15">
        <f>IFERROR(tblSprzedaz[[#This Row],[Marża kwotowa]]/tblSprzedaz[[#This Row],[Przychód netto]],0)</f>
        <v>0.26901953514240023</v>
      </c>
      <c r="Q2046" s="16">
        <f>YEAR(tblSprzedaz[[#This Row],[Data]])</f>
        <v>2026</v>
      </c>
      <c r="R2046" s="16">
        <f>MONTH(tblSprzedaz[[#This Row],[Data]])</f>
        <v>7</v>
      </c>
      <c r="S2046" s="9" t="str">
        <f>YEAR(tblSprzedaz[[#This Row],[Data]])&amp;"-"&amp;RIGHT("0"&amp;MONTH(tblSprzedaz[[#This Row],[Data]]),2)</f>
        <v>2026-07</v>
      </c>
    </row>
    <row r="2047" spans="1:19" x14ac:dyDescent="0.25">
      <c r="A2047" s="7" t="s">
        <v>4261</v>
      </c>
      <c r="B2047" s="10">
        <v>46205</v>
      </c>
      <c r="C2047" s="7" t="s">
        <v>4262</v>
      </c>
      <c r="D2047" s="8" t="s">
        <v>103</v>
      </c>
      <c r="E2047" s="8" t="s">
        <v>54</v>
      </c>
      <c r="F2047" s="8" t="s">
        <v>31</v>
      </c>
      <c r="G2047" s="8" t="s">
        <v>30</v>
      </c>
      <c r="H2047" s="8" t="s">
        <v>41</v>
      </c>
      <c r="I2047" s="11">
        <v>5</v>
      </c>
      <c r="J2047" s="12">
        <v>207.9</v>
      </c>
      <c r="K2047" s="13">
        <v>0</v>
      </c>
      <c r="L2047" s="12">
        <v>132.36000000000001</v>
      </c>
      <c r="M2047" s="14">
        <f>ROUND(tblSprzedaz[[#This Row],[Ilość]]*tblSprzedaz[[#This Row],[Cena netto jednostkowa]]*(1-tblSprzedaz[[#This Row],[Rabat %]]),2)</f>
        <v>1039.5</v>
      </c>
      <c r="N2047" s="14">
        <f>ROUND(tblSprzedaz[[#This Row],[Ilość]]*tblSprzedaz[[#This Row],[Koszt jednostkowy netto]],2)</f>
        <v>661.8</v>
      </c>
      <c r="O2047" s="14">
        <f>tblSprzedaz[[#This Row],[Przychód netto]]-tblSprzedaz[[#This Row],[Koszt całkowity netto]]</f>
        <v>377.70000000000005</v>
      </c>
      <c r="P2047" s="15">
        <f>IFERROR(tblSprzedaz[[#This Row],[Marża kwotowa]]/tblSprzedaz[[#This Row],[Przychód netto]],0)</f>
        <v>0.36334776334776336</v>
      </c>
      <c r="Q2047" s="16">
        <f>YEAR(tblSprzedaz[[#This Row],[Data]])</f>
        <v>2026</v>
      </c>
      <c r="R2047" s="16">
        <f>MONTH(tblSprzedaz[[#This Row],[Data]])</f>
        <v>7</v>
      </c>
      <c r="S2047" s="9" t="str">
        <f>YEAR(tblSprzedaz[[#This Row],[Data]])&amp;"-"&amp;RIGHT("0"&amp;MONTH(tblSprzedaz[[#This Row],[Data]]),2)</f>
        <v>2026-07</v>
      </c>
    </row>
    <row r="2048" spans="1:19" x14ac:dyDescent="0.25">
      <c r="A2048" s="7" t="s">
        <v>4263</v>
      </c>
      <c r="B2048" s="10">
        <v>46205</v>
      </c>
      <c r="C2048" s="7" t="s">
        <v>4264</v>
      </c>
      <c r="D2048" s="8" t="s">
        <v>129</v>
      </c>
      <c r="E2048" s="8" t="s">
        <v>65</v>
      </c>
      <c r="F2048" s="8" t="s">
        <v>33</v>
      </c>
      <c r="G2048" s="8" t="s">
        <v>34</v>
      </c>
      <c r="H2048" s="8" t="s">
        <v>45</v>
      </c>
      <c r="I2048" s="11">
        <v>4</v>
      </c>
      <c r="J2048" s="12">
        <v>377.2</v>
      </c>
      <c r="K2048" s="13">
        <v>0</v>
      </c>
      <c r="L2048" s="12">
        <v>259.86</v>
      </c>
      <c r="M2048" s="14">
        <f>ROUND(tblSprzedaz[[#This Row],[Ilość]]*tblSprzedaz[[#This Row],[Cena netto jednostkowa]]*(1-tblSprzedaz[[#This Row],[Rabat %]]),2)</f>
        <v>1508.8</v>
      </c>
      <c r="N2048" s="14">
        <f>ROUND(tblSprzedaz[[#This Row],[Ilość]]*tblSprzedaz[[#This Row],[Koszt jednostkowy netto]],2)</f>
        <v>1039.44</v>
      </c>
      <c r="O2048" s="14">
        <f>tblSprzedaz[[#This Row],[Przychód netto]]-tblSprzedaz[[#This Row],[Koszt całkowity netto]]</f>
        <v>469.3599999999999</v>
      </c>
      <c r="P2048" s="15">
        <f>IFERROR(tblSprzedaz[[#This Row],[Marża kwotowa]]/tblSprzedaz[[#This Row],[Przychód netto]],0)</f>
        <v>0.31108165429480378</v>
      </c>
      <c r="Q2048" s="16">
        <f>YEAR(tblSprzedaz[[#This Row],[Data]])</f>
        <v>2026</v>
      </c>
      <c r="R2048" s="16">
        <f>MONTH(tblSprzedaz[[#This Row],[Data]])</f>
        <v>7</v>
      </c>
      <c r="S2048" s="9" t="str">
        <f>YEAR(tblSprzedaz[[#This Row],[Data]])&amp;"-"&amp;RIGHT("0"&amp;MONTH(tblSprzedaz[[#This Row],[Data]]),2)</f>
        <v>2026-07</v>
      </c>
    </row>
    <row r="2049" spans="1:19" x14ac:dyDescent="0.25">
      <c r="A2049" s="7" t="s">
        <v>4265</v>
      </c>
      <c r="B2049" s="10">
        <v>46206</v>
      </c>
      <c r="C2049" s="7" t="s">
        <v>4266</v>
      </c>
      <c r="D2049" s="8" t="s">
        <v>107</v>
      </c>
      <c r="E2049" s="8" t="s">
        <v>61</v>
      </c>
      <c r="F2049" s="8" t="s">
        <v>33</v>
      </c>
      <c r="G2049" s="8" t="s">
        <v>34</v>
      </c>
      <c r="H2049" s="8" t="s">
        <v>45</v>
      </c>
      <c r="I2049" s="11">
        <v>1</v>
      </c>
      <c r="J2049" s="12">
        <v>533.6</v>
      </c>
      <c r="K2049" s="13">
        <v>0</v>
      </c>
      <c r="L2049" s="12">
        <v>379.91</v>
      </c>
      <c r="M2049" s="14">
        <f>ROUND(tblSprzedaz[[#This Row],[Ilość]]*tblSprzedaz[[#This Row],[Cena netto jednostkowa]]*(1-tblSprzedaz[[#This Row],[Rabat %]]),2)</f>
        <v>533.6</v>
      </c>
      <c r="N2049" s="14">
        <f>ROUND(tblSprzedaz[[#This Row],[Ilość]]*tblSprzedaz[[#This Row],[Koszt jednostkowy netto]],2)</f>
        <v>379.91</v>
      </c>
      <c r="O2049" s="14">
        <f>tblSprzedaz[[#This Row],[Przychód netto]]-tblSprzedaz[[#This Row],[Koszt całkowity netto]]</f>
        <v>153.69</v>
      </c>
      <c r="P2049" s="15">
        <f>IFERROR(tblSprzedaz[[#This Row],[Marża kwotowa]]/tblSprzedaz[[#This Row],[Przychód netto]],0)</f>
        <v>0.28802473763118441</v>
      </c>
      <c r="Q2049" s="16">
        <f>YEAR(tblSprzedaz[[#This Row],[Data]])</f>
        <v>2026</v>
      </c>
      <c r="R2049" s="16">
        <f>MONTH(tblSprzedaz[[#This Row],[Data]])</f>
        <v>7</v>
      </c>
      <c r="S2049" s="9" t="str">
        <f>YEAR(tblSprzedaz[[#This Row],[Data]])&amp;"-"&amp;RIGHT("0"&amp;MONTH(tblSprzedaz[[#This Row],[Data]]),2)</f>
        <v>2026-07</v>
      </c>
    </row>
    <row r="2050" spans="1:19" x14ac:dyDescent="0.25">
      <c r="A2050" s="7" t="s">
        <v>4267</v>
      </c>
      <c r="B2050" s="10">
        <v>46206</v>
      </c>
      <c r="C2050" s="7" t="s">
        <v>4268</v>
      </c>
      <c r="D2050" s="8" t="s">
        <v>152</v>
      </c>
      <c r="E2050" s="8" t="s">
        <v>59</v>
      </c>
      <c r="F2050" s="8" t="s">
        <v>31</v>
      </c>
      <c r="G2050" s="8" t="s">
        <v>32</v>
      </c>
      <c r="H2050" s="8" t="s">
        <v>42</v>
      </c>
      <c r="I2050" s="11">
        <v>2</v>
      </c>
      <c r="J2050" s="12">
        <v>172.2</v>
      </c>
      <c r="K2050" s="13">
        <v>0.15</v>
      </c>
      <c r="L2050" s="12">
        <v>106.17</v>
      </c>
      <c r="M2050" s="14">
        <f>ROUND(tblSprzedaz[[#This Row],[Ilość]]*tblSprzedaz[[#This Row],[Cena netto jednostkowa]]*(1-tblSprzedaz[[#This Row],[Rabat %]]),2)</f>
        <v>292.74</v>
      </c>
      <c r="N2050" s="14">
        <f>ROUND(tblSprzedaz[[#This Row],[Ilość]]*tblSprzedaz[[#This Row],[Koszt jednostkowy netto]],2)</f>
        <v>212.34</v>
      </c>
      <c r="O2050" s="14">
        <f>tblSprzedaz[[#This Row],[Przychód netto]]-tblSprzedaz[[#This Row],[Koszt całkowity netto]]</f>
        <v>80.400000000000006</v>
      </c>
      <c r="P2050" s="15">
        <f>IFERROR(tblSprzedaz[[#This Row],[Marża kwotowa]]/tblSprzedaz[[#This Row],[Przychód netto]],0)</f>
        <v>0.27464644394343102</v>
      </c>
      <c r="Q2050" s="16">
        <f>YEAR(tblSprzedaz[[#This Row],[Data]])</f>
        <v>2026</v>
      </c>
      <c r="R2050" s="16">
        <f>MONTH(tblSprzedaz[[#This Row],[Data]])</f>
        <v>7</v>
      </c>
      <c r="S2050" s="9" t="str">
        <f>YEAR(tblSprzedaz[[#This Row],[Data]])&amp;"-"&amp;RIGHT("0"&amp;MONTH(tblSprzedaz[[#This Row],[Data]]),2)</f>
        <v>2026-07</v>
      </c>
    </row>
    <row r="2051" spans="1:19" x14ac:dyDescent="0.25">
      <c r="A2051" s="7" t="s">
        <v>4269</v>
      </c>
      <c r="B2051" s="10">
        <v>46206</v>
      </c>
      <c r="C2051" s="7" t="s">
        <v>4270</v>
      </c>
      <c r="D2051" s="8" t="s">
        <v>136</v>
      </c>
      <c r="E2051" s="8" t="s">
        <v>75</v>
      </c>
      <c r="F2051" s="8" t="s">
        <v>37</v>
      </c>
      <c r="G2051" s="8" t="s">
        <v>34</v>
      </c>
      <c r="H2051" s="8" t="s">
        <v>45</v>
      </c>
      <c r="I2051" s="11">
        <v>4</v>
      </c>
      <c r="J2051" s="12">
        <v>142.5</v>
      </c>
      <c r="K2051" s="13">
        <v>0.1</v>
      </c>
      <c r="L2051" s="12">
        <v>115.06</v>
      </c>
      <c r="M2051" s="14">
        <f>ROUND(tblSprzedaz[[#This Row],[Ilość]]*tblSprzedaz[[#This Row],[Cena netto jednostkowa]]*(1-tblSprzedaz[[#This Row],[Rabat %]]),2)</f>
        <v>513</v>
      </c>
      <c r="N2051" s="14">
        <f>ROUND(tblSprzedaz[[#This Row],[Ilość]]*tblSprzedaz[[#This Row],[Koszt jednostkowy netto]],2)</f>
        <v>460.24</v>
      </c>
      <c r="O2051" s="14">
        <f>tblSprzedaz[[#This Row],[Przychód netto]]-tblSprzedaz[[#This Row],[Koszt całkowity netto]]</f>
        <v>52.759999999999991</v>
      </c>
      <c r="P2051" s="15">
        <f>IFERROR(tblSprzedaz[[#This Row],[Marża kwotowa]]/tblSprzedaz[[#This Row],[Przychód netto]],0)</f>
        <v>0.10284600389863546</v>
      </c>
      <c r="Q2051" s="16">
        <f>YEAR(tblSprzedaz[[#This Row],[Data]])</f>
        <v>2026</v>
      </c>
      <c r="R2051" s="16">
        <f>MONTH(tblSprzedaz[[#This Row],[Data]])</f>
        <v>7</v>
      </c>
      <c r="S2051" s="9" t="str">
        <f>YEAR(tblSprzedaz[[#This Row],[Data]])&amp;"-"&amp;RIGHT("0"&amp;MONTH(tblSprzedaz[[#This Row],[Data]]),2)</f>
        <v>2026-07</v>
      </c>
    </row>
    <row r="2052" spans="1:19" x14ac:dyDescent="0.25">
      <c r="A2052" s="7" t="s">
        <v>4271</v>
      </c>
      <c r="B2052" s="10">
        <v>46206</v>
      </c>
      <c r="C2052" s="7" t="s">
        <v>4272</v>
      </c>
      <c r="D2052" s="8" t="s">
        <v>90</v>
      </c>
      <c r="E2052" s="8" t="s">
        <v>58</v>
      </c>
      <c r="F2052" s="8" t="s">
        <v>31</v>
      </c>
      <c r="G2052" s="8" t="s">
        <v>30</v>
      </c>
      <c r="H2052" s="8" t="s">
        <v>41</v>
      </c>
      <c r="I2052" s="11">
        <v>5</v>
      </c>
      <c r="J2052" s="12">
        <v>350.7</v>
      </c>
      <c r="K2052" s="13">
        <v>0</v>
      </c>
      <c r="L2052" s="12">
        <v>232.3</v>
      </c>
      <c r="M2052" s="14">
        <f>ROUND(tblSprzedaz[[#This Row],[Ilość]]*tblSprzedaz[[#This Row],[Cena netto jednostkowa]]*(1-tblSprzedaz[[#This Row],[Rabat %]]),2)</f>
        <v>1753.5</v>
      </c>
      <c r="N2052" s="14">
        <f>ROUND(tblSprzedaz[[#This Row],[Ilość]]*tblSprzedaz[[#This Row],[Koszt jednostkowy netto]],2)</f>
        <v>1161.5</v>
      </c>
      <c r="O2052" s="14">
        <f>tblSprzedaz[[#This Row],[Przychód netto]]-tblSprzedaz[[#This Row],[Koszt całkowity netto]]</f>
        <v>592</v>
      </c>
      <c r="P2052" s="15">
        <f>IFERROR(tblSprzedaz[[#This Row],[Marża kwotowa]]/tblSprzedaz[[#This Row],[Przychód netto]],0)</f>
        <v>0.33761049329911608</v>
      </c>
      <c r="Q2052" s="16">
        <f>YEAR(tblSprzedaz[[#This Row],[Data]])</f>
        <v>2026</v>
      </c>
      <c r="R2052" s="16">
        <f>MONTH(tblSprzedaz[[#This Row],[Data]])</f>
        <v>7</v>
      </c>
      <c r="S2052" s="9" t="str">
        <f>YEAR(tblSprzedaz[[#This Row],[Data]])&amp;"-"&amp;RIGHT("0"&amp;MONTH(tblSprzedaz[[#This Row],[Data]]),2)</f>
        <v>2026-07</v>
      </c>
    </row>
    <row r="2053" spans="1:19" x14ac:dyDescent="0.25">
      <c r="A2053" s="7" t="s">
        <v>4273</v>
      </c>
      <c r="B2053" s="10">
        <v>46207</v>
      </c>
      <c r="C2053" s="7" t="s">
        <v>4274</v>
      </c>
      <c r="D2053" s="8" t="s">
        <v>108</v>
      </c>
      <c r="E2053" s="8" t="s">
        <v>63</v>
      </c>
      <c r="F2053" s="8" t="s">
        <v>33</v>
      </c>
      <c r="G2053" s="8" t="s">
        <v>34</v>
      </c>
      <c r="H2053" s="8" t="s">
        <v>44</v>
      </c>
      <c r="I2053" s="11">
        <v>2</v>
      </c>
      <c r="J2053" s="12">
        <v>690</v>
      </c>
      <c r="K2053" s="13">
        <v>0.05</v>
      </c>
      <c r="L2053" s="12">
        <v>483.03</v>
      </c>
      <c r="M2053" s="14">
        <f>ROUND(tblSprzedaz[[#This Row],[Ilość]]*tblSprzedaz[[#This Row],[Cena netto jednostkowa]]*(1-tblSprzedaz[[#This Row],[Rabat %]]),2)</f>
        <v>1311</v>
      </c>
      <c r="N2053" s="14">
        <f>ROUND(tblSprzedaz[[#This Row],[Ilość]]*tblSprzedaz[[#This Row],[Koszt jednostkowy netto]],2)</f>
        <v>966.06</v>
      </c>
      <c r="O2053" s="14">
        <f>tblSprzedaz[[#This Row],[Przychód netto]]-tblSprzedaz[[#This Row],[Koszt całkowity netto]]</f>
        <v>344.94000000000005</v>
      </c>
      <c r="P2053" s="15">
        <f>IFERROR(tblSprzedaz[[#This Row],[Marża kwotowa]]/tblSprzedaz[[#This Row],[Przychód netto]],0)</f>
        <v>0.26311212814645313</v>
      </c>
      <c r="Q2053" s="16">
        <f>YEAR(tblSprzedaz[[#This Row],[Data]])</f>
        <v>2026</v>
      </c>
      <c r="R2053" s="16">
        <f>MONTH(tblSprzedaz[[#This Row],[Data]])</f>
        <v>7</v>
      </c>
      <c r="S2053" s="9" t="str">
        <f>YEAR(tblSprzedaz[[#This Row],[Data]])&amp;"-"&amp;RIGHT("0"&amp;MONTH(tblSprzedaz[[#This Row],[Data]]),2)</f>
        <v>2026-07</v>
      </c>
    </row>
    <row r="2054" spans="1:19" x14ac:dyDescent="0.25">
      <c r="A2054" s="7" t="s">
        <v>4275</v>
      </c>
      <c r="B2054" s="10">
        <v>46207</v>
      </c>
      <c r="C2054" s="7" t="s">
        <v>4276</v>
      </c>
      <c r="D2054" s="8" t="s">
        <v>146</v>
      </c>
      <c r="E2054" s="8" t="s">
        <v>51</v>
      </c>
      <c r="F2054" s="8" t="s">
        <v>29</v>
      </c>
      <c r="G2054" s="8" t="s">
        <v>34</v>
      </c>
      <c r="H2054" s="8" t="s">
        <v>44</v>
      </c>
      <c r="I2054" s="11">
        <v>4</v>
      </c>
      <c r="J2054" s="12">
        <v>51</v>
      </c>
      <c r="K2054" s="13">
        <v>0</v>
      </c>
      <c r="L2054" s="12">
        <v>29.03</v>
      </c>
      <c r="M2054" s="14">
        <f>ROUND(tblSprzedaz[[#This Row],[Ilość]]*tblSprzedaz[[#This Row],[Cena netto jednostkowa]]*(1-tblSprzedaz[[#This Row],[Rabat %]]),2)</f>
        <v>204</v>
      </c>
      <c r="N2054" s="14">
        <f>ROUND(tblSprzedaz[[#This Row],[Ilość]]*tblSprzedaz[[#This Row],[Koszt jednostkowy netto]],2)</f>
        <v>116.12</v>
      </c>
      <c r="O2054" s="14">
        <f>tblSprzedaz[[#This Row],[Przychód netto]]-tblSprzedaz[[#This Row],[Koszt całkowity netto]]</f>
        <v>87.88</v>
      </c>
      <c r="P2054" s="15">
        <f>IFERROR(tblSprzedaz[[#This Row],[Marża kwotowa]]/tblSprzedaz[[#This Row],[Przychód netto]],0)</f>
        <v>0.4307843137254902</v>
      </c>
      <c r="Q2054" s="16">
        <f>YEAR(tblSprzedaz[[#This Row],[Data]])</f>
        <v>2026</v>
      </c>
      <c r="R2054" s="16">
        <f>MONTH(tblSprzedaz[[#This Row],[Data]])</f>
        <v>7</v>
      </c>
      <c r="S2054" s="9" t="str">
        <f>YEAR(tblSprzedaz[[#This Row],[Data]])&amp;"-"&amp;RIGHT("0"&amp;MONTH(tblSprzedaz[[#This Row],[Data]]),2)</f>
        <v>2026-07</v>
      </c>
    </row>
    <row r="2055" spans="1:19" x14ac:dyDescent="0.25">
      <c r="A2055" s="7" t="s">
        <v>4277</v>
      </c>
      <c r="B2055" s="10">
        <v>46208</v>
      </c>
      <c r="C2055" s="7" t="s">
        <v>4278</v>
      </c>
      <c r="D2055" s="8" t="s">
        <v>147</v>
      </c>
      <c r="E2055" s="8" t="s">
        <v>63</v>
      </c>
      <c r="F2055" s="8" t="s">
        <v>33</v>
      </c>
      <c r="G2055" s="8" t="s">
        <v>36</v>
      </c>
      <c r="H2055" s="8" t="s">
        <v>46</v>
      </c>
      <c r="I2055" s="11">
        <v>10</v>
      </c>
      <c r="J2055" s="12">
        <v>690</v>
      </c>
      <c r="K2055" s="13">
        <v>0</v>
      </c>
      <c r="L2055" s="12">
        <v>461.4</v>
      </c>
      <c r="M2055" s="14">
        <f>ROUND(tblSprzedaz[[#This Row],[Ilość]]*tblSprzedaz[[#This Row],[Cena netto jednostkowa]]*(1-tblSprzedaz[[#This Row],[Rabat %]]),2)</f>
        <v>6900</v>
      </c>
      <c r="N2055" s="14">
        <f>ROUND(tblSprzedaz[[#This Row],[Ilość]]*tblSprzedaz[[#This Row],[Koszt jednostkowy netto]],2)</f>
        <v>4614</v>
      </c>
      <c r="O2055" s="14">
        <f>tblSprzedaz[[#This Row],[Przychód netto]]-tblSprzedaz[[#This Row],[Koszt całkowity netto]]</f>
        <v>2286</v>
      </c>
      <c r="P2055" s="15">
        <f>IFERROR(tblSprzedaz[[#This Row],[Marża kwotowa]]/tblSprzedaz[[#This Row],[Przychód netto]],0)</f>
        <v>0.33130434782608698</v>
      </c>
      <c r="Q2055" s="16">
        <f>YEAR(tblSprzedaz[[#This Row],[Data]])</f>
        <v>2026</v>
      </c>
      <c r="R2055" s="16">
        <f>MONTH(tblSprzedaz[[#This Row],[Data]])</f>
        <v>7</v>
      </c>
      <c r="S2055" s="9" t="str">
        <f>YEAR(tblSprzedaz[[#This Row],[Data]])&amp;"-"&amp;RIGHT("0"&amp;MONTH(tblSprzedaz[[#This Row],[Data]]),2)</f>
        <v>2026-07</v>
      </c>
    </row>
    <row r="2056" spans="1:19" x14ac:dyDescent="0.25">
      <c r="A2056" s="7" t="s">
        <v>4279</v>
      </c>
      <c r="B2056" s="10">
        <v>46208</v>
      </c>
      <c r="C2056" s="7" t="s">
        <v>4280</v>
      </c>
      <c r="D2056" s="8" t="s">
        <v>117</v>
      </c>
      <c r="E2056" s="8" t="s">
        <v>54</v>
      </c>
      <c r="F2056" s="8" t="s">
        <v>31</v>
      </c>
      <c r="G2056" s="8" t="s">
        <v>28</v>
      </c>
      <c r="H2056" s="8" t="s">
        <v>38</v>
      </c>
      <c r="I2056" s="11">
        <v>8</v>
      </c>
      <c r="J2056" s="12">
        <v>207.9</v>
      </c>
      <c r="K2056" s="13">
        <v>0.15</v>
      </c>
      <c r="L2056" s="12">
        <v>139.74</v>
      </c>
      <c r="M2056" s="14">
        <f>ROUND(tblSprzedaz[[#This Row],[Ilość]]*tblSprzedaz[[#This Row],[Cena netto jednostkowa]]*(1-tblSprzedaz[[#This Row],[Rabat %]]),2)</f>
        <v>1413.72</v>
      </c>
      <c r="N2056" s="14">
        <f>ROUND(tblSprzedaz[[#This Row],[Ilość]]*tblSprzedaz[[#This Row],[Koszt jednostkowy netto]],2)</f>
        <v>1117.92</v>
      </c>
      <c r="O2056" s="14">
        <f>tblSprzedaz[[#This Row],[Przychód netto]]-tblSprzedaz[[#This Row],[Koszt całkowity netto]]</f>
        <v>295.79999999999995</v>
      </c>
      <c r="P2056" s="15">
        <f>IFERROR(tblSprzedaz[[#This Row],[Marża kwotowa]]/tblSprzedaz[[#This Row],[Przychód netto]],0)</f>
        <v>0.20923520923520919</v>
      </c>
      <c r="Q2056" s="16">
        <f>YEAR(tblSprzedaz[[#This Row],[Data]])</f>
        <v>2026</v>
      </c>
      <c r="R2056" s="16">
        <f>MONTH(tblSprzedaz[[#This Row],[Data]])</f>
        <v>7</v>
      </c>
      <c r="S2056" s="9" t="str">
        <f>YEAR(tblSprzedaz[[#This Row],[Data]])&amp;"-"&amp;RIGHT("0"&amp;MONTH(tblSprzedaz[[#This Row],[Data]]),2)</f>
        <v>2026-07</v>
      </c>
    </row>
    <row r="2057" spans="1:19" x14ac:dyDescent="0.25">
      <c r="A2057" s="7" t="s">
        <v>4281</v>
      </c>
      <c r="B2057" s="10">
        <v>46209</v>
      </c>
      <c r="C2057" s="7" t="s">
        <v>4282</v>
      </c>
      <c r="D2057" s="8" t="s">
        <v>127</v>
      </c>
      <c r="E2057" s="8" t="s">
        <v>71</v>
      </c>
      <c r="F2057" s="8" t="s">
        <v>35</v>
      </c>
      <c r="G2057" s="8" t="s">
        <v>28</v>
      </c>
      <c r="H2057" s="8" t="s">
        <v>39</v>
      </c>
      <c r="I2057" s="11">
        <v>8</v>
      </c>
      <c r="J2057" s="12">
        <v>55.76</v>
      </c>
      <c r="K2057" s="13">
        <v>0.15</v>
      </c>
      <c r="L2057" s="12">
        <v>40.57</v>
      </c>
      <c r="M2057" s="14">
        <f>ROUND(tblSprzedaz[[#This Row],[Ilość]]*tblSprzedaz[[#This Row],[Cena netto jednostkowa]]*(1-tblSprzedaz[[#This Row],[Rabat %]]),2)</f>
        <v>379.17</v>
      </c>
      <c r="N2057" s="14">
        <f>ROUND(tblSprzedaz[[#This Row],[Ilość]]*tblSprzedaz[[#This Row],[Koszt jednostkowy netto]],2)</f>
        <v>324.56</v>
      </c>
      <c r="O2057" s="14">
        <f>tblSprzedaz[[#This Row],[Przychód netto]]-tblSprzedaz[[#This Row],[Koszt całkowity netto]]</f>
        <v>54.610000000000014</v>
      </c>
      <c r="P2057" s="15">
        <f>IFERROR(tblSprzedaz[[#This Row],[Marża kwotowa]]/tblSprzedaz[[#This Row],[Przychód netto]],0)</f>
        <v>0.1440251074715827</v>
      </c>
      <c r="Q2057" s="16">
        <f>YEAR(tblSprzedaz[[#This Row],[Data]])</f>
        <v>2026</v>
      </c>
      <c r="R2057" s="16">
        <f>MONTH(tblSprzedaz[[#This Row],[Data]])</f>
        <v>7</v>
      </c>
      <c r="S2057" s="9" t="str">
        <f>YEAR(tblSprzedaz[[#This Row],[Data]])&amp;"-"&amp;RIGHT("0"&amp;MONTH(tblSprzedaz[[#This Row],[Data]]),2)</f>
        <v>2026-07</v>
      </c>
    </row>
    <row r="2058" spans="1:19" x14ac:dyDescent="0.25">
      <c r="A2058" s="7" t="s">
        <v>4283</v>
      </c>
      <c r="B2058" s="10">
        <v>46209</v>
      </c>
      <c r="C2058" s="7" t="s">
        <v>4284</v>
      </c>
      <c r="D2058" s="8" t="s">
        <v>131</v>
      </c>
      <c r="E2058" s="8" t="s">
        <v>60</v>
      </c>
      <c r="F2058" s="8" t="s">
        <v>33</v>
      </c>
      <c r="G2058" s="8" t="s">
        <v>34</v>
      </c>
      <c r="H2058" s="8" t="s">
        <v>44</v>
      </c>
      <c r="I2058" s="11">
        <v>1</v>
      </c>
      <c r="J2058" s="12">
        <v>455.4</v>
      </c>
      <c r="K2058" s="13">
        <v>0.05</v>
      </c>
      <c r="L2058" s="12">
        <v>295.20999999999998</v>
      </c>
      <c r="M2058" s="14">
        <f>ROUND(tblSprzedaz[[#This Row],[Ilość]]*tblSprzedaz[[#This Row],[Cena netto jednostkowa]]*(1-tblSprzedaz[[#This Row],[Rabat %]]),2)</f>
        <v>432.63</v>
      </c>
      <c r="N2058" s="14">
        <f>ROUND(tblSprzedaz[[#This Row],[Ilość]]*tblSprzedaz[[#This Row],[Koszt jednostkowy netto]],2)</f>
        <v>295.20999999999998</v>
      </c>
      <c r="O2058" s="14">
        <f>tblSprzedaz[[#This Row],[Przychód netto]]-tblSprzedaz[[#This Row],[Koszt całkowity netto]]</f>
        <v>137.42000000000002</v>
      </c>
      <c r="P2058" s="15">
        <f>IFERROR(tblSprzedaz[[#This Row],[Marża kwotowa]]/tblSprzedaz[[#This Row],[Przychód netto]],0)</f>
        <v>0.31763862885144356</v>
      </c>
      <c r="Q2058" s="16">
        <f>YEAR(tblSprzedaz[[#This Row],[Data]])</f>
        <v>2026</v>
      </c>
      <c r="R2058" s="16">
        <f>MONTH(tblSprzedaz[[#This Row],[Data]])</f>
        <v>7</v>
      </c>
      <c r="S2058" s="9" t="str">
        <f>YEAR(tblSprzedaz[[#This Row],[Data]])&amp;"-"&amp;RIGHT("0"&amp;MONTH(tblSprzedaz[[#This Row],[Data]]),2)</f>
        <v>2026-07</v>
      </c>
    </row>
    <row r="2059" spans="1:19" x14ac:dyDescent="0.25">
      <c r="A2059" s="7" t="s">
        <v>4285</v>
      </c>
      <c r="B2059" s="10">
        <v>46209</v>
      </c>
      <c r="C2059" s="7" t="s">
        <v>4286</v>
      </c>
      <c r="D2059" s="8" t="s">
        <v>144</v>
      </c>
      <c r="E2059" s="8" t="s">
        <v>66</v>
      </c>
      <c r="F2059" s="8" t="s">
        <v>35</v>
      </c>
      <c r="G2059" s="8" t="s">
        <v>30</v>
      </c>
      <c r="H2059" s="8" t="s">
        <v>40</v>
      </c>
      <c r="I2059" s="11">
        <v>8</v>
      </c>
      <c r="J2059" s="12">
        <v>67.319999999999993</v>
      </c>
      <c r="K2059" s="13">
        <v>0</v>
      </c>
      <c r="L2059" s="12">
        <v>47.8</v>
      </c>
      <c r="M2059" s="14">
        <f>ROUND(tblSprzedaz[[#This Row],[Ilość]]*tblSprzedaz[[#This Row],[Cena netto jednostkowa]]*(1-tblSprzedaz[[#This Row],[Rabat %]]),2)</f>
        <v>538.55999999999995</v>
      </c>
      <c r="N2059" s="14">
        <f>ROUND(tblSprzedaz[[#This Row],[Ilość]]*tblSprzedaz[[#This Row],[Koszt jednostkowy netto]],2)</f>
        <v>382.4</v>
      </c>
      <c r="O2059" s="14">
        <f>tblSprzedaz[[#This Row],[Przychód netto]]-tblSprzedaz[[#This Row],[Koszt całkowity netto]]</f>
        <v>156.15999999999997</v>
      </c>
      <c r="P2059" s="15">
        <f>IFERROR(tblSprzedaz[[#This Row],[Marża kwotowa]]/tblSprzedaz[[#This Row],[Przychód netto]],0)</f>
        <v>0.28995840760546637</v>
      </c>
      <c r="Q2059" s="16">
        <f>YEAR(tblSprzedaz[[#This Row],[Data]])</f>
        <v>2026</v>
      </c>
      <c r="R2059" s="16">
        <f>MONTH(tblSprzedaz[[#This Row],[Data]])</f>
        <v>7</v>
      </c>
      <c r="S2059" s="9" t="str">
        <f>YEAR(tblSprzedaz[[#This Row],[Data]])&amp;"-"&amp;RIGHT("0"&amp;MONTH(tblSprzedaz[[#This Row],[Data]]),2)</f>
        <v>2026-07</v>
      </c>
    </row>
    <row r="2060" spans="1:19" x14ac:dyDescent="0.25">
      <c r="A2060" s="7" t="s">
        <v>4287</v>
      </c>
      <c r="B2060" s="10">
        <v>46210</v>
      </c>
      <c r="C2060" s="7" t="s">
        <v>4288</v>
      </c>
      <c r="D2060" s="8" t="s">
        <v>98</v>
      </c>
      <c r="E2060" s="8" t="s">
        <v>65</v>
      </c>
      <c r="F2060" s="8" t="s">
        <v>33</v>
      </c>
      <c r="G2060" s="8" t="s">
        <v>36</v>
      </c>
      <c r="H2060" s="8" t="s">
        <v>46</v>
      </c>
      <c r="I2060" s="11">
        <v>13</v>
      </c>
      <c r="J2060" s="12">
        <v>377.2</v>
      </c>
      <c r="K2060" s="13">
        <v>0.15</v>
      </c>
      <c r="L2060" s="12">
        <v>261.58999999999997</v>
      </c>
      <c r="M2060" s="14">
        <f>ROUND(tblSprzedaz[[#This Row],[Ilość]]*tblSprzedaz[[#This Row],[Cena netto jednostkowa]]*(1-tblSprzedaz[[#This Row],[Rabat %]]),2)</f>
        <v>4168.0600000000004</v>
      </c>
      <c r="N2060" s="14">
        <f>ROUND(tblSprzedaz[[#This Row],[Ilość]]*tblSprzedaz[[#This Row],[Koszt jednostkowy netto]],2)</f>
        <v>3400.67</v>
      </c>
      <c r="O2060" s="14">
        <f>tblSprzedaz[[#This Row],[Przychód netto]]-tblSprzedaz[[#This Row],[Koszt całkowity netto]]</f>
        <v>767.39000000000033</v>
      </c>
      <c r="P2060" s="15">
        <f>IFERROR(tblSprzedaz[[#This Row],[Marża kwotowa]]/tblSprzedaz[[#This Row],[Przychód netto]],0)</f>
        <v>0.18411203293618619</v>
      </c>
      <c r="Q2060" s="16">
        <f>YEAR(tblSprzedaz[[#This Row],[Data]])</f>
        <v>2026</v>
      </c>
      <c r="R2060" s="16">
        <f>MONTH(tblSprzedaz[[#This Row],[Data]])</f>
        <v>7</v>
      </c>
      <c r="S2060" s="9" t="str">
        <f>YEAR(tblSprzedaz[[#This Row],[Data]])&amp;"-"&amp;RIGHT("0"&amp;MONTH(tblSprzedaz[[#This Row],[Data]]),2)</f>
        <v>2026-07</v>
      </c>
    </row>
    <row r="2061" spans="1:19" x14ac:dyDescent="0.25">
      <c r="A2061" s="7" t="s">
        <v>4289</v>
      </c>
      <c r="B2061" s="10">
        <v>46210</v>
      </c>
      <c r="C2061" s="7" t="s">
        <v>4290</v>
      </c>
      <c r="D2061" s="8" t="s">
        <v>84</v>
      </c>
      <c r="E2061" s="8" t="s">
        <v>50</v>
      </c>
      <c r="F2061" s="8" t="s">
        <v>29</v>
      </c>
      <c r="G2061" s="8" t="s">
        <v>36</v>
      </c>
      <c r="H2061" s="8" t="s">
        <v>46</v>
      </c>
      <c r="I2061" s="11">
        <v>7</v>
      </c>
      <c r="J2061" s="12">
        <v>45.22</v>
      </c>
      <c r="K2061" s="13">
        <v>0.15</v>
      </c>
      <c r="L2061" s="12">
        <v>28.16</v>
      </c>
      <c r="M2061" s="14">
        <f>ROUND(tblSprzedaz[[#This Row],[Ilość]]*tblSprzedaz[[#This Row],[Cena netto jednostkowa]]*(1-tblSprzedaz[[#This Row],[Rabat %]]),2)</f>
        <v>269.06</v>
      </c>
      <c r="N2061" s="14">
        <f>ROUND(tblSprzedaz[[#This Row],[Ilość]]*tblSprzedaz[[#This Row],[Koszt jednostkowy netto]],2)</f>
        <v>197.12</v>
      </c>
      <c r="O2061" s="14">
        <f>tblSprzedaz[[#This Row],[Przychód netto]]-tblSprzedaz[[#This Row],[Koszt całkowity netto]]</f>
        <v>71.94</v>
      </c>
      <c r="P2061" s="15">
        <f>IFERROR(tblSprzedaz[[#This Row],[Marża kwotowa]]/tblSprzedaz[[#This Row],[Przychód netto]],0)</f>
        <v>0.26737530662305803</v>
      </c>
      <c r="Q2061" s="16">
        <f>YEAR(tblSprzedaz[[#This Row],[Data]])</f>
        <v>2026</v>
      </c>
      <c r="R2061" s="16">
        <f>MONTH(tblSprzedaz[[#This Row],[Data]])</f>
        <v>7</v>
      </c>
      <c r="S2061" s="9" t="str">
        <f>YEAR(tblSprzedaz[[#This Row],[Data]])&amp;"-"&amp;RIGHT("0"&amp;MONTH(tblSprzedaz[[#This Row],[Data]]),2)</f>
        <v>2026-07</v>
      </c>
    </row>
    <row r="2062" spans="1:19" x14ac:dyDescent="0.25">
      <c r="A2062" s="7" t="s">
        <v>4291</v>
      </c>
      <c r="B2062" s="10">
        <v>46210</v>
      </c>
      <c r="C2062" s="7" t="s">
        <v>4292</v>
      </c>
      <c r="D2062" s="8" t="s">
        <v>82</v>
      </c>
      <c r="E2062" s="8" t="s">
        <v>60</v>
      </c>
      <c r="F2062" s="8" t="s">
        <v>33</v>
      </c>
      <c r="G2062" s="8" t="s">
        <v>34</v>
      </c>
      <c r="H2062" s="8" t="s">
        <v>45</v>
      </c>
      <c r="I2062" s="11">
        <v>1</v>
      </c>
      <c r="J2062" s="12">
        <v>455.4</v>
      </c>
      <c r="K2062" s="13">
        <v>0</v>
      </c>
      <c r="L2062" s="12">
        <v>300.83999999999997</v>
      </c>
      <c r="M2062" s="14">
        <f>ROUND(tblSprzedaz[[#This Row],[Ilość]]*tblSprzedaz[[#This Row],[Cena netto jednostkowa]]*(1-tblSprzedaz[[#This Row],[Rabat %]]),2)</f>
        <v>455.4</v>
      </c>
      <c r="N2062" s="14">
        <f>ROUND(tblSprzedaz[[#This Row],[Ilość]]*tblSprzedaz[[#This Row],[Koszt jednostkowy netto]],2)</f>
        <v>300.83999999999997</v>
      </c>
      <c r="O2062" s="14">
        <f>tblSprzedaz[[#This Row],[Przychód netto]]-tblSprzedaz[[#This Row],[Koszt całkowity netto]]</f>
        <v>154.56</v>
      </c>
      <c r="P2062" s="15">
        <f>IFERROR(tblSprzedaz[[#This Row],[Marża kwotowa]]/tblSprzedaz[[#This Row],[Przychód netto]],0)</f>
        <v>0.33939393939393941</v>
      </c>
      <c r="Q2062" s="16">
        <f>YEAR(tblSprzedaz[[#This Row],[Data]])</f>
        <v>2026</v>
      </c>
      <c r="R2062" s="16">
        <f>MONTH(tblSprzedaz[[#This Row],[Data]])</f>
        <v>7</v>
      </c>
      <c r="S2062" s="9" t="str">
        <f>YEAR(tblSprzedaz[[#This Row],[Data]])&amp;"-"&amp;RIGHT("0"&amp;MONTH(tblSprzedaz[[#This Row],[Data]]),2)</f>
        <v>2026-07</v>
      </c>
    </row>
    <row r="2063" spans="1:19" x14ac:dyDescent="0.25">
      <c r="A2063" s="7" t="s">
        <v>4293</v>
      </c>
      <c r="B2063" s="10">
        <v>46210</v>
      </c>
      <c r="C2063" s="7" t="s">
        <v>4294</v>
      </c>
      <c r="D2063" s="8" t="s">
        <v>117</v>
      </c>
      <c r="E2063" s="8" t="s">
        <v>58</v>
      </c>
      <c r="F2063" s="8" t="s">
        <v>31</v>
      </c>
      <c r="G2063" s="8" t="s">
        <v>32</v>
      </c>
      <c r="H2063" s="8" t="s">
        <v>42</v>
      </c>
      <c r="I2063" s="11">
        <v>4</v>
      </c>
      <c r="J2063" s="12">
        <v>350.7</v>
      </c>
      <c r="K2063" s="13">
        <v>0.1</v>
      </c>
      <c r="L2063" s="12">
        <v>223.64</v>
      </c>
      <c r="M2063" s="14">
        <f>ROUND(tblSprzedaz[[#This Row],[Ilość]]*tblSprzedaz[[#This Row],[Cena netto jednostkowa]]*(1-tblSprzedaz[[#This Row],[Rabat %]]),2)</f>
        <v>1262.52</v>
      </c>
      <c r="N2063" s="14">
        <f>ROUND(tblSprzedaz[[#This Row],[Ilość]]*tblSprzedaz[[#This Row],[Koszt jednostkowy netto]],2)</f>
        <v>894.56</v>
      </c>
      <c r="O2063" s="14">
        <f>tblSprzedaz[[#This Row],[Przychód netto]]-tblSprzedaz[[#This Row],[Koszt całkowity netto]]</f>
        <v>367.96000000000004</v>
      </c>
      <c r="P2063" s="15">
        <f>IFERROR(tblSprzedaz[[#This Row],[Marża kwotowa]]/tblSprzedaz[[#This Row],[Przychód netto]],0)</f>
        <v>0.29144884833507589</v>
      </c>
      <c r="Q2063" s="16">
        <f>YEAR(tblSprzedaz[[#This Row],[Data]])</f>
        <v>2026</v>
      </c>
      <c r="R2063" s="16">
        <f>MONTH(tblSprzedaz[[#This Row],[Data]])</f>
        <v>7</v>
      </c>
      <c r="S2063" s="9" t="str">
        <f>YEAR(tblSprzedaz[[#This Row],[Data]])&amp;"-"&amp;RIGHT("0"&amp;MONTH(tblSprzedaz[[#This Row],[Data]]),2)</f>
        <v>2026-07</v>
      </c>
    </row>
    <row r="2064" spans="1:19" x14ac:dyDescent="0.25">
      <c r="A2064" s="7" t="s">
        <v>4295</v>
      </c>
      <c r="B2064" s="10">
        <v>46211</v>
      </c>
      <c r="C2064" s="7" t="s">
        <v>4296</v>
      </c>
      <c r="D2064" s="8" t="s">
        <v>127</v>
      </c>
      <c r="E2064" s="8" t="s">
        <v>58</v>
      </c>
      <c r="F2064" s="8" t="s">
        <v>31</v>
      </c>
      <c r="G2064" s="8" t="s">
        <v>30</v>
      </c>
      <c r="H2064" s="8" t="s">
        <v>40</v>
      </c>
      <c r="I2064" s="11">
        <v>4</v>
      </c>
      <c r="J2064" s="12">
        <v>350.7</v>
      </c>
      <c r="K2064" s="13">
        <v>0</v>
      </c>
      <c r="L2064" s="12">
        <v>209.12</v>
      </c>
      <c r="M2064" s="14">
        <f>ROUND(tblSprzedaz[[#This Row],[Ilość]]*tblSprzedaz[[#This Row],[Cena netto jednostkowa]]*(1-tblSprzedaz[[#This Row],[Rabat %]]),2)</f>
        <v>1402.8</v>
      </c>
      <c r="N2064" s="14">
        <f>ROUND(tblSprzedaz[[#This Row],[Ilość]]*tblSprzedaz[[#This Row],[Koszt jednostkowy netto]],2)</f>
        <v>836.48</v>
      </c>
      <c r="O2064" s="14">
        <f>tblSprzedaz[[#This Row],[Przychód netto]]-tblSprzedaz[[#This Row],[Koszt całkowity netto]]</f>
        <v>566.31999999999994</v>
      </c>
      <c r="P2064" s="15">
        <f>IFERROR(tblSprzedaz[[#This Row],[Marża kwotowa]]/tblSprzedaz[[#This Row],[Przychód netto]],0)</f>
        <v>0.40370687197034499</v>
      </c>
      <c r="Q2064" s="16">
        <f>YEAR(tblSprzedaz[[#This Row],[Data]])</f>
        <v>2026</v>
      </c>
      <c r="R2064" s="16">
        <f>MONTH(tblSprzedaz[[#This Row],[Data]])</f>
        <v>7</v>
      </c>
      <c r="S2064" s="9" t="str">
        <f>YEAR(tblSprzedaz[[#This Row],[Data]])&amp;"-"&amp;RIGHT("0"&amp;MONTH(tblSprzedaz[[#This Row],[Data]]),2)</f>
        <v>2026-07</v>
      </c>
    </row>
    <row r="2065" spans="1:19" x14ac:dyDescent="0.25">
      <c r="A2065" s="7" t="s">
        <v>4297</v>
      </c>
      <c r="B2065" s="10">
        <v>46211</v>
      </c>
      <c r="C2065" s="7" t="s">
        <v>4298</v>
      </c>
      <c r="D2065" s="8" t="s">
        <v>135</v>
      </c>
      <c r="E2065" s="8" t="s">
        <v>57</v>
      </c>
      <c r="F2065" s="8" t="s">
        <v>31</v>
      </c>
      <c r="G2065" s="8" t="s">
        <v>28</v>
      </c>
      <c r="H2065" s="8" t="s">
        <v>39</v>
      </c>
      <c r="I2065" s="11">
        <v>5</v>
      </c>
      <c r="J2065" s="12">
        <v>315</v>
      </c>
      <c r="K2065" s="13">
        <v>0.15</v>
      </c>
      <c r="L2065" s="12">
        <v>188.28</v>
      </c>
      <c r="M2065" s="14">
        <f>ROUND(tblSprzedaz[[#This Row],[Ilość]]*tblSprzedaz[[#This Row],[Cena netto jednostkowa]]*(1-tblSprzedaz[[#This Row],[Rabat %]]),2)</f>
        <v>1338.75</v>
      </c>
      <c r="N2065" s="14">
        <f>ROUND(tblSprzedaz[[#This Row],[Ilość]]*tblSprzedaz[[#This Row],[Koszt jednostkowy netto]],2)</f>
        <v>941.4</v>
      </c>
      <c r="O2065" s="14">
        <f>tblSprzedaz[[#This Row],[Przychód netto]]-tblSprzedaz[[#This Row],[Koszt całkowity netto]]</f>
        <v>397.35</v>
      </c>
      <c r="P2065" s="15">
        <f>IFERROR(tblSprzedaz[[#This Row],[Marża kwotowa]]/tblSprzedaz[[#This Row],[Przychód netto]],0)</f>
        <v>0.29680672268907565</v>
      </c>
      <c r="Q2065" s="16">
        <f>YEAR(tblSprzedaz[[#This Row],[Data]])</f>
        <v>2026</v>
      </c>
      <c r="R2065" s="16">
        <f>MONTH(tblSprzedaz[[#This Row],[Data]])</f>
        <v>7</v>
      </c>
      <c r="S2065" s="9" t="str">
        <f>YEAR(tblSprzedaz[[#This Row],[Data]])&amp;"-"&amp;RIGHT("0"&amp;MONTH(tblSprzedaz[[#This Row],[Data]]),2)</f>
        <v>2026-07</v>
      </c>
    </row>
    <row r="2066" spans="1:19" x14ac:dyDescent="0.25">
      <c r="A2066" s="7" t="s">
        <v>4299</v>
      </c>
      <c r="B2066" s="10">
        <v>46211</v>
      </c>
      <c r="C2066" s="7" t="s">
        <v>4300</v>
      </c>
      <c r="D2066" s="8" t="s">
        <v>104</v>
      </c>
      <c r="E2066" s="8" t="s">
        <v>60</v>
      </c>
      <c r="F2066" s="8" t="s">
        <v>33</v>
      </c>
      <c r="G2066" s="8" t="s">
        <v>30</v>
      </c>
      <c r="H2066" s="8" t="s">
        <v>40</v>
      </c>
      <c r="I2066" s="11">
        <v>9</v>
      </c>
      <c r="J2066" s="12">
        <v>455.4</v>
      </c>
      <c r="K2066" s="13">
        <v>0</v>
      </c>
      <c r="L2066" s="12">
        <v>306.06</v>
      </c>
      <c r="M2066" s="14">
        <f>ROUND(tblSprzedaz[[#This Row],[Ilość]]*tblSprzedaz[[#This Row],[Cena netto jednostkowa]]*(1-tblSprzedaz[[#This Row],[Rabat %]]),2)</f>
        <v>4098.6000000000004</v>
      </c>
      <c r="N2066" s="14">
        <f>ROUND(tblSprzedaz[[#This Row],[Ilość]]*tblSprzedaz[[#This Row],[Koszt jednostkowy netto]],2)</f>
        <v>2754.54</v>
      </c>
      <c r="O2066" s="14">
        <f>tblSprzedaz[[#This Row],[Przychód netto]]-tblSprzedaz[[#This Row],[Koszt całkowity netto]]</f>
        <v>1344.0600000000004</v>
      </c>
      <c r="P2066" s="15">
        <f>IFERROR(tblSprzedaz[[#This Row],[Marża kwotowa]]/tblSprzedaz[[#This Row],[Przychód netto]],0)</f>
        <v>0.32793148880105411</v>
      </c>
      <c r="Q2066" s="16">
        <f>YEAR(tblSprzedaz[[#This Row],[Data]])</f>
        <v>2026</v>
      </c>
      <c r="R2066" s="16">
        <f>MONTH(tblSprzedaz[[#This Row],[Data]])</f>
        <v>7</v>
      </c>
      <c r="S2066" s="9" t="str">
        <f>YEAR(tblSprzedaz[[#This Row],[Data]])&amp;"-"&amp;RIGHT("0"&amp;MONTH(tblSprzedaz[[#This Row],[Data]]),2)</f>
        <v>2026-07</v>
      </c>
    </row>
    <row r="2067" spans="1:19" x14ac:dyDescent="0.25">
      <c r="A2067" s="7" t="s">
        <v>4301</v>
      </c>
      <c r="B2067" s="10">
        <v>46212</v>
      </c>
      <c r="C2067" s="7" t="s">
        <v>4302</v>
      </c>
      <c r="D2067" s="8" t="s">
        <v>127</v>
      </c>
      <c r="E2067" s="8" t="s">
        <v>54</v>
      </c>
      <c r="F2067" s="8" t="s">
        <v>31</v>
      </c>
      <c r="G2067" s="8" t="s">
        <v>30</v>
      </c>
      <c r="H2067" s="8" t="s">
        <v>40</v>
      </c>
      <c r="I2067" s="11">
        <v>5</v>
      </c>
      <c r="J2067" s="12">
        <v>207.9</v>
      </c>
      <c r="K2067" s="13">
        <v>0</v>
      </c>
      <c r="L2067" s="12">
        <v>135.62</v>
      </c>
      <c r="M2067" s="14">
        <f>ROUND(tblSprzedaz[[#This Row],[Ilość]]*tblSprzedaz[[#This Row],[Cena netto jednostkowa]]*(1-tblSprzedaz[[#This Row],[Rabat %]]),2)</f>
        <v>1039.5</v>
      </c>
      <c r="N2067" s="14">
        <f>ROUND(tblSprzedaz[[#This Row],[Ilość]]*tblSprzedaz[[#This Row],[Koszt jednostkowy netto]],2)</f>
        <v>678.1</v>
      </c>
      <c r="O2067" s="14">
        <f>tblSprzedaz[[#This Row],[Przychód netto]]-tblSprzedaz[[#This Row],[Koszt całkowity netto]]</f>
        <v>361.4</v>
      </c>
      <c r="P2067" s="15">
        <f>IFERROR(tblSprzedaz[[#This Row],[Marża kwotowa]]/tblSprzedaz[[#This Row],[Przychód netto]],0)</f>
        <v>0.34766714766714762</v>
      </c>
      <c r="Q2067" s="16">
        <f>YEAR(tblSprzedaz[[#This Row],[Data]])</f>
        <v>2026</v>
      </c>
      <c r="R2067" s="16">
        <f>MONTH(tblSprzedaz[[#This Row],[Data]])</f>
        <v>7</v>
      </c>
      <c r="S2067" s="9" t="str">
        <f>YEAR(tblSprzedaz[[#This Row],[Data]])&amp;"-"&amp;RIGHT("0"&amp;MONTH(tblSprzedaz[[#This Row],[Data]]),2)</f>
        <v>2026-07</v>
      </c>
    </row>
    <row r="2068" spans="1:19" x14ac:dyDescent="0.25">
      <c r="A2068" s="7" t="s">
        <v>4303</v>
      </c>
      <c r="B2068" s="10">
        <v>46212</v>
      </c>
      <c r="C2068" s="7" t="s">
        <v>4304</v>
      </c>
      <c r="D2068" s="8" t="s">
        <v>120</v>
      </c>
      <c r="E2068" s="8" t="s">
        <v>65</v>
      </c>
      <c r="F2068" s="8" t="s">
        <v>33</v>
      </c>
      <c r="G2068" s="8" t="s">
        <v>30</v>
      </c>
      <c r="H2068" s="8" t="s">
        <v>41</v>
      </c>
      <c r="I2068" s="11">
        <v>16</v>
      </c>
      <c r="J2068" s="12">
        <v>377.2</v>
      </c>
      <c r="K2068" s="13">
        <v>0.1</v>
      </c>
      <c r="L2068" s="12">
        <v>253.82</v>
      </c>
      <c r="M2068" s="14">
        <f>ROUND(tblSprzedaz[[#This Row],[Ilość]]*tblSprzedaz[[#This Row],[Cena netto jednostkowa]]*(1-tblSprzedaz[[#This Row],[Rabat %]]),2)</f>
        <v>5431.68</v>
      </c>
      <c r="N2068" s="14">
        <f>ROUND(tblSprzedaz[[#This Row],[Ilość]]*tblSprzedaz[[#This Row],[Koszt jednostkowy netto]],2)</f>
        <v>4061.12</v>
      </c>
      <c r="O2068" s="14">
        <f>tblSprzedaz[[#This Row],[Przychód netto]]-tblSprzedaz[[#This Row],[Koszt całkowity netto]]</f>
        <v>1370.5600000000004</v>
      </c>
      <c r="P2068" s="15">
        <f>IFERROR(tblSprzedaz[[#This Row],[Marża kwotowa]]/tblSprzedaz[[#This Row],[Przychód netto]],0)</f>
        <v>0.25232708848827623</v>
      </c>
      <c r="Q2068" s="16">
        <f>YEAR(tblSprzedaz[[#This Row],[Data]])</f>
        <v>2026</v>
      </c>
      <c r="R2068" s="16">
        <f>MONTH(tblSprzedaz[[#This Row],[Data]])</f>
        <v>7</v>
      </c>
      <c r="S2068" s="9" t="str">
        <f>YEAR(tblSprzedaz[[#This Row],[Data]])&amp;"-"&amp;RIGHT("0"&amp;MONTH(tblSprzedaz[[#This Row],[Data]]),2)</f>
        <v>2026-07</v>
      </c>
    </row>
    <row r="2069" spans="1:19" x14ac:dyDescent="0.25">
      <c r="A2069" s="7" t="s">
        <v>4305</v>
      </c>
      <c r="B2069" s="10">
        <v>46212</v>
      </c>
      <c r="C2069" s="7" t="s">
        <v>4306</v>
      </c>
      <c r="D2069" s="8" t="s">
        <v>102</v>
      </c>
      <c r="E2069" s="8" t="s">
        <v>76</v>
      </c>
      <c r="F2069" s="8" t="s">
        <v>37</v>
      </c>
      <c r="G2069" s="8" t="s">
        <v>30</v>
      </c>
      <c r="H2069" s="8" t="s">
        <v>40</v>
      </c>
      <c r="I2069" s="11">
        <v>3</v>
      </c>
      <c r="J2069" s="12">
        <v>158.65</v>
      </c>
      <c r="K2069" s="13">
        <v>0</v>
      </c>
      <c r="L2069" s="12">
        <v>126.21</v>
      </c>
      <c r="M2069" s="14">
        <f>ROUND(tblSprzedaz[[#This Row],[Ilość]]*tblSprzedaz[[#This Row],[Cena netto jednostkowa]]*(1-tblSprzedaz[[#This Row],[Rabat %]]),2)</f>
        <v>475.95</v>
      </c>
      <c r="N2069" s="14">
        <f>ROUND(tblSprzedaz[[#This Row],[Ilość]]*tblSprzedaz[[#This Row],[Koszt jednostkowy netto]],2)</f>
        <v>378.63</v>
      </c>
      <c r="O2069" s="14">
        <f>tblSprzedaz[[#This Row],[Przychód netto]]-tblSprzedaz[[#This Row],[Koszt całkowity netto]]</f>
        <v>97.32</v>
      </c>
      <c r="P2069" s="15">
        <f>IFERROR(tblSprzedaz[[#This Row],[Marża kwotowa]]/tblSprzedaz[[#This Row],[Przychód netto]],0)</f>
        <v>0.20447526000630317</v>
      </c>
      <c r="Q2069" s="16">
        <f>YEAR(tblSprzedaz[[#This Row],[Data]])</f>
        <v>2026</v>
      </c>
      <c r="R2069" s="16">
        <f>MONTH(tblSprzedaz[[#This Row],[Data]])</f>
        <v>7</v>
      </c>
      <c r="S2069" s="9" t="str">
        <f>YEAR(tblSprzedaz[[#This Row],[Data]])&amp;"-"&amp;RIGHT("0"&amp;MONTH(tblSprzedaz[[#This Row],[Data]]),2)</f>
        <v>2026-07</v>
      </c>
    </row>
    <row r="2070" spans="1:19" x14ac:dyDescent="0.25">
      <c r="A2070" s="7" t="s">
        <v>4307</v>
      </c>
      <c r="B2070" s="10">
        <v>46213</v>
      </c>
      <c r="C2070" s="7" t="s">
        <v>4308</v>
      </c>
      <c r="D2070" s="8" t="s">
        <v>103</v>
      </c>
      <c r="E2070" s="8" t="s">
        <v>54</v>
      </c>
      <c r="F2070" s="8" t="s">
        <v>31</v>
      </c>
      <c r="G2070" s="8" t="s">
        <v>36</v>
      </c>
      <c r="H2070" s="8" t="s">
        <v>47</v>
      </c>
      <c r="I2070" s="11">
        <v>10</v>
      </c>
      <c r="J2070" s="12">
        <v>207.9</v>
      </c>
      <c r="K2070" s="13">
        <v>0.1</v>
      </c>
      <c r="L2070" s="12">
        <v>139.78</v>
      </c>
      <c r="M2070" s="14">
        <f>ROUND(tblSprzedaz[[#This Row],[Ilość]]*tblSprzedaz[[#This Row],[Cena netto jednostkowa]]*(1-tblSprzedaz[[#This Row],[Rabat %]]),2)</f>
        <v>1871.1</v>
      </c>
      <c r="N2070" s="14">
        <f>ROUND(tblSprzedaz[[#This Row],[Ilość]]*tblSprzedaz[[#This Row],[Koszt jednostkowy netto]],2)</f>
        <v>1397.8</v>
      </c>
      <c r="O2070" s="14">
        <f>tblSprzedaz[[#This Row],[Przychód netto]]-tblSprzedaz[[#This Row],[Koszt całkowity netto]]</f>
        <v>473.29999999999995</v>
      </c>
      <c r="P2070" s="15">
        <f>IFERROR(tblSprzedaz[[#This Row],[Marża kwotowa]]/tblSprzedaz[[#This Row],[Przychód netto]],0)</f>
        <v>0.25295280850836405</v>
      </c>
      <c r="Q2070" s="16">
        <f>YEAR(tblSprzedaz[[#This Row],[Data]])</f>
        <v>2026</v>
      </c>
      <c r="R2070" s="16">
        <f>MONTH(tblSprzedaz[[#This Row],[Data]])</f>
        <v>7</v>
      </c>
      <c r="S2070" s="9" t="str">
        <f>YEAR(tblSprzedaz[[#This Row],[Data]])&amp;"-"&amp;RIGHT("0"&amp;MONTH(tblSprzedaz[[#This Row],[Data]]),2)</f>
        <v>2026-07</v>
      </c>
    </row>
    <row r="2071" spans="1:19" x14ac:dyDescent="0.25">
      <c r="A2071" s="7" t="s">
        <v>4309</v>
      </c>
      <c r="B2071" s="10">
        <v>46213</v>
      </c>
      <c r="C2071" s="7" t="s">
        <v>4310</v>
      </c>
      <c r="D2071" s="8" t="s">
        <v>78</v>
      </c>
      <c r="E2071" s="8" t="s">
        <v>65</v>
      </c>
      <c r="F2071" s="8" t="s">
        <v>33</v>
      </c>
      <c r="G2071" s="8" t="s">
        <v>34</v>
      </c>
      <c r="H2071" s="8" t="s">
        <v>45</v>
      </c>
      <c r="I2071" s="11">
        <v>1</v>
      </c>
      <c r="J2071" s="12">
        <v>377.2</v>
      </c>
      <c r="K2071" s="13">
        <v>0</v>
      </c>
      <c r="L2071" s="12">
        <v>266.33999999999997</v>
      </c>
      <c r="M2071" s="14">
        <f>ROUND(tblSprzedaz[[#This Row],[Ilość]]*tblSprzedaz[[#This Row],[Cena netto jednostkowa]]*(1-tblSprzedaz[[#This Row],[Rabat %]]),2)</f>
        <v>377.2</v>
      </c>
      <c r="N2071" s="14">
        <f>ROUND(tblSprzedaz[[#This Row],[Ilość]]*tblSprzedaz[[#This Row],[Koszt jednostkowy netto]],2)</f>
        <v>266.33999999999997</v>
      </c>
      <c r="O2071" s="14">
        <f>tblSprzedaz[[#This Row],[Przychód netto]]-tblSprzedaz[[#This Row],[Koszt całkowity netto]]</f>
        <v>110.86000000000001</v>
      </c>
      <c r="P2071" s="15">
        <f>IFERROR(tblSprzedaz[[#This Row],[Marża kwotowa]]/tblSprzedaz[[#This Row],[Przychód netto]],0)</f>
        <v>0.29390243902439028</v>
      </c>
      <c r="Q2071" s="16">
        <f>YEAR(tblSprzedaz[[#This Row],[Data]])</f>
        <v>2026</v>
      </c>
      <c r="R2071" s="16">
        <f>MONTH(tblSprzedaz[[#This Row],[Data]])</f>
        <v>7</v>
      </c>
      <c r="S2071" s="9" t="str">
        <f>YEAR(tblSprzedaz[[#This Row],[Data]])&amp;"-"&amp;RIGHT("0"&amp;MONTH(tblSprzedaz[[#This Row],[Data]]),2)</f>
        <v>2026-07</v>
      </c>
    </row>
    <row r="2072" spans="1:19" x14ac:dyDescent="0.25">
      <c r="A2072" s="7" t="s">
        <v>4311</v>
      </c>
      <c r="B2072" s="10">
        <v>46213</v>
      </c>
      <c r="C2072" s="7" t="s">
        <v>4312</v>
      </c>
      <c r="D2072" s="8" t="s">
        <v>94</v>
      </c>
      <c r="E2072" s="8" t="s">
        <v>51</v>
      </c>
      <c r="F2072" s="8" t="s">
        <v>29</v>
      </c>
      <c r="G2072" s="8" t="s">
        <v>30</v>
      </c>
      <c r="H2072" s="8" t="s">
        <v>41</v>
      </c>
      <c r="I2072" s="11">
        <v>13</v>
      </c>
      <c r="J2072" s="12">
        <v>51</v>
      </c>
      <c r="K2072" s="13">
        <v>0.15</v>
      </c>
      <c r="L2072" s="12">
        <v>31.96</v>
      </c>
      <c r="M2072" s="14">
        <f>ROUND(tblSprzedaz[[#This Row],[Ilość]]*tblSprzedaz[[#This Row],[Cena netto jednostkowa]]*(1-tblSprzedaz[[#This Row],[Rabat %]]),2)</f>
        <v>563.54999999999995</v>
      </c>
      <c r="N2072" s="14">
        <f>ROUND(tblSprzedaz[[#This Row],[Ilość]]*tblSprzedaz[[#This Row],[Koszt jednostkowy netto]],2)</f>
        <v>415.48</v>
      </c>
      <c r="O2072" s="14">
        <f>tblSprzedaz[[#This Row],[Przychód netto]]-tblSprzedaz[[#This Row],[Koszt całkowity netto]]</f>
        <v>148.06999999999994</v>
      </c>
      <c r="P2072" s="15">
        <f>IFERROR(tblSprzedaz[[#This Row],[Marża kwotowa]]/tblSprzedaz[[#This Row],[Przychód netto]],0)</f>
        <v>0.26274509803921559</v>
      </c>
      <c r="Q2072" s="16">
        <f>YEAR(tblSprzedaz[[#This Row],[Data]])</f>
        <v>2026</v>
      </c>
      <c r="R2072" s="16">
        <f>MONTH(tblSprzedaz[[#This Row],[Data]])</f>
        <v>7</v>
      </c>
      <c r="S2072" s="9" t="str">
        <f>YEAR(tblSprzedaz[[#This Row],[Data]])&amp;"-"&amp;RIGHT("0"&amp;MONTH(tblSprzedaz[[#This Row],[Data]]),2)</f>
        <v>2026-07</v>
      </c>
    </row>
    <row r="2073" spans="1:19" x14ac:dyDescent="0.25">
      <c r="A2073" s="7" t="s">
        <v>4313</v>
      </c>
      <c r="B2073" s="10">
        <v>46213</v>
      </c>
      <c r="C2073" s="7" t="s">
        <v>4314</v>
      </c>
      <c r="D2073" s="8" t="s">
        <v>100</v>
      </c>
      <c r="E2073" s="8" t="s">
        <v>68</v>
      </c>
      <c r="F2073" s="8" t="s">
        <v>35</v>
      </c>
      <c r="G2073" s="8" t="s">
        <v>30</v>
      </c>
      <c r="H2073" s="8" t="s">
        <v>40</v>
      </c>
      <c r="I2073" s="11">
        <v>4</v>
      </c>
      <c r="J2073" s="12">
        <v>90.44</v>
      </c>
      <c r="K2073" s="13">
        <v>0</v>
      </c>
      <c r="L2073" s="12">
        <v>65.88</v>
      </c>
      <c r="M2073" s="14">
        <f>ROUND(tblSprzedaz[[#This Row],[Ilość]]*tblSprzedaz[[#This Row],[Cena netto jednostkowa]]*(1-tblSprzedaz[[#This Row],[Rabat %]]),2)</f>
        <v>361.76</v>
      </c>
      <c r="N2073" s="14">
        <f>ROUND(tblSprzedaz[[#This Row],[Ilość]]*tblSprzedaz[[#This Row],[Koszt jednostkowy netto]],2)</f>
        <v>263.52</v>
      </c>
      <c r="O2073" s="14">
        <f>tblSprzedaz[[#This Row],[Przychód netto]]-tblSprzedaz[[#This Row],[Koszt całkowity netto]]</f>
        <v>98.240000000000009</v>
      </c>
      <c r="P2073" s="15">
        <f>IFERROR(tblSprzedaz[[#This Row],[Marża kwotowa]]/tblSprzedaz[[#This Row],[Przychód netto]],0)</f>
        <v>0.27156125608137993</v>
      </c>
      <c r="Q2073" s="16">
        <f>YEAR(tblSprzedaz[[#This Row],[Data]])</f>
        <v>2026</v>
      </c>
      <c r="R2073" s="16">
        <f>MONTH(tblSprzedaz[[#This Row],[Data]])</f>
        <v>7</v>
      </c>
      <c r="S2073" s="9" t="str">
        <f>YEAR(tblSprzedaz[[#This Row],[Data]])&amp;"-"&amp;RIGHT("0"&amp;MONTH(tblSprzedaz[[#This Row],[Data]]),2)</f>
        <v>2026-07</v>
      </c>
    </row>
    <row r="2074" spans="1:19" x14ac:dyDescent="0.25">
      <c r="A2074" s="7" t="s">
        <v>4315</v>
      </c>
      <c r="B2074" s="10">
        <v>46214</v>
      </c>
      <c r="C2074" s="7" t="s">
        <v>4316</v>
      </c>
      <c r="D2074" s="8" t="s">
        <v>151</v>
      </c>
      <c r="E2074" s="8" t="s">
        <v>72</v>
      </c>
      <c r="F2074" s="8" t="s">
        <v>37</v>
      </c>
      <c r="G2074" s="8" t="s">
        <v>32</v>
      </c>
      <c r="H2074" s="8" t="s">
        <v>42</v>
      </c>
      <c r="I2074" s="11">
        <v>7</v>
      </c>
      <c r="J2074" s="12">
        <v>94.05</v>
      </c>
      <c r="K2074" s="13">
        <v>0.05</v>
      </c>
      <c r="L2074" s="12">
        <v>74.48</v>
      </c>
      <c r="M2074" s="14">
        <f>ROUND(tblSprzedaz[[#This Row],[Ilość]]*tblSprzedaz[[#This Row],[Cena netto jednostkowa]]*(1-tblSprzedaz[[#This Row],[Rabat %]]),2)</f>
        <v>625.42999999999995</v>
      </c>
      <c r="N2074" s="14">
        <f>ROUND(tblSprzedaz[[#This Row],[Ilość]]*tblSprzedaz[[#This Row],[Koszt jednostkowy netto]],2)</f>
        <v>521.36</v>
      </c>
      <c r="O2074" s="14">
        <f>tblSprzedaz[[#This Row],[Przychód netto]]-tblSprzedaz[[#This Row],[Koszt całkowity netto]]</f>
        <v>104.06999999999994</v>
      </c>
      <c r="P2074" s="15">
        <f>IFERROR(tblSprzedaz[[#This Row],[Marża kwotowa]]/tblSprzedaz[[#This Row],[Przychód netto]],0)</f>
        <v>0.16639751850726692</v>
      </c>
      <c r="Q2074" s="16">
        <f>YEAR(tblSprzedaz[[#This Row],[Data]])</f>
        <v>2026</v>
      </c>
      <c r="R2074" s="16">
        <f>MONTH(tblSprzedaz[[#This Row],[Data]])</f>
        <v>7</v>
      </c>
      <c r="S2074" s="9" t="str">
        <f>YEAR(tblSprzedaz[[#This Row],[Data]])&amp;"-"&amp;RIGHT("0"&amp;MONTH(tblSprzedaz[[#This Row],[Data]]),2)</f>
        <v>2026-07</v>
      </c>
    </row>
    <row r="2075" spans="1:19" x14ac:dyDescent="0.25">
      <c r="A2075" s="7" t="s">
        <v>4317</v>
      </c>
      <c r="B2075" s="10">
        <v>46214</v>
      </c>
      <c r="C2075" s="7" t="s">
        <v>4318</v>
      </c>
      <c r="D2075" s="8" t="s">
        <v>136</v>
      </c>
      <c r="E2075" s="8" t="s">
        <v>63</v>
      </c>
      <c r="F2075" s="8" t="s">
        <v>33</v>
      </c>
      <c r="G2075" s="8" t="s">
        <v>34</v>
      </c>
      <c r="H2075" s="8" t="s">
        <v>44</v>
      </c>
      <c r="I2075" s="11">
        <v>2</v>
      </c>
      <c r="J2075" s="12">
        <v>690</v>
      </c>
      <c r="K2075" s="13">
        <v>0.05</v>
      </c>
      <c r="L2075" s="12">
        <v>445.58</v>
      </c>
      <c r="M2075" s="14">
        <f>ROUND(tblSprzedaz[[#This Row],[Ilość]]*tblSprzedaz[[#This Row],[Cena netto jednostkowa]]*(1-tblSprzedaz[[#This Row],[Rabat %]]),2)</f>
        <v>1311</v>
      </c>
      <c r="N2075" s="14">
        <f>ROUND(tblSprzedaz[[#This Row],[Ilość]]*tblSprzedaz[[#This Row],[Koszt jednostkowy netto]],2)</f>
        <v>891.16</v>
      </c>
      <c r="O2075" s="14">
        <f>tblSprzedaz[[#This Row],[Przychód netto]]-tblSprzedaz[[#This Row],[Koszt całkowity netto]]</f>
        <v>419.84000000000003</v>
      </c>
      <c r="P2075" s="15">
        <f>IFERROR(tblSprzedaz[[#This Row],[Marża kwotowa]]/tblSprzedaz[[#This Row],[Przychód netto]],0)</f>
        <v>0.32024408848207475</v>
      </c>
      <c r="Q2075" s="16">
        <f>YEAR(tblSprzedaz[[#This Row],[Data]])</f>
        <v>2026</v>
      </c>
      <c r="R2075" s="16">
        <f>MONTH(tblSprzedaz[[#This Row],[Data]])</f>
        <v>7</v>
      </c>
      <c r="S2075" s="9" t="str">
        <f>YEAR(tblSprzedaz[[#This Row],[Data]])&amp;"-"&amp;RIGHT("0"&amp;MONTH(tblSprzedaz[[#This Row],[Data]]),2)</f>
        <v>2026-07</v>
      </c>
    </row>
    <row r="2076" spans="1:19" x14ac:dyDescent="0.25">
      <c r="A2076" s="7" t="s">
        <v>4319</v>
      </c>
      <c r="B2076" s="10">
        <v>46215</v>
      </c>
      <c r="C2076" s="7" t="s">
        <v>4320</v>
      </c>
      <c r="D2076" s="8" t="s">
        <v>144</v>
      </c>
      <c r="E2076" s="8" t="s">
        <v>76</v>
      </c>
      <c r="F2076" s="8" t="s">
        <v>37</v>
      </c>
      <c r="G2076" s="8" t="s">
        <v>30</v>
      </c>
      <c r="H2076" s="8" t="s">
        <v>40</v>
      </c>
      <c r="I2076" s="11">
        <v>11</v>
      </c>
      <c r="J2076" s="12">
        <v>158.65</v>
      </c>
      <c r="K2076" s="13">
        <v>0.05</v>
      </c>
      <c r="L2076" s="12">
        <v>116.9</v>
      </c>
      <c r="M2076" s="14">
        <f>ROUND(tblSprzedaz[[#This Row],[Ilość]]*tblSprzedaz[[#This Row],[Cena netto jednostkowa]]*(1-tblSprzedaz[[#This Row],[Rabat %]]),2)</f>
        <v>1657.89</v>
      </c>
      <c r="N2076" s="14">
        <f>ROUND(tblSprzedaz[[#This Row],[Ilość]]*tblSprzedaz[[#This Row],[Koszt jednostkowy netto]],2)</f>
        <v>1285.9000000000001</v>
      </c>
      <c r="O2076" s="14">
        <f>tblSprzedaz[[#This Row],[Przychód netto]]-tblSprzedaz[[#This Row],[Koszt całkowity netto]]</f>
        <v>371.99</v>
      </c>
      <c r="P2076" s="15">
        <f>IFERROR(tblSprzedaz[[#This Row],[Marża kwotowa]]/tblSprzedaz[[#This Row],[Przychód netto]],0)</f>
        <v>0.22437556170795409</v>
      </c>
      <c r="Q2076" s="16">
        <f>YEAR(tblSprzedaz[[#This Row],[Data]])</f>
        <v>2026</v>
      </c>
      <c r="R2076" s="16">
        <f>MONTH(tblSprzedaz[[#This Row],[Data]])</f>
        <v>7</v>
      </c>
      <c r="S2076" s="9" t="str">
        <f>YEAR(tblSprzedaz[[#This Row],[Data]])&amp;"-"&amp;RIGHT("0"&amp;MONTH(tblSprzedaz[[#This Row],[Data]]),2)</f>
        <v>2026-07</v>
      </c>
    </row>
    <row r="2077" spans="1:19" x14ac:dyDescent="0.25">
      <c r="A2077" s="7" t="s">
        <v>4321</v>
      </c>
      <c r="B2077" s="10">
        <v>46216</v>
      </c>
      <c r="C2077" s="7" t="s">
        <v>4322</v>
      </c>
      <c r="D2077" s="8" t="s">
        <v>106</v>
      </c>
      <c r="E2077" s="8" t="s">
        <v>64</v>
      </c>
      <c r="F2077" s="8" t="s">
        <v>33</v>
      </c>
      <c r="G2077" s="8" t="s">
        <v>30</v>
      </c>
      <c r="H2077" s="8" t="s">
        <v>40</v>
      </c>
      <c r="I2077" s="11">
        <v>8</v>
      </c>
      <c r="J2077" s="12">
        <v>768.2</v>
      </c>
      <c r="K2077" s="13">
        <v>0</v>
      </c>
      <c r="L2077" s="12">
        <v>520.74</v>
      </c>
      <c r="M2077" s="14">
        <f>ROUND(tblSprzedaz[[#This Row],[Ilość]]*tblSprzedaz[[#This Row],[Cena netto jednostkowa]]*(1-tblSprzedaz[[#This Row],[Rabat %]]),2)</f>
        <v>6145.6</v>
      </c>
      <c r="N2077" s="14">
        <f>ROUND(tblSprzedaz[[#This Row],[Ilość]]*tblSprzedaz[[#This Row],[Koszt jednostkowy netto]],2)</f>
        <v>4165.92</v>
      </c>
      <c r="O2077" s="14">
        <f>tblSprzedaz[[#This Row],[Przychód netto]]-tblSprzedaz[[#This Row],[Koszt całkowity netto]]</f>
        <v>1979.6800000000003</v>
      </c>
      <c r="P2077" s="15">
        <f>IFERROR(tblSprzedaz[[#This Row],[Marża kwotowa]]/tblSprzedaz[[#This Row],[Przychód netto]],0)</f>
        <v>0.32212965373600627</v>
      </c>
      <c r="Q2077" s="16">
        <f>YEAR(tblSprzedaz[[#This Row],[Data]])</f>
        <v>2026</v>
      </c>
      <c r="R2077" s="16">
        <f>MONTH(tblSprzedaz[[#This Row],[Data]])</f>
        <v>7</v>
      </c>
      <c r="S2077" s="9" t="str">
        <f>YEAR(tblSprzedaz[[#This Row],[Data]])&amp;"-"&amp;RIGHT("0"&amp;MONTH(tblSprzedaz[[#This Row],[Data]]),2)</f>
        <v>2026-07</v>
      </c>
    </row>
    <row r="2078" spans="1:19" x14ac:dyDescent="0.25">
      <c r="A2078" s="7" t="s">
        <v>4323</v>
      </c>
      <c r="B2078" s="10">
        <v>46216</v>
      </c>
      <c r="C2078" s="7" t="s">
        <v>4324</v>
      </c>
      <c r="D2078" s="8" t="s">
        <v>84</v>
      </c>
      <c r="E2078" s="8" t="s">
        <v>73</v>
      </c>
      <c r="F2078" s="8" t="s">
        <v>37</v>
      </c>
      <c r="G2078" s="8" t="s">
        <v>30</v>
      </c>
      <c r="H2078" s="8" t="s">
        <v>40</v>
      </c>
      <c r="I2078" s="11">
        <v>8</v>
      </c>
      <c r="J2078" s="12">
        <v>110.2</v>
      </c>
      <c r="K2078" s="13">
        <v>0</v>
      </c>
      <c r="L2078" s="12">
        <v>87.99</v>
      </c>
      <c r="M2078" s="14">
        <f>ROUND(tblSprzedaz[[#This Row],[Ilość]]*tblSprzedaz[[#This Row],[Cena netto jednostkowa]]*(1-tblSprzedaz[[#This Row],[Rabat %]]),2)</f>
        <v>881.6</v>
      </c>
      <c r="N2078" s="14">
        <f>ROUND(tblSprzedaz[[#This Row],[Ilość]]*tblSprzedaz[[#This Row],[Koszt jednostkowy netto]],2)</f>
        <v>703.92</v>
      </c>
      <c r="O2078" s="14">
        <f>tblSprzedaz[[#This Row],[Przychód netto]]-tblSprzedaz[[#This Row],[Koszt całkowity netto]]</f>
        <v>177.68000000000006</v>
      </c>
      <c r="P2078" s="15">
        <f>IFERROR(tblSprzedaz[[#This Row],[Marża kwotowa]]/tblSprzedaz[[#This Row],[Przychód netto]],0)</f>
        <v>0.20154264972776775</v>
      </c>
      <c r="Q2078" s="16">
        <f>YEAR(tblSprzedaz[[#This Row],[Data]])</f>
        <v>2026</v>
      </c>
      <c r="R2078" s="16">
        <f>MONTH(tblSprzedaz[[#This Row],[Data]])</f>
        <v>7</v>
      </c>
      <c r="S2078" s="9" t="str">
        <f>YEAR(tblSprzedaz[[#This Row],[Data]])&amp;"-"&amp;RIGHT("0"&amp;MONTH(tblSprzedaz[[#This Row],[Data]]),2)</f>
        <v>2026-07</v>
      </c>
    </row>
    <row r="2079" spans="1:19" x14ac:dyDescent="0.25">
      <c r="A2079" s="7" t="s">
        <v>4325</v>
      </c>
      <c r="B2079" s="10">
        <v>46216</v>
      </c>
      <c r="C2079" s="7" t="s">
        <v>4326</v>
      </c>
      <c r="D2079" s="8" t="s">
        <v>124</v>
      </c>
      <c r="E2079" s="8" t="s">
        <v>53</v>
      </c>
      <c r="F2079" s="8" t="s">
        <v>29</v>
      </c>
      <c r="G2079" s="8" t="s">
        <v>36</v>
      </c>
      <c r="H2079" s="8" t="s">
        <v>47</v>
      </c>
      <c r="I2079" s="11">
        <v>11</v>
      </c>
      <c r="J2079" s="12">
        <v>27.88</v>
      </c>
      <c r="K2079" s="13">
        <v>0</v>
      </c>
      <c r="L2079" s="12">
        <v>16.850000000000001</v>
      </c>
      <c r="M2079" s="14">
        <f>ROUND(tblSprzedaz[[#This Row],[Ilość]]*tblSprzedaz[[#This Row],[Cena netto jednostkowa]]*(1-tblSprzedaz[[#This Row],[Rabat %]]),2)</f>
        <v>306.68</v>
      </c>
      <c r="N2079" s="14">
        <f>ROUND(tblSprzedaz[[#This Row],[Ilość]]*tblSprzedaz[[#This Row],[Koszt jednostkowy netto]],2)</f>
        <v>185.35</v>
      </c>
      <c r="O2079" s="14">
        <f>tblSprzedaz[[#This Row],[Przychód netto]]-tblSprzedaz[[#This Row],[Koszt całkowity netto]]</f>
        <v>121.33000000000001</v>
      </c>
      <c r="P2079" s="15">
        <f>IFERROR(tblSprzedaz[[#This Row],[Marża kwotowa]]/tblSprzedaz[[#This Row],[Przychód netto]],0)</f>
        <v>0.39562410329985653</v>
      </c>
      <c r="Q2079" s="16">
        <f>YEAR(tblSprzedaz[[#This Row],[Data]])</f>
        <v>2026</v>
      </c>
      <c r="R2079" s="16">
        <f>MONTH(tblSprzedaz[[#This Row],[Data]])</f>
        <v>7</v>
      </c>
      <c r="S2079" s="9" t="str">
        <f>YEAR(tblSprzedaz[[#This Row],[Data]])&amp;"-"&amp;RIGHT("0"&amp;MONTH(tblSprzedaz[[#This Row],[Data]]),2)</f>
        <v>2026-07</v>
      </c>
    </row>
    <row r="2080" spans="1:19" x14ac:dyDescent="0.25">
      <c r="A2080" s="7" t="s">
        <v>4327</v>
      </c>
      <c r="B2080" s="10">
        <v>46217</v>
      </c>
      <c r="C2080" s="7" t="s">
        <v>4328</v>
      </c>
      <c r="D2080" s="8" t="s">
        <v>124</v>
      </c>
      <c r="E2080" s="8" t="s">
        <v>73</v>
      </c>
      <c r="F2080" s="8" t="s">
        <v>37</v>
      </c>
      <c r="G2080" s="8" t="s">
        <v>34</v>
      </c>
      <c r="H2080" s="8" t="s">
        <v>44</v>
      </c>
      <c r="I2080" s="11">
        <v>1</v>
      </c>
      <c r="J2080" s="12">
        <v>110.2</v>
      </c>
      <c r="K2080" s="13">
        <v>0</v>
      </c>
      <c r="L2080" s="12">
        <v>83.63</v>
      </c>
      <c r="M2080" s="14">
        <f>ROUND(tblSprzedaz[[#This Row],[Ilość]]*tblSprzedaz[[#This Row],[Cena netto jednostkowa]]*(1-tblSprzedaz[[#This Row],[Rabat %]]),2)</f>
        <v>110.2</v>
      </c>
      <c r="N2080" s="14">
        <f>ROUND(tblSprzedaz[[#This Row],[Ilość]]*tblSprzedaz[[#This Row],[Koszt jednostkowy netto]],2)</f>
        <v>83.63</v>
      </c>
      <c r="O2080" s="14">
        <f>tblSprzedaz[[#This Row],[Przychód netto]]-tblSprzedaz[[#This Row],[Koszt całkowity netto]]</f>
        <v>26.570000000000007</v>
      </c>
      <c r="P2080" s="15">
        <f>IFERROR(tblSprzedaz[[#This Row],[Marża kwotowa]]/tblSprzedaz[[#This Row],[Przychód netto]],0)</f>
        <v>0.24110707803992745</v>
      </c>
      <c r="Q2080" s="16">
        <f>YEAR(tblSprzedaz[[#This Row],[Data]])</f>
        <v>2026</v>
      </c>
      <c r="R2080" s="16">
        <f>MONTH(tblSprzedaz[[#This Row],[Data]])</f>
        <v>7</v>
      </c>
      <c r="S2080" s="9" t="str">
        <f>YEAR(tblSprzedaz[[#This Row],[Data]])&amp;"-"&amp;RIGHT("0"&amp;MONTH(tblSprzedaz[[#This Row],[Data]]),2)</f>
        <v>2026-07</v>
      </c>
    </row>
    <row r="2081" spans="1:19" x14ac:dyDescent="0.25">
      <c r="A2081" s="7" t="s">
        <v>4329</v>
      </c>
      <c r="B2081" s="10">
        <v>46217</v>
      </c>
      <c r="C2081" s="7" t="s">
        <v>4330</v>
      </c>
      <c r="D2081" s="8" t="s">
        <v>97</v>
      </c>
      <c r="E2081" s="8" t="s">
        <v>53</v>
      </c>
      <c r="F2081" s="8" t="s">
        <v>29</v>
      </c>
      <c r="G2081" s="8" t="s">
        <v>32</v>
      </c>
      <c r="H2081" s="8" t="s">
        <v>43</v>
      </c>
      <c r="I2081" s="11">
        <v>6</v>
      </c>
      <c r="J2081" s="12">
        <v>27.88</v>
      </c>
      <c r="K2081" s="13">
        <v>0.1</v>
      </c>
      <c r="L2081" s="12">
        <v>16.09</v>
      </c>
      <c r="M2081" s="14">
        <f>ROUND(tblSprzedaz[[#This Row],[Ilość]]*tblSprzedaz[[#This Row],[Cena netto jednostkowa]]*(1-tblSprzedaz[[#This Row],[Rabat %]]),2)</f>
        <v>150.55000000000001</v>
      </c>
      <c r="N2081" s="14">
        <f>ROUND(tblSprzedaz[[#This Row],[Ilość]]*tblSprzedaz[[#This Row],[Koszt jednostkowy netto]],2)</f>
        <v>96.54</v>
      </c>
      <c r="O2081" s="14">
        <f>tblSprzedaz[[#This Row],[Przychód netto]]-tblSprzedaz[[#This Row],[Koszt całkowity netto]]</f>
        <v>54.010000000000005</v>
      </c>
      <c r="P2081" s="15">
        <f>IFERROR(tblSprzedaz[[#This Row],[Marża kwotowa]]/tblSprzedaz[[#This Row],[Przychód netto]],0)</f>
        <v>0.35875124543341086</v>
      </c>
      <c r="Q2081" s="16">
        <f>YEAR(tblSprzedaz[[#This Row],[Data]])</f>
        <v>2026</v>
      </c>
      <c r="R2081" s="16">
        <f>MONTH(tblSprzedaz[[#This Row],[Data]])</f>
        <v>7</v>
      </c>
      <c r="S2081" s="9" t="str">
        <f>YEAR(tblSprzedaz[[#This Row],[Data]])&amp;"-"&amp;RIGHT("0"&amp;MONTH(tblSprzedaz[[#This Row],[Data]]),2)</f>
        <v>2026-07</v>
      </c>
    </row>
    <row r="2082" spans="1:19" x14ac:dyDescent="0.25">
      <c r="A2082" s="7" t="s">
        <v>4331</v>
      </c>
      <c r="B2082" s="10">
        <v>46217</v>
      </c>
      <c r="C2082" s="7" t="s">
        <v>4332</v>
      </c>
      <c r="D2082" s="8" t="s">
        <v>83</v>
      </c>
      <c r="E2082" s="8" t="s">
        <v>68</v>
      </c>
      <c r="F2082" s="8" t="s">
        <v>35</v>
      </c>
      <c r="G2082" s="8" t="s">
        <v>28</v>
      </c>
      <c r="H2082" s="8" t="s">
        <v>38</v>
      </c>
      <c r="I2082" s="11">
        <v>12</v>
      </c>
      <c r="J2082" s="12">
        <v>90.44</v>
      </c>
      <c r="K2082" s="13">
        <v>0.05</v>
      </c>
      <c r="L2082" s="12">
        <v>66.45</v>
      </c>
      <c r="M2082" s="14">
        <f>ROUND(tblSprzedaz[[#This Row],[Ilość]]*tblSprzedaz[[#This Row],[Cena netto jednostkowa]]*(1-tblSprzedaz[[#This Row],[Rabat %]]),2)</f>
        <v>1031.02</v>
      </c>
      <c r="N2082" s="14">
        <f>ROUND(tblSprzedaz[[#This Row],[Ilość]]*tblSprzedaz[[#This Row],[Koszt jednostkowy netto]],2)</f>
        <v>797.4</v>
      </c>
      <c r="O2082" s="14">
        <f>tblSprzedaz[[#This Row],[Przychód netto]]-tblSprzedaz[[#This Row],[Koszt całkowity netto]]</f>
        <v>233.62</v>
      </c>
      <c r="P2082" s="15">
        <f>IFERROR(tblSprzedaz[[#This Row],[Marża kwotowa]]/tblSprzedaz[[#This Row],[Przychód netto]],0)</f>
        <v>0.226591142751838</v>
      </c>
      <c r="Q2082" s="16">
        <f>YEAR(tblSprzedaz[[#This Row],[Data]])</f>
        <v>2026</v>
      </c>
      <c r="R2082" s="16">
        <f>MONTH(tblSprzedaz[[#This Row],[Data]])</f>
        <v>7</v>
      </c>
      <c r="S2082" s="9" t="str">
        <f>YEAR(tblSprzedaz[[#This Row],[Data]])&amp;"-"&amp;RIGHT("0"&amp;MONTH(tblSprzedaz[[#This Row],[Data]]),2)</f>
        <v>2026-07</v>
      </c>
    </row>
    <row r="2083" spans="1:19" x14ac:dyDescent="0.25">
      <c r="A2083" s="7" t="s">
        <v>4333</v>
      </c>
      <c r="B2083" s="10">
        <v>46218</v>
      </c>
      <c r="C2083" s="7" t="s">
        <v>4334</v>
      </c>
      <c r="D2083" s="8" t="s">
        <v>91</v>
      </c>
      <c r="E2083" s="8" t="s">
        <v>59</v>
      </c>
      <c r="F2083" s="8" t="s">
        <v>31</v>
      </c>
      <c r="G2083" s="8" t="s">
        <v>28</v>
      </c>
      <c r="H2083" s="8" t="s">
        <v>38</v>
      </c>
      <c r="I2083" s="11">
        <v>4</v>
      </c>
      <c r="J2083" s="12">
        <v>172.2</v>
      </c>
      <c r="K2083" s="13">
        <v>0.1</v>
      </c>
      <c r="L2083" s="12">
        <v>112.65</v>
      </c>
      <c r="M2083" s="14">
        <f>ROUND(tblSprzedaz[[#This Row],[Ilość]]*tblSprzedaz[[#This Row],[Cena netto jednostkowa]]*(1-tblSprzedaz[[#This Row],[Rabat %]]),2)</f>
        <v>619.91999999999996</v>
      </c>
      <c r="N2083" s="14">
        <f>ROUND(tblSprzedaz[[#This Row],[Ilość]]*tblSprzedaz[[#This Row],[Koszt jednostkowy netto]],2)</f>
        <v>450.6</v>
      </c>
      <c r="O2083" s="14">
        <f>tblSprzedaz[[#This Row],[Przychód netto]]-tblSprzedaz[[#This Row],[Koszt całkowity netto]]</f>
        <v>169.31999999999994</v>
      </c>
      <c r="P2083" s="15">
        <f>IFERROR(tblSprzedaz[[#This Row],[Marża kwotowa]]/tblSprzedaz[[#This Row],[Przychód netto]],0)</f>
        <v>0.273132017034456</v>
      </c>
      <c r="Q2083" s="16">
        <f>YEAR(tblSprzedaz[[#This Row],[Data]])</f>
        <v>2026</v>
      </c>
      <c r="R2083" s="16">
        <f>MONTH(tblSprzedaz[[#This Row],[Data]])</f>
        <v>7</v>
      </c>
      <c r="S2083" s="9" t="str">
        <f>YEAR(tblSprzedaz[[#This Row],[Data]])&amp;"-"&amp;RIGHT("0"&amp;MONTH(tblSprzedaz[[#This Row],[Data]]),2)</f>
        <v>2026-07</v>
      </c>
    </row>
    <row r="2084" spans="1:19" x14ac:dyDescent="0.25">
      <c r="A2084" s="7" t="s">
        <v>4335</v>
      </c>
      <c r="B2084" s="10">
        <v>46218</v>
      </c>
      <c r="C2084" s="7" t="s">
        <v>4336</v>
      </c>
      <c r="D2084" s="8" t="s">
        <v>96</v>
      </c>
      <c r="E2084" s="8" t="s">
        <v>59</v>
      </c>
      <c r="F2084" s="8" t="s">
        <v>31</v>
      </c>
      <c r="G2084" s="8" t="s">
        <v>36</v>
      </c>
      <c r="H2084" s="8" t="s">
        <v>46</v>
      </c>
      <c r="I2084" s="11">
        <v>7</v>
      </c>
      <c r="J2084" s="12">
        <v>172.2</v>
      </c>
      <c r="K2084" s="13">
        <v>0.15</v>
      </c>
      <c r="L2084" s="12">
        <v>108.23</v>
      </c>
      <c r="M2084" s="14">
        <f>ROUND(tblSprzedaz[[#This Row],[Ilość]]*tblSprzedaz[[#This Row],[Cena netto jednostkowa]]*(1-tblSprzedaz[[#This Row],[Rabat %]]),2)</f>
        <v>1024.5899999999999</v>
      </c>
      <c r="N2084" s="14">
        <f>ROUND(tblSprzedaz[[#This Row],[Ilość]]*tblSprzedaz[[#This Row],[Koszt jednostkowy netto]],2)</f>
        <v>757.61</v>
      </c>
      <c r="O2084" s="14">
        <f>tblSprzedaz[[#This Row],[Przychód netto]]-tblSprzedaz[[#This Row],[Koszt całkowity netto]]</f>
        <v>266.9799999999999</v>
      </c>
      <c r="P2084" s="15">
        <f>IFERROR(tblSprzedaz[[#This Row],[Marża kwotowa]]/tblSprzedaz[[#This Row],[Przychód netto]],0)</f>
        <v>0.26057252169160339</v>
      </c>
      <c r="Q2084" s="16">
        <f>YEAR(tblSprzedaz[[#This Row],[Data]])</f>
        <v>2026</v>
      </c>
      <c r="R2084" s="16">
        <f>MONTH(tblSprzedaz[[#This Row],[Data]])</f>
        <v>7</v>
      </c>
      <c r="S2084" s="9" t="str">
        <f>YEAR(tblSprzedaz[[#This Row],[Data]])&amp;"-"&amp;RIGHT("0"&amp;MONTH(tblSprzedaz[[#This Row],[Data]]),2)</f>
        <v>2026-07</v>
      </c>
    </row>
    <row r="2085" spans="1:19" x14ac:dyDescent="0.25">
      <c r="A2085" s="7" t="s">
        <v>4337</v>
      </c>
      <c r="B2085" s="10">
        <v>46218</v>
      </c>
      <c r="C2085" s="7" t="s">
        <v>4338</v>
      </c>
      <c r="D2085" s="8" t="s">
        <v>135</v>
      </c>
      <c r="E2085" s="8" t="s">
        <v>50</v>
      </c>
      <c r="F2085" s="8" t="s">
        <v>29</v>
      </c>
      <c r="G2085" s="8" t="s">
        <v>36</v>
      </c>
      <c r="H2085" s="8" t="s">
        <v>47</v>
      </c>
      <c r="I2085" s="11">
        <v>5</v>
      </c>
      <c r="J2085" s="12">
        <v>45.22</v>
      </c>
      <c r="K2085" s="13">
        <v>0</v>
      </c>
      <c r="L2085" s="12">
        <v>25.83</v>
      </c>
      <c r="M2085" s="14">
        <f>ROUND(tblSprzedaz[[#This Row],[Ilość]]*tblSprzedaz[[#This Row],[Cena netto jednostkowa]]*(1-tblSprzedaz[[#This Row],[Rabat %]]),2)</f>
        <v>226.1</v>
      </c>
      <c r="N2085" s="14">
        <f>ROUND(tblSprzedaz[[#This Row],[Ilość]]*tblSprzedaz[[#This Row],[Koszt jednostkowy netto]],2)</f>
        <v>129.15</v>
      </c>
      <c r="O2085" s="14">
        <f>tblSprzedaz[[#This Row],[Przychód netto]]-tblSprzedaz[[#This Row],[Koszt całkowity netto]]</f>
        <v>96.949999999999989</v>
      </c>
      <c r="P2085" s="15">
        <f>IFERROR(tblSprzedaz[[#This Row],[Marża kwotowa]]/tblSprzedaz[[#This Row],[Przychód netto]],0)</f>
        <v>0.42879256965944268</v>
      </c>
      <c r="Q2085" s="16">
        <f>YEAR(tblSprzedaz[[#This Row],[Data]])</f>
        <v>2026</v>
      </c>
      <c r="R2085" s="16">
        <f>MONTH(tblSprzedaz[[#This Row],[Data]])</f>
        <v>7</v>
      </c>
      <c r="S2085" s="9" t="str">
        <f>YEAR(tblSprzedaz[[#This Row],[Data]])&amp;"-"&amp;RIGHT("0"&amp;MONTH(tblSprzedaz[[#This Row],[Data]]),2)</f>
        <v>2026-07</v>
      </c>
    </row>
    <row r="2086" spans="1:19" x14ac:dyDescent="0.25">
      <c r="A2086" s="7" t="s">
        <v>4339</v>
      </c>
      <c r="B2086" s="10">
        <v>46218</v>
      </c>
      <c r="C2086" s="7" t="s">
        <v>4340</v>
      </c>
      <c r="D2086" s="8" t="s">
        <v>100</v>
      </c>
      <c r="E2086" s="8" t="s">
        <v>73</v>
      </c>
      <c r="F2086" s="8" t="s">
        <v>37</v>
      </c>
      <c r="G2086" s="8" t="s">
        <v>36</v>
      </c>
      <c r="H2086" s="8" t="s">
        <v>46</v>
      </c>
      <c r="I2086" s="11">
        <v>12</v>
      </c>
      <c r="J2086" s="12">
        <v>110.2</v>
      </c>
      <c r="K2086" s="13">
        <v>0</v>
      </c>
      <c r="L2086" s="12">
        <v>81.819999999999993</v>
      </c>
      <c r="M2086" s="14">
        <f>ROUND(tblSprzedaz[[#This Row],[Ilość]]*tblSprzedaz[[#This Row],[Cena netto jednostkowa]]*(1-tblSprzedaz[[#This Row],[Rabat %]]),2)</f>
        <v>1322.4</v>
      </c>
      <c r="N2086" s="14">
        <f>ROUND(tblSprzedaz[[#This Row],[Ilość]]*tblSprzedaz[[#This Row],[Koszt jednostkowy netto]],2)</f>
        <v>981.84</v>
      </c>
      <c r="O2086" s="14">
        <f>tblSprzedaz[[#This Row],[Przychód netto]]-tblSprzedaz[[#This Row],[Koszt całkowity netto]]</f>
        <v>340.56000000000006</v>
      </c>
      <c r="P2086" s="15">
        <f>IFERROR(tblSprzedaz[[#This Row],[Marża kwotowa]]/tblSprzedaz[[#This Row],[Przychód netto]],0)</f>
        <v>0.25753176043557169</v>
      </c>
      <c r="Q2086" s="16">
        <f>YEAR(tblSprzedaz[[#This Row],[Data]])</f>
        <v>2026</v>
      </c>
      <c r="R2086" s="16">
        <f>MONTH(tblSprzedaz[[#This Row],[Data]])</f>
        <v>7</v>
      </c>
      <c r="S2086" s="9" t="str">
        <f>YEAR(tblSprzedaz[[#This Row],[Data]])&amp;"-"&amp;RIGHT("0"&amp;MONTH(tblSprzedaz[[#This Row],[Data]]),2)</f>
        <v>2026-07</v>
      </c>
    </row>
    <row r="2087" spans="1:19" x14ac:dyDescent="0.25">
      <c r="A2087" s="7" t="s">
        <v>4341</v>
      </c>
      <c r="B2087" s="10">
        <v>46219</v>
      </c>
      <c r="C2087" s="7" t="s">
        <v>4342</v>
      </c>
      <c r="D2087" s="8" t="s">
        <v>152</v>
      </c>
      <c r="E2087" s="8" t="s">
        <v>58</v>
      </c>
      <c r="F2087" s="8" t="s">
        <v>31</v>
      </c>
      <c r="G2087" s="8" t="s">
        <v>28</v>
      </c>
      <c r="H2087" s="8" t="s">
        <v>39</v>
      </c>
      <c r="I2087" s="11">
        <v>12</v>
      </c>
      <c r="J2087" s="12">
        <v>350.7</v>
      </c>
      <c r="K2087" s="13">
        <v>0.15</v>
      </c>
      <c r="L2087" s="12">
        <v>210.69</v>
      </c>
      <c r="M2087" s="14">
        <f>ROUND(tblSprzedaz[[#This Row],[Ilość]]*tblSprzedaz[[#This Row],[Cena netto jednostkowa]]*(1-tblSprzedaz[[#This Row],[Rabat %]]),2)</f>
        <v>3577.14</v>
      </c>
      <c r="N2087" s="14">
        <f>ROUND(tblSprzedaz[[#This Row],[Ilość]]*tblSprzedaz[[#This Row],[Koszt jednostkowy netto]],2)</f>
        <v>2528.2800000000002</v>
      </c>
      <c r="O2087" s="14">
        <f>tblSprzedaz[[#This Row],[Przychód netto]]-tblSprzedaz[[#This Row],[Koszt całkowity netto]]</f>
        <v>1048.8599999999997</v>
      </c>
      <c r="P2087" s="15">
        <f>IFERROR(tblSprzedaz[[#This Row],[Marża kwotowa]]/tblSprzedaz[[#This Row],[Przychód netto]],0)</f>
        <v>0.29321189553665772</v>
      </c>
      <c r="Q2087" s="16">
        <f>YEAR(tblSprzedaz[[#This Row],[Data]])</f>
        <v>2026</v>
      </c>
      <c r="R2087" s="16">
        <f>MONTH(tblSprzedaz[[#This Row],[Data]])</f>
        <v>7</v>
      </c>
      <c r="S2087" s="9" t="str">
        <f>YEAR(tblSprzedaz[[#This Row],[Data]])&amp;"-"&amp;RIGHT("0"&amp;MONTH(tblSprzedaz[[#This Row],[Data]]),2)</f>
        <v>2026-07</v>
      </c>
    </row>
    <row r="2088" spans="1:19" x14ac:dyDescent="0.25">
      <c r="A2088" s="7" t="s">
        <v>4343</v>
      </c>
      <c r="B2088" s="10">
        <v>46219</v>
      </c>
      <c r="C2088" s="7" t="s">
        <v>4344</v>
      </c>
      <c r="D2088" s="8" t="s">
        <v>124</v>
      </c>
      <c r="E2088" s="8" t="s">
        <v>58</v>
      </c>
      <c r="F2088" s="8" t="s">
        <v>31</v>
      </c>
      <c r="G2088" s="8" t="s">
        <v>28</v>
      </c>
      <c r="H2088" s="8" t="s">
        <v>38</v>
      </c>
      <c r="I2088" s="11">
        <v>7</v>
      </c>
      <c r="J2088" s="12">
        <v>350.7</v>
      </c>
      <c r="K2088" s="13">
        <v>0</v>
      </c>
      <c r="L2088" s="12">
        <v>224.15</v>
      </c>
      <c r="M2088" s="14">
        <f>ROUND(tblSprzedaz[[#This Row],[Ilość]]*tblSprzedaz[[#This Row],[Cena netto jednostkowa]]*(1-tblSprzedaz[[#This Row],[Rabat %]]),2)</f>
        <v>2454.9</v>
      </c>
      <c r="N2088" s="14">
        <f>ROUND(tblSprzedaz[[#This Row],[Ilość]]*tblSprzedaz[[#This Row],[Koszt jednostkowy netto]],2)</f>
        <v>1569.05</v>
      </c>
      <c r="O2088" s="14">
        <f>tblSprzedaz[[#This Row],[Przychód netto]]-tblSprzedaz[[#This Row],[Koszt całkowity netto]]</f>
        <v>885.85000000000014</v>
      </c>
      <c r="P2088" s="15">
        <f>IFERROR(tblSprzedaz[[#This Row],[Marża kwotowa]]/tblSprzedaz[[#This Row],[Przychód netto]],0)</f>
        <v>0.36084972911320223</v>
      </c>
      <c r="Q2088" s="16">
        <f>YEAR(tblSprzedaz[[#This Row],[Data]])</f>
        <v>2026</v>
      </c>
      <c r="R2088" s="16">
        <f>MONTH(tblSprzedaz[[#This Row],[Data]])</f>
        <v>7</v>
      </c>
      <c r="S2088" s="9" t="str">
        <f>YEAR(tblSprzedaz[[#This Row],[Data]])&amp;"-"&amp;RIGHT("0"&amp;MONTH(tblSprzedaz[[#This Row],[Data]]),2)</f>
        <v>2026-07</v>
      </c>
    </row>
    <row r="2089" spans="1:19" x14ac:dyDescent="0.25">
      <c r="A2089" s="7" t="s">
        <v>4345</v>
      </c>
      <c r="B2089" s="10">
        <v>46219</v>
      </c>
      <c r="C2089" s="7" t="s">
        <v>4346</v>
      </c>
      <c r="D2089" s="8" t="s">
        <v>120</v>
      </c>
      <c r="E2089" s="8" t="s">
        <v>50</v>
      </c>
      <c r="F2089" s="8" t="s">
        <v>29</v>
      </c>
      <c r="G2089" s="8" t="s">
        <v>30</v>
      </c>
      <c r="H2089" s="8" t="s">
        <v>41</v>
      </c>
      <c r="I2089" s="11">
        <v>14</v>
      </c>
      <c r="J2089" s="12">
        <v>45.22</v>
      </c>
      <c r="K2089" s="13">
        <v>0.15</v>
      </c>
      <c r="L2089" s="12">
        <v>27.03</v>
      </c>
      <c r="M2089" s="14">
        <f>ROUND(tblSprzedaz[[#This Row],[Ilość]]*tblSprzedaz[[#This Row],[Cena netto jednostkowa]]*(1-tblSprzedaz[[#This Row],[Rabat %]]),2)</f>
        <v>538.12</v>
      </c>
      <c r="N2089" s="14">
        <f>ROUND(tblSprzedaz[[#This Row],[Ilość]]*tblSprzedaz[[#This Row],[Koszt jednostkowy netto]],2)</f>
        <v>378.42</v>
      </c>
      <c r="O2089" s="14">
        <f>tblSprzedaz[[#This Row],[Przychód netto]]-tblSprzedaz[[#This Row],[Koszt całkowity netto]]</f>
        <v>159.69999999999999</v>
      </c>
      <c r="P2089" s="15">
        <f>IFERROR(tblSprzedaz[[#This Row],[Marża kwotowa]]/tblSprzedaz[[#This Row],[Przychód netto]],0)</f>
        <v>0.29677395376495946</v>
      </c>
      <c r="Q2089" s="16">
        <f>YEAR(tblSprzedaz[[#This Row],[Data]])</f>
        <v>2026</v>
      </c>
      <c r="R2089" s="16">
        <f>MONTH(tblSprzedaz[[#This Row],[Data]])</f>
        <v>7</v>
      </c>
      <c r="S2089" s="9" t="str">
        <f>YEAR(tblSprzedaz[[#This Row],[Data]])&amp;"-"&amp;RIGHT("0"&amp;MONTH(tblSprzedaz[[#This Row],[Data]]),2)</f>
        <v>2026-07</v>
      </c>
    </row>
    <row r="2090" spans="1:19" x14ac:dyDescent="0.25">
      <c r="A2090" s="7" t="s">
        <v>4347</v>
      </c>
      <c r="B2090" s="10">
        <v>46220</v>
      </c>
      <c r="C2090" s="7" t="s">
        <v>4348</v>
      </c>
      <c r="D2090" s="8" t="s">
        <v>125</v>
      </c>
      <c r="E2090" s="8" t="s">
        <v>53</v>
      </c>
      <c r="F2090" s="8" t="s">
        <v>29</v>
      </c>
      <c r="G2090" s="8" t="s">
        <v>28</v>
      </c>
      <c r="H2090" s="8" t="s">
        <v>38</v>
      </c>
      <c r="I2090" s="11">
        <v>12</v>
      </c>
      <c r="J2090" s="12">
        <v>27.88</v>
      </c>
      <c r="K2090" s="13">
        <v>0</v>
      </c>
      <c r="L2090" s="12">
        <v>15.76</v>
      </c>
      <c r="M2090" s="14">
        <f>ROUND(tblSprzedaz[[#This Row],[Ilość]]*tblSprzedaz[[#This Row],[Cena netto jednostkowa]]*(1-tblSprzedaz[[#This Row],[Rabat %]]),2)</f>
        <v>334.56</v>
      </c>
      <c r="N2090" s="14">
        <f>ROUND(tblSprzedaz[[#This Row],[Ilość]]*tblSprzedaz[[#This Row],[Koszt jednostkowy netto]],2)</f>
        <v>189.12</v>
      </c>
      <c r="O2090" s="14">
        <f>tblSprzedaz[[#This Row],[Przychód netto]]-tblSprzedaz[[#This Row],[Koszt całkowity netto]]</f>
        <v>145.44</v>
      </c>
      <c r="P2090" s="15">
        <f>IFERROR(tblSprzedaz[[#This Row],[Marża kwotowa]]/tblSprzedaz[[#This Row],[Przychód netto]],0)</f>
        <v>0.4347202295552367</v>
      </c>
      <c r="Q2090" s="16">
        <f>YEAR(tblSprzedaz[[#This Row],[Data]])</f>
        <v>2026</v>
      </c>
      <c r="R2090" s="16">
        <f>MONTH(tblSprzedaz[[#This Row],[Data]])</f>
        <v>7</v>
      </c>
      <c r="S2090" s="9" t="str">
        <f>YEAR(tblSprzedaz[[#This Row],[Data]])&amp;"-"&amp;RIGHT("0"&amp;MONTH(tblSprzedaz[[#This Row],[Data]]),2)</f>
        <v>2026-07</v>
      </c>
    </row>
    <row r="2091" spans="1:19" x14ac:dyDescent="0.25">
      <c r="A2091" s="7" t="s">
        <v>4349</v>
      </c>
      <c r="B2091" s="10">
        <v>46220</v>
      </c>
      <c r="C2091" s="7" t="s">
        <v>4350</v>
      </c>
      <c r="D2091" s="8" t="s">
        <v>89</v>
      </c>
      <c r="E2091" s="8" t="s">
        <v>70</v>
      </c>
      <c r="F2091" s="8" t="s">
        <v>35</v>
      </c>
      <c r="G2091" s="8" t="s">
        <v>32</v>
      </c>
      <c r="H2091" s="8" t="s">
        <v>42</v>
      </c>
      <c r="I2091" s="11">
        <v>3</v>
      </c>
      <c r="J2091" s="12">
        <v>113.56</v>
      </c>
      <c r="K2091" s="13">
        <v>0</v>
      </c>
      <c r="L2091" s="12">
        <v>86.13</v>
      </c>
      <c r="M2091" s="14">
        <f>ROUND(tblSprzedaz[[#This Row],[Ilość]]*tblSprzedaz[[#This Row],[Cena netto jednostkowa]]*(1-tblSprzedaz[[#This Row],[Rabat %]]),2)</f>
        <v>340.68</v>
      </c>
      <c r="N2091" s="14">
        <f>ROUND(tblSprzedaz[[#This Row],[Ilość]]*tblSprzedaz[[#This Row],[Koszt jednostkowy netto]],2)</f>
        <v>258.39</v>
      </c>
      <c r="O2091" s="14">
        <f>tblSprzedaz[[#This Row],[Przychód netto]]-tblSprzedaz[[#This Row],[Koszt całkowity netto]]</f>
        <v>82.29000000000002</v>
      </c>
      <c r="P2091" s="15">
        <f>IFERROR(tblSprzedaz[[#This Row],[Marża kwotowa]]/tblSprzedaz[[#This Row],[Przychód netto]],0)</f>
        <v>0.24154631912645302</v>
      </c>
      <c r="Q2091" s="16">
        <f>YEAR(tblSprzedaz[[#This Row],[Data]])</f>
        <v>2026</v>
      </c>
      <c r="R2091" s="16">
        <f>MONTH(tblSprzedaz[[#This Row],[Data]])</f>
        <v>7</v>
      </c>
      <c r="S2091" s="9" t="str">
        <f>YEAR(tblSprzedaz[[#This Row],[Data]])&amp;"-"&amp;RIGHT("0"&amp;MONTH(tblSprzedaz[[#This Row],[Data]]),2)</f>
        <v>2026-07</v>
      </c>
    </row>
    <row r="2092" spans="1:19" x14ac:dyDescent="0.25">
      <c r="A2092" s="7" t="s">
        <v>4351</v>
      </c>
      <c r="B2092" s="10">
        <v>46220</v>
      </c>
      <c r="C2092" s="7" t="s">
        <v>4352</v>
      </c>
      <c r="D2092" s="8" t="s">
        <v>132</v>
      </c>
      <c r="E2092" s="8" t="s">
        <v>76</v>
      </c>
      <c r="F2092" s="8" t="s">
        <v>37</v>
      </c>
      <c r="G2092" s="8" t="s">
        <v>34</v>
      </c>
      <c r="H2092" s="8" t="s">
        <v>45</v>
      </c>
      <c r="I2092" s="11">
        <v>4</v>
      </c>
      <c r="J2092" s="12">
        <v>158.65</v>
      </c>
      <c r="K2092" s="13">
        <v>0.1</v>
      </c>
      <c r="L2092" s="12">
        <v>127.53</v>
      </c>
      <c r="M2092" s="14">
        <f>ROUND(tblSprzedaz[[#This Row],[Ilość]]*tblSprzedaz[[#This Row],[Cena netto jednostkowa]]*(1-tblSprzedaz[[#This Row],[Rabat %]]),2)</f>
        <v>571.14</v>
      </c>
      <c r="N2092" s="14">
        <f>ROUND(tblSprzedaz[[#This Row],[Ilość]]*tblSprzedaz[[#This Row],[Koszt jednostkowy netto]],2)</f>
        <v>510.12</v>
      </c>
      <c r="O2092" s="14">
        <f>tblSprzedaz[[#This Row],[Przychód netto]]-tblSprzedaz[[#This Row],[Koszt całkowity netto]]</f>
        <v>61.019999999999982</v>
      </c>
      <c r="P2092" s="15">
        <f>IFERROR(tblSprzedaz[[#This Row],[Marża kwotowa]]/tblSprzedaz[[#This Row],[Przychód netto]],0)</f>
        <v>0.10683895367160413</v>
      </c>
      <c r="Q2092" s="16">
        <f>YEAR(tblSprzedaz[[#This Row],[Data]])</f>
        <v>2026</v>
      </c>
      <c r="R2092" s="16">
        <f>MONTH(tblSprzedaz[[#This Row],[Data]])</f>
        <v>7</v>
      </c>
      <c r="S2092" s="9" t="str">
        <f>YEAR(tblSprzedaz[[#This Row],[Data]])&amp;"-"&amp;RIGHT("0"&amp;MONTH(tblSprzedaz[[#This Row],[Data]]),2)</f>
        <v>2026-07</v>
      </c>
    </row>
    <row r="2093" spans="1:19" x14ac:dyDescent="0.25">
      <c r="A2093" s="7" t="s">
        <v>4353</v>
      </c>
      <c r="B2093" s="10">
        <v>46221</v>
      </c>
      <c r="C2093" s="7" t="s">
        <v>4354</v>
      </c>
      <c r="D2093" s="8" t="s">
        <v>149</v>
      </c>
      <c r="E2093" s="8" t="s">
        <v>59</v>
      </c>
      <c r="F2093" s="8" t="s">
        <v>31</v>
      </c>
      <c r="G2093" s="8" t="s">
        <v>36</v>
      </c>
      <c r="H2093" s="8" t="s">
        <v>46</v>
      </c>
      <c r="I2093" s="11">
        <v>5</v>
      </c>
      <c r="J2093" s="12">
        <v>172.2</v>
      </c>
      <c r="K2093" s="13">
        <v>0</v>
      </c>
      <c r="L2093" s="12">
        <v>107.2</v>
      </c>
      <c r="M2093" s="14">
        <f>ROUND(tblSprzedaz[[#This Row],[Ilość]]*tblSprzedaz[[#This Row],[Cena netto jednostkowa]]*(1-tblSprzedaz[[#This Row],[Rabat %]]),2)</f>
        <v>861</v>
      </c>
      <c r="N2093" s="14">
        <f>ROUND(tblSprzedaz[[#This Row],[Ilość]]*tblSprzedaz[[#This Row],[Koszt jednostkowy netto]],2)</f>
        <v>536</v>
      </c>
      <c r="O2093" s="14">
        <f>tblSprzedaz[[#This Row],[Przychód netto]]-tblSprzedaz[[#This Row],[Koszt całkowity netto]]</f>
        <v>325</v>
      </c>
      <c r="P2093" s="15">
        <f>IFERROR(tblSprzedaz[[#This Row],[Marża kwotowa]]/tblSprzedaz[[#This Row],[Przychód netto]],0)</f>
        <v>0.37746806039488967</v>
      </c>
      <c r="Q2093" s="16">
        <f>YEAR(tblSprzedaz[[#This Row],[Data]])</f>
        <v>2026</v>
      </c>
      <c r="R2093" s="16">
        <f>MONTH(tblSprzedaz[[#This Row],[Data]])</f>
        <v>7</v>
      </c>
      <c r="S2093" s="9" t="str">
        <f>YEAR(tblSprzedaz[[#This Row],[Data]])&amp;"-"&amp;RIGHT("0"&amp;MONTH(tblSprzedaz[[#This Row],[Data]]),2)</f>
        <v>2026-07</v>
      </c>
    </row>
    <row r="2094" spans="1:19" x14ac:dyDescent="0.25">
      <c r="A2094" s="7" t="s">
        <v>4355</v>
      </c>
      <c r="B2094" s="10">
        <v>46221</v>
      </c>
      <c r="C2094" s="7" t="s">
        <v>4356</v>
      </c>
      <c r="D2094" s="8" t="s">
        <v>91</v>
      </c>
      <c r="E2094" s="8" t="s">
        <v>76</v>
      </c>
      <c r="F2094" s="8" t="s">
        <v>37</v>
      </c>
      <c r="G2094" s="8" t="s">
        <v>30</v>
      </c>
      <c r="H2094" s="8" t="s">
        <v>41</v>
      </c>
      <c r="I2094" s="11">
        <v>6</v>
      </c>
      <c r="J2094" s="12">
        <v>158.65</v>
      </c>
      <c r="K2094" s="13">
        <v>0.15</v>
      </c>
      <c r="L2094" s="12">
        <v>122.21</v>
      </c>
      <c r="M2094" s="14">
        <f>ROUND(tblSprzedaz[[#This Row],[Ilość]]*tblSprzedaz[[#This Row],[Cena netto jednostkowa]]*(1-tblSprzedaz[[#This Row],[Rabat %]]),2)</f>
        <v>809.12</v>
      </c>
      <c r="N2094" s="14">
        <f>ROUND(tblSprzedaz[[#This Row],[Ilość]]*tblSprzedaz[[#This Row],[Koszt jednostkowy netto]],2)</f>
        <v>733.26</v>
      </c>
      <c r="O2094" s="14">
        <f>tblSprzedaz[[#This Row],[Przychód netto]]-tblSprzedaz[[#This Row],[Koszt całkowity netto]]</f>
        <v>75.860000000000014</v>
      </c>
      <c r="P2094" s="15">
        <f>IFERROR(tblSprzedaz[[#This Row],[Marża kwotowa]]/tblSprzedaz[[#This Row],[Przychód netto]],0)</f>
        <v>9.3756179553094732E-2</v>
      </c>
      <c r="Q2094" s="16">
        <f>YEAR(tblSprzedaz[[#This Row],[Data]])</f>
        <v>2026</v>
      </c>
      <c r="R2094" s="16">
        <f>MONTH(tblSprzedaz[[#This Row],[Data]])</f>
        <v>7</v>
      </c>
      <c r="S2094" s="9" t="str">
        <f>YEAR(tblSprzedaz[[#This Row],[Data]])&amp;"-"&amp;RIGHT("0"&amp;MONTH(tblSprzedaz[[#This Row],[Data]]),2)</f>
        <v>2026-07</v>
      </c>
    </row>
    <row r="2095" spans="1:19" x14ac:dyDescent="0.25">
      <c r="A2095" s="7" t="s">
        <v>4357</v>
      </c>
      <c r="B2095" s="10">
        <v>46222</v>
      </c>
      <c r="C2095" s="7" t="s">
        <v>4358</v>
      </c>
      <c r="D2095" s="8" t="s">
        <v>123</v>
      </c>
      <c r="E2095" s="8" t="s">
        <v>75</v>
      </c>
      <c r="F2095" s="8" t="s">
        <v>37</v>
      </c>
      <c r="G2095" s="8" t="s">
        <v>32</v>
      </c>
      <c r="H2095" s="8" t="s">
        <v>43</v>
      </c>
      <c r="I2095" s="11">
        <v>4</v>
      </c>
      <c r="J2095" s="12">
        <v>142.5</v>
      </c>
      <c r="K2095" s="13">
        <v>0.15</v>
      </c>
      <c r="L2095" s="12">
        <v>110.69</v>
      </c>
      <c r="M2095" s="14">
        <f>ROUND(tblSprzedaz[[#This Row],[Ilość]]*tblSprzedaz[[#This Row],[Cena netto jednostkowa]]*(1-tblSprzedaz[[#This Row],[Rabat %]]),2)</f>
        <v>484.5</v>
      </c>
      <c r="N2095" s="14">
        <f>ROUND(tblSprzedaz[[#This Row],[Ilość]]*tblSprzedaz[[#This Row],[Koszt jednostkowy netto]],2)</f>
        <v>442.76</v>
      </c>
      <c r="O2095" s="14">
        <f>tblSprzedaz[[#This Row],[Przychód netto]]-tblSprzedaz[[#This Row],[Koszt całkowity netto]]</f>
        <v>41.740000000000009</v>
      </c>
      <c r="P2095" s="15">
        <f>IFERROR(tblSprzedaz[[#This Row],[Marża kwotowa]]/tblSprzedaz[[#This Row],[Przychód netto]],0)</f>
        <v>8.6150670794633663E-2</v>
      </c>
      <c r="Q2095" s="16">
        <f>YEAR(tblSprzedaz[[#This Row],[Data]])</f>
        <v>2026</v>
      </c>
      <c r="R2095" s="16">
        <f>MONTH(tblSprzedaz[[#This Row],[Data]])</f>
        <v>7</v>
      </c>
      <c r="S2095" s="9" t="str">
        <f>YEAR(tblSprzedaz[[#This Row],[Data]])&amp;"-"&amp;RIGHT("0"&amp;MONTH(tblSprzedaz[[#This Row],[Data]]),2)</f>
        <v>2026-07</v>
      </c>
    </row>
    <row r="2096" spans="1:19" x14ac:dyDescent="0.25">
      <c r="A2096" s="7" t="s">
        <v>4359</v>
      </c>
      <c r="B2096" s="10">
        <v>46222</v>
      </c>
      <c r="C2096" s="7" t="s">
        <v>4360</v>
      </c>
      <c r="D2096" s="8" t="s">
        <v>96</v>
      </c>
      <c r="E2096" s="8" t="s">
        <v>53</v>
      </c>
      <c r="F2096" s="8" t="s">
        <v>29</v>
      </c>
      <c r="G2096" s="8" t="s">
        <v>28</v>
      </c>
      <c r="H2096" s="8" t="s">
        <v>38</v>
      </c>
      <c r="I2096" s="11">
        <v>10</v>
      </c>
      <c r="J2096" s="12">
        <v>27.88</v>
      </c>
      <c r="K2096" s="13">
        <v>0.1</v>
      </c>
      <c r="L2096" s="12">
        <v>16.7</v>
      </c>
      <c r="M2096" s="14">
        <f>ROUND(tblSprzedaz[[#This Row],[Ilość]]*tblSprzedaz[[#This Row],[Cena netto jednostkowa]]*(1-tblSprzedaz[[#This Row],[Rabat %]]),2)</f>
        <v>250.92</v>
      </c>
      <c r="N2096" s="14">
        <f>ROUND(tblSprzedaz[[#This Row],[Ilość]]*tblSprzedaz[[#This Row],[Koszt jednostkowy netto]],2)</f>
        <v>167</v>
      </c>
      <c r="O2096" s="14">
        <f>tblSprzedaz[[#This Row],[Przychód netto]]-tblSprzedaz[[#This Row],[Koszt całkowity netto]]</f>
        <v>83.919999999999987</v>
      </c>
      <c r="P2096" s="15">
        <f>IFERROR(tblSprzedaz[[#This Row],[Marża kwotowa]]/tblSprzedaz[[#This Row],[Przychód netto]],0)</f>
        <v>0.33444922684520961</v>
      </c>
      <c r="Q2096" s="16">
        <f>YEAR(tblSprzedaz[[#This Row],[Data]])</f>
        <v>2026</v>
      </c>
      <c r="R2096" s="16">
        <f>MONTH(tblSprzedaz[[#This Row],[Data]])</f>
        <v>7</v>
      </c>
      <c r="S2096" s="9" t="str">
        <f>YEAR(tblSprzedaz[[#This Row],[Data]])&amp;"-"&amp;RIGHT("0"&amp;MONTH(tblSprzedaz[[#This Row],[Data]]),2)</f>
        <v>2026-07</v>
      </c>
    </row>
    <row r="2097" spans="1:19" x14ac:dyDescent="0.25">
      <c r="A2097" s="7" t="s">
        <v>4361</v>
      </c>
      <c r="B2097" s="10">
        <v>46223</v>
      </c>
      <c r="C2097" s="7" t="s">
        <v>4362</v>
      </c>
      <c r="D2097" s="8" t="s">
        <v>137</v>
      </c>
      <c r="E2097" s="8" t="s">
        <v>61</v>
      </c>
      <c r="F2097" s="8" t="s">
        <v>33</v>
      </c>
      <c r="G2097" s="8" t="s">
        <v>34</v>
      </c>
      <c r="H2097" s="8" t="s">
        <v>44</v>
      </c>
      <c r="I2097" s="11">
        <v>1</v>
      </c>
      <c r="J2097" s="12">
        <v>533.6</v>
      </c>
      <c r="K2097" s="13">
        <v>0.05</v>
      </c>
      <c r="L2097" s="12">
        <v>352.3</v>
      </c>
      <c r="M2097" s="14">
        <f>ROUND(tblSprzedaz[[#This Row],[Ilość]]*tblSprzedaz[[#This Row],[Cena netto jednostkowa]]*(1-tblSprzedaz[[#This Row],[Rabat %]]),2)</f>
        <v>506.92</v>
      </c>
      <c r="N2097" s="14">
        <f>ROUND(tblSprzedaz[[#This Row],[Ilość]]*tblSprzedaz[[#This Row],[Koszt jednostkowy netto]],2)</f>
        <v>352.3</v>
      </c>
      <c r="O2097" s="14">
        <f>tblSprzedaz[[#This Row],[Przychód netto]]-tblSprzedaz[[#This Row],[Koszt całkowity netto]]</f>
        <v>154.62</v>
      </c>
      <c r="P2097" s="15">
        <f>IFERROR(tblSprzedaz[[#This Row],[Marża kwotowa]]/tblSprzedaz[[#This Row],[Przychód netto]],0)</f>
        <v>0.30501854335989897</v>
      </c>
      <c r="Q2097" s="16">
        <f>YEAR(tblSprzedaz[[#This Row],[Data]])</f>
        <v>2026</v>
      </c>
      <c r="R2097" s="16">
        <f>MONTH(tblSprzedaz[[#This Row],[Data]])</f>
        <v>7</v>
      </c>
      <c r="S2097" s="9" t="str">
        <f>YEAR(tblSprzedaz[[#This Row],[Data]])&amp;"-"&amp;RIGHT("0"&amp;MONTH(tblSprzedaz[[#This Row],[Data]]),2)</f>
        <v>2026-07</v>
      </c>
    </row>
    <row r="2098" spans="1:19" x14ac:dyDescent="0.25">
      <c r="A2098" s="7" t="s">
        <v>4363</v>
      </c>
      <c r="B2098" s="10">
        <v>46223</v>
      </c>
      <c r="C2098" s="7" t="s">
        <v>4364</v>
      </c>
      <c r="D2098" s="8" t="s">
        <v>95</v>
      </c>
      <c r="E2098" s="8" t="s">
        <v>54</v>
      </c>
      <c r="F2098" s="8" t="s">
        <v>31</v>
      </c>
      <c r="G2098" s="8" t="s">
        <v>36</v>
      </c>
      <c r="H2098" s="8" t="s">
        <v>46</v>
      </c>
      <c r="I2098" s="11">
        <v>4</v>
      </c>
      <c r="J2098" s="12">
        <v>207.9</v>
      </c>
      <c r="K2098" s="13">
        <v>0</v>
      </c>
      <c r="L2098" s="12">
        <v>137.69999999999999</v>
      </c>
      <c r="M2098" s="14">
        <f>ROUND(tblSprzedaz[[#This Row],[Ilość]]*tblSprzedaz[[#This Row],[Cena netto jednostkowa]]*(1-tblSprzedaz[[#This Row],[Rabat %]]),2)</f>
        <v>831.6</v>
      </c>
      <c r="N2098" s="14">
        <f>ROUND(tblSprzedaz[[#This Row],[Ilość]]*tblSprzedaz[[#This Row],[Koszt jednostkowy netto]],2)</f>
        <v>550.79999999999995</v>
      </c>
      <c r="O2098" s="14">
        <f>tblSprzedaz[[#This Row],[Przychód netto]]-tblSprzedaz[[#This Row],[Koszt całkowity netto]]</f>
        <v>280.80000000000007</v>
      </c>
      <c r="P2098" s="15">
        <f>IFERROR(tblSprzedaz[[#This Row],[Marża kwotowa]]/tblSprzedaz[[#This Row],[Przychód netto]],0)</f>
        <v>0.33766233766233772</v>
      </c>
      <c r="Q2098" s="16">
        <f>YEAR(tblSprzedaz[[#This Row],[Data]])</f>
        <v>2026</v>
      </c>
      <c r="R2098" s="16">
        <f>MONTH(tblSprzedaz[[#This Row],[Data]])</f>
        <v>7</v>
      </c>
      <c r="S2098" s="9" t="str">
        <f>YEAR(tblSprzedaz[[#This Row],[Data]])&amp;"-"&amp;RIGHT("0"&amp;MONTH(tblSprzedaz[[#This Row],[Data]]),2)</f>
        <v>2026-07</v>
      </c>
    </row>
    <row r="2099" spans="1:19" x14ac:dyDescent="0.25">
      <c r="A2099" s="7" t="s">
        <v>4365</v>
      </c>
      <c r="B2099" s="10">
        <v>46223</v>
      </c>
      <c r="C2099" s="7" t="s">
        <v>4366</v>
      </c>
      <c r="D2099" s="8" t="s">
        <v>94</v>
      </c>
      <c r="E2099" s="8" t="s">
        <v>50</v>
      </c>
      <c r="F2099" s="8" t="s">
        <v>29</v>
      </c>
      <c r="G2099" s="8" t="s">
        <v>28</v>
      </c>
      <c r="H2099" s="8" t="s">
        <v>38</v>
      </c>
      <c r="I2099" s="11">
        <v>11</v>
      </c>
      <c r="J2099" s="12">
        <v>45.22</v>
      </c>
      <c r="K2099" s="13">
        <v>0.15</v>
      </c>
      <c r="L2099" s="12">
        <v>26.41</v>
      </c>
      <c r="M2099" s="14">
        <f>ROUND(tblSprzedaz[[#This Row],[Ilość]]*tblSprzedaz[[#This Row],[Cena netto jednostkowa]]*(1-tblSprzedaz[[#This Row],[Rabat %]]),2)</f>
        <v>422.81</v>
      </c>
      <c r="N2099" s="14">
        <f>ROUND(tblSprzedaz[[#This Row],[Ilość]]*tblSprzedaz[[#This Row],[Koszt jednostkowy netto]],2)</f>
        <v>290.51</v>
      </c>
      <c r="O2099" s="14">
        <f>tblSprzedaz[[#This Row],[Przychód netto]]-tblSprzedaz[[#This Row],[Koszt całkowity netto]]</f>
        <v>132.30000000000001</v>
      </c>
      <c r="P2099" s="15">
        <f>IFERROR(tblSprzedaz[[#This Row],[Marża kwotowa]]/tblSprzedaz[[#This Row],[Przychód netto]],0)</f>
        <v>0.31290650646862661</v>
      </c>
      <c r="Q2099" s="16">
        <f>YEAR(tblSprzedaz[[#This Row],[Data]])</f>
        <v>2026</v>
      </c>
      <c r="R2099" s="16">
        <f>MONTH(tblSprzedaz[[#This Row],[Data]])</f>
        <v>7</v>
      </c>
      <c r="S2099" s="9" t="str">
        <f>YEAR(tblSprzedaz[[#This Row],[Data]])&amp;"-"&amp;RIGHT("0"&amp;MONTH(tblSprzedaz[[#This Row],[Data]]),2)</f>
        <v>2026-07</v>
      </c>
    </row>
    <row r="2100" spans="1:19" x14ac:dyDescent="0.25">
      <c r="A2100" s="7" t="s">
        <v>4367</v>
      </c>
      <c r="B2100" s="10">
        <v>46223</v>
      </c>
      <c r="C2100" s="7" t="s">
        <v>4368</v>
      </c>
      <c r="D2100" s="8" t="s">
        <v>102</v>
      </c>
      <c r="E2100" s="8" t="s">
        <v>55</v>
      </c>
      <c r="F2100" s="8" t="s">
        <v>31</v>
      </c>
      <c r="G2100" s="8" t="s">
        <v>30</v>
      </c>
      <c r="H2100" s="8" t="s">
        <v>40</v>
      </c>
      <c r="I2100" s="11">
        <v>10</v>
      </c>
      <c r="J2100" s="12">
        <v>243.6</v>
      </c>
      <c r="K2100" s="13">
        <v>0.05</v>
      </c>
      <c r="L2100" s="12">
        <v>150.93</v>
      </c>
      <c r="M2100" s="14">
        <f>ROUND(tblSprzedaz[[#This Row],[Ilość]]*tblSprzedaz[[#This Row],[Cena netto jednostkowa]]*(1-tblSprzedaz[[#This Row],[Rabat %]]),2)</f>
        <v>2314.1999999999998</v>
      </c>
      <c r="N2100" s="14">
        <f>ROUND(tblSprzedaz[[#This Row],[Ilość]]*tblSprzedaz[[#This Row],[Koszt jednostkowy netto]],2)</f>
        <v>1509.3</v>
      </c>
      <c r="O2100" s="14">
        <f>tblSprzedaz[[#This Row],[Przychód netto]]-tblSprzedaz[[#This Row],[Koszt całkowity netto]]</f>
        <v>804.89999999999986</v>
      </c>
      <c r="P2100" s="15">
        <f>IFERROR(tblSprzedaz[[#This Row],[Marża kwotowa]]/tblSprzedaz[[#This Row],[Przychód netto]],0)</f>
        <v>0.34780917811770801</v>
      </c>
      <c r="Q2100" s="16">
        <f>YEAR(tblSprzedaz[[#This Row],[Data]])</f>
        <v>2026</v>
      </c>
      <c r="R2100" s="16">
        <f>MONTH(tblSprzedaz[[#This Row],[Data]])</f>
        <v>7</v>
      </c>
      <c r="S2100" s="9" t="str">
        <f>YEAR(tblSprzedaz[[#This Row],[Data]])&amp;"-"&amp;RIGHT("0"&amp;MONTH(tblSprzedaz[[#This Row],[Data]]),2)</f>
        <v>2026-07</v>
      </c>
    </row>
    <row r="2101" spans="1:19" x14ac:dyDescent="0.25">
      <c r="A2101" s="7" t="s">
        <v>4369</v>
      </c>
      <c r="B2101" s="10">
        <v>46224</v>
      </c>
      <c r="C2101" s="7" t="s">
        <v>4370</v>
      </c>
      <c r="D2101" s="8" t="s">
        <v>111</v>
      </c>
      <c r="E2101" s="8" t="s">
        <v>66</v>
      </c>
      <c r="F2101" s="8" t="s">
        <v>35</v>
      </c>
      <c r="G2101" s="8" t="s">
        <v>36</v>
      </c>
      <c r="H2101" s="8" t="s">
        <v>46</v>
      </c>
      <c r="I2101" s="11">
        <v>3</v>
      </c>
      <c r="J2101" s="12">
        <v>67.319999999999993</v>
      </c>
      <c r="K2101" s="13">
        <v>0.05</v>
      </c>
      <c r="L2101" s="12">
        <v>51.44</v>
      </c>
      <c r="M2101" s="14">
        <f>ROUND(tblSprzedaz[[#This Row],[Ilość]]*tblSprzedaz[[#This Row],[Cena netto jednostkowa]]*(1-tblSprzedaz[[#This Row],[Rabat %]]),2)</f>
        <v>191.86</v>
      </c>
      <c r="N2101" s="14">
        <f>ROUND(tblSprzedaz[[#This Row],[Ilość]]*tblSprzedaz[[#This Row],[Koszt jednostkowy netto]],2)</f>
        <v>154.32</v>
      </c>
      <c r="O2101" s="14">
        <f>tblSprzedaz[[#This Row],[Przychód netto]]-tblSprzedaz[[#This Row],[Koszt całkowity netto]]</f>
        <v>37.54000000000002</v>
      </c>
      <c r="P2101" s="15">
        <f>IFERROR(tblSprzedaz[[#This Row],[Marża kwotowa]]/tblSprzedaz[[#This Row],[Przychód netto]],0)</f>
        <v>0.19566350463879922</v>
      </c>
      <c r="Q2101" s="16">
        <f>YEAR(tblSprzedaz[[#This Row],[Data]])</f>
        <v>2026</v>
      </c>
      <c r="R2101" s="16">
        <f>MONTH(tblSprzedaz[[#This Row],[Data]])</f>
        <v>7</v>
      </c>
      <c r="S2101" s="9" t="str">
        <f>YEAR(tblSprzedaz[[#This Row],[Data]])&amp;"-"&amp;RIGHT("0"&amp;MONTH(tblSprzedaz[[#This Row],[Data]]),2)</f>
        <v>2026-07</v>
      </c>
    </row>
    <row r="2102" spans="1:19" x14ac:dyDescent="0.25">
      <c r="A2102" s="7" t="s">
        <v>4371</v>
      </c>
      <c r="B2102" s="10">
        <v>46224</v>
      </c>
      <c r="C2102" s="7" t="s">
        <v>4372</v>
      </c>
      <c r="D2102" s="8" t="s">
        <v>107</v>
      </c>
      <c r="E2102" s="8" t="s">
        <v>61</v>
      </c>
      <c r="F2102" s="8" t="s">
        <v>33</v>
      </c>
      <c r="G2102" s="8" t="s">
        <v>32</v>
      </c>
      <c r="H2102" s="8" t="s">
        <v>42</v>
      </c>
      <c r="I2102" s="11">
        <v>8</v>
      </c>
      <c r="J2102" s="12">
        <v>533.6</v>
      </c>
      <c r="K2102" s="13">
        <v>0</v>
      </c>
      <c r="L2102" s="12">
        <v>342.07</v>
      </c>
      <c r="M2102" s="14">
        <f>ROUND(tblSprzedaz[[#This Row],[Ilość]]*tblSprzedaz[[#This Row],[Cena netto jednostkowa]]*(1-tblSprzedaz[[#This Row],[Rabat %]]),2)</f>
        <v>4268.8</v>
      </c>
      <c r="N2102" s="14">
        <f>ROUND(tblSprzedaz[[#This Row],[Ilość]]*tblSprzedaz[[#This Row],[Koszt jednostkowy netto]],2)</f>
        <v>2736.56</v>
      </c>
      <c r="O2102" s="14">
        <f>tblSprzedaz[[#This Row],[Przychód netto]]-tblSprzedaz[[#This Row],[Koszt całkowity netto]]</f>
        <v>1532.2400000000002</v>
      </c>
      <c r="P2102" s="15">
        <f>IFERROR(tblSprzedaz[[#This Row],[Marża kwotowa]]/tblSprzedaz[[#This Row],[Przychód netto]],0)</f>
        <v>0.35893928035982015</v>
      </c>
      <c r="Q2102" s="16">
        <f>YEAR(tblSprzedaz[[#This Row],[Data]])</f>
        <v>2026</v>
      </c>
      <c r="R2102" s="16">
        <f>MONTH(tblSprzedaz[[#This Row],[Data]])</f>
        <v>7</v>
      </c>
      <c r="S2102" s="9" t="str">
        <f>YEAR(tblSprzedaz[[#This Row],[Data]])&amp;"-"&amp;RIGHT("0"&amp;MONTH(tblSprzedaz[[#This Row],[Data]]),2)</f>
        <v>2026-07</v>
      </c>
    </row>
    <row r="2103" spans="1:19" x14ac:dyDescent="0.25">
      <c r="A2103" s="7" t="s">
        <v>4373</v>
      </c>
      <c r="B2103" s="10">
        <v>46224</v>
      </c>
      <c r="C2103" s="7" t="s">
        <v>4374</v>
      </c>
      <c r="D2103" s="8" t="s">
        <v>109</v>
      </c>
      <c r="E2103" s="8" t="s">
        <v>60</v>
      </c>
      <c r="F2103" s="8" t="s">
        <v>33</v>
      </c>
      <c r="G2103" s="8" t="s">
        <v>34</v>
      </c>
      <c r="H2103" s="8" t="s">
        <v>45</v>
      </c>
      <c r="I2103" s="11">
        <v>6</v>
      </c>
      <c r="J2103" s="12">
        <v>455.4</v>
      </c>
      <c r="K2103" s="13">
        <v>0</v>
      </c>
      <c r="L2103" s="12">
        <v>315.86</v>
      </c>
      <c r="M2103" s="14">
        <f>ROUND(tblSprzedaz[[#This Row],[Ilość]]*tblSprzedaz[[#This Row],[Cena netto jednostkowa]]*(1-tblSprzedaz[[#This Row],[Rabat %]]),2)</f>
        <v>2732.4</v>
      </c>
      <c r="N2103" s="14">
        <f>ROUND(tblSprzedaz[[#This Row],[Ilość]]*tblSprzedaz[[#This Row],[Koszt jednostkowy netto]],2)</f>
        <v>1895.16</v>
      </c>
      <c r="O2103" s="14">
        <f>tblSprzedaz[[#This Row],[Przychód netto]]-tblSprzedaz[[#This Row],[Koszt całkowity netto]]</f>
        <v>837.24</v>
      </c>
      <c r="P2103" s="15">
        <f>IFERROR(tblSprzedaz[[#This Row],[Marża kwotowa]]/tblSprzedaz[[#This Row],[Przychód netto]],0)</f>
        <v>0.30641194554238033</v>
      </c>
      <c r="Q2103" s="16">
        <f>YEAR(tblSprzedaz[[#This Row],[Data]])</f>
        <v>2026</v>
      </c>
      <c r="R2103" s="16">
        <f>MONTH(tblSprzedaz[[#This Row],[Data]])</f>
        <v>7</v>
      </c>
      <c r="S2103" s="9" t="str">
        <f>YEAR(tblSprzedaz[[#This Row],[Data]])&amp;"-"&amp;RIGHT("0"&amp;MONTH(tblSprzedaz[[#This Row],[Data]]),2)</f>
        <v>2026-07</v>
      </c>
    </row>
    <row r="2104" spans="1:19" x14ac:dyDescent="0.25">
      <c r="A2104" s="7" t="s">
        <v>4375</v>
      </c>
      <c r="B2104" s="10">
        <v>46225</v>
      </c>
      <c r="C2104" s="7" t="s">
        <v>4376</v>
      </c>
      <c r="D2104" s="8" t="s">
        <v>146</v>
      </c>
      <c r="E2104" s="8" t="s">
        <v>51</v>
      </c>
      <c r="F2104" s="8" t="s">
        <v>29</v>
      </c>
      <c r="G2104" s="8" t="s">
        <v>34</v>
      </c>
      <c r="H2104" s="8" t="s">
        <v>44</v>
      </c>
      <c r="I2104" s="11">
        <v>1</v>
      </c>
      <c r="J2104" s="12">
        <v>51</v>
      </c>
      <c r="K2104" s="13">
        <v>0.1</v>
      </c>
      <c r="L2104" s="12">
        <v>28.2</v>
      </c>
      <c r="M2104" s="14">
        <f>ROUND(tblSprzedaz[[#This Row],[Ilość]]*tblSprzedaz[[#This Row],[Cena netto jednostkowa]]*(1-tblSprzedaz[[#This Row],[Rabat %]]),2)</f>
        <v>45.9</v>
      </c>
      <c r="N2104" s="14">
        <f>ROUND(tblSprzedaz[[#This Row],[Ilość]]*tblSprzedaz[[#This Row],[Koszt jednostkowy netto]],2)</f>
        <v>28.2</v>
      </c>
      <c r="O2104" s="14">
        <f>tblSprzedaz[[#This Row],[Przychód netto]]-tblSprzedaz[[#This Row],[Koszt całkowity netto]]</f>
        <v>17.7</v>
      </c>
      <c r="P2104" s="15">
        <f>IFERROR(tblSprzedaz[[#This Row],[Marża kwotowa]]/tblSprzedaz[[#This Row],[Przychód netto]],0)</f>
        <v>0.38562091503267976</v>
      </c>
      <c r="Q2104" s="16">
        <f>YEAR(tblSprzedaz[[#This Row],[Data]])</f>
        <v>2026</v>
      </c>
      <c r="R2104" s="16">
        <f>MONTH(tblSprzedaz[[#This Row],[Data]])</f>
        <v>7</v>
      </c>
      <c r="S2104" s="9" t="str">
        <f>YEAR(tblSprzedaz[[#This Row],[Data]])&amp;"-"&amp;RIGHT("0"&amp;MONTH(tblSprzedaz[[#This Row],[Data]]),2)</f>
        <v>2026-07</v>
      </c>
    </row>
    <row r="2105" spans="1:19" x14ac:dyDescent="0.25">
      <c r="A2105" s="7" t="s">
        <v>4377</v>
      </c>
      <c r="B2105" s="10">
        <v>46225</v>
      </c>
      <c r="C2105" s="7" t="s">
        <v>4378</v>
      </c>
      <c r="D2105" s="8" t="s">
        <v>147</v>
      </c>
      <c r="E2105" s="8" t="s">
        <v>61</v>
      </c>
      <c r="F2105" s="8" t="s">
        <v>33</v>
      </c>
      <c r="G2105" s="8" t="s">
        <v>36</v>
      </c>
      <c r="H2105" s="8" t="s">
        <v>47</v>
      </c>
      <c r="I2105" s="11">
        <v>14</v>
      </c>
      <c r="J2105" s="12">
        <v>533.6</v>
      </c>
      <c r="K2105" s="13">
        <v>0</v>
      </c>
      <c r="L2105" s="12">
        <v>380.26</v>
      </c>
      <c r="M2105" s="14">
        <f>ROUND(tblSprzedaz[[#This Row],[Ilość]]*tblSprzedaz[[#This Row],[Cena netto jednostkowa]]*(1-tblSprzedaz[[#This Row],[Rabat %]]),2)</f>
        <v>7470.4</v>
      </c>
      <c r="N2105" s="14">
        <f>ROUND(tblSprzedaz[[#This Row],[Ilość]]*tblSprzedaz[[#This Row],[Koszt jednostkowy netto]],2)</f>
        <v>5323.64</v>
      </c>
      <c r="O2105" s="14">
        <f>tblSprzedaz[[#This Row],[Przychód netto]]-tblSprzedaz[[#This Row],[Koszt całkowity netto]]</f>
        <v>2146.7599999999993</v>
      </c>
      <c r="P2105" s="15">
        <f>IFERROR(tblSprzedaz[[#This Row],[Marża kwotowa]]/tblSprzedaz[[#This Row],[Przychód netto]],0)</f>
        <v>0.28736881559220384</v>
      </c>
      <c r="Q2105" s="16">
        <f>YEAR(tblSprzedaz[[#This Row],[Data]])</f>
        <v>2026</v>
      </c>
      <c r="R2105" s="16">
        <f>MONTH(tblSprzedaz[[#This Row],[Data]])</f>
        <v>7</v>
      </c>
      <c r="S2105" s="9" t="str">
        <f>YEAR(tblSprzedaz[[#This Row],[Data]])&amp;"-"&amp;RIGHT("0"&amp;MONTH(tblSprzedaz[[#This Row],[Data]]),2)</f>
        <v>2026-07</v>
      </c>
    </row>
    <row r="2106" spans="1:19" x14ac:dyDescent="0.25">
      <c r="A2106" s="7" t="s">
        <v>4379</v>
      </c>
      <c r="B2106" s="10">
        <v>46225</v>
      </c>
      <c r="C2106" s="7" t="s">
        <v>4380</v>
      </c>
      <c r="D2106" s="8" t="s">
        <v>120</v>
      </c>
      <c r="E2106" s="8" t="s">
        <v>53</v>
      </c>
      <c r="F2106" s="8" t="s">
        <v>29</v>
      </c>
      <c r="G2106" s="8" t="s">
        <v>32</v>
      </c>
      <c r="H2106" s="8" t="s">
        <v>43</v>
      </c>
      <c r="I2106" s="11">
        <v>7</v>
      </c>
      <c r="J2106" s="12">
        <v>27.88</v>
      </c>
      <c r="K2106" s="13">
        <v>0.15</v>
      </c>
      <c r="L2106" s="12">
        <v>15.62</v>
      </c>
      <c r="M2106" s="14">
        <f>ROUND(tblSprzedaz[[#This Row],[Ilość]]*tblSprzedaz[[#This Row],[Cena netto jednostkowa]]*(1-tblSprzedaz[[#This Row],[Rabat %]]),2)</f>
        <v>165.89</v>
      </c>
      <c r="N2106" s="14">
        <f>ROUND(tblSprzedaz[[#This Row],[Ilość]]*tblSprzedaz[[#This Row],[Koszt jednostkowy netto]],2)</f>
        <v>109.34</v>
      </c>
      <c r="O2106" s="14">
        <f>tblSprzedaz[[#This Row],[Przychód netto]]-tblSprzedaz[[#This Row],[Koszt całkowity netto]]</f>
        <v>56.549999999999983</v>
      </c>
      <c r="P2106" s="15">
        <f>IFERROR(tblSprzedaz[[#This Row],[Marża kwotowa]]/tblSprzedaz[[#This Row],[Przychód netto]],0)</f>
        <v>0.34088854059919216</v>
      </c>
      <c r="Q2106" s="16">
        <f>YEAR(tblSprzedaz[[#This Row],[Data]])</f>
        <v>2026</v>
      </c>
      <c r="R2106" s="16">
        <f>MONTH(tblSprzedaz[[#This Row],[Data]])</f>
        <v>7</v>
      </c>
      <c r="S2106" s="9" t="str">
        <f>YEAR(tblSprzedaz[[#This Row],[Data]])&amp;"-"&amp;RIGHT("0"&amp;MONTH(tblSprzedaz[[#This Row],[Data]]),2)</f>
        <v>2026-07</v>
      </c>
    </row>
    <row r="2107" spans="1:19" x14ac:dyDescent="0.25">
      <c r="A2107" s="7" t="s">
        <v>4381</v>
      </c>
      <c r="B2107" s="10">
        <v>46226</v>
      </c>
      <c r="C2107" s="7" t="s">
        <v>4382</v>
      </c>
      <c r="D2107" s="8" t="s">
        <v>120</v>
      </c>
      <c r="E2107" s="8" t="s">
        <v>67</v>
      </c>
      <c r="F2107" s="8" t="s">
        <v>35</v>
      </c>
      <c r="G2107" s="8" t="s">
        <v>28</v>
      </c>
      <c r="H2107" s="8" t="s">
        <v>39</v>
      </c>
      <c r="I2107" s="11">
        <v>12</v>
      </c>
      <c r="J2107" s="12">
        <v>78.88</v>
      </c>
      <c r="K2107" s="13">
        <v>0.15</v>
      </c>
      <c r="L2107" s="12">
        <v>54.94</v>
      </c>
      <c r="M2107" s="14">
        <f>ROUND(tblSprzedaz[[#This Row],[Ilość]]*tblSprzedaz[[#This Row],[Cena netto jednostkowa]]*(1-tblSprzedaz[[#This Row],[Rabat %]]),2)</f>
        <v>804.58</v>
      </c>
      <c r="N2107" s="14">
        <f>ROUND(tblSprzedaz[[#This Row],[Ilość]]*tblSprzedaz[[#This Row],[Koszt jednostkowy netto]],2)</f>
        <v>659.28</v>
      </c>
      <c r="O2107" s="14">
        <f>tblSprzedaz[[#This Row],[Przychód netto]]-tblSprzedaz[[#This Row],[Koszt całkowity netto]]</f>
        <v>145.30000000000007</v>
      </c>
      <c r="P2107" s="15">
        <f>IFERROR(tblSprzedaz[[#This Row],[Marża kwotowa]]/tblSprzedaz[[#This Row],[Przychód netto]],0)</f>
        <v>0.18059111586169188</v>
      </c>
      <c r="Q2107" s="16">
        <f>YEAR(tblSprzedaz[[#This Row],[Data]])</f>
        <v>2026</v>
      </c>
      <c r="R2107" s="16">
        <f>MONTH(tblSprzedaz[[#This Row],[Data]])</f>
        <v>7</v>
      </c>
      <c r="S2107" s="9" t="str">
        <f>YEAR(tblSprzedaz[[#This Row],[Data]])&amp;"-"&amp;RIGHT("0"&amp;MONTH(tblSprzedaz[[#This Row],[Data]]),2)</f>
        <v>2026-07</v>
      </c>
    </row>
    <row r="2108" spans="1:19" x14ac:dyDescent="0.25">
      <c r="A2108" s="7" t="s">
        <v>4383</v>
      </c>
      <c r="B2108" s="10">
        <v>46226</v>
      </c>
      <c r="C2108" s="7" t="s">
        <v>4384</v>
      </c>
      <c r="D2108" s="8" t="s">
        <v>137</v>
      </c>
      <c r="E2108" s="8" t="s">
        <v>66</v>
      </c>
      <c r="F2108" s="8" t="s">
        <v>35</v>
      </c>
      <c r="G2108" s="8" t="s">
        <v>30</v>
      </c>
      <c r="H2108" s="8" t="s">
        <v>40</v>
      </c>
      <c r="I2108" s="11">
        <v>11</v>
      </c>
      <c r="J2108" s="12">
        <v>67.319999999999993</v>
      </c>
      <c r="K2108" s="13">
        <v>0.05</v>
      </c>
      <c r="L2108" s="12">
        <v>50.25</v>
      </c>
      <c r="M2108" s="14">
        <f>ROUND(tblSprzedaz[[#This Row],[Ilość]]*tblSprzedaz[[#This Row],[Cena netto jednostkowa]]*(1-tblSprzedaz[[#This Row],[Rabat %]]),2)</f>
        <v>703.49</v>
      </c>
      <c r="N2108" s="14">
        <f>ROUND(tblSprzedaz[[#This Row],[Ilość]]*tblSprzedaz[[#This Row],[Koszt jednostkowy netto]],2)</f>
        <v>552.75</v>
      </c>
      <c r="O2108" s="14">
        <f>tblSprzedaz[[#This Row],[Przychód netto]]-tblSprzedaz[[#This Row],[Koszt całkowity netto]]</f>
        <v>150.74</v>
      </c>
      <c r="P2108" s="15">
        <f>IFERROR(tblSprzedaz[[#This Row],[Marża kwotowa]]/tblSprzedaz[[#This Row],[Przychód netto]],0)</f>
        <v>0.21427454548039063</v>
      </c>
      <c r="Q2108" s="16">
        <f>YEAR(tblSprzedaz[[#This Row],[Data]])</f>
        <v>2026</v>
      </c>
      <c r="R2108" s="16">
        <f>MONTH(tblSprzedaz[[#This Row],[Data]])</f>
        <v>7</v>
      </c>
      <c r="S2108" s="9" t="str">
        <f>YEAR(tblSprzedaz[[#This Row],[Data]])&amp;"-"&amp;RIGHT("0"&amp;MONTH(tblSprzedaz[[#This Row],[Data]]),2)</f>
        <v>2026-07</v>
      </c>
    </row>
    <row r="2109" spans="1:19" x14ac:dyDescent="0.25">
      <c r="A2109" s="7" t="s">
        <v>4385</v>
      </c>
      <c r="B2109" s="10">
        <v>46226</v>
      </c>
      <c r="C2109" s="7" t="s">
        <v>4386</v>
      </c>
      <c r="D2109" s="8" t="s">
        <v>86</v>
      </c>
      <c r="E2109" s="8" t="s">
        <v>64</v>
      </c>
      <c r="F2109" s="8" t="s">
        <v>33</v>
      </c>
      <c r="G2109" s="8" t="s">
        <v>36</v>
      </c>
      <c r="H2109" s="8" t="s">
        <v>46</v>
      </c>
      <c r="I2109" s="11">
        <v>7</v>
      </c>
      <c r="J2109" s="12">
        <v>768.2</v>
      </c>
      <c r="K2109" s="13">
        <v>0.15</v>
      </c>
      <c r="L2109" s="12">
        <v>547.20000000000005</v>
      </c>
      <c r="M2109" s="14">
        <f>ROUND(tblSprzedaz[[#This Row],[Ilość]]*tblSprzedaz[[#This Row],[Cena netto jednostkowa]]*(1-tblSprzedaz[[#This Row],[Rabat %]]),2)</f>
        <v>4570.79</v>
      </c>
      <c r="N2109" s="14">
        <f>ROUND(tblSprzedaz[[#This Row],[Ilość]]*tblSprzedaz[[#This Row],[Koszt jednostkowy netto]],2)</f>
        <v>3830.4</v>
      </c>
      <c r="O2109" s="14">
        <f>tblSprzedaz[[#This Row],[Przychód netto]]-tblSprzedaz[[#This Row],[Koszt całkowity netto]]</f>
        <v>740.38999999999987</v>
      </c>
      <c r="P2109" s="15">
        <f>IFERROR(tblSprzedaz[[#This Row],[Marża kwotowa]]/tblSprzedaz[[#This Row],[Przychód netto]],0)</f>
        <v>0.16198293949186024</v>
      </c>
      <c r="Q2109" s="16">
        <f>YEAR(tblSprzedaz[[#This Row],[Data]])</f>
        <v>2026</v>
      </c>
      <c r="R2109" s="16">
        <f>MONTH(tblSprzedaz[[#This Row],[Data]])</f>
        <v>7</v>
      </c>
      <c r="S2109" s="9" t="str">
        <f>YEAR(tblSprzedaz[[#This Row],[Data]])&amp;"-"&amp;RIGHT("0"&amp;MONTH(tblSprzedaz[[#This Row],[Data]]),2)</f>
        <v>2026-07</v>
      </c>
    </row>
    <row r="2110" spans="1:19" x14ac:dyDescent="0.25">
      <c r="A2110" s="7" t="s">
        <v>4387</v>
      </c>
      <c r="B2110" s="10">
        <v>46227</v>
      </c>
      <c r="C2110" s="7" t="s">
        <v>4388</v>
      </c>
      <c r="D2110" s="8" t="s">
        <v>124</v>
      </c>
      <c r="E2110" s="8" t="s">
        <v>50</v>
      </c>
      <c r="F2110" s="8" t="s">
        <v>29</v>
      </c>
      <c r="G2110" s="8" t="s">
        <v>28</v>
      </c>
      <c r="H2110" s="8" t="s">
        <v>38</v>
      </c>
      <c r="I2110" s="11">
        <v>10</v>
      </c>
      <c r="J2110" s="12">
        <v>45.22</v>
      </c>
      <c r="K2110" s="13">
        <v>0</v>
      </c>
      <c r="L2110" s="12">
        <v>27.04</v>
      </c>
      <c r="M2110" s="14">
        <f>ROUND(tblSprzedaz[[#This Row],[Ilość]]*tblSprzedaz[[#This Row],[Cena netto jednostkowa]]*(1-tblSprzedaz[[#This Row],[Rabat %]]),2)</f>
        <v>452.2</v>
      </c>
      <c r="N2110" s="14">
        <f>ROUND(tblSprzedaz[[#This Row],[Ilość]]*tblSprzedaz[[#This Row],[Koszt jednostkowy netto]],2)</f>
        <v>270.39999999999998</v>
      </c>
      <c r="O2110" s="14">
        <f>tblSprzedaz[[#This Row],[Przychód netto]]-tblSprzedaz[[#This Row],[Koszt całkowity netto]]</f>
        <v>181.8</v>
      </c>
      <c r="P2110" s="15">
        <f>IFERROR(tblSprzedaz[[#This Row],[Marża kwotowa]]/tblSprzedaz[[#This Row],[Przychód netto]],0)</f>
        <v>0.40203449800973023</v>
      </c>
      <c r="Q2110" s="16">
        <f>YEAR(tblSprzedaz[[#This Row],[Data]])</f>
        <v>2026</v>
      </c>
      <c r="R2110" s="16">
        <f>MONTH(tblSprzedaz[[#This Row],[Data]])</f>
        <v>7</v>
      </c>
      <c r="S2110" s="9" t="str">
        <f>YEAR(tblSprzedaz[[#This Row],[Data]])&amp;"-"&amp;RIGHT("0"&amp;MONTH(tblSprzedaz[[#This Row],[Data]]),2)</f>
        <v>2026-07</v>
      </c>
    </row>
    <row r="2111" spans="1:19" x14ac:dyDescent="0.25">
      <c r="A2111" s="7" t="s">
        <v>4389</v>
      </c>
      <c r="B2111" s="10">
        <v>46227</v>
      </c>
      <c r="C2111" s="7" t="s">
        <v>4390</v>
      </c>
      <c r="D2111" s="8" t="s">
        <v>111</v>
      </c>
      <c r="E2111" s="8" t="s">
        <v>76</v>
      </c>
      <c r="F2111" s="8" t="s">
        <v>37</v>
      </c>
      <c r="G2111" s="8" t="s">
        <v>34</v>
      </c>
      <c r="H2111" s="8" t="s">
        <v>44</v>
      </c>
      <c r="I2111" s="11">
        <v>4</v>
      </c>
      <c r="J2111" s="12">
        <v>158.65</v>
      </c>
      <c r="K2111" s="13">
        <v>0</v>
      </c>
      <c r="L2111" s="12">
        <v>122.76</v>
      </c>
      <c r="M2111" s="14">
        <f>ROUND(tblSprzedaz[[#This Row],[Ilość]]*tblSprzedaz[[#This Row],[Cena netto jednostkowa]]*(1-tblSprzedaz[[#This Row],[Rabat %]]),2)</f>
        <v>634.6</v>
      </c>
      <c r="N2111" s="14">
        <f>ROUND(tblSprzedaz[[#This Row],[Ilość]]*tblSprzedaz[[#This Row],[Koszt jednostkowy netto]],2)</f>
        <v>491.04</v>
      </c>
      <c r="O2111" s="14">
        <f>tblSprzedaz[[#This Row],[Przychód netto]]-tblSprzedaz[[#This Row],[Koszt całkowity netto]]</f>
        <v>143.56</v>
      </c>
      <c r="P2111" s="15">
        <f>IFERROR(tblSprzedaz[[#This Row],[Marża kwotowa]]/tblSprzedaz[[#This Row],[Przychód netto]],0)</f>
        <v>0.22622124172707217</v>
      </c>
      <c r="Q2111" s="16">
        <f>YEAR(tblSprzedaz[[#This Row],[Data]])</f>
        <v>2026</v>
      </c>
      <c r="R2111" s="16">
        <f>MONTH(tblSprzedaz[[#This Row],[Data]])</f>
        <v>7</v>
      </c>
      <c r="S2111" s="9" t="str">
        <f>YEAR(tblSprzedaz[[#This Row],[Data]])&amp;"-"&amp;RIGHT("0"&amp;MONTH(tblSprzedaz[[#This Row],[Data]]),2)</f>
        <v>2026-07</v>
      </c>
    </row>
    <row r="2112" spans="1:19" x14ac:dyDescent="0.25">
      <c r="A2112" s="7" t="s">
        <v>4391</v>
      </c>
      <c r="B2112" s="10">
        <v>46227</v>
      </c>
      <c r="C2112" s="7" t="s">
        <v>4392</v>
      </c>
      <c r="D2112" s="8" t="s">
        <v>148</v>
      </c>
      <c r="E2112" s="8" t="s">
        <v>75</v>
      </c>
      <c r="F2112" s="8" t="s">
        <v>37</v>
      </c>
      <c r="G2112" s="8" t="s">
        <v>36</v>
      </c>
      <c r="H2112" s="8" t="s">
        <v>46</v>
      </c>
      <c r="I2112" s="11">
        <v>11</v>
      </c>
      <c r="J2112" s="12">
        <v>142.5</v>
      </c>
      <c r="K2112" s="13">
        <v>0.05</v>
      </c>
      <c r="L2112" s="12">
        <v>110.72</v>
      </c>
      <c r="M2112" s="14">
        <f>ROUND(tblSprzedaz[[#This Row],[Ilość]]*tblSprzedaz[[#This Row],[Cena netto jednostkowa]]*(1-tblSprzedaz[[#This Row],[Rabat %]]),2)</f>
        <v>1489.13</v>
      </c>
      <c r="N2112" s="14">
        <f>ROUND(tblSprzedaz[[#This Row],[Ilość]]*tblSprzedaz[[#This Row],[Koszt jednostkowy netto]],2)</f>
        <v>1217.92</v>
      </c>
      <c r="O2112" s="14">
        <f>tblSprzedaz[[#This Row],[Przychód netto]]-tblSprzedaz[[#This Row],[Koszt całkowity netto]]</f>
        <v>271.21000000000004</v>
      </c>
      <c r="P2112" s="15">
        <f>IFERROR(tblSprzedaz[[#This Row],[Marża kwotowa]]/tblSprzedaz[[#This Row],[Przychód netto]],0)</f>
        <v>0.18212647653327782</v>
      </c>
      <c r="Q2112" s="16">
        <f>YEAR(tblSprzedaz[[#This Row],[Data]])</f>
        <v>2026</v>
      </c>
      <c r="R2112" s="16">
        <f>MONTH(tblSprzedaz[[#This Row],[Data]])</f>
        <v>7</v>
      </c>
      <c r="S2112" s="9" t="str">
        <f>YEAR(tblSprzedaz[[#This Row],[Data]])&amp;"-"&amp;RIGHT("0"&amp;MONTH(tblSprzedaz[[#This Row],[Data]]),2)</f>
        <v>2026-07</v>
      </c>
    </row>
    <row r="2113" spans="1:19" x14ac:dyDescent="0.25">
      <c r="A2113" s="7" t="s">
        <v>4393</v>
      </c>
      <c r="B2113" s="10">
        <v>46228</v>
      </c>
      <c r="C2113" s="7" t="s">
        <v>4394</v>
      </c>
      <c r="D2113" s="8" t="s">
        <v>131</v>
      </c>
      <c r="E2113" s="8" t="s">
        <v>69</v>
      </c>
      <c r="F2113" s="8" t="s">
        <v>35</v>
      </c>
      <c r="G2113" s="8" t="s">
        <v>28</v>
      </c>
      <c r="H2113" s="8" t="s">
        <v>38</v>
      </c>
      <c r="I2113" s="11">
        <v>9</v>
      </c>
      <c r="J2113" s="12">
        <v>102</v>
      </c>
      <c r="K2113" s="13">
        <v>0.15</v>
      </c>
      <c r="L2113" s="12">
        <v>72.55</v>
      </c>
      <c r="M2113" s="14">
        <f>ROUND(tblSprzedaz[[#This Row],[Ilość]]*tblSprzedaz[[#This Row],[Cena netto jednostkowa]]*(1-tblSprzedaz[[#This Row],[Rabat %]]),2)</f>
        <v>780.3</v>
      </c>
      <c r="N2113" s="14">
        <f>ROUND(tblSprzedaz[[#This Row],[Ilość]]*tblSprzedaz[[#This Row],[Koszt jednostkowy netto]],2)</f>
        <v>652.95000000000005</v>
      </c>
      <c r="O2113" s="14">
        <f>tblSprzedaz[[#This Row],[Przychód netto]]-tblSprzedaz[[#This Row],[Koszt całkowity netto]]</f>
        <v>127.34999999999991</v>
      </c>
      <c r="P2113" s="15">
        <f>IFERROR(tblSprzedaz[[#This Row],[Marża kwotowa]]/tblSprzedaz[[#This Row],[Przychód netto]],0)</f>
        <v>0.1632064590542098</v>
      </c>
      <c r="Q2113" s="16">
        <f>YEAR(tblSprzedaz[[#This Row],[Data]])</f>
        <v>2026</v>
      </c>
      <c r="R2113" s="16">
        <f>MONTH(tblSprzedaz[[#This Row],[Data]])</f>
        <v>7</v>
      </c>
      <c r="S2113" s="9" t="str">
        <f>YEAR(tblSprzedaz[[#This Row],[Data]])&amp;"-"&amp;RIGHT("0"&amp;MONTH(tblSprzedaz[[#This Row],[Data]]),2)</f>
        <v>2026-07</v>
      </c>
    </row>
    <row r="2114" spans="1:19" x14ac:dyDescent="0.25">
      <c r="A2114" s="7" t="s">
        <v>4395</v>
      </c>
      <c r="B2114" s="10">
        <v>46228</v>
      </c>
      <c r="C2114" s="7" t="s">
        <v>4396</v>
      </c>
      <c r="D2114" s="8" t="s">
        <v>86</v>
      </c>
      <c r="E2114" s="8" t="s">
        <v>61</v>
      </c>
      <c r="F2114" s="8" t="s">
        <v>33</v>
      </c>
      <c r="G2114" s="8" t="s">
        <v>30</v>
      </c>
      <c r="H2114" s="8" t="s">
        <v>40</v>
      </c>
      <c r="I2114" s="11">
        <v>3</v>
      </c>
      <c r="J2114" s="12">
        <v>533.6</v>
      </c>
      <c r="K2114" s="13">
        <v>0.1</v>
      </c>
      <c r="L2114" s="12">
        <v>366.58</v>
      </c>
      <c r="M2114" s="14">
        <f>ROUND(tblSprzedaz[[#This Row],[Ilość]]*tblSprzedaz[[#This Row],[Cena netto jednostkowa]]*(1-tblSprzedaz[[#This Row],[Rabat %]]),2)</f>
        <v>1440.72</v>
      </c>
      <c r="N2114" s="14">
        <f>ROUND(tblSprzedaz[[#This Row],[Ilość]]*tblSprzedaz[[#This Row],[Koszt jednostkowy netto]],2)</f>
        <v>1099.74</v>
      </c>
      <c r="O2114" s="14">
        <f>tblSprzedaz[[#This Row],[Przychód netto]]-tblSprzedaz[[#This Row],[Koszt całkowity netto]]</f>
        <v>340.98</v>
      </c>
      <c r="P2114" s="15">
        <f>IFERROR(tblSprzedaz[[#This Row],[Marża kwotowa]]/tblSprzedaz[[#This Row],[Przychód netto]],0)</f>
        <v>0.23667333000166585</v>
      </c>
      <c r="Q2114" s="16">
        <f>YEAR(tblSprzedaz[[#This Row],[Data]])</f>
        <v>2026</v>
      </c>
      <c r="R2114" s="16">
        <f>MONTH(tblSprzedaz[[#This Row],[Data]])</f>
        <v>7</v>
      </c>
      <c r="S2114" s="9" t="str">
        <f>YEAR(tblSprzedaz[[#This Row],[Data]])&amp;"-"&amp;RIGHT("0"&amp;MONTH(tblSprzedaz[[#This Row],[Data]]),2)</f>
        <v>2026-07</v>
      </c>
    </row>
    <row r="2115" spans="1:19" x14ac:dyDescent="0.25">
      <c r="A2115" s="7" t="s">
        <v>4397</v>
      </c>
      <c r="B2115" s="10">
        <v>46229</v>
      </c>
      <c r="C2115" s="7" t="s">
        <v>4398</v>
      </c>
      <c r="D2115" s="8" t="s">
        <v>133</v>
      </c>
      <c r="E2115" s="8" t="s">
        <v>73</v>
      </c>
      <c r="F2115" s="8" t="s">
        <v>37</v>
      </c>
      <c r="G2115" s="8" t="s">
        <v>34</v>
      </c>
      <c r="H2115" s="8" t="s">
        <v>45</v>
      </c>
      <c r="I2115" s="11">
        <v>2</v>
      </c>
      <c r="J2115" s="12">
        <v>110.2</v>
      </c>
      <c r="K2115" s="13">
        <v>0</v>
      </c>
      <c r="L2115" s="12">
        <v>86.56</v>
      </c>
      <c r="M2115" s="14">
        <f>ROUND(tblSprzedaz[[#This Row],[Ilość]]*tblSprzedaz[[#This Row],[Cena netto jednostkowa]]*(1-tblSprzedaz[[#This Row],[Rabat %]]),2)</f>
        <v>220.4</v>
      </c>
      <c r="N2115" s="14">
        <f>ROUND(tblSprzedaz[[#This Row],[Ilość]]*tblSprzedaz[[#This Row],[Koszt jednostkowy netto]],2)</f>
        <v>173.12</v>
      </c>
      <c r="O2115" s="14">
        <f>tblSprzedaz[[#This Row],[Przychód netto]]-tblSprzedaz[[#This Row],[Koszt całkowity netto]]</f>
        <v>47.28</v>
      </c>
      <c r="P2115" s="15">
        <f>IFERROR(tblSprzedaz[[#This Row],[Marża kwotowa]]/tblSprzedaz[[#This Row],[Przychód netto]],0)</f>
        <v>0.21451905626134302</v>
      </c>
      <c r="Q2115" s="16">
        <f>YEAR(tblSprzedaz[[#This Row],[Data]])</f>
        <v>2026</v>
      </c>
      <c r="R2115" s="16">
        <f>MONTH(tblSprzedaz[[#This Row],[Data]])</f>
        <v>7</v>
      </c>
      <c r="S2115" s="9" t="str">
        <f>YEAR(tblSprzedaz[[#This Row],[Data]])&amp;"-"&amp;RIGHT("0"&amp;MONTH(tblSprzedaz[[#This Row],[Data]]),2)</f>
        <v>2026-07</v>
      </c>
    </row>
    <row r="2116" spans="1:19" x14ac:dyDescent="0.25">
      <c r="A2116" s="7" t="s">
        <v>4399</v>
      </c>
      <c r="B2116" s="10">
        <v>46230</v>
      </c>
      <c r="C2116" s="7" t="s">
        <v>4400</v>
      </c>
      <c r="D2116" s="8" t="s">
        <v>112</v>
      </c>
      <c r="E2116" s="8" t="s">
        <v>49</v>
      </c>
      <c r="F2116" s="8" t="s">
        <v>29</v>
      </c>
      <c r="G2116" s="8" t="s">
        <v>32</v>
      </c>
      <c r="H2116" s="8" t="s">
        <v>43</v>
      </c>
      <c r="I2116" s="11">
        <v>2</v>
      </c>
      <c r="J2116" s="12">
        <v>39.44</v>
      </c>
      <c r="K2116" s="13">
        <v>0</v>
      </c>
      <c r="L2116" s="12">
        <v>22.87</v>
      </c>
      <c r="M2116" s="14">
        <f>ROUND(tblSprzedaz[[#This Row],[Ilość]]*tblSprzedaz[[#This Row],[Cena netto jednostkowa]]*(1-tblSprzedaz[[#This Row],[Rabat %]]),2)</f>
        <v>78.88</v>
      </c>
      <c r="N2116" s="14">
        <f>ROUND(tblSprzedaz[[#This Row],[Ilość]]*tblSprzedaz[[#This Row],[Koszt jednostkowy netto]],2)</f>
        <v>45.74</v>
      </c>
      <c r="O2116" s="14">
        <f>tblSprzedaz[[#This Row],[Przychód netto]]-tblSprzedaz[[#This Row],[Koszt całkowity netto]]</f>
        <v>33.139999999999993</v>
      </c>
      <c r="P2116" s="15">
        <f>IFERROR(tblSprzedaz[[#This Row],[Marża kwotowa]]/tblSprzedaz[[#This Row],[Przychód netto]],0)</f>
        <v>0.42013184584178492</v>
      </c>
      <c r="Q2116" s="16">
        <f>YEAR(tblSprzedaz[[#This Row],[Data]])</f>
        <v>2026</v>
      </c>
      <c r="R2116" s="16">
        <f>MONTH(tblSprzedaz[[#This Row],[Data]])</f>
        <v>7</v>
      </c>
      <c r="S2116" s="9" t="str">
        <f>YEAR(tblSprzedaz[[#This Row],[Data]])&amp;"-"&amp;RIGHT("0"&amp;MONTH(tblSprzedaz[[#This Row],[Data]]),2)</f>
        <v>2026-07</v>
      </c>
    </row>
    <row r="2117" spans="1:19" x14ac:dyDescent="0.25">
      <c r="A2117" s="7" t="s">
        <v>4401</v>
      </c>
      <c r="B2117" s="10">
        <v>46230</v>
      </c>
      <c r="C2117" s="7" t="s">
        <v>4402</v>
      </c>
      <c r="D2117" s="8" t="s">
        <v>117</v>
      </c>
      <c r="E2117" s="8" t="s">
        <v>73</v>
      </c>
      <c r="F2117" s="8" t="s">
        <v>37</v>
      </c>
      <c r="G2117" s="8" t="s">
        <v>28</v>
      </c>
      <c r="H2117" s="8" t="s">
        <v>39</v>
      </c>
      <c r="I2117" s="11">
        <v>2</v>
      </c>
      <c r="J2117" s="12">
        <v>110.2</v>
      </c>
      <c r="K2117" s="13">
        <v>0.1</v>
      </c>
      <c r="L2117" s="12">
        <v>83.61</v>
      </c>
      <c r="M2117" s="14">
        <f>ROUND(tblSprzedaz[[#This Row],[Ilość]]*tblSprzedaz[[#This Row],[Cena netto jednostkowa]]*(1-tblSprzedaz[[#This Row],[Rabat %]]),2)</f>
        <v>198.36</v>
      </c>
      <c r="N2117" s="14">
        <f>ROUND(tblSprzedaz[[#This Row],[Ilość]]*tblSprzedaz[[#This Row],[Koszt jednostkowy netto]],2)</f>
        <v>167.22</v>
      </c>
      <c r="O2117" s="14">
        <f>tblSprzedaz[[#This Row],[Przychód netto]]-tblSprzedaz[[#This Row],[Koszt całkowity netto]]</f>
        <v>31.140000000000015</v>
      </c>
      <c r="P2117" s="15">
        <f>IFERROR(tblSprzedaz[[#This Row],[Marża kwotowa]]/tblSprzedaz[[#This Row],[Przychód netto]],0)</f>
        <v>0.15698729582577139</v>
      </c>
      <c r="Q2117" s="16">
        <f>YEAR(tblSprzedaz[[#This Row],[Data]])</f>
        <v>2026</v>
      </c>
      <c r="R2117" s="16">
        <f>MONTH(tblSprzedaz[[#This Row],[Data]])</f>
        <v>7</v>
      </c>
      <c r="S2117" s="9" t="str">
        <f>YEAR(tblSprzedaz[[#This Row],[Data]])&amp;"-"&amp;RIGHT("0"&amp;MONTH(tblSprzedaz[[#This Row],[Data]]),2)</f>
        <v>2026-07</v>
      </c>
    </row>
    <row r="2118" spans="1:19" x14ac:dyDescent="0.25">
      <c r="A2118" s="7" t="s">
        <v>4403</v>
      </c>
      <c r="B2118" s="10">
        <v>46230</v>
      </c>
      <c r="C2118" s="7" t="s">
        <v>4404</v>
      </c>
      <c r="D2118" s="8" t="s">
        <v>129</v>
      </c>
      <c r="E2118" s="8" t="s">
        <v>57</v>
      </c>
      <c r="F2118" s="8" t="s">
        <v>31</v>
      </c>
      <c r="G2118" s="8" t="s">
        <v>34</v>
      </c>
      <c r="H2118" s="8" t="s">
        <v>45</v>
      </c>
      <c r="I2118" s="11">
        <v>1</v>
      </c>
      <c r="J2118" s="12">
        <v>315</v>
      </c>
      <c r="K2118" s="13">
        <v>0.05</v>
      </c>
      <c r="L2118" s="12">
        <v>200.44</v>
      </c>
      <c r="M2118" s="14">
        <f>ROUND(tblSprzedaz[[#This Row],[Ilość]]*tblSprzedaz[[#This Row],[Cena netto jednostkowa]]*(1-tblSprzedaz[[#This Row],[Rabat %]]),2)</f>
        <v>299.25</v>
      </c>
      <c r="N2118" s="14">
        <f>ROUND(tblSprzedaz[[#This Row],[Ilość]]*tblSprzedaz[[#This Row],[Koszt jednostkowy netto]],2)</f>
        <v>200.44</v>
      </c>
      <c r="O2118" s="14">
        <f>tblSprzedaz[[#This Row],[Przychód netto]]-tblSprzedaz[[#This Row],[Koszt całkowity netto]]</f>
        <v>98.81</v>
      </c>
      <c r="P2118" s="15">
        <f>IFERROR(tblSprzedaz[[#This Row],[Marża kwotowa]]/tblSprzedaz[[#This Row],[Przychód netto]],0)</f>
        <v>0.33019214703425231</v>
      </c>
      <c r="Q2118" s="16">
        <f>YEAR(tblSprzedaz[[#This Row],[Data]])</f>
        <v>2026</v>
      </c>
      <c r="R2118" s="16">
        <f>MONTH(tblSprzedaz[[#This Row],[Data]])</f>
        <v>7</v>
      </c>
      <c r="S2118" s="9" t="str">
        <f>YEAR(tblSprzedaz[[#This Row],[Data]])&amp;"-"&amp;RIGHT("0"&amp;MONTH(tblSprzedaz[[#This Row],[Data]]),2)</f>
        <v>2026-07</v>
      </c>
    </row>
    <row r="2119" spans="1:19" x14ac:dyDescent="0.25">
      <c r="A2119" s="7" t="s">
        <v>4405</v>
      </c>
      <c r="B2119" s="10">
        <v>46230</v>
      </c>
      <c r="C2119" s="7" t="s">
        <v>4406</v>
      </c>
      <c r="D2119" s="8" t="s">
        <v>136</v>
      </c>
      <c r="E2119" s="8" t="s">
        <v>59</v>
      </c>
      <c r="F2119" s="8" t="s">
        <v>31</v>
      </c>
      <c r="G2119" s="8" t="s">
        <v>28</v>
      </c>
      <c r="H2119" s="8" t="s">
        <v>38</v>
      </c>
      <c r="I2119" s="11">
        <v>11</v>
      </c>
      <c r="J2119" s="12">
        <v>172.2</v>
      </c>
      <c r="K2119" s="13">
        <v>0.05</v>
      </c>
      <c r="L2119" s="12">
        <v>112.76</v>
      </c>
      <c r="M2119" s="14">
        <f>ROUND(tblSprzedaz[[#This Row],[Ilość]]*tblSprzedaz[[#This Row],[Cena netto jednostkowa]]*(1-tblSprzedaz[[#This Row],[Rabat %]]),2)</f>
        <v>1799.49</v>
      </c>
      <c r="N2119" s="14">
        <f>ROUND(tblSprzedaz[[#This Row],[Ilość]]*tblSprzedaz[[#This Row],[Koszt jednostkowy netto]],2)</f>
        <v>1240.3599999999999</v>
      </c>
      <c r="O2119" s="14">
        <f>tblSprzedaz[[#This Row],[Przychód netto]]-tblSprzedaz[[#This Row],[Koszt całkowity netto]]</f>
        <v>559.13000000000011</v>
      </c>
      <c r="P2119" s="15">
        <f>IFERROR(tblSprzedaz[[#This Row],[Marża kwotowa]]/tblSprzedaz[[#This Row],[Przychód netto]],0)</f>
        <v>0.31071581392505659</v>
      </c>
      <c r="Q2119" s="16">
        <f>YEAR(tblSprzedaz[[#This Row],[Data]])</f>
        <v>2026</v>
      </c>
      <c r="R2119" s="16">
        <f>MONTH(tblSprzedaz[[#This Row],[Data]])</f>
        <v>7</v>
      </c>
      <c r="S2119" s="9" t="str">
        <f>YEAR(tblSprzedaz[[#This Row],[Data]])&amp;"-"&amp;RIGHT("0"&amp;MONTH(tblSprzedaz[[#This Row],[Data]]),2)</f>
        <v>2026-07</v>
      </c>
    </row>
    <row r="2120" spans="1:19" x14ac:dyDescent="0.25">
      <c r="A2120" s="7" t="s">
        <v>4407</v>
      </c>
      <c r="B2120" s="10">
        <v>46230</v>
      </c>
      <c r="C2120" s="7" t="s">
        <v>4408</v>
      </c>
      <c r="D2120" s="8" t="s">
        <v>92</v>
      </c>
      <c r="E2120" s="8" t="s">
        <v>77</v>
      </c>
      <c r="F2120" s="8" t="s">
        <v>37</v>
      </c>
      <c r="G2120" s="8" t="s">
        <v>28</v>
      </c>
      <c r="H2120" s="8" t="s">
        <v>39</v>
      </c>
      <c r="I2120" s="11">
        <v>7</v>
      </c>
      <c r="J2120" s="12">
        <v>77.900000000000006</v>
      </c>
      <c r="K2120" s="13">
        <v>0.05</v>
      </c>
      <c r="L2120" s="12">
        <v>61.89</v>
      </c>
      <c r="M2120" s="14">
        <f>ROUND(tblSprzedaz[[#This Row],[Ilość]]*tblSprzedaz[[#This Row],[Cena netto jednostkowa]]*(1-tblSprzedaz[[#This Row],[Rabat %]]),2)</f>
        <v>518.04</v>
      </c>
      <c r="N2120" s="14">
        <f>ROUND(tblSprzedaz[[#This Row],[Ilość]]*tblSprzedaz[[#This Row],[Koszt jednostkowy netto]],2)</f>
        <v>433.23</v>
      </c>
      <c r="O2120" s="14">
        <f>tblSprzedaz[[#This Row],[Przychód netto]]-tblSprzedaz[[#This Row],[Koszt całkowity netto]]</f>
        <v>84.809999999999945</v>
      </c>
      <c r="P2120" s="15">
        <f>IFERROR(tblSprzedaz[[#This Row],[Marża kwotowa]]/tblSprzedaz[[#This Row],[Przychód netto]],0)</f>
        <v>0.16371322677785491</v>
      </c>
      <c r="Q2120" s="16">
        <f>YEAR(tblSprzedaz[[#This Row],[Data]])</f>
        <v>2026</v>
      </c>
      <c r="R2120" s="16">
        <f>MONTH(tblSprzedaz[[#This Row],[Data]])</f>
        <v>7</v>
      </c>
      <c r="S2120" s="9" t="str">
        <f>YEAR(tblSprzedaz[[#This Row],[Data]])&amp;"-"&amp;RIGHT("0"&amp;MONTH(tblSprzedaz[[#This Row],[Data]]),2)</f>
        <v>2026-07</v>
      </c>
    </row>
    <row r="2121" spans="1:19" x14ac:dyDescent="0.25">
      <c r="A2121" s="7" t="s">
        <v>4409</v>
      </c>
      <c r="B2121" s="10">
        <v>46231</v>
      </c>
      <c r="C2121" s="7" t="s">
        <v>4410</v>
      </c>
      <c r="D2121" s="8" t="s">
        <v>112</v>
      </c>
      <c r="E2121" s="8" t="s">
        <v>61</v>
      </c>
      <c r="F2121" s="8" t="s">
        <v>33</v>
      </c>
      <c r="G2121" s="8" t="s">
        <v>32</v>
      </c>
      <c r="H2121" s="8" t="s">
        <v>42</v>
      </c>
      <c r="I2121" s="11">
        <v>16</v>
      </c>
      <c r="J2121" s="12">
        <v>533.6</v>
      </c>
      <c r="K2121" s="13">
        <v>0.05</v>
      </c>
      <c r="L2121" s="12">
        <v>382</v>
      </c>
      <c r="M2121" s="14">
        <f>ROUND(tblSprzedaz[[#This Row],[Ilość]]*tblSprzedaz[[#This Row],[Cena netto jednostkowa]]*(1-tblSprzedaz[[#This Row],[Rabat %]]),2)</f>
        <v>8110.72</v>
      </c>
      <c r="N2121" s="14">
        <f>ROUND(tblSprzedaz[[#This Row],[Ilość]]*tblSprzedaz[[#This Row],[Koszt jednostkowy netto]],2)</f>
        <v>6112</v>
      </c>
      <c r="O2121" s="14">
        <f>tblSprzedaz[[#This Row],[Przychód netto]]-tblSprzedaz[[#This Row],[Koszt całkowity netto]]</f>
        <v>1998.7200000000003</v>
      </c>
      <c r="P2121" s="15">
        <f>IFERROR(tblSprzedaz[[#This Row],[Marża kwotowa]]/tblSprzedaz[[#This Row],[Przychód netto]],0)</f>
        <v>0.24642941687051215</v>
      </c>
      <c r="Q2121" s="16">
        <f>YEAR(tblSprzedaz[[#This Row],[Data]])</f>
        <v>2026</v>
      </c>
      <c r="R2121" s="16">
        <f>MONTH(tblSprzedaz[[#This Row],[Data]])</f>
        <v>7</v>
      </c>
      <c r="S2121" s="9" t="str">
        <f>YEAR(tblSprzedaz[[#This Row],[Data]])&amp;"-"&amp;RIGHT("0"&amp;MONTH(tblSprzedaz[[#This Row],[Data]]),2)</f>
        <v>2026-07</v>
      </c>
    </row>
    <row r="2122" spans="1:19" x14ac:dyDescent="0.25">
      <c r="A2122" s="7" t="s">
        <v>4411</v>
      </c>
      <c r="B2122" s="10">
        <v>46231</v>
      </c>
      <c r="C2122" s="7" t="s">
        <v>4412</v>
      </c>
      <c r="D2122" s="8" t="s">
        <v>84</v>
      </c>
      <c r="E2122" s="8" t="s">
        <v>61</v>
      </c>
      <c r="F2122" s="8" t="s">
        <v>33</v>
      </c>
      <c r="G2122" s="8" t="s">
        <v>36</v>
      </c>
      <c r="H2122" s="8" t="s">
        <v>47</v>
      </c>
      <c r="I2122" s="11">
        <v>12</v>
      </c>
      <c r="J2122" s="12">
        <v>533.6</v>
      </c>
      <c r="K2122" s="13">
        <v>0.1</v>
      </c>
      <c r="L2122" s="12">
        <v>370.37</v>
      </c>
      <c r="M2122" s="14">
        <f>ROUND(tblSprzedaz[[#This Row],[Ilość]]*tblSprzedaz[[#This Row],[Cena netto jednostkowa]]*(1-tblSprzedaz[[#This Row],[Rabat %]]),2)</f>
        <v>5762.88</v>
      </c>
      <c r="N2122" s="14">
        <f>ROUND(tblSprzedaz[[#This Row],[Ilość]]*tblSprzedaz[[#This Row],[Koszt jednostkowy netto]],2)</f>
        <v>4444.4399999999996</v>
      </c>
      <c r="O2122" s="14">
        <f>tblSprzedaz[[#This Row],[Przychód netto]]-tblSprzedaz[[#This Row],[Koszt całkowity netto]]</f>
        <v>1318.4400000000005</v>
      </c>
      <c r="P2122" s="15">
        <f>IFERROR(tblSprzedaz[[#This Row],[Marża kwotowa]]/tblSprzedaz[[#This Row],[Przychód netto]],0)</f>
        <v>0.2287814426120274</v>
      </c>
      <c r="Q2122" s="16">
        <f>YEAR(tblSprzedaz[[#This Row],[Data]])</f>
        <v>2026</v>
      </c>
      <c r="R2122" s="16">
        <f>MONTH(tblSprzedaz[[#This Row],[Data]])</f>
        <v>7</v>
      </c>
      <c r="S2122" s="9" t="str">
        <f>YEAR(tblSprzedaz[[#This Row],[Data]])&amp;"-"&amp;RIGHT("0"&amp;MONTH(tblSprzedaz[[#This Row],[Data]]),2)</f>
        <v>2026-07</v>
      </c>
    </row>
    <row r="2123" spans="1:19" x14ac:dyDescent="0.25">
      <c r="A2123" s="7" t="s">
        <v>4413</v>
      </c>
      <c r="B2123" s="10">
        <v>46231</v>
      </c>
      <c r="C2123" s="7" t="s">
        <v>4414</v>
      </c>
      <c r="D2123" s="8" t="s">
        <v>117</v>
      </c>
      <c r="E2123" s="8" t="s">
        <v>50</v>
      </c>
      <c r="F2123" s="8" t="s">
        <v>29</v>
      </c>
      <c r="G2123" s="8" t="s">
        <v>36</v>
      </c>
      <c r="H2123" s="8" t="s">
        <v>46</v>
      </c>
      <c r="I2123" s="11">
        <v>14</v>
      </c>
      <c r="J2123" s="12">
        <v>45.22</v>
      </c>
      <c r="K2123" s="13">
        <v>0</v>
      </c>
      <c r="L2123" s="12">
        <v>26.85</v>
      </c>
      <c r="M2123" s="14">
        <f>ROUND(tblSprzedaz[[#This Row],[Ilość]]*tblSprzedaz[[#This Row],[Cena netto jednostkowa]]*(1-tblSprzedaz[[#This Row],[Rabat %]]),2)</f>
        <v>633.08000000000004</v>
      </c>
      <c r="N2123" s="14">
        <f>ROUND(tblSprzedaz[[#This Row],[Ilość]]*tblSprzedaz[[#This Row],[Koszt jednostkowy netto]],2)</f>
        <v>375.9</v>
      </c>
      <c r="O2123" s="14">
        <f>tblSprzedaz[[#This Row],[Przychód netto]]-tblSprzedaz[[#This Row],[Koszt całkowity netto]]</f>
        <v>257.18000000000006</v>
      </c>
      <c r="P2123" s="15">
        <f>IFERROR(tblSprzedaz[[#This Row],[Marża kwotowa]]/tblSprzedaz[[#This Row],[Przychód netto]],0)</f>
        <v>0.40623617868199918</v>
      </c>
      <c r="Q2123" s="16">
        <f>YEAR(tblSprzedaz[[#This Row],[Data]])</f>
        <v>2026</v>
      </c>
      <c r="R2123" s="16">
        <f>MONTH(tblSprzedaz[[#This Row],[Data]])</f>
        <v>7</v>
      </c>
      <c r="S2123" s="9" t="str">
        <f>YEAR(tblSprzedaz[[#This Row],[Data]])&amp;"-"&amp;RIGHT("0"&amp;MONTH(tblSprzedaz[[#This Row],[Data]]),2)</f>
        <v>2026-07</v>
      </c>
    </row>
    <row r="2124" spans="1:19" x14ac:dyDescent="0.25">
      <c r="A2124" s="7" t="s">
        <v>4415</v>
      </c>
      <c r="B2124" s="10">
        <v>46231</v>
      </c>
      <c r="C2124" s="7" t="s">
        <v>4416</v>
      </c>
      <c r="D2124" s="8" t="s">
        <v>88</v>
      </c>
      <c r="E2124" s="8" t="s">
        <v>52</v>
      </c>
      <c r="F2124" s="8" t="s">
        <v>29</v>
      </c>
      <c r="G2124" s="8" t="s">
        <v>28</v>
      </c>
      <c r="H2124" s="8" t="s">
        <v>39</v>
      </c>
      <c r="I2124" s="11">
        <v>13</v>
      </c>
      <c r="J2124" s="12">
        <v>56.78</v>
      </c>
      <c r="K2124" s="13">
        <v>0.15</v>
      </c>
      <c r="L2124" s="12">
        <v>32.409999999999997</v>
      </c>
      <c r="M2124" s="14">
        <f>ROUND(tblSprzedaz[[#This Row],[Ilość]]*tblSprzedaz[[#This Row],[Cena netto jednostkowa]]*(1-tblSprzedaz[[#This Row],[Rabat %]]),2)</f>
        <v>627.41999999999996</v>
      </c>
      <c r="N2124" s="14">
        <f>ROUND(tblSprzedaz[[#This Row],[Ilość]]*tblSprzedaz[[#This Row],[Koszt jednostkowy netto]],2)</f>
        <v>421.33</v>
      </c>
      <c r="O2124" s="14">
        <f>tblSprzedaz[[#This Row],[Przychód netto]]-tblSprzedaz[[#This Row],[Koszt całkowity netto]]</f>
        <v>206.08999999999997</v>
      </c>
      <c r="P2124" s="15">
        <f>IFERROR(tblSprzedaz[[#This Row],[Marża kwotowa]]/tblSprzedaz[[#This Row],[Przychód netto]],0)</f>
        <v>0.32847215581269323</v>
      </c>
      <c r="Q2124" s="16">
        <f>YEAR(tblSprzedaz[[#This Row],[Data]])</f>
        <v>2026</v>
      </c>
      <c r="R2124" s="16">
        <f>MONTH(tblSprzedaz[[#This Row],[Data]])</f>
        <v>7</v>
      </c>
      <c r="S2124" s="9" t="str">
        <f>YEAR(tblSprzedaz[[#This Row],[Data]])&amp;"-"&amp;RIGHT("0"&amp;MONTH(tblSprzedaz[[#This Row],[Data]]),2)</f>
        <v>2026-07</v>
      </c>
    </row>
    <row r="2125" spans="1:19" x14ac:dyDescent="0.25">
      <c r="A2125" s="7" t="s">
        <v>4417</v>
      </c>
      <c r="B2125" s="10">
        <v>46231</v>
      </c>
      <c r="C2125" s="7" t="s">
        <v>4418</v>
      </c>
      <c r="D2125" s="8" t="s">
        <v>94</v>
      </c>
      <c r="E2125" s="8" t="s">
        <v>72</v>
      </c>
      <c r="F2125" s="8" t="s">
        <v>37</v>
      </c>
      <c r="G2125" s="8" t="s">
        <v>34</v>
      </c>
      <c r="H2125" s="8" t="s">
        <v>44</v>
      </c>
      <c r="I2125" s="11">
        <v>3</v>
      </c>
      <c r="J2125" s="12">
        <v>94.05</v>
      </c>
      <c r="K2125" s="13">
        <v>0</v>
      </c>
      <c r="L2125" s="12">
        <v>73.44</v>
      </c>
      <c r="M2125" s="14">
        <f>ROUND(tblSprzedaz[[#This Row],[Ilość]]*tblSprzedaz[[#This Row],[Cena netto jednostkowa]]*(1-tblSprzedaz[[#This Row],[Rabat %]]),2)</f>
        <v>282.14999999999998</v>
      </c>
      <c r="N2125" s="14">
        <f>ROUND(tblSprzedaz[[#This Row],[Ilość]]*tblSprzedaz[[#This Row],[Koszt jednostkowy netto]],2)</f>
        <v>220.32</v>
      </c>
      <c r="O2125" s="14">
        <f>tblSprzedaz[[#This Row],[Przychód netto]]-tblSprzedaz[[#This Row],[Koszt całkowity netto]]</f>
        <v>61.829999999999984</v>
      </c>
      <c r="P2125" s="15">
        <f>IFERROR(tblSprzedaz[[#This Row],[Marża kwotowa]]/tblSprzedaz[[#This Row],[Przychód netto]],0)</f>
        <v>0.21913875598086122</v>
      </c>
      <c r="Q2125" s="16">
        <f>YEAR(tblSprzedaz[[#This Row],[Data]])</f>
        <v>2026</v>
      </c>
      <c r="R2125" s="16">
        <f>MONTH(tblSprzedaz[[#This Row],[Data]])</f>
        <v>7</v>
      </c>
      <c r="S2125" s="9" t="str">
        <f>YEAR(tblSprzedaz[[#This Row],[Data]])&amp;"-"&amp;RIGHT("0"&amp;MONTH(tblSprzedaz[[#This Row],[Data]]),2)</f>
        <v>2026-07</v>
      </c>
    </row>
    <row r="2126" spans="1:19" x14ac:dyDescent="0.25">
      <c r="A2126" s="7" t="s">
        <v>4419</v>
      </c>
      <c r="B2126" s="10">
        <v>46232</v>
      </c>
      <c r="C2126" s="7" t="s">
        <v>4420</v>
      </c>
      <c r="D2126" s="8" t="s">
        <v>118</v>
      </c>
      <c r="E2126" s="8" t="s">
        <v>76</v>
      </c>
      <c r="F2126" s="8" t="s">
        <v>37</v>
      </c>
      <c r="G2126" s="8" t="s">
        <v>36</v>
      </c>
      <c r="H2126" s="8" t="s">
        <v>47</v>
      </c>
      <c r="I2126" s="11">
        <v>1</v>
      </c>
      <c r="J2126" s="12">
        <v>158.65</v>
      </c>
      <c r="K2126" s="13">
        <v>0.05</v>
      </c>
      <c r="L2126" s="12">
        <v>125.84</v>
      </c>
      <c r="M2126" s="14">
        <f>ROUND(tblSprzedaz[[#This Row],[Ilość]]*tblSprzedaz[[#This Row],[Cena netto jednostkowa]]*(1-tblSprzedaz[[#This Row],[Rabat %]]),2)</f>
        <v>150.72</v>
      </c>
      <c r="N2126" s="14">
        <f>ROUND(tblSprzedaz[[#This Row],[Ilość]]*tblSprzedaz[[#This Row],[Koszt jednostkowy netto]],2)</f>
        <v>125.84</v>
      </c>
      <c r="O2126" s="14">
        <f>tblSprzedaz[[#This Row],[Przychód netto]]-tblSprzedaz[[#This Row],[Koszt całkowity netto]]</f>
        <v>24.879999999999995</v>
      </c>
      <c r="P2126" s="15">
        <f>IFERROR(tblSprzedaz[[#This Row],[Marża kwotowa]]/tblSprzedaz[[#This Row],[Przychód netto]],0)</f>
        <v>0.16507430997876854</v>
      </c>
      <c r="Q2126" s="16">
        <f>YEAR(tblSprzedaz[[#This Row],[Data]])</f>
        <v>2026</v>
      </c>
      <c r="R2126" s="16">
        <f>MONTH(tblSprzedaz[[#This Row],[Data]])</f>
        <v>7</v>
      </c>
      <c r="S2126" s="9" t="str">
        <f>YEAR(tblSprzedaz[[#This Row],[Data]])&amp;"-"&amp;RIGHT("0"&amp;MONTH(tblSprzedaz[[#This Row],[Data]]),2)</f>
        <v>2026-07</v>
      </c>
    </row>
    <row r="2127" spans="1:19" x14ac:dyDescent="0.25">
      <c r="A2127" s="7" t="s">
        <v>4421</v>
      </c>
      <c r="B2127" s="10">
        <v>46232</v>
      </c>
      <c r="C2127" s="7" t="s">
        <v>4422</v>
      </c>
      <c r="D2127" s="8" t="s">
        <v>84</v>
      </c>
      <c r="E2127" s="8" t="s">
        <v>73</v>
      </c>
      <c r="F2127" s="8" t="s">
        <v>37</v>
      </c>
      <c r="G2127" s="8" t="s">
        <v>34</v>
      </c>
      <c r="H2127" s="8" t="s">
        <v>45</v>
      </c>
      <c r="I2127" s="11">
        <v>5</v>
      </c>
      <c r="J2127" s="12">
        <v>110.2</v>
      </c>
      <c r="K2127" s="13">
        <v>0.05</v>
      </c>
      <c r="L2127" s="12">
        <v>87.99</v>
      </c>
      <c r="M2127" s="14">
        <f>ROUND(tblSprzedaz[[#This Row],[Ilość]]*tblSprzedaz[[#This Row],[Cena netto jednostkowa]]*(1-tblSprzedaz[[#This Row],[Rabat %]]),2)</f>
        <v>523.45000000000005</v>
      </c>
      <c r="N2127" s="14">
        <f>ROUND(tblSprzedaz[[#This Row],[Ilość]]*tblSprzedaz[[#This Row],[Koszt jednostkowy netto]],2)</f>
        <v>439.95</v>
      </c>
      <c r="O2127" s="14">
        <f>tblSprzedaz[[#This Row],[Przychód netto]]-tblSprzedaz[[#This Row],[Koszt całkowity netto]]</f>
        <v>83.500000000000057</v>
      </c>
      <c r="P2127" s="15">
        <f>IFERROR(tblSprzedaz[[#This Row],[Marża kwotowa]]/tblSprzedaz[[#This Row],[Przychód netto]],0)</f>
        <v>0.15951857866080821</v>
      </c>
      <c r="Q2127" s="16">
        <f>YEAR(tblSprzedaz[[#This Row],[Data]])</f>
        <v>2026</v>
      </c>
      <c r="R2127" s="16">
        <f>MONTH(tblSprzedaz[[#This Row],[Data]])</f>
        <v>7</v>
      </c>
      <c r="S2127" s="9" t="str">
        <f>YEAR(tblSprzedaz[[#This Row],[Data]])&amp;"-"&amp;RIGHT("0"&amp;MONTH(tblSprzedaz[[#This Row],[Data]]),2)</f>
        <v>2026-07</v>
      </c>
    </row>
    <row r="2128" spans="1:19" x14ac:dyDescent="0.25">
      <c r="A2128" s="7" t="s">
        <v>4423</v>
      </c>
      <c r="B2128" s="10">
        <v>46232</v>
      </c>
      <c r="C2128" s="7" t="s">
        <v>4424</v>
      </c>
      <c r="D2128" s="8" t="s">
        <v>117</v>
      </c>
      <c r="E2128" s="8" t="s">
        <v>73</v>
      </c>
      <c r="F2128" s="8" t="s">
        <v>37</v>
      </c>
      <c r="G2128" s="8" t="s">
        <v>28</v>
      </c>
      <c r="H2128" s="8" t="s">
        <v>39</v>
      </c>
      <c r="I2128" s="11">
        <v>10</v>
      </c>
      <c r="J2128" s="12">
        <v>110.2</v>
      </c>
      <c r="K2128" s="13">
        <v>0.05</v>
      </c>
      <c r="L2128" s="12">
        <v>82.09</v>
      </c>
      <c r="M2128" s="14">
        <f>ROUND(tblSprzedaz[[#This Row],[Ilość]]*tblSprzedaz[[#This Row],[Cena netto jednostkowa]]*(1-tblSprzedaz[[#This Row],[Rabat %]]),2)</f>
        <v>1046.9000000000001</v>
      </c>
      <c r="N2128" s="14">
        <f>ROUND(tblSprzedaz[[#This Row],[Ilość]]*tblSprzedaz[[#This Row],[Koszt jednostkowy netto]],2)</f>
        <v>820.9</v>
      </c>
      <c r="O2128" s="14">
        <f>tblSprzedaz[[#This Row],[Przychód netto]]-tblSprzedaz[[#This Row],[Koszt całkowity netto]]</f>
        <v>226.00000000000011</v>
      </c>
      <c r="P2128" s="15">
        <f>IFERROR(tblSprzedaz[[#This Row],[Marża kwotowa]]/tblSprzedaz[[#This Row],[Przychód netto]],0)</f>
        <v>0.21587544178049489</v>
      </c>
      <c r="Q2128" s="16">
        <f>YEAR(tblSprzedaz[[#This Row],[Data]])</f>
        <v>2026</v>
      </c>
      <c r="R2128" s="16">
        <f>MONTH(tblSprzedaz[[#This Row],[Data]])</f>
        <v>7</v>
      </c>
      <c r="S2128" s="9" t="str">
        <f>YEAR(tblSprzedaz[[#This Row],[Data]])&amp;"-"&amp;RIGHT("0"&amp;MONTH(tblSprzedaz[[#This Row],[Data]]),2)</f>
        <v>2026-07</v>
      </c>
    </row>
    <row r="2129" spans="1:19" x14ac:dyDescent="0.25">
      <c r="A2129" s="7" t="s">
        <v>4425</v>
      </c>
      <c r="B2129" s="10">
        <v>46233</v>
      </c>
      <c r="C2129" s="7" t="s">
        <v>4426</v>
      </c>
      <c r="D2129" s="8" t="s">
        <v>151</v>
      </c>
      <c r="E2129" s="8" t="s">
        <v>70</v>
      </c>
      <c r="F2129" s="8" t="s">
        <v>35</v>
      </c>
      <c r="G2129" s="8" t="s">
        <v>30</v>
      </c>
      <c r="H2129" s="8" t="s">
        <v>40</v>
      </c>
      <c r="I2129" s="11">
        <v>3</v>
      </c>
      <c r="J2129" s="12">
        <v>113.56</v>
      </c>
      <c r="K2129" s="13">
        <v>0.1</v>
      </c>
      <c r="L2129" s="12">
        <v>84.67</v>
      </c>
      <c r="M2129" s="14">
        <f>ROUND(tblSprzedaz[[#This Row],[Ilość]]*tblSprzedaz[[#This Row],[Cena netto jednostkowa]]*(1-tblSprzedaz[[#This Row],[Rabat %]]),2)</f>
        <v>306.61</v>
      </c>
      <c r="N2129" s="14">
        <f>ROUND(tblSprzedaz[[#This Row],[Ilość]]*tblSprzedaz[[#This Row],[Koszt jednostkowy netto]],2)</f>
        <v>254.01</v>
      </c>
      <c r="O2129" s="14">
        <f>tblSprzedaz[[#This Row],[Przychód netto]]-tblSprzedaz[[#This Row],[Koszt całkowity netto]]</f>
        <v>52.600000000000023</v>
      </c>
      <c r="P2129" s="15">
        <f>IFERROR(tblSprzedaz[[#This Row],[Marża kwotowa]]/tblSprzedaz[[#This Row],[Przychód netto]],0)</f>
        <v>0.17155343922246508</v>
      </c>
      <c r="Q2129" s="16">
        <f>YEAR(tblSprzedaz[[#This Row],[Data]])</f>
        <v>2026</v>
      </c>
      <c r="R2129" s="16">
        <f>MONTH(tblSprzedaz[[#This Row],[Data]])</f>
        <v>7</v>
      </c>
      <c r="S2129" s="9" t="str">
        <f>YEAR(tblSprzedaz[[#This Row],[Data]])&amp;"-"&amp;RIGHT("0"&amp;MONTH(tblSprzedaz[[#This Row],[Data]]),2)</f>
        <v>2026-07</v>
      </c>
    </row>
    <row r="2130" spans="1:19" x14ac:dyDescent="0.25">
      <c r="A2130" s="7" t="s">
        <v>4427</v>
      </c>
      <c r="B2130" s="10">
        <v>46233</v>
      </c>
      <c r="C2130" s="7" t="s">
        <v>4428</v>
      </c>
      <c r="D2130" s="8" t="s">
        <v>78</v>
      </c>
      <c r="E2130" s="8" t="s">
        <v>59</v>
      </c>
      <c r="F2130" s="8" t="s">
        <v>31</v>
      </c>
      <c r="G2130" s="8" t="s">
        <v>30</v>
      </c>
      <c r="H2130" s="8" t="s">
        <v>40</v>
      </c>
      <c r="I2130" s="11">
        <v>8</v>
      </c>
      <c r="J2130" s="12">
        <v>172.2</v>
      </c>
      <c r="K2130" s="13">
        <v>0.05</v>
      </c>
      <c r="L2130" s="12">
        <v>110.16</v>
      </c>
      <c r="M2130" s="14">
        <f>ROUND(tblSprzedaz[[#This Row],[Ilość]]*tblSprzedaz[[#This Row],[Cena netto jednostkowa]]*(1-tblSprzedaz[[#This Row],[Rabat %]]),2)</f>
        <v>1308.72</v>
      </c>
      <c r="N2130" s="14">
        <f>ROUND(tblSprzedaz[[#This Row],[Ilość]]*tblSprzedaz[[#This Row],[Koszt jednostkowy netto]],2)</f>
        <v>881.28</v>
      </c>
      <c r="O2130" s="14">
        <f>tblSprzedaz[[#This Row],[Przychód netto]]-tblSprzedaz[[#This Row],[Koszt całkowity netto]]</f>
        <v>427.44000000000005</v>
      </c>
      <c r="P2130" s="15">
        <f>IFERROR(tblSprzedaz[[#This Row],[Marża kwotowa]]/tblSprzedaz[[#This Row],[Przychód netto]],0)</f>
        <v>0.32660920594168352</v>
      </c>
      <c r="Q2130" s="16">
        <f>YEAR(tblSprzedaz[[#This Row],[Data]])</f>
        <v>2026</v>
      </c>
      <c r="R2130" s="16">
        <f>MONTH(tblSprzedaz[[#This Row],[Data]])</f>
        <v>7</v>
      </c>
      <c r="S2130" s="9" t="str">
        <f>YEAR(tblSprzedaz[[#This Row],[Data]])&amp;"-"&amp;RIGHT("0"&amp;MONTH(tblSprzedaz[[#This Row],[Data]]),2)</f>
        <v>2026-07</v>
      </c>
    </row>
    <row r="2131" spans="1:19" x14ac:dyDescent="0.25">
      <c r="A2131" s="7" t="s">
        <v>4429</v>
      </c>
      <c r="B2131" s="10">
        <v>46233</v>
      </c>
      <c r="C2131" s="7" t="s">
        <v>4430</v>
      </c>
      <c r="D2131" s="8" t="s">
        <v>120</v>
      </c>
      <c r="E2131" s="8" t="s">
        <v>72</v>
      </c>
      <c r="F2131" s="8" t="s">
        <v>37</v>
      </c>
      <c r="G2131" s="8" t="s">
        <v>34</v>
      </c>
      <c r="H2131" s="8" t="s">
        <v>45</v>
      </c>
      <c r="I2131" s="11">
        <v>6</v>
      </c>
      <c r="J2131" s="12">
        <v>94.05</v>
      </c>
      <c r="K2131" s="13">
        <v>0</v>
      </c>
      <c r="L2131" s="12">
        <v>73.89</v>
      </c>
      <c r="M2131" s="14">
        <f>ROUND(tblSprzedaz[[#This Row],[Ilość]]*tblSprzedaz[[#This Row],[Cena netto jednostkowa]]*(1-tblSprzedaz[[#This Row],[Rabat %]]),2)</f>
        <v>564.29999999999995</v>
      </c>
      <c r="N2131" s="14">
        <f>ROUND(tblSprzedaz[[#This Row],[Ilość]]*tblSprzedaz[[#This Row],[Koszt jednostkowy netto]],2)</f>
        <v>443.34</v>
      </c>
      <c r="O2131" s="14">
        <f>tblSprzedaz[[#This Row],[Przychód netto]]-tblSprzedaz[[#This Row],[Koszt całkowity netto]]</f>
        <v>120.95999999999998</v>
      </c>
      <c r="P2131" s="15">
        <f>IFERROR(tblSprzedaz[[#This Row],[Marża kwotowa]]/tblSprzedaz[[#This Row],[Przychód netto]],0)</f>
        <v>0.21435406698564591</v>
      </c>
      <c r="Q2131" s="16">
        <f>YEAR(tblSprzedaz[[#This Row],[Data]])</f>
        <v>2026</v>
      </c>
      <c r="R2131" s="16">
        <f>MONTH(tblSprzedaz[[#This Row],[Data]])</f>
        <v>7</v>
      </c>
      <c r="S2131" s="9" t="str">
        <f>YEAR(tblSprzedaz[[#This Row],[Data]])&amp;"-"&amp;RIGHT("0"&amp;MONTH(tblSprzedaz[[#This Row],[Data]]),2)</f>
        <v>2026-07</v>
      </c>
    </row>
    <row r="2132" spans="1:19" x14ac:dyDescent="0.25">
      <c r="A2132" s="7" t="s">
        <v>4431</v>
      </c>
      <c r="B2132" s="10">
        <v>46234</v>
      </c>
      <c r="C2132" s="7" t="s">
        <v>4432</v>
      </c>
      <c r="D2132" s="8" t="s">
        <v>117</v>
      </c>
      <c r="E2132" s="8" t="s">
        <v>71</v>
      </c>
      <c r="F2132" s="8" t="s">
        <v>35</v>
      </c>
      <c r="G2132" s="8" t="s">
        <v>30</v>
      </c>
      <c r="H2132" s="8" t="s">
        <v>40</v>
      </c>
      <c r="I2132" s="11">
        <v>2</v>
      </c>
      <c r="J2132" s="12">
        <v>55.76</v>
      </c>
      <c r="K2132" s="13">
        <v>0.15</v>
      </c>
      <c r="L2132" s="12">
        <v>39.43</v>
      </c>
      <c r="M2132" s="14">
        <f>ROUND(tblSprzedaz[[#This Row],[Ilość]]*tblSprzedaz[[#This Row],[Cena netto jednostkowa]]*(1-tblSprzedaz[[#This Row],[Rabat %]]),2)</f>
        <v>94.79</v>
      </c>
      <c r="N2132" s="14">
        <f>ROUND(tblSprzedaz[[#This Row],[Ilość]]*tblSprzedaz[[#This Row],[Koszt jednostkowy netto]],2)</f>
        <v>78.86</v>
      </c>
      <c r="O2132" s="14">
        <f>tblSprzedaz[[#This Row],[Przychód netto]]-tblSprzedaz[[#This Row],[Koszt całkowity netto]]</f>
        <v>15.930000000000007</v>
      </c>
      <c r="P2132" s="15">
        <f>IFERROR(tblSprzedaz[[#This Row],[Marża kwotowa]]/tblSprzedaz[[#This Row],[Przychód netto]],0)</f>
        <v>0.16805570207827836</v>
      </c>
      <c r="Q2132" s="16">
        <f>YEAR(tblSprzedaz[[#This Row],[Data]])</f>
        <v>2026</v>
      </c>
      <c r="R2132" s="16">
        <f>MONTH(tblSprzedaz[[#This Row],[Data]])</f>
        <v>7</v>
      </c>
      <c r="S2132" s="9" t="str">
        <f>YEAR(tblSprzedaz[[#This Row],[Data]])&amp;"-"&amp;RIGHT("0"&amp;MONTH(tblSprzedaz[[#This Row],[Data]]),2)</f>
        <v>2026-07</v>
      </c>
    </row>
    <row r="2133" spans="1:19" x14ac:dyDescent="0.25">
      <c r="A2133" s="7" t="s">
        <v>4433</v>
      </c>
      <c r="B2133" s="10">
        <v>46234</v>
      </c>
      <c r="C2133" s="7" t="s">
        <v>4434</v>
      </c>
      <c r="D2133" s="8" t="s">
        <v>99</v>
      </c>
      <c r="E2133" s="8" t="s">
        <v>73</v>
      </c>
      <c r="F2133" s="8" t="s">
        <v>37</v>
      </c>
      <c r="G2133" s="8" t="s">
        <v>34</v>
      </c>
      <c r="H2133" s="8" t="s">
        <v>44</v>
      </c>
      <c r="I2133" s="11">
        <v>6</v>
      </c>
      <c r="J2133" s="12">
        <v>110.2</v>
      </c>
      <c r="K2133" s="13">
        <v>0.05</v>
      </c>
      <c r="L2133" s="12">
        <v>85.44</v>
      </c>
      <c r="M2133" s="14">
        <f>ROUND(tblSprzedaz[[#This Row],[Ilość]]*tblSprzedaz[[#This Row],[Cena netto jednostkowa]]*(1-tblSprzedaz[[#This Row],[Rabat %]]),2)</f>
        <v>628.14</v>
      </c>
      <c r="N2133" s="14">
        <f>ROUND(tblSprzedaz[[#This Row],[Ilość]]*tblSprzedaz[[#This Row],[Koszt jednostkowy netto]],2)</f>
        <v>512.64</v>
      </c>
      <c r="O2133" s="14">
        <f>tblSprzedaz[[#This Row],[Przychód netto]]-tblSprzedaz[[#This Row],[Koszt całkowity netto]]</f>
        <v>115.5</v>
      </c>
      <c r="P2133" s="15">
        <f>IFERROR(tblSprzedaz[[#This Row],[Marża kwotowa]]/tblSprzedaz[[#This Row],[Przychód netto]],0)</f>
        <v>0.18387620594135065</v>
      </c>
      <c r="Q2133" s="16">
        <f>YEAR(tblSprzedaz[[#This Row],[Data]])</f>
        <v>2026</v>
      </c>
      <c r="R2133" s="16">
        <f>MONTH(tblSprzedaz[[#This Row],[Data]])</f>
        <v>7</v>
      </c>
      <c r="S2133" s="9" t="str">
        <f>YEAR(tblSprzedaz[[#This Row],[Data]])&amp;"-"&amp;RIGHT("0"&amp;MONTH(tblSprzedaz[[#This Row],[Data]]),2)</f>
        <v>2026-07</v>
      </c>
    </row>
    <row r="2134" spans="1:19" x14ac:dyDescent="0.25">
      <c r="A2134" s="7" t="s">
        <v>4435</v>
      </c>
      <c r="B2134" s="10">
        <v>46234</v>
      </c>
      <c r="C2134" s="7" t="s">
        <v>4436</v>
      </c>
      <c r="D2134" s="8" t="s">
        <v>109</v>
      </c>
      <c r="E2134" s="8" t="s">
        <v>59</v>
      </c>
      <c r="F2134" s="8" t="s">
        <v>31</v>
      </c>
      <c r="G2134" s="8" t="s">
        <v>34</v>
      </c>
      <c r="H2134" s="8" t="s">
        <v>44</v>
      </c>
      <c r="I2134" s="11">
        <v>1</v>
      </c>
      <c r="J2134" s="12">
        <v>172.2</v>
      </c>
      <c r="K2134" s="13">
        <v>0.15</v>
      </c>
      <c r="L2134" s="12">
        <v>113.19</v>
      </c>
      <c r="M2134" s="14">
        <f>ROUND(tblSprzedaz[[#This Row],[Ilość]]*tblSprzedaz[[#This Row],[Cena netto jednostkowa]]*(1-tblSprzedaz[[#This Row],[Rabat %]]),2)</f>
        <v>146.37</v>
      </c>
      <c r="N2134" s="14">
        <f>ROUND(tblSprzedaz[[#This Row],[Ilość]]*tblSprzedaz[[#This Row],[Koszt jednostkowy netto]],2)</f>
        <v>113.19</v>
      </c>
      <c r="O2134" s="14">
        <f>tblSprzedaz[[#This Row],[Przychód netto]]-tblSprzedaz[[#This Row],[Koszt całkowity netto]]</f>
        <v>33.180000000000007</v>
      </c>
      <c r="P2134" s="15">
        <f>IFERROR(tblSprzedaz[[#This Row],[Marża kwotowa]]/tblSprzedaz[[#This Row],[Przychód netto]],0)</f>
        <v>0.22668579626972743</v>
      </c>
      <c r="Q2134" s="16">
        <f>YEAR(tblSprzedaz[[#This Row],[Data]])</f>
        <v>2026</v>
      </c>
      <c r="R2134" s="16">
        <f>MONTH(tblSprzedaz[[#This Row],[Data]])</f>
        <v>7</v>
      </c>
      <c r="S2134" s="9" t="str">
        <f>YEAR(tblSprzedaz[[#This Row],[Data]])&amp;"-"&amp;RIGHT("0"&amp;MONTH(tblSprzedaz[[#This Row],[Data]]),2)</f>
        <v>2026-07</v>
      </c>
    </row>
    <row r="2135" spans="1:19" x14ac:dyDescent="0.25">
      <c r="A2135" s="7" t="s">
        <v>4437</v>
      </c>
      <c r="B2135" s="10">
        <v>46235</v>
      </c>
      <c r="C2135" s="7" t="s">
        <v>4438</v>
      </c>
      <c r="D2135" s="8" t="s">
        <v>117</v>
      </c>
      <c r="E2135" s="8" t="s">
        <v>51</v>
      </c>
      <c r="F2135" s="8" t="s">
        <v>29</v>
      </c>
      <c r="G2135" s="8" t="s">
        <v>28</v>
      </c>
      <c r="H2135" s="8" t="s">
        <v>38</v>
      </c>
      <c r="I2135" s="11">
        <v>7</v>
      </c>
      <c r="J2135" s="12">
        <v>51</v>
      </c>
      <c r="K2135" s="13">
        <v>0</v>
      </c>
      <c r="L2135" s="12">
        <v>29</v>
      </c>
      <c r="M2135" s="14">
        <f>ROUND(tblSprzedaz[[#This Row],[Ilość]]*tblSprzedaz[[#This Row],[Cena netto jednostkowa]]*(1-tblSprzedaz[[#This Row],[Rabat %]]),2)</f>
        <v>357</v>
      </c>
      <c r="N2135" s="14">
        <f>ROUND(tblSprzedaz[[#This Row],[Ilość]]*tblSprzedaz[[#This Row],[Koszt jednostkowy netto]],2)</f>
        <v>203</v>
      </c>
      <c r="O2135" s="14">
        <f>tblSprzedaz[[#This Row],[Przychód netto]]-tblSprzedaz[[#This Row],[Koszt całkowity netto]]</f>
        <v>154</v>
      </c>
      <c r="P2135" s="15">
        <f>IFERROR(tblSprzedaz[[#This Row],[Marża kwotowa]]/tblSprzedaz[[#This Row],[Przychód netto]],0)</f>
        <v>0.43137254901960786</v>
      </c>
      <c r="Q2135" s="16">
        <f>YEAR(tblSprzedaz[[#This Row],[Data]])</f>
        <v>2026</v>
      </c>
      <c r="R2135" s="16">
        <f>MONTH(tblSprzedaz[[#This Row],[Data]])</f>
        <v>8</v>
      </c>
      <c r="S2135" s="9" t="str">
        <f>YEAR(tblSprzedaz[[#This Row],[Data]])&amp;"-"&amp;RIGHT("0"&amp;MONTH(tblSprzedaz[[#This Row],[Data]]),2)</f>
        <v>2026-08</v>
      </c>
    </row>
    <row r="2136" spans="1:19" x14ac:dyDescent="0.25">
      <c r="A2136" s="7" t="s">
        <v>4439</v>
      </c>
      <c r="B2136" s="10">
        <v>46236</v>
      </c>
      <c r="C2136" s="7" t="s">
        <v>4440</v>
      </c>
      <c r="D2136" s="8" t="s">
        <v>123</v>
      </c>
      <c r="E2136" s="8" t="s">
        <v>55</v>
      </c>
      <c r="F2136" s="8" t="s">
        <v>31</v>
      </c>
      <c r="G2136" s="8" t="s">
        <v>34</v>
      </c>
      <c r="H2136" s="8" t="s">
        <v>44</v>
      </c>
      <c r="I2136" s="11">
        <v>2</v>
      </c>
      <c r="J2136" s="12">
        <v>243.6</v>
      </c>
      <c r="K2136" s="13">
        <v>0.05</v>
      </c>
      <c r="L2136" s="12">
        <v>154.12</v>
      </c>
      <c r="M2136" s="14">
        <f>ROUND(tblSprzedaz[[#This Row],[Ilość]]*tblSprzedaz[[#This Row],[Cena netto jednostkowa]]*(1-tblSprzedaz[[#This Row],[Rabat %]]),2)</f>
        <v>462.84</v>
      </c>
      <c r="N2136" s="14">
        <f>ROUND(tblSprzedaz[[#This Row],[Ilość]]*tblSprzedaz[[#This Row],[Koszt jednostkowy netto]],2)</f>
        <v>308.24</v>
      </c>
      <c r="O2136" s="14">
        <f>tblSprzedaz[[#This Row],[Przychód netto]]-tblSprzedaz[[#This Row],[Koszt całkowity netto]]</f>
        <v>154.59999999999997</v>
      </c>
      <c r="P2136" s="15">
        <f>IFERROR(tblSprzedaz[[#This Row],[Marża kwotowa]]/tblSprzedaz[[#This Row],[Przychód netto]],0)</f>
        <v>0.33402471696482583</v>
      </c>
      <c r="Q2136" s="16">
        <f>YEAR(tblSprzedaz[[#This Row],[Data]])</f>
        <v>2026</v>
      </c>
      <c r="R2136" s="16">
        <f>MONTH(tblSprzedaz[[#This Row],[Data]])</f>
        <v>8</v>
      </c>
      <c r="S2136" s="9" t="str">
        <f>YEAR(tblSprzedaz[[#This Row],[Data]])&amp;"-"&amp;RIGHT("0"&amp;MONTH(tblSprzedaz[[#This Row],[Data]]),2)</f>
        <v>2026-08</v>
      </c>
    </row>
    <row r="2137" spans="1:19" x14ac:dyDescent="0.25">
      <c r="A2137" s="7" t="s">
        <v>4441</v>
      </c>
      <c r="B2137" s="10">
        <v>46237</v>
      </c>
      <c r="C2137" s="7" t="s">
        <v>4442</v>
      </c>
      <c r="D2137" s="8" t="s">
        <v>133</v>
      </c>
      <c r="E2137" s="8" t="s">
        <v>76</v>
      </c>
      <c r="F2137" s="8" t="s">
        <v>37</v>
      </c>
      <c r="G2137" s="8" t="s">
        <v>30</v>
      </c>
      <c r="H2137" s="8" t="s">
        <v>41</v>
      </c>
      <c r="I2137" s="11">
        <v>5</v>
      </c>
      <c r="J2137" s="12">
        <v>158.65</v>
      </c>
      <c r="K2137" s="13">
        <v>0</v>
      </c>
      <c r="L2137" s="12">
        <v>127.76</v>
      </c>
      <c r="M2137" s="14">
        <f>ROUND(tblSprzedaz[[#This Row],[Ilość]]*tblSprzedaz[[#This Row],[Cena netto jednostkowa]]*(1-tblSprzedaz[[#This Row],[Rabat %]]),2)</f>
        <v>793.25</v>
      </c>
      <c r="N2137" s="14">
        <f>ROUND(tblSprzedaz[[#This Row],[Ilość]]*tblSprzedaz[[#This Row],[Koszt jednostkowy netto]],2)</f>
        <v>638.79999999999995</v>
      </c>
      <c r="O2137" s="14">
        <f>tblSprzedaz[[#This Row],[Przychód netto]]-tblSprzedaz[[#This Row],[Koszt całkowity netto]]</f>
        <v>154.45000000000005</v>
      </c>
      <c r="P2137" s="15">
        <f>IFERROR(tblSprzedaz[[#This Row],[Marża kwotowa]]/tblSprzedaz[[#This Row],[Przychód netto]],0)</f>
        <v>0.19470532618972586</v>
      </c>
      <c r="Q2137" s="16">
        <f>YEAR(tblSprzedaz[[#This Row],[Data]])</f>
        <v>2026</v>
      </c>
      <c r="R2137" s="16">
        <f>MONTH(tblSprzedaz[[#This Row],[Data]])</f>
        <v>8</v>
      </c>
      <c r="S2137" s="9" t="str">
        <f>YEAR(tblSprzedaz[[#This Row],[Data]])&amp;"-"&amp;RIGHT("0"&amp;MONTH(tblSprzedaz[[#This Row],[Data]]),2)</f>
        <v>2026-08</v>
      </c>
    </row>
    <row r="2138" spans="1:19" x14ac:dyDescent="0.25">
      <c r="A2138" s="7" t="s">
        <v>4443</v>
      </c>
      <c r="B2138" s="10">
        <v>46237</v>
      </c>
      <c r="C2138" s="7" t="s">
        <v>4444</v>
      </c>
      <c r="D2138" s="8" t="s">
        <v>91</v>
      </c>
      <c r="E2138" s="8" t="s">
        <v>51</v>
      </c>
      <c r="F2138" s="8" t="s">
        <v>29</v>
      </c>
      <c r="G2138" s="8" t="s">
        <v>32</v>
      </c>
      <c r="H2138" s="8" t="s">
        <v>43</v>
      </c>
      <c r="I2138" s="11">
        <v>12</v>
      </c>
      <c r="J2138" s="12">
        <v>51</v>
      </c>
      <c r="K2138" s="13">
        <v>0</v>
      </c>
      <c r="L2138" s="12">
        <v>32.020000000000003</v>
      </c>
      <c r="M2138" s="14">
        <f>ROUND(tblSprzedaz[[#This Row],[Ilość]]*tblSprzedaz[[#This Row],[Cena netto jednostkowa]]*(1-tblSprzedaz[[#This Row],[Rabat %]]),2)</f>
        <v>612</v>
      </c>
      <c r="N2138" s="14">
        <f>ROUND(tblSprzedaz[[#This Row],[Ilość]]*tblSprzedaz[[#This Row],[Koszt jednostkowy netto]],2)</f>
        <v>384.24</v>
      </c>
      <c r="O2138" s="14">
        <f>tblSprzedaz[[#This Row],[Przychód netto]]-tblSprzedaz[[#This Row],[Koszt całkowity netto]]</f>
        <v>227.76</v>
      </c>
      <c r="P2138" s="15">
        <f>IFERROR(tblSprzedaz[[#This Row],[Marża kwotowa]]/tblSprzedaz[[#This Row],[Przychód netto]],0)</f>
        <v>0.37215686274509802</v>
      </c>
      <c r="Q2138" s="16">
        <f>YEAR(tblSprzedaz[[#This Row],[Data]])</f>
        <v>2026</v>
      </c>
      <c r="R2138" s="16">
        <f>MONTH(tblSprzedaz[[#This Row],[Data]])</f>
        <v>8</v>
      </c>
      <c r="S2138" s="9" t="str">
        <f>YEAR(tblSprzedaz[[#This Row],[Data]])&amp;"-"&amp;RIGHT("0"&amp;MONTH(tblSprzedaz[[#This Row],[Data]]),2)</f>
        <v>2026-08</v>
      </c>
    </row>
    <row r="2139" spans="1:19" x14ac:dyDescent="0.25">
      <c r="A2139" s="7" t="s">
        <v>4445</v>
      </c>
      <c r="B2139" s="10">
        <v>46237</v>
      </c>
      <c r="C2139" s="7" t="s">
        <v>4446</v>
      </c>
      <c r="D2139" s="8" t="s">
        <v>149</v>
      </c>
      <c r="E2139" s="8" t="s">
        <v>53</v>
      </c>
      <c r="F2139" s="8" t="s">
        <v>29</v>
      </c>
      <c r="G2139" s="8" t="s">
        <v>30</v>
      </c>
      <c r="H2139" s="8" t="s">
        <v>40</v>
      </c>
      <c r="I2139" s="11">
        <v>11</v>
      </c>
      <c r="J2139" s="12">
        <v>27.88</v>
      </c>
      <c r="K2139" s="13">
        <v>0.1</v>
      </c>
      <c r="L2139" s="12">
        <v>17.21</v>
      </c>
      <c r="M2139" s="14">
        <f>ROUND(tblSprzedaz[[#This Row],[Ilość]]*tblSprzedaz[[#This Row],[Cena netto jednostkowa]]*(1-tblSprzedaz[[#This Row],[Rabat %]]),2)</f>
        <v>276.01</v>
      </c>
      <c r="N2139" s="14">
        <f>ROUND(tblSprzedaz[[#This Row],[Ilość]]*tblSprzedaz[[#This Row],[Koszt jednostkowy netto]],2)</f>
        <v>189.31</v>
      </c>
      <c r="O2139" s="14">
        <f>tblSprzedaz[[#This Row],[Przychód netto]]-tblSprzedaz[[#This Row],[Koszt całkowity netto]]</f>
        <v>86.699999999999989</v>
      </c>
      <c r="P2139" s="15">
        <f>IFERROR(tblSprzedaz[[#This Row],[Marża kwotowa]]/tblSprzedaz[[#This Row],[Przychód netto]],0)</f>
        <v>0.31411905365747617</v>
      </c>
      <c r="Q2139" s="16">
        <f>YEAR(tblSprzedaz[[#This Row],[Data]])</f>
        <v>2026</v>
      </c>
      <c r="R2139" s="16">
        <f>MONTH(tblSprzedaz[[#This Row],[Data]])</f>
        <v>8</v>
      </c>
      <c r="S2139" s="9" t="str">
        <f>YEAR(tblSprzedaz[[#This Row],[Data]])&amp;"-"&amp;RIGHT("0"&amp;MONTH(tblSprzedaz[[#This Row],[Data]]),2)</f>
        <v>2026-08</v>
      </c>
    </row>
    <row r="2140" spans="1:19" x14ac:dyDescent="0.25">
      <c r="A2140" s="7" t="s">
        <v>4447</v>
      </c>
      <c r="B2140" s="10">
        <v>46237</v>
      </c>
      <c r="C2140" s="7" t="s">
        <v>4448</v>
      </c>
      <c r="D2140" s="8" t="s">
        <v>110</v>
      </c>
      <c r="E2140" s="8" t="s">
        <v>58</v>
      </c>
      <c r="F2140" s="8" t="s">
        <v>31</v>
      </c>
      <c r="G2140" s="8" t="s">
        <v>36</v>
      </c>
      <c r="H2140" s="8" t="s">
        <v>47</v>
      </c>
      <c r="I2140" s="11">
        <v>2</v>
      </c>
      <c r="J2140" s="12">
        <v>350.7</v>
      </c>
      <c r="K2140" s="13">
        <v>0.1</v>
      </c>
      <c r="L2140" s="12">
        <v>219.5</v>
      </c>
      <c r="M2140" s="14">
        <f>ROUND(tblSprzedaz[[#This Row],[Ilość]]*tblSprzedaz[[#This Row],[Cena netto jednostkowa]]*(1-tblSprzedaz[[#This Row],[Rabat %]]),2)</f>
        <v>631.26</v>
      </c>
      <c r="N2140" s="14">
        <f>ROUND(tblSprzedaz[[#This Row],[Ilość]]*tblSprzedaz[[#This Row],[Koszt jednostkowy netto]],2)</f>
        <v>439</v>
      </c>
      <c r="O2140" s="14">
        <f>tblSprzedaz[[#This Row],[Przychód netto]]-tblSprzedaz[[#This Row],[Koszt całkowity netto]]</f>
        <v>192.26</v>
      </c>
      <c r="P2140" s="15">
        <f>IFERROR(tblSprzedaz[[#This Row],[Marża kwotowa]]/tblSprzedaz[[#This Row],[Przychód netto]],0)</f>
        <v>0.30456547223014285</v>
      </c>
      <c r="Q2140" s="16">
        <f>YEAR(tblSprzedaz[[#This Row],[Data]])</f>
        <v>2026</v>
      </c>
      <c r="R2140" s="16">
        <f>MONTH(tblSprzedaz[[#This Row],[Data]])</f>
        <v>8</v>
      </c>
      <c r="S2140" s="9" t="str">
        <f>YEAR(tblSprzedaz[[#This Row],[Data]])&amp;"-"&amp;RIGHT("0"&amp;MONTH(tblSprzedaz[[#This Row],[Data]]),2)</f>
        <v>2026-08</v>
      </c>
    </row>
    <row r="2141" spans="1:19" x14ac:dyDescent="0.25">
      <c r="A2141" s="7" t="s">
        <v>4449</v>
      </c>
      <c r="B2141" s="10">
        <v>46237</v>
      </c>
      <c r="C2141" s="7" t="s">
        <v>4450</v>
      </c>
      <c r="D2141" s="8" t="s">
        <v>96</v>
      </c>
      <c r="E2141" s="8" t="s">
        <v>58</v>
      </c>
      <c r="F2141" s="8" t="s">
        <v>31</v>
      </c>
      <c r="G2141" s="8" t="s">
        <v>32</v>
      </c>
      <c r="H2141" s="8" t="s">
        <v>43</v>
      </c>
      <c r="I2141" s="11">
        <v>26</v>
      </c>
      <c r="J2141" s="12">
        <v>350.7</v>
      </c>
      <c r="K2141" s="13">
        <v>0.05</v>
      </c>
      <c r="L2141" s="12">
        <v>232.12</v>
      </c>
      <c r="M2141" s="14">
        <f>ROUND(tblSprzedaz[[#This Row],[Ilość]]*tblSprzedaz[[#This Row],[Cena netto jednostkowa]]*(1-tblSprzedaz[[#This Row],[Rabat %]]),2)</f>
        <v>8662.2900000000009</v>
      </c>
      <c r="N2141" s="14">
        <f>ROUND(tblSprzedaz[[#This Row],[Ilość]]*tblSprzedaz[[#This Row],[Koszt jednostkowy netto]],2)</f>
        <v>6035.12</v>
      </c>
      <c r="O2141" s="14">
        <f>tblSprzedaz[[#This Row],[Przychód netto]]-tblSprzedaz[[#This Row],[Koszt całkowity netto]]</f>
        <v>2627.170000000001</v>
      </c>
      <c r="P2141" s="15">
        <f>IFERROR(tblSprzedaz[[#This Row],[Marża kwotowa]]/tblSprzedaz[[#This Row],[Przychód netto]],0)</f>
        <v>0.30328816052106322</v>
      </c>
      <c r="Q2141" s="16">
        <f>YEAR(tblSprzedaz[[#This Row],[Data]])</f>
        <v>2026</v>
      </c>
      <c r="R2141" s="16">
        <f>MONTH(tblSprzedaz[[#This Row],[Data]])</f>
        <v>8</v>
      </c>
      <c r="S2141" s="9" t="str">
        <f>YEAR(tblSprzedaz[[#This Row],[Data]])&amp;"-"&amp;RIGHT("0"&amp;MONTH(tblSprzedaz[[#This Row],[Data]]),2)</f>
        <v>2026-08</v>
      </c>
    </row>
    <row r="2142" spans="1:19" x14ac:dyDescent="0.25">
      <c r="A2142" s="7" t="s">
        <v>4451</v>
      </c>
      <c r="B2142" s="10">
        <v>46238</v>
      </c>
      <c r="C2142" s="7" t="s">
        <v>4452</v>
      </c>
      <c r="D2142" s="8" t="s">
        <v>125</v>
      </c>
      <c r="E2142" s="8" t="s">
        <v>73</v>
      </c>
      <c r="F2142" s="8" t="s">
        <v>37</v>
      </c>
      <c r="G2142" s="8" t="s">
        <v>34</v>
      </c>
      <c r="H2142" s="8" t="s">
        <v>44</v>
      </c>
      <c r="I2142" s="11">
        <v>8</v>
      </c>
      <c r="J2142" s="12">
        <v>110.2</v>
      </c>
      <c r="K2142" s="13">
        <v>0.15</v>
      </c>
      <c r="L2142" s="12">
        <v>85.3</v>
      </c>
      <c r="M2142" s="14">
        <f>ROUND(tblSprzedaz[[#This Row],[Ilość]]*tblSprzedaz[[#This Row],[Cena netto jednostkowa]]*(1-tblSprzedaz[[#This Row],[Rabat %]]),2)</f>
        <v>749.36</v>
      </c>
      <c r="N2142" s="14">
        <f>ROUND(tblSprzedaz[[#This Row],[Ilość]]*tblSprzedaz[[#This Row],[Koszt jednostkowy netto]],2)</f>
        <v>682.4</v>
      </c>
      <c r="O2142" s="14">
        <f>tblSprzedaz[[#This Row],[Przychód netto]]-tblSprzedaz[[#This Row],[Koszt całkowity netto]]</f>
        <v>66.960000000000036</v>
      </c>
      <c r="P2142" s="15">
        <f>IFERROR(tblSprzedaz[[#This Row],[Marża kwotowa]]/tblSprzedaz[[#This Row],[Przychód netto]],0)</f>
        <v>8.9356250667236084E-2</v>
      </c>
      <c r="Q2142" s="16">
        <f>YEAR(tblSprzedaz[[#This Row],[Data]])</f>
        <v>2026</v>
      </c>
      <c r="R2142" s="16">
        <f>MONTH(tblSprzedaz[[#This Row],[Data]])</f>
        <v>8</v>
      </c>
      <c r="S2142" s="9" t="str">
        <f>YEAR(tblSprzedaz[[#This Row],[Data]])&amp;"-"&amp;RIGHT("0"&amp;MONTH(tblSprzedaz[[#This Row],[Data]]),2)</f>
        <v>2026-08</v>
      </c>
    </row>
    <row r="2143" spans="1:19" x14ac:dyDescent="0.25">
      <c r="A2143" s="7" t="s">
        <v>4453</v>
      </c>
      <c r="B2143" s="10">
        <v>46238</v>
      </c>
      <c r="C2143" s="7" t="s">
        <v>4454</v>
      </c>
      <c r="D2143" s="8" t="s">
        <v>92</v>
      </c>
      <c r="E2143" s="8" t="s">
        <v>49</v>
      </c>
      <c r="F2143" s="8" t="s">
        <v>29</v>
      </c>
      <c r="G2143" s="8" t="s">
        <v>32</v>
      </c>
      <c r="H2143" s="8" t="s">
        <v>42</v>
      </c>
      <c r="I2143" s="11">
        <v>9</v>
      </c>
      <c r="J2143" s="12">
        <v>39.44</v>
      </c>
      <c r="K2143" s="13">
        <v>0.1</v>
      </c>
      <c r="L2143" s="12">
        <v>24.84</v>
      </c>
      <c r="M2143" s="14">
        <f>ROUND(tblSprzedaz[[#This Row],[Ilość]]*tblSprzedaz[[#This Row],[Cena netto jednostkowa]]*(1-tblSprzedaz[[#This Row],[Rabat %]]),2)</f>
        <v>319.45999999999998</v>
      </c>
      <c r="N2143" s="14">
        <f>ROUND(tblSprzedaz[[#This Row],[Ilość]]*tblSprzedaz[[#This Row],[Koszt jednostkowy netto]],2)</f>
        <v>223.56</v>
      </c>
      <c r="O2143" s="14">
        <f>tblSprzedaz[[#This Row],[Przychód netto]]-tblSprzedaz[[#This Row],[Koszt całkowity netto]]</f>
        <v>95.899999999999977</v>
      </c>
      <c r="P2143" s="15">
        <f>IFERROR(tblSprzedaz[[#This Row],[Marża kwotowa]]/tblSprzedaz[[#This Row],[Przychód netto]],0)</f>
        <v>0.30019407750579097</v>
      </c>
      <c r="Q2143" s="16">
        <f>YEAR(tblSprzedaz[[#This Row],[Data]])</f>
        <v>2026</v>
      </c>
      <c r="R2143" s="16">
        <f>MONTH(tblSprzedaz[[#This Row],[Data]])</f>
        <v>8</v>
      </c>
      <c r="S2143" s="9" t="str">
        <f>YEAR(tblSprzedaz[[#This Row],[Data]])&amp;"-"&amp;RIGHT("0"&amp;MONTH(tblSprzedaz[[#This Row],[Data]]),2)</f>
        <v>2026-08</v>
      </c>
    </row>
    <row r="2144" spans="1:19" x14ac:dyDescent="0.25">
      <c r="A2144" s="7" t="s">
        <v>4455</v>
      </c>
      <c r="B2144" s="10">
        <v>46238</v>
      </c>
      <c r="C2144" s="7" t="s">
        <v>4456</v>
      </c>
      <c r="D2144" s="8" t="s">
        <v>106</v>
      </c>
      <c r="E2144" s="8" t="s">
        <v>63</v>
      </c>
      <c r="F2144" s="8" t="s">
        <v>33</v>
      </c>
      <c r="G2144" s="8" t="s">
        <v>28</v>
      </c>
      <c r="H2144" s="8" t="s">
        <v>39</v>
      </c>
      <c r="I2144" s="11">
        <v>14</v>
      </c>
      <c r="J2144" s="12">
        <v>690</v>
      </c>
      <c r="K2144" s="13">
        <v>0</v>
      </c>
      <c r="L2144" s="12">
        <v>442.03</v>
      </c>
      <c r="M2144" s="14">
        <f>ROUND(tblSprzedaz[[#This Row],[Ilość]]*tblSprzedaz[[#This Row],[Cena netto jednostkowa]]*(1-tblSprzedaz[[#This Row],[Rabat %]]),2)</f>
        <v>9660</v>
      </c>
      <c r="N2144" s="14">
        <f>ROUND(tblSprzedaz[[#This Row],[Ilość]]*tblSprzedaz[[#This Row],[Koszt jednostkowy netto]],2)</f>
        <v>6188.42</v>
      </c>
      <c r="O2144" s="14">
        <f>tblSprzedaz[[#This Row],[Przychód netto]]-tblSprzedaz[[#This Row],[Koszt całkowity netto]]</f>
        <v>3471.58</v>
      </c>
      <c r="P2144" s="15">
        <f>IFERROR(tblSprzedaz[[#This Row],[Marża kwotowa]]/tblSprzedaz[[#This Row],[Przychód netto]],0)</f>
        <v>0.35937681159420287</v>
      </c>
      <c r="Q2144" s="16">
        <f>YEAR(tblSprzedaz[[#This Row],[Data]])</f>
        <v>2026</v>
      </c>
      <c r="R2144" s="16">
        <f>MONTH(tblSprzedaz[[#This Row],[Data]])</f>
        <v>8</v>
      </c>
      <c r="S2144" s="9" t="str">
        <f>YEAR(tblSprzedaz[[#This Row],[Data]])&amp;"-"&amp;RIGHT("0"&amp;MONTH(tblSprzedaz[[#This Row],[Data]]),2)</f>
        <v>2026-08</v>
      </c>
    </row>
    <row r="2145" spans="1:19" x14ac:dyDescent="0.25">
      <c r="A2145" s="7" t="s">
        <v>4457</v>
      </c>
      <c r="B2145" s="10">
        <v>46238</v>
      </c>
      <c r="C2145" s="7" t="s">
        <v>4458</v>
      </c>
      <c r="D2145" s="8" t="s">
        <v>109</v>
      </c>
      <c r="E2145" s="8" t="s">
        <v>72</v>
      </c>
      <c r="F2145" s="8" t="s">
        <v>37</v>
      </c>
      <c r="G2145" s="8" t="s">
        <v>32</v>
      </c>
      <c r="H2145" s="8" t="s">
        <v>43</v>
      </c>
      <c r="I2145" s="11">
        <v>14</v>
      </c>
      <c r="J2145" s="12">
        <v>94.05</v>
      </c>
      <c r="K2145" s="13">
        <v>0.1</v>
      </c>
      <c r="L2145" s="12">
        <v>70.03</v>
      </c>
      <c r="M2145" s="14">
        <f>ROUND(tblSprzedaz[[#This Row],[Ilość]]*tblSprzedaz[[#This Row],[Cena netto jednostkowa]]*(1-tblSprzedaz[[#This Row],[Rabat %]]),2)</f>
        <v>1185.03</v>
      </c>
      <c r="N2145" s="14">
        <f>ROUND(tblSprzedaz[[#This Row],[Ilość]]*tblSprzedaz[[#This Row],[Koszt jednostkowy netto]],2)</f>
        <v>980.42</v>
      </c>
      <c r="O2145" s="14">
        <f>tblSprzedaz[[#This Row],[Przychód netto]]-tblSprzedaz[[#This Row],[Koszt całkowity netto]]</f>
        <v>204.61</v>
      </c>
      <c r="P2145" s="15">
        <f>IFERROR(tblSprzedaz[[#This Row],[Marża kwotowa]]/tblSprzedaz[[#This Row],[Przychód netto]],0)</f>
        <v>0.17266229546931303</v>
      </c>
      <c r="Q2145" s="16">
        <f>YEAR(tblSprzedaz[[#This Row],[Data]])</f>
        <v>2026</v>
      </c>
      <c r="R2145" s="16">
        <f>MONTH(tblSprzedaz[[#This Row],[Data]])</f>
        <v>8</v>
      </c>
      <c r="S2145" s="9" t="str">
        <f>YEAR(tblSprzedaz[[#This Row],[Data]])&amp;"-"&amp;RIGHT("0"&amp;MONTH(tblSprzedaz[[#This Row],[Data]]),2)</f>
        <v>2026-08</v>
      </c>
    </row>
    <row r="2146" spans="1:19" x14ac:dyDescent="0.25">
      <c r="A2146" s="7" t="s">
        <v>4459</v>
      </c>
      <c r="B2146" s="10">
        <v>46238</v>
      </c>
      <c r="C2146" s="7" t="s">
        <v>4460</v>
      </c>
      <c r="D2146" s="8" t="s">
        <v>123</v>
      </c>
      <c r="E2146" s="8" t="s">
        <v>51</v>
      </c>
      <c r="F2146" s="8" t="s">
        <v>29</v>
      </c>
      <c r="G2146" s="8" t="s">
        <v>32</v>
      </c>
      <c r="H2146" s="8" t="s">
        <v>42</v>
      </c>
      <c r="I2146" s="11">
        <v>4</v>
      </c>
      <c r="J2146" s="12">
        <v>51</v>
      </c>
      <c r="K2146" s="13">
        <v>0.1</v>
      </c>
      <c r="L2146" s="12">
        <v>29.67</v>
      </c>
      <c r="M2146" s="14">
        <f>ROUND(tblSprzedaz[[#This Row],[Ilość]]*tblSprzedaz[[#This Row],[Cena netto jednostkowa]]*(1-tblSprzedaz[[#This Row],[Rabat %]]),2)</f>
        <v>183.6</v>
      </c>
      <c r="N2146" s="14">
        <f>ROUND(tblSprzedaz[[#This Row],[Ilość]]*tblSprzedaz[[#This Row],[Koszt jednostkowy netto]],2)</f>
        <v>118.68</v>
      </c>
      <c r="O2146" s="14">
        <f>tblSprzedaz[[#This Row],[Przychód netto]]-tblSprzedaz[[#This Row],[Koszt całkowity netto]]</f>
        <v>64.919999999999987</v>
      </c>
      <c r="P2146" s="15">
        <f>IFERROR(tblSprzedaz[[#This Row],[Marża kwotowa]]/tblSprzedaz[[#This Row],[Przychód netto]],0)</f>
        <v>0.35359477124183003</v>
      </c>
      <c r="Q2146" s="16">
        <f>YEAR(tblSprzedaz[[#This Row],[Data]])</f>
        <v>2026</v>
      </c>
      <c r="R2146" s="16">
        <f>MONTH(tblSprzedaz[[#This Row],[Data]])</f>
        <v>8</v>
      </c>
      <c r="S2146" s="9" t="str">
        <f>YEAR(tblSprzedaz[[#This Row],[Data]])&amp;"-"&amp;RIGHT("0"&amp;MONTH(tblSprzedaz[[#This Row],[Data]]),2)</f>
        <v>2026-08</v>
      </c>
    </row>
    <row r="2147" spans="1:19" x14ac:dyDescent="0.25">
      <c r="A2147" s="7" t="s">
        <v>4461</v>
      </c>
      <c r="B2147" s="10">
        <v>46239</v>
      </c>
      <c r="C2147" s="7" t="s">
        <v>4462</v>
      </c>
      <c r="D2147" s="8" t="s">
        <v>115</v>
      </c>
      <c r="E2147" s="8" t="s">
        <v>70</v>
      </c>
      <c r="F2147" s="8" t="s">
        <v>35</v>
      </c>
      <c r="G2147" s="8" t="s">
        <v>36</v>
      </c>
      <c r="H2147" s="8" t="s">
        <v>47</v>
      </c>
      <c r="I2147" s="11">
        <v>8</v>
      </c>
      <c r="J2147" s="12">
        <v>113.56</v>
      </c>
      <c r="K2147" s="13">
        <v>0</v>
      </c>
      <c r="L2147" s="12">
        <v>78.81</v>
      </c>
      <c r="M2147" s="14">
        <f>ROUND(tblSprzedaz[[#This Row],[Ilość]]*tblSprzedaz[[#This Row],[Cena netto jednostkowa]]*(1-tblSprzedaz[[#This Row],[Rabat %]]),2)</f>
        <v>908.48</v>
      </c>
      <c r="N2147" s="14">
        <f>ROUND(tblSprzedaz[[#This Row],[Ilość]]*tblSprzedaz[[#This Row],[Koszt jednostkowy netto]],2)</f>
        <v>630.48</v>
      </c>
      <c r="O2147" s="14">
        <f>tblSprzedaz[[#This Row],[Przychód netto]]-tblSprzedaz[[#This Row],[Koszt całkowity netto]]</f>
        <v>278</v>
      </c>
      <c r="P2147" s="15">
        <f>IFERROR(tblSprzedaz[[#This Row],[Marża kwotowa]]/tblSprzedaz[[#This Row],[Przychód netto]],0)</f>
        <v>0.30600563578724904</v>
      </c>
      <c r="Q2147" s="16">
        <f>YEAR(tblSprzedaz[[#This Row],[Data]])</f>
        <v>2026</v>
      </c>
      <c r="R2147" s="16">
        <f>MONTH(tblSprzedaz[[#This Row],[Data]])</f>
        <v>8</v>
      </c>
      <c r="S2147" s="9" t="str">
        <f>YEAR(tblSprzedaz[[#This Row],[Data]])&amp;"-"&amp;RIGHT("0"&amp;MONTH(tblSprzedaz[[#This Row],[Data]]),2)</f>
        <v>2026-08</v>
      </c>
    </row>
    <row r="2148" spans="1:19" x14ac:dyDescent="0.25">
      <c r="A2148" s="7" t="s">
        <v>4463</v>
      </c>
      <c r="B2148" s="10">
        <v>46239</v>
      </c>
      <c r="C2148" s="7" t="s">
        <v>4464</v>
      </c>
      <c r="D2148" s="8" t="s">
        <v>87</v>
      </c>
      <c r="E2148" s="8" t="s">
        <v>62</v>
      </c>
      <c r="F2148" s="8" t="s">
        <v>33</v>
      </c>
      <c r="G2148" s="8" t="s">
        <v>28</v>
      </c>
      <c r="H2148" s="8" t="s">
        <v>38</v>
      </c>
      <c r="I2148" s="11">
        <v>14</v>
      </c>
      <c r="J2148" s="12">
        <v>611.79999999999995</v>
      </c>
      <c r="K2148" s="13">
        <v>0</v>
      </c>
      <c r="L2148" s="12">
        <v>395.5</v>
      </c>
      <c r="M2148" s="14">
        <f>ROUND(tblSprzedaz[[#This Row],[Ilość]]*tblSprzedaz[[#This Row],[Cena netto jednostkowa]]*(1-tblSprzedaz[[#This Row],[Rabat %]]),2)</f>
        <v>8565.2000000000007</v>
      </c>
      <c r="N2148" s="14">
        <f>ROUND(tblSprzedaz[[#This Row],[Ilość]]*tblSprzedaz[[#This Row],[Koszt jednostkowy netto]],2)</f>
        <v>5537</v>
      </c>
      <c r="O2148" s="14">
        <f>tblSprzedaz[[#This Row],[Przychód netto]]-tblSprzedaz[[#This Row],[Koszt całkowity netto]]</f>
        <v>3028.2000000000007</v>
      </c>
      <c r="P2148" s="15">
        <f>IFERROR(tblSprzedaz[[#This Row],[Marża kwotowa]]/tblSprzedaz[[#This Row],[Przychód netto]],0)</f>
        <v>0.35354691075514877</v>
      </c>
      <c r="Q2148" s="16">
        <f>YEAR(tblSprzedaz[[#This Row],[Data]])</f>
        <v>2026</v>
      </c>
      <c r="R2148" s="16">
        <f>MONTH(tblSprzedaz[[#This Row],[Data]])</f>
        <v>8</v>
      </c>
      <c r="S2148" s="9" t="str">
        <f>YEAR(tblSprzedaz[[#This Row],[Data]])&amp;"-"&amp;RIGHT("0"&amp;MONTH(tblSprzedaz[[#This Row],[Data]]),2)</f>
        <v>2026-08</v>
      </c>
    </row>
    <row r="2149" spans="1:19" x14ac:dyDescent="0.25">
      <c r="A2149" s="7" t="s">
        <v>4465</v>
      </c>
      <c r="B2149" s="10">
        <v>46239</v>
      </c>
      <c r="C2149" s="7" t="s">
        <v>4466</v>
      </c>
      <c r="D2149" s="8" t="s">
        <v>101</v>
      </c>
      <c r="E2149" s="8" t="s">
        <v>56</v>
      </c>
      <c r="F2149" s="8" t="s">
        <v>31</v>
      </c>
      <c r="G2149" s="8" t="s">
        <v>32</v>
      </c>
      <c r="H2149" s="8" t="s">
        <v>42</v>
      </c>
      <c r="I2149" s="11">
        <v>16</v>
      </c>
      <c r="J2149" s="12">
        <v>279.3</v>
      </c>
      <c r="K2149" s="13">
        <v>0.05</v>
      </c>
      <c r="L2149" s="12">
        <v>169.67</v>
      </c>
      <c r="M2149" s="14">
        <f>ROUND(tblSprzedaz[[#This Row],[Ilość]]*tblSprzedaz[[#This Row],[Cena netto jednostkowa]]*(1-tblSprzedaz[[#This Row],[Rabat %]]),2)</f>
        <v>4245.3599999999997</v>
      </c>
      <c r="N2149" s="14">
        <f>ROUND(tblSprzedaz[[#This Row],[Ilość]]*tblSprzedaz[[#This Row],[Koszt jednostkowy netto]],2)</f>
        <v>2714.72</v>
      </c>
      <c r="O2149" s="14">
        <f>tblSprzedaz[[#This Row],[Przychód netto]]-tblSprzedaz[[#This Row],[Koszt całkowity netto]]</f>
        <v>1530.6399999999999</v>
      </c>
      <c r="P2149" s="15">
        <f>IFERROR(tblSprzedaz[[#This Row],[Marża kwotowa]]/tblSprzedaz[[#This Row],[Przychód netto]],0)</f>
        <v>0.36054421768707484</v>
      </c>
      <c r="Q2149" s="16">
        <f>YEAR(tblSprzedaz[[#This Row],[Data]])</f>
        <v>2026</v>
      </c>
      <c r="R2149" s="16">
        <f>MONTH(tblSprzedaz[[#This Row],[Data]])</f>
        <v>8</v>
      </c>
      <c r="S2149" s="9" t="str">
        <f>YEAR(tblSprzedaz[[#This Row],[Data]])&amp;"-"&amp;RIGHT("0"&amp;MONTH(tblSprzedaz[[#This Row],[Data]]),2)</f>
        <v>2026-08</v>
      </c>
    </row>
    <row r="2150" spans="1:19" x14ac:dyDescent="0.25">
      <c r="A2150" s="7" t="s">
        <v>4467</v>
      </c>
      <c r="B2150" s="10">
        <v>46239</v>
      </c>
      <c r="C2150" s="7" t="s">
        <v>4468</v>
      </c>
      <c r="D2150" s="8" t="s">
        <v>112</v>
      </c>
      <c r="E2150" s="8" t="s">
        <v>49</v>
      </c>
      <c r="F2150" s="8" t="s">
        <v>29</v>
      </c>
      <c r="G2150" s="8" t="s">
        <v>32</v>
      </c>
      <c r="H2150" s="8" t="s">
        <v>42</v>
      </c>
      <c r="I2150" s="11">
        <v>25</v>
      </c>
      <c r="J2150" s="12">
        <v>39.44</v>
      </c>
      <c r="K2150" s="13">
        <v>0.1</v>
      </c>
      <c r="L2150" s="12">
        <v>23.9</v>
      </c>
      <c r="M2150" s="14">
        <f>ROUND(tblSprzedaz[[#This Row],[Ilość]]*tblSprzedaz[[#This Row],[Cena netto jednostkowa]]*(1-tblSprzedaz[[#This Row],[Rabat %]]),2)</f>
        <v>887.4</v>
      </c>
      <c r="N2150" s="14">
        <f>ROUND(tblSprzedaz[[#This Row],[Ilość]]*tblSprzedaz[[#This Row],[Koszt jednostkowy netto]],2)</f>
        <v>597.5</v>
      </c>
      <c r="O2150" s="14">
        <f>tblSprzedaz[[#This Row],[Przychód netto]]-tblSprzedaz[[#This Row],[Koszt całkowity netto]]</f>
        <v>289.89999999999998</v>
      </c>
      <c r="P2150" s="15">
        <f>IFERROR(tblSprzedaz[[#This Row],[Marża kwotowa]]/tblSprzedaz[[#This Row],[Przychód netto]],0)</f>
        <v>0.32668469686725266</v>
      </c>
      <c r="Q2150" s="16">
        <f>YEAR(tblSprzedaz[[#This Row],[Data]])</f>
        <v>2026</v>
      </c>
      <c r="R2150" s="16">
        <f>MONTH(tblSprzedaz[[#This Row],[Data]])</f>
        <v>8</v>
      </c>
      <c r="S2150" s="9" t="str">
        <f>YEAR(tblSprzedaz[[#This Row],[Data]])&amp;"-"&amp;RIGHT("0"&amp;MONTH(tblSprzedaz[[#This Row],[Data]]),2)</f>
        <v>2026-08</v>
      </c>
    </row>
    <row r="2151" spans="1:19" x14ac:dyDescent="0.25">
      <c r="A2151" s="7" t="s">
        <v>4469</v>
      </c>
      <c r="B2151" s="10">
        <v>46239</v>
      </c>
      <c r="C2151" s="7" t="s">
        <v>4470</v>
      </c>
      <c r="D2151" s="8" t="s">
        <v>144</v>
      </c>
      <c r="E2151" s="8" t="s">
        <v>67</v>
      </c>
      <c r="F2151" s="8" t="s">
        <v>35</v>
      </c>
      <c r="G2151" s="8" t="s">
        <v>32</v>
      </c>
      <c r="H2151" s="8" t="s">
        <v>43</v>
      </c>
      <c r="I2151" s="11">
        <v>25</v>
      </c>
      <c r="J2151" s="12">
        <v>78.88</v>
      </c>
      <c r="K2151" s="13">
        <v>0.1</v>
      </c>
      <c r="L2151" s="12">
        <v>55.54</v>
      </c>
      <c r="M2151" s="14">
        <f>ROUND(tblSprzedaz[[#This Row],[Ilość]]*tblSprzedaz[[#This Row],[Cena netto jednostkowa]]*(1-tblSprzedaz[[#This Row],[Rabat %]]),2)</f>
        <v>1774.8</v>
      </c>
      <c r="N2151" s="14">
        <f>ROUND(tblSprzedaz[[#This Row],[Ilość]]*tblSprzedaz[[#This Row],[Koszt jednostkowy netto]],2)</f>
        <v>1388.5</v>
      </c>
      <c r="O2151" s="14">
        <f>tblSprzedaz[[#This Row],[Przychód netto]]-tblSprzedaz[[#This Row],[Koszt całkowity netto]]</f>
        <v>386.29999999999995</v>
      </c>
      <c r="P2151" s="15">
        <f>IFERROR(tblSprzedaz[[#This Row],[Marża kwotowa]]/tblSprzedaz[[#This Row],[Przychód netto]],0)</f>
        <v>0.21765832769889562</v>
      </c>
      <c r="Q2151" s="16">
        <f>YEAR(tblSprzedaz[[#This Row],[Data]])</f>
        <v>2026</v>
      </c>
      <c r="R2151" s="16">
        <f>MONTH(tblSprzedaz[[#This Row],[Data]])</f>
        <v>8</v>
      </c>
      <c r="S2151" s="9" t="str">
        <f>YEAR(tblSprzedaz[[#This Row],[Data]])&amp;"-"&amp;RIGHT("0"&amp;MONTH(tblSprzedaz[[#This Row],[Data]]),2)</f>
        <v>2026-08</v>
      </c>
    </row>
    <row r="2152" spans="1:19" x14ac:dyDescent="0.25">
      <c r="A2152" s="7" t="s">
        <v>4471</v>
      </c>
      <c r="B2152" s="10">
        <v>46239</v>
      </c>
      <c r="C2152" s="7" t="s">
        <v>4472</v>
      </c>
      <c r="D2152" s="8" t="s">
        <v>121</v>
      </c>
      <c r="E2152" s="8" t="s">
        <v>51</v>
      </c>
      <c r="F2152" s="8" t="s">
        <v>29</v>
      </c>
      <c r="G2152" s="8" t="s">
        <v>32</v>
      </c>
      <c r="H2152" s="8" t="s">
        <v>42</v>
      </c>
      <c r="I2152" s="11">
        <v>13</v>
      </c>
      <c r="J2152" s="12">
        <v>51</v>
      </c>
      <c r="K2152" s="13">
        <v>0.05</v>
      </c>
      <c r="L2152" s="12">
        <v>29.83</v>
      </c>
      <c r="M2152" s="14">
        <f>ROUND(tblSprzedaz[[#This Row],[Ilość]]*tblSprzedaz[[#This Row],[Cena netto jednostkowa]]*(1-tblSprzedaz[[#This Row],[Rabat %]]),2)</f>
        <v>629.85</v>
      </c>
      <c r="N2152" s="14">
        <f>ROUND(tblSprzedaz[[#This Row],[Ilość]]*tblSprzedaz[[#This Row],[Koszt jednostkowy netto]],2)</f>
        <v>387.79</v>
      </c>
      <c r="O2152" s="14">
        <f>tblSprzedaz[[#This Row],[Przychód netto]]-tblSprzedaz[[#This Row],[Koszt całkowity netto]]</f>
        <v>242.06</v>
      </c>
      <c r="P2152" s="15">
        <f>IFERROR(tblSprzedaz[[#This Row],[Marża kwotowa]]/tblSprzedaz[[#This Row],[Przychód netto]],0)</f>
        <v>0.38431372549019605</v>
      </c>
      <c r="Q2152" s="16">
        <f>YEAR(tblSprzedaz[[#This Row],[Data]])</f>
        <v>2026</v>
      </c>
      <c r="R2152" s="16">
        <f>MONTH(tblSprzedaz[[#This Row],[Data]])</f>
        <v>8</v>
      </c>
      <c r="S2152" s="9" t="str">
        <f>YEAR(tblSprzedaz[[#This Row],[Data]])&amp;"-"&amp;RIGHT("0"&amp;MONTH(tblSprzedaz[[#This Row],[Data]]),2)</f>
        <v>2026-08</v>
      </c>
    </row>
    <row r="2153" spans="1:19" x14ac:dyDescent="0.25">
      <c r="A2153" s="7" t="s">
        <v>4473</v>
      </c>
      <c r="B2153" s="10">
        <v>46240</v>
      </c>
      <c r="C2153" s="7" t="s">
        <v>4474</v>
      </c>
      <c r="D2153" s="8" t="s">
        <v>119</v>
      </c>
      <c r="E2153" s="8" t="s">
        <v>58</v>
      </c>
      <c r="F2153" s="8" t="s">
        <v>31</v>
      </c>
      <c r="G2153" s="8" t="s">
        <v>36</v>
      </c>
      <c r="H2153" s="8" t="s">
        <v>46</v>
      </c>
      <c r="I2153" s="11">
        <v>4</v>
      </c>
      <c r="J2153" s="12">
        <v>350.7</v>
      </c>
      <c r="K2153" s="13">
        <v>0.1</v>
      </c>
      <c r="L2153" s="12">
        <v>222.68</v>
      </c>
      <c r="M2153" s="14">
        <f>ROUND(tblSprzedaz[[#This Row],[Ilość]]*tblSprzedaz[[#This Row],[Cena netto jednostkowa]]*(1-tblSprzedaz[[#This Row],[Rabat %]]),2)</f>
        <v>1262.52</v>
      </c>
      <c r="N2153" s="14">
        <f>ROUND(tblSprzedaz[[#This Row],[Ilość]]*tblSprzedaz[[#This Row],[Koszt jednostkowy netto]],2)</f>
        <v>890.72</v>
      </c>
      <c r="O2153" s="14">
        <f>tblSprzedaz[[#This Row],[Przychód netto]]-tblSprzedaz[[#This Row],[Koszt całkowity netto]]</f>
        <v>371.79999999999995</v>
      </c>
      <c r="P2153" s="15">
        <f>IFERROR(tblSprzedaz[[#This Row],[Marża kwotowa]]/tblSprzedaz[[#This Row],[Przychód netto]],0)</f>
        <v>0.29449038431074354</v>
      </c>
      <c r="Q2153" s="16">
        <f>YEAR(tblSprzedaz[[#This Row],[Data]])</f>
        <v>2026</v>
      </c>
      <c r="R2153" s="16">
        <f>MONTH(tblSprzedaz[[#This Row],[Data]])</f>
        <v>8</v>
      </c>
      <c r="S2153" s="9" t="str">
        <f>YEAR(tblSprzedaz[[#This Row],[Data]])&amp;"-"&amp;RIGHT("0"&amp;MONTH(tblSprzedaz[[#This Row],[Data]]),2)</f>
        <v>2026-08</v>
      </c>
    </row>
    <row r="2154" spans="1:19" x14ac:dyDescent="0.25">
      <c r="A2154" s="7" t="s">
        <v>4475</v>
      </c>
      <c r="B2154" s="10">
        <v>46240</v>
      </c>
      <c r="C2154" s="7" t="s">
        <v>4476</v>
      </c>
      <c r="D2154" s="8" t="s">
        <v>102</v>
      </c>
      <c r="E2154" s="8" t="s">
        <v>70</v>
      </c>
      <c r="F2154" s="8" t="s">
        <v>35</v>
      </c>
      <c r="G2154" s="8" t="s">
        <v>34</v>
      </c>
      <c r="H2154" s="8" t="s">
        <v>44</v>
      </c>
      <c r="I2154" s="11">
        <v>8</v>
      </c>
      <c r="J2154" s="12">
        <v>113.56</v>
      </c>
      <c r="K2154" s="13">
        <v>0</v>
      </c>
      <c r="L2154" s="12">
        <v>77.98</v>
      </c>
      <c r="M2154" s="14">
        <f>ROUND(tblSprzedaz[[#This Row],[Ilość]]*tblSprzedaz[[#This Row],[Cena netto jednostkowa]]*(1-tblSprzedaz[[#This Row],[Rabat %]]),2)</f>
        <v>908.48</v>
      </c>
      <c r="N2154" s="14">
        <f>ROUND(tblSprzedaz[[#This Row],[Ilość]]*tblSprzedaz[[#This Row],[Koszt jednostkowy netto]],2)</f>
        <v>623.84</v>
      </c>
      <c r="O2154" s="14">
        <f>tblSprzedaz[[#This Row],[Przychód netto]]-tblSprzedaz[[#This Row],[Koszt całkowity netto]]</f>
        <v>284.64</v>
      </c>
      <c r="P2154" s="15">
        <f>IFERROR(tblSprzedaz[[#This Row],[Marża kwotowa]]/tblSprzedaz[[#This Row],[Przychód netto]],0)</f>
        <v>0.31331454737583653</v>
      </c>
      <c r="Q2154" s="16">
        <f>YEAR(tblSprzedaz[[#This Row],[Data]])</f>
        <v>2026</v>
      </c>
      <c r="R2154" s="16">
        <f>MONTH(tblSprzedaz[[#This Row],[Data]])</f>
        <v>8</v>
      </c>
      <c r="S2154" s="9" t="str">
        <f>YEAR(tblSprzedaz[[#This Row],[Data]])&amp;"-"&amp;RIGHT("0"&amp;MONTH(tblSprzedaz[[#This Row],[Data]]),2)</f>
        <v>2026-08</v>
      </c>
    </row>
    <row r="2155" spans="1:19" x14ac:dyDescent="0.25">
      <c r="A2155" s="7" t="s">
        <v>4477</v>
      </c>
      <c r="B2155" s="10">
        <v>46240</v>
      </c>
      <c r="C2155" s="7" t="s">
        <v>4478</v>
      </c>
      <c r="D2155" s="8" t="s">
        <v>118</v>
      </c>
      <c r="E2155" s="8" t="s">
        <v>70</v>
      </c>
      <c r="F2155" s="8" t="s">
        <v>35</v>
      </c>
      <c r="G2155" s="8" t="s">
        <v>32</v>
      </c>
      <c r="H2155" s="8" t="s">
        <v>43</v>
      </c>
      <c r="I2155" s="11">
        <v>18</v>
      </c>
      <c r="J2155" s="12">
        <v>113.56</v>
      </c>
      <c r="K2155" s="13">
        <v>0.05</v>
      </c>
      <c r="L2155" s="12">
        <v>78.38</v>
      </c>
      <c r="M2155" s="14">
        <f>ROUND(tblSprzedaz[[#This Row],[Ilość]]*tblSprzedaz[[#This Row],[Cena netto jednostkowa]]*(1-tblSprzedaz[[#This Row],[Rabat %]]),2)</f>
        <v>1941.88</v>
      </c>
      <c r="N2155" s="14">
        <f>ROUND(tblSprzedaz[[#This Row],[Ilość]]*tblSprzedaz[[#This Row],[Koszt jednostkowy netto]],2)</f>
        <v>1410.84</v>
      </c>
      <c r="O2155" s="14">
        <f>tblSprzedaz[[#This Row],[Przychód netto]]-tblSprzedaz[[#This Row],[Koszt całkowity netto]]</f>
        <v>531.04000000000019</v>
      </c>
      <c r="P2155" s="15">
        <f>IFERROR(tblSprzedaz[[#This Row],[Marża kwotowa]]/tblSprzedaz[[#This Row],[Przychód netto]],0)</f>
        <v>0.27346694955404049</v>
      </c>
      <c r="Q2155" s="16">
        <f>YEAR(tblSprzedaz[[#This Row],[Data]])</f>
        <v>2026</v>
      </c>
      <c r="R2155" s="16">
        <f>MONTH(tblSprzedaz[[#This Row],[Data]])</f>
        <v>8</v>
      </c>
      <c r="S2155" s="9" t="str">
        <f>YEAR(tblSprzedaz[[#This Row],[Data]])&amp;"-"&amp;RIGHT("0"&amp;MONTH(tblSprzedaz[[#This Row],[Data]]),2)</f>
        <v>2026-08</v>
      </c>
    </row>
    <row r="2156" spans="1:19" x14ac:dyDescent="0.25">
      <c r="A2156" s="7" t="s">
        <v>4479</v>
      </c>
      <c r="B2156" s="10">
        <v>46240</v>
      </c>
      <c r="C2156" s="7" t="s">
        <v>4480</v>
      </c>
      <c r="D2156" s="8" t="s">
        <v>151</v>
      </c>
      <c r="E2156" s="8" t="s">
        <v>59</v>
      </c>
      <c r="F2156" s="8" t="s">
        <v>31</v>
      </c>
      <c r="G2156" s="8" t="s">
        <v>32</v>
      </c>
      <c r="H2156" s="8" t="s">
        <v>43</v>
      </c>
      <c r="I2156" s="11">
        <v>12</v>
      </c>
      <c r="J2156" s="12">
        <v>172.2</v>
      </c>
      <c r="K2156" s="13">
        <v>0.05</v>
      </c>
      <c r="L2156" s="12">
        <v>105.08</v>
      </c>
      <c r="M2156" s="14">
        <f>ROUND(tblSprzedaz[[#This Row],[Ilość]]*tblSprzedaz[[#This Row],[Cena netto jednostkowa]]*(1-tblSprzedaz[[#This Row],[Rabat %]]),2)</f>
        <v>1963.08</v>
      </c>
      <c r="N2156" s="14">
        <f>ROUND(tblSprzedaz[[#This Row],[Ilość]]*tblSprzedaz[[#This Row],[Koszt jednostkowy netto]],2)</f>
        <v>1260.96</v>
      </c>
      <c r="O2156" s="14">
        <f>tblSprzedaz[[#This Row],[Przychód netto]]-tblSprzedaz[[#This Row],[Koszt całkowity netto]]</f>
        <v>702.11999999999989</v>
      </c>
      <c r="P2156" s="15">
        <f>IFERROR(tblSprzedaz[[#This Row],[Marża kwotowa]]/tblSprzedaz[[#This Row],[Przychód netto]],0)</f>
        <v>0.35766244880493914</v>
      </c>
      <c r="Q2156" s="16">
        <f>YEAR(tblSprzedaz[[#This Row],[Data]])</f>
        <v>2026</v>
      </c>
      <c r="R2156" s="16">
        <f>MONTH(tblSprzedaz[[#This Row],[Data]])</f>
        <v>8</v>
      </c>
      <c r="S2156" s="9" t="str">
        <f>YEAR(tblSprzedaz[[#This Row],[Data]])&amp;"-"&amp;RIGHT("0"&amp;MONTH(tblSprzedaz[[#This Row],[Data]]),2)</f>
        <v>2026-08</v>
      </c>
    </row>
    <row r="2157" spans="1:19" x14ac:dyDescent="0.25">
      <c r="A2157" s="7" t="s">
        <v>4481</v>
      </c>
      <c r="B2157" s="10">
        <v>46241</v>
      </c>
      <c r="C2157" s="7" t="s">
        <v>4482</v>
      </c>
      <c r="D2157" s="8" t="s">
        <v>141</v>
      </c>
      <c r="E2157" s="8" t="s">
        <v>62</v>
      </c>
      <c r="F2157" s="8" t="s">
        <v>33</v>
      </c>
      <c r="G2157" s="8" t="s">
        <v>32</v>
      </c>
      <c r="H2157" s="8" t="s">
        <v>42</v>
      </c>
      <c r="I2157" s="11">
        <v>25</v>
      </c>
      <c r="J2157" s="12">
        <v>611.79999999999995</v>
      </c>
      <c r="K2157" s="13">
        <v>0</v>
      </c>
      <c r="L2157" s="12">
        <v>400.78</v>
      </c>
      <c r="M2157" s="14">
        <f>ROUND(tblSprzedaz[[#This Row],[Ilość]]*tblSprzedaz[[#This Row],[Cena netto jednostkowa]]*(1-tblSprzedaz[[#This Row],[Rabat %]]),2)</f>
        <v>15295</v>
      </c>
      <c r="N2157" s="14">
        <f>ROUND(tblSprzedaz[[#This Row],[Ilość]]*tblSprzedaz[[#This Row],[Koszt jednostkowy netto]],2)</f>
        <v>10019.5</v>
      </c>
      <c r="O2157" s="14">
        <f>tblSprzedaz[[#This Row],[Przychód netto]]-tblSprzedaz[[#This Row],[Koszt całkowity netto]]</f>
        <v>5275.5</v>
      </c>
      <c r="P2157" s="15">
        <f>IFERROR(tblSprzedaz[[#This Row],[Marża kwotowa]]/tblSprzedaz[[#This Row],[Przychód netto]],0)</f>
        <v>0.34491663942464856</v>
      </c>
      <c r="Q2157" s="16">
        <f>YEAR(tblSprzedaz[[#This Row],[Data]])</f>
        <v>2026</v>
      </c>
      <c r="R2157" s="16">
        <f>MONTH(tblSprzedaz[[#This Row],[Data]])</f>
        <v>8</v>
      </c>
      <c r="S2157" s="9" t="str">
        <f>YEAR(tblSprzedaz[[#This Row],[Data]])&amp;"-"&amp;RIGHT("0"&amp;MONTH(tblSprzedaz[[#This Row],[Data]]),2)</f>
        <v>2026-08</v>
      </c>
    </row>
    <row r="2158" spans="1:19" x14ac:dyDescent="0.25">
      <c r="A2158" s="7" t="s">
        <v>4483</v>
      </c>
      <c r="B2158" s="10">
        <v>46241</v>
      </c>
      <c r="C2158" s="7" t="s">
        <v>4484</v>
      </c>
      <c r="D2158" s="8" t="s">
        <v>135</v>
      </c>
      <c r="E2158" s="8" t="s">
        <v>52</v>
      </c>
      <c r="F2158" s="8" t="s">
        <v>29</v>
      </c>
      <c r="G2158" s="8" t="s">
        <v>36</v>
      </c>
      <c r="H2158" s="8" t="s">
        <v>46</v>
      </c>
      <c r="I2158" s="11">
        <v>15</v>
      </c>
      <c r="J2158" s="12">
        <v>56.78</v>
      </c>
      <c r="K2158" s="13">
        <v>0</v>
      </c>
      <c r="L2158" s="12">
        <v>32.630000000000003</v>
      </c>
      <c r="M2158" s="14">
        <f>ROUND(tblSprzedaz[[#This Row],[Ilość]]*tblSprzedaz[[#This Row],[Cena netto jednostkowa]]*(1-tblSprzedaz[[#This Row],[Rabat %]]),2)</f>
        <v>851.7</v>
      </c>
      <c r="N2158" s="14">
        <f>ROUND(tblSprzedaz[[#This Row],[Ilość]]*tblSprzedaz[[#This Row],[Koszt jednostkowy netto]],2)</f>
        <v>489.45</v>
      </c>
      <c r="O2158" s="14">
        <f>tblSprzedaz[[#This Row],[Przychód netto]]-tblSprzedaz[[#This Row],[Koszt całkowity netto]]</f>
        <v>362.25000000000006</v>
      </c>
      <c r="P2158" s="15">
        <f>IFERROR(tblSprzedaz[[#This Row],[Marża kwotowa]]/tblSprzedaz[[#This Row],[Przychód netto]],0)</f>
        <v>0.42532581895033467</v>
      </c>
      <c r="Q2158" s="16">
        <f>YEAR(tblSprzedaz[[#This Row],[Data]])</f>
        <v>2026</v>
      </c>
      <c r="R2158" s="16">
        <f>MONTH(tblSprzedaz[[#This Row],[Data]])</f>
        <v>8</v>
      </c>
      <c r="S2158" s="9" t="str">
        <f>YEAR(tblSprzedaz[[#This Row],[Data]])&amp;"-"&amp;RIGHT("0"&amp;MONTH(tblSprzedaz[[#This Row],[Data]]),2)</f>
        <v>2026-08</v>
      </c>
    </row>
    <row r="2159" spans="1:19" x14ac:dyDescent="0.25">
      <c r="A2159" s="7" t="s">
        <v>4485</v>
      </c>
      <c r="B2159" s="10">
        <v>46241</v>
      </c>
      <c r="C2159" s="7" t="s">
        <v>4486</v>
      </c>
      <c r="D2159" s="8" t="s">
        <v>118</v>
      </c>
      <c r="E2159" s="8" t="s">
        <v>66</v>
      </c>
      <c r="F2159" s="8" t="s">
        <v>35</v>
      </c>
      <c r="G2159" s="8" t="s">
        <v>36</v>
      </c>
      <c r="H2159" s="8" t="s">
        <v>46</v>
      </c>
      <c r="I2159" s="11">
        <v>16</v>
      </c>
      <c r="J2159" s="12">
        <v>67.319999999999993</v>
      </c>
      <c r="K2159" s="13">
        <v>0.1</v>
      </c>
      <c r="L2159" s="12">
        <v>48.35</v>
      </c>
      <c r="M2159" s="14">
        <f>ROUND(tblSprzedaz[[#This Row],[Ilość]]*tblSprzedaz[[#This Row],[Cena netto jednostkowa]]*(1-tblSprzedaz[[#This Row],[Rabat %]]),2)</f>
        <v>969.41</v>
      </c>
      <c r="N2159" s="14">
        <f>ROUND(tblSprzedaz[[#This Row],[Ilość]]*tblSprzedaz[[#This Row],[Koszt jednostkowy netto]],2)</f>
        <v>773.6</v>
      </c>
      <c r="O2159" s="14">
        <f>tblSprzedaz[[#This Row],[Przychód netto]]-tblSprzedaz[[#This Row],[Koszt całkowity netto]]</f>
        <v>195.80999999999995</v>
      </c>
      <c r="P2159" s="15">
        <f>IFERROR(tblSprzedaz[[#This Row],[Marża kwotowa]]/tblSprzedaz[[#This Row],[Przychód netto]],0)</f>
        <v>0.20198883857191482</v>
      </c>
      <c r="Q2159" s="16">
        <f>YEAR(tblSprzedaz[[#This Row],[Data]])</f>
        <v>2026</v>
      </c>
      <c r="R2159" s="16">
        <f>MONTH(tblSprzedaz[[#This Row],[Data]])</f>
        <v>8</v>
      </c>
      <c r="S2159" s="9" t="str">
        <f>YEAR(tblSprzedaz[[#This Row],[Data]])&amp;"-"&amp;RIGHT("0"&amp;MONTH(tblSprzedaz[[#This Row],[Data]]),2)</f>
        <v>2026-08</v>
      </c>
    </row>
    <row r="2160" spans="1:19" x14ac:dyDescent="0.25">
      <c r="A2160" s="7" t="s">
        <v>4487</v>
      </c>
      <c r="B2160" s="10">
        <v>46241</v>
      </c>
      <c r="C2160" s="7" t="s">
        <v>4488</v>
      </c>
      <c r="D2160" s="8" t="s">
        <v>120</v>
      </c>
      <c r="E2160" s="8" t="s">
        <v>61</v>
      </c>
      <c r="F2160" s="8" t="s">
        <v>33</v>
      </c>
      <c r="G2160" s="8" t="s">
        <v>32</v>
      </c>
      <c r="H2160" s="8" t="s">
        <v>43</v>
      </c>
      <c r="I2160" s="11">
        <v>18</v>
      </c>
      <c r="J2160" s="12">
        <v>533.6</v>
      </c>
      <c r="K2160" s="13">
        <v>0.1</v>
      </c>
      <c r="L2160" s="12">
        <v>368.86</v>
      </c>
      <c r="M2160" s="14">
        <f>ROUND(tblSprzedaz[[#This Row],[Ilość]]*tblSprzedaz[[#This Row],[Cena netto jednostkowa]]*(1-tblSprzedaz[[#This Row],[Rabat %]]),2)</f>
        <v>8644.32</v>
      </c>
      <c r="N2160" s="14">
        <f>ROUND(tblSprzedaz[[#This Row],[Ilość]]*tblSprzedaz[[#This Row],[Koszt jednostkowy netto]],2)</f>
        <v>6639.48</v>
      </c>
      <c r="O2160" s="14">
        <f>tblSprzedaz[[#This Row],[Przychód netto]]-tblSprzedaz[[#This Row],[Koszt całkowity netto]]</f>
        <v>2004.8400000000001</v>
      </c>
      <c r="P2160" s="15">
        <f>IFERROR(tblSprzedaz[[#This Row],[Marża kwotowa]]/tblSprzedaz[[#This Row],[Przychód netto]],0)</f>
        <v>0.2319257038147593</v>
      </c>
      <c r="Q2160" s="16">
        <f>YEAR(tblSprzedaz[[#This Row],[Data]])</f>
        <v>2026</v>
      </c>
      <c r="R2160" s="16">
        <f>MONTH(tblSprzedaz[[#This Row],[Data]])</f>
        <v>8</v>
      </c>
      <c r="S2160" s="9" t="str">
        <f>YEAR(tblSprzedaz[[#This Row],[Data]])&amp;"-"&amp;RIGHT("0"&amp;MONTH(tblSprzedaz[[#This Row],[Data]]),2)</f>
        <v>2026-08</v>
      </c>
    </row>
    <row r="2161" spans="1:19" x14ac:dyDescent="0.25">
      <c r="A2161" s="7" t="s">
        <v>4489</v>
      </c>
      <c r="B2161" s="10">
        <v>46241</v>
      </c>
      <c r="C2161" s="7" t="s">
        <v>4490</v>
      </c>
      <c r="D2161" s="8" t="s">
        <v>144</v>
      </c>
      <c r="E2161" s="8" t="s">
        <v>59</v>
      </c>
      <c r="F2161" s="8" t="s">
        <v>31</v>
      </c>
      <c r="G2161" s="8" t="s">
        <v>28</v>
      </c>
      <c r="H2161" s="8" t="s">
        <v>38</v>
      </c>
      <c r="I2161" s="11">
        <v>6</v>
      </c>
      <c r="J2161" s="12">
        <v>172.2</v>
      </c>
      <c r="K2161" s="13">
        <v>0</v>
      </c>
      <c r="L2161" s="12">
        <v>115.8</v>
      </c>
      <c r="M2161" s="14">
        <f>ROUND(tblSprzedaz[[#This Row],[Ilość]]*tblSprzedaz[[#This Row],[Cena netto jednostkowa]]*(1-tblSprzedaz[[#This Row],[Rabat %]]),2)</f>
        <v>1033.2</v>
      </c>
      <c r="N2161" s="14">
        <f>ROUND(tblSprzedaz[[#This Row],[Ilość]]*tblSprzedaz[[#This Row],[Koszt jednostkowy netto]],2)</f>
        <v>694.8</v>
      </c>
      <c r="O2161" s="14">
        <f>tblSprzedaz[[#This Row],[Przychód netto]]-tblSprzedaz[[#This Row],[Koszt całkowity netto]]</f>
        <v>338.40000000000009</v>
      </c>
      <c r="P2161" s="15">
        <f>IFERROR(tblSprzedaz[[#This Row],[Marża kwotowa]]/tblSprzedaz[[#This Row],[Przychód netto]],0)</f>
        <v>0.32752613240418127</v>
      </c>
      <c r="Q2161" s="16">
        <f>YEAR(tblSprzedaz[[#This Row],[Data]])</f>
        <v>2026</v>
      </c>
      <c r="R2161" s="16">
        <f>MONTH(tblSprzedaz[[#This Row],[Data]])</f>
        <v>8</v>
      </c>
      <c r="S2161" s="9" t="str">
        <f>YEAR(tblSprzedaz[[#This Row],[Data]])&amp;"-"&amp;RIGHT("0"&amp;MONTH(tblSprzedaz[[#This Row],[Data]]),2)</f>
        <v>2026-08</v>
      </c>
    </row>
    <row r="2162" spans="1:19" x14ac:dyDescent="0.25">
      <c r="A2162" s="7" t="s">
        <v>4491</v>
      </c>
      <c r="B2162" s="10">
        <v>46242</v>
      </c>
      <c r="C2162" s="7" t="s">
        <v>4492</v>
      </c>
      <c r="D2162" s="8" t="s">
        <v>129</v>
      </c>
      <c r="E2162" s="8" t="s">
        <v>56</v>
      </c>
      <c r="F2162" s="8" t="s">
        <v>31</v>
      </c>
      <c r="G2162" s="8" t="s">
        <v>28</v>
      </c>
      <c r="H2162" s="8" t="s">
        <v>38</v>
      </c>
      <c r="I2162" s="11">
        <v>9</v>
      </c>
      <c r="J2162" s="12">
        <v>279.3</v>
      </c>
      <c r="K2162" s="13">
        <v>0</v>
      </c>
      <c r="L2162" s="12">
        <v>186.86</v>
      </c>
      <c r="M2162" s="14">
        <f>ROUND(tblSprzedaz[[#This Row],[Ilość]]*tblSprzedaz[[#This Row],[Cena netto jednostkowa]]*(1-tblSprzedaz[[#This Row],[Rabat %]]),2)</f>
        <v>2513.6999999999998</v>
      </c>
      <c r="N2162" s="14">
        <f>ROUND(tblSprzedaz[[#This Row],[Ilość]]*tblSprzedaz[[#This Row],[Koszt jednostkowy netto]],2)</f>
        <v>1681.74</v>
      </c>
      <c r="O2162" s="14">
        <f>tblSprzedaz[[#This Row],[Przychód netto]]-tblSprzedaz[[#This Row],[Koszt całkowity netto]]</f>
        <v>831.95999999999981</v>
      </c>
      <c r="P2162" s="15">
        <f>IFERROR(tblSprzedaz[[#This Row],[Marża kwotowa]]/tblSprzedaz[[#This Row],[Przychód netto]],0)</f>
        <v>0.33097028284998203</v>
      </c>
      <c r="Q2162" s="16">
        <f>YEAR(tblSprzedaz[[#This Row],[Data]])</f>
        <v>2026</v>
      </c>
      <c r="R2162" s="16">
        <f>MONTH(tblSprzedaz[[#This Row],[Data]])</f>
        <v>8</v>
      </c>
      <c r="S2162" s="9" t="str">
        <f>YEAR(tblSprzedaz[[#This Row],[Data]])&amp;"-"&amp;RIGHT("0"&amp;MONTH(tblSprzedaz[[#This Row],[Data]]),2)</f>
        <v>2026-08</v>
      </c>
    </row>
    <row r="2163" spans="1:19" x14ac:dyDescent="0.25">
      <c r="A2163" s="7" t="s">
        <v>4493</v>
      </c>
      <c r="B2163" s="10">
        <v>46242</v>
      </c>
      <c r="C2163" s="7" t="s">
        <v>4494</v>
      </c>
      <c r="D2163" s="8" t="s">
        <v>145</v>
      </c>
      <c r="E2163" s="8" t="s">
        <v>58</v>
      </c>
      <c r="F2163" s="8" t="s">
        <v>31</v>
      </c>
      <c r="G2163" s="8" t="s">
        <v>36</v>
      </c>
      <c r="H2163" s="8" t="s">
        <v>47</v>
      </c>
      <c r="I2163" s="11">
        <v>16</v>
      </c>
      <c r="J2163" s="12">
        <v>350.7</v>
      </c>
      <c r="K2163" s="13">
        <v>0</v>
      </c>
      <c r="L2163" s="12">
        <v>226.29</v>
      </c>
      <c r="M2163" s="14">
        <f>ROUND(tblSprzedaz[[#This Row],[Ilość]]*tblSprzedaz[[#This Row],[Cena netto jednostkowa]]*(1-tblSprzedaz[[#This Row],[Rabat %]]),2)</f>
        <v>5611.2</v>
      </c>
      <c r="N2163" s="14">
        <f>ROUND(tblSprzedaz[[#This Row],[Ilość]]*tblSprzedaz[[#This Row],[Koszt jednostkowy netto]],2)</f>
        <v>3620.64</v>
      </c>
      <c r="O2163" s="14">
        <f>tblSprzedaz[[#This Row],[Przychód netto]]-tblSprzedaz[[#This Row],[Koszt całkowity netto]]</f>
        <v>1990.56</v>
      </c>
      <c r="P2163" s="15">
        <f>IFERROR(tblSprzedaz[[#This Row],[Marża kwotowa]]/tblSprzedaz[[#This Row],[Przychód netto]],0)</f>
        <v>0.35474764756201882</v>
      </c>
      <c r="Q2163" s="16">
        <f>YEAR(tblSprzedaz[[#This Row],[Data]])</f>
        <v>2026</v>
      </c>
      <c r="R2163" s="16">
        <f>MONTH(tblSprzedaz[[#This Row],[Data]])</f>
        <v>8</v>
      </c>
      <c r="S2163" s="9" t="str">
        <f>YEAR(tblSprzedaz[[#This Row],[Data]])&amp;"-"&amp;RIGHT("0"&amp;MONTH(tblSprzedaz[[#This Row],[Data]]),2)</f>
        <v>2026-08</v>
      </c>
    </row>
    <row r="2164" spans="1:19" x14ac:dyDescent="0.25">
      <c r="A2164" s="7" t="s">
        <v>4495</v>
      </c>
      <c r="B2164" s="10">
        <v>46243</v>
      </c>
      <c r="C2164" s="7" t="s">
        <v>4496</v>
      </c>
      <c r="D2164" s="8" t="s">
        <v>111</v>
      </c>
      <c r="E2164" s="8" t="s">
        <v>56</v>
      </c>
      <c r="F2164" s="8" t="s">
        <v>31</v>
      </c>
      <c r="G2164" s="8" t="s">
        <v>32</v>
      </c>
      <c r="H2164" s="8" t="s">
        <v>42</v>
      </c>
      <c r="I2164" s="11">
        <v>25</v>
      </c>
      <c r="J2164" s="12">
        <v>279.3</v>
      </c>
      <c r="K2164" s="13">
        <v>0.05</v>
      </c>
      <c r="L2164" s="12">
        <v>187.36</v>
      </c>
      <c r="M2164" s="14">
        <f>ROUND(tblSprzedaz[[#This Row],[Ilość]]*tblSprzedaz[[#This Row],[Cena netto jednostkowa]]*(1-tblSprzedaz[[#This Row],[Rabat %]]),2)</f>
        <v>6633.38</v>
      </c>
      <c r="N2164" s="14">
        <f>ROUND(tblSprzedaz[[#This Row],[Ilość]]*tblSprzedaz[[#This Row],[Koszt jednostkowy netto]],2)</f>
        <v>4684</v>
      </c>
      <c r="O2164" s="14">
        <f>tblSprzedaz[[#This Row],[Przychód netto]]-tblSprzedaz[[#This Row],[Koszt całkowity netto]]</f>
        <v>1949.38</v>
      </c>
      <c r="P2164" s="15">
        <f>IFERROR(tblSprzedaz[[#This Row],[Marża kwotowa]]/tblSprzedaz[[#This Row],[Przychód netto]],0)</f>
        <v>0.29387431445205914</v>
      </c>
      <c r="Q2164" s="16">
        <f>YEAR(tblSprzedaz[[#This Row],[Data]])</f>
        <v>2026</v>
      </c>
      <c r="R2164" s="16">
        <f>MONTH(tblSprzedaz[[#This Row],[Data]])</f>
        <v>8</v>
      </c>
      <c r="S2164" s="9" t="str">
        <f>YEAR(tblSprzedaz[[#This Row],[Data]])&amp;"-"&amp;RIGHT("0"&amp;MONTH(tblSprzedaz[[#This Row],[Data]]),2)</f>
        <v>2026-08</v>
      </c>
    </row>
    <row r="2165" spans="1:19" x14ac:dyDescent="0.25">
      <c r="A2165" s="7" t="s">
        <v>4497</v>
      </c>
      <c r="B2165" s="10">
        <v>46243</v>
      </c>
      <c r="C2165" s="7" t="s">
        <v>4498</v>
      </c>
      <c r="D2165" s="8" t="s">
        <v>132</v>
      </c>
      <c r="E2165" s="8" t="s">
        <v>52</v>
      </c>
      <c r="F2165" s="8" t="s">
        <v>29</v>
      </c>
      <c r="G2165" s="8" t="s">
        <v>34</v>
      </c>
      <c r="H2165" s="8" t="s">
        <v>44</v>
      </c>
      <c r="I2165" s="11">
        <v>3</v>
      </c>
      <c r="J2165" s="12">
        <v>56.78</v>
      </c>
      <c r="K2165" s="13">
        <v>0</v>
      </c>
      <c r="L2165" s="12">
        <v>33.78</v>
      </c>
      <c r="M2165" s="14">
        <f>ROUND(tblSprzedaz[[#This Row],[Ilość]]*tblSprzedaz[[#This Row],[Cena netto jednostkowa]]*(1-tblSprzedaz[[#This Row],[Rabat %]]),2)</f>
        <v>170.34</v>
      </c>
      <c r="N2165" s="14">
        <f>ROUND(tblSprzedaz[[#This Row],[Ilość]]*tblSprzedaz[[#This Row],[Koszt jednostkowy netto]],2)</f>
        <v>101.34</v>
      </c>
      <c r="O2165" s="14">
        <f>tblSprzedaz[[#This Row],[Przychód netto]]-tblSprzedaz[[#This Row],[Koszt całkowity netto]]</f>
        <v>69</v>
      </c>
      <c r="P2165" s="15">
        <f>IFERROR(tblSprzedaz[[#This Row],[Marża kwotowa]]/tblSprzedaz[[#This Row],[Przychód netto]],0)</f>
        <v>0.40507220852412823</v>
      </c>
      <c r="Q2165" s="16">
        <f>YEAR(tblSprzedaz[[#This Row],[Data]])</f>
        <v>2026</v>
      </c>
      <c r="R2165" s="16">
        <f>MONTH(tblSprzedaz[[#This Row],[Data]])</f>
        <v>8</v>
      </c>
      <c r="S2165" s="9" t="str">
        <f>YEAR(tblSprzedaz[[#This Row],[Data]])&amp;"-"&amp;RIGHT("0"&amp;MONTH(tblSprzedaz[[#This Row],[Data]]),2)</f>
        <v>2026-08</v>
      </c>
    </row>
    <row r="2166" spans="1:19" x14ac:dyDescent="0.25">
      <c r="A2166" s="7" t="s">
        <v>4499</v>
      </c>
      <c r="B2166" s="10">
        <v>46244</v>
      </c>
      <c r="C2166" s="7" t="s">
        <v>4500</v>
      </c>
      <c r="D2166" s="8" t="s">
        <v>93</v>
      </c>
      <c r="E2166" s="8" t="s">
        <v>60</v>
      </c>
      <c r="F2166" s="8" t="s">
        <v>33</v>
      </c>
      <c r="G2166" s="8" t="s">
        <v>34</v>
      </c>
      <c r="H2166" s="8" t="s">
        <v>44</v>
      </c>
      <c r="I2166" s="11">
        <v>8</v>
      </c>
      <c r="J2166" s="12">
        <v>455.4</v>
      </c>
      <c r="K2166" s="13">
        <v>0</v>
      </c>
      <c r="L2166" s="12">
        <v>302.27</v>
      </c>
      <c r="M2166" s="14">
        <f>ROUND(tblSprzedaz[[#This Row],[Ilość]]*tblSprzedaz[[#This Row],[Cena netto jednostkowa]]*(1-tblSprzedaz[[#This Row],[Rabat %]]),2)</f>
        <v>3643.2</v>
      </c>
      <c r="N2166" s="14">
        <f>ROUND(tblSprzedaz[[#This Row],[Ilość]]*tblSprzedaz[[#This Row],[Koszt jednostkowy netto]],2)</f>
        <v>2418.16</v>
      </c>
      <c r="O2166" s="14">
        <f>tblSprzedaz[[#This Row],[Przychód netto]]-tblSprzedaz[[#This Row],[Koszt całkowity netto]]</f>
        <v>1225.04</v>
      </c>
      <c r="P2166" s="15">
        <f>IFERROR(tblSprzedaz[[#This Row],[Marża kwotowa]]/tblSprzedaz[[#This Row],[Przychód netto]],0)</f>
        <v>0.3362538427755819</v>
      </c>
      <c r="Q2166" s="16">
        <f>YEAR(tblSprzedaz[[#This Row],[Data]])</f>
        <v>2026</v>
      </c>
      <c r="R2166" s="16">
        <f>MONTH(tblSprzedaz[[#This Row],[Data]])</f>
        <v>8</v>
      </c>
      <c r="S2166" s="9" t="str">
        <f>YEAR(tblSprzedaz[[#This Row],[Data]])&amp;"-"&amp;RIGHT("0"&amp;MONTH(tblSprzedaz[[#This Row],[Data]]),2)</f>
        <v>2026-08</v>
      </c>
    </row>
    <row r="2167" spans="1:19" x14ac:dyDescent="0.25">
      <c r="A2167" s="7" t="s">
        <v>4501</v>
      </c>
      <c r="B2167" s="10">
        <v>46244</v>
      </c>
      <c r="C2167" s="7" t="s">
        <v>4502</v>
      </c>
      <c r="D2167" s="8" t="s">
        <v>105</v>
      </c>
      <c r="E2167" s="8" t="s">
        <v>60</v>
      </c>
      <c r="F2167" s="8" t="s">
        <v>33</v>
      </c>
      <c r="G2167" s="8" t="s">
        <v>32</v>
      </c>
      <c r="H2167" s="8" t="s">
        <v>43</v>
      </c>
      <c r="I2167" s="11">
        <v>8</v>
      </c>
      <c r="J2167" s="12">
        <v>455.4</v>
      </c>
      <c r="K2167" s="13">
        <v>0.05</v>
      </c>
      <c r="L2167" s="12">
        <v>310.62</v>
      </c>
      <c r="M2167" s="14">
        <f>ROUND(tblSprzedaz[[#This Row],[Ilość]]*tblSprzedaz[[#This Row],[Cena netto jednostkowa]]*(1-tblSprzedaz[[#This Row],[Rabat %]]),2)</f>
        <v>3461.04</v>
      </c>
      <c r="N2167" s="14">
        <f>ROUND(tblSprzedaz[[#This Row],[Ilość]]*tblSprzedaz[[#This Row],[Koszt jednostkowy netto]],2)</f>
        <v>2484.96</v>
      </c>
      <c r="O2167" s="14">
        <f>tblSprzedaz[[#This Row],[Przychód netto]]-tblSprzedaz[[#This Row],[Koszt całkowity netto]]</f>
        <v>976.07999999999993</v>
      </c>
      <c r="P2167" s="15">
        <f>IFERROR(tblSprzedaz[[#This Row],[Marża kwotowa]]/tblSprzedaz[[#This Row],[Przychód netto]],0)</f>
        <v>0.2820192774426184</v>
      </c>
      <c r="Q2167" s="16">
        <f>YEAR(tblSprzedaz[[#This Row],[Data]])</f>
        <v>2026</v>
      </c>
      <c r="R2167" s="16">
        <f>MONTH(tblSprzedaz[[#This Row],[Data]])</f>
        <v>8</v>
      </c>
      <c r="S2167" s="9" t="str">
        <f>YEAR(tblSprzedaz[[#This Row],[Data]])&amp;"-"&amp;RIGHT("0"&amp;MONTH(tblSprzedaz[[#This Row],[Data]]),2)</f>
        <v>2026-08</v>
      </c>
    </row>
    <row r="2168" spans="1:19" x14ac:dyDescent="0.25">
      <c r="A2168" s="7" t="s">
        <v>4503</v>
      </c>
      <c r="B2168" s="10">
        <v>46244</v>
      </c>
      <c r="C2168" s="7" t="s">
        <v>4504</v>
      </c>
      <c r="D2168" s="8" t="s">
        <v>152</v>
      </c>
      <c r="E2168" s="8" t="s">
        <v>55</v>
      </c>
      <c r="F2168" s="8" t="s">
        <v>31</v>
      </c>
      <c r="G2168" s="8" t="s">
        <v>28</v>
      </c>
      <c r="H2168" s="8" t="s">
        <v>38</v>
      </c>
      <c r="I2168" s="11">
        <v>14</v>
      </c>
      <c r="J2168" s="12">
        <v>243.6</v>
      </c>
      <c r="K2168" s="13">
        <v>0.15</v>
      </c>
      <c r="L2168" s="12">
        <v>163.27000000000001</v>
      </c>
      <c r="M2168" s="14">
        <f>ROUND(tblSprzedaz[[#This Row],[Ilość]]*tblSprzedaz[[#This Row],[Cena netto jednostkowa]]*(1-tblSprzedaz[[#This Row],[Rabat %]]),2)</f>
        <v>2898.84</v>
      </c>
      <c r="N2168" s="14">
        <f>ROUND(tblSprzedaz[[#This Row],[Ilość]]*tblSprzedaz[[#This Row],[Koszt jednostkowy netto]],2)</f>
        <v>2285.7800000000002</v>
      </c>
      <c r="O2168" s="14">
        <f>tblSprzedaz[[#This Row],[Przychód netto]]-tblSprzedaz[[#This Row],[Koszt całkowity netto]]</f>
        <v>613.05999999999995</v>
      </c>
      <c r="P2168" s="15">
        <f>IFERROR(tblSprzedaz[[#This Row],[Marża kwotowa]]/tblSprzedaz[[#This Row],[Przychód netto]],0)</f>
        <v>0.21148459383753498</v>
      </c>
      <c r="Q2168" s="16">
        <f>YEAR(tblSprzedaz[[#This Row],[Data]])</f>
        <v>2026</v>
      </c>
      <c r="R2168" s="16">
        <f>MONTH(tblSprzedaz[[#This Row],[Data]])</f>
        <v>8</v>
      </c>
      <c r="S2168" s="9" t="str">
        <f>YEAR(tblSprzedaz[[#This Row],[Data]])&amp;"-"&amp;RIGHT("0"&amp;MONTH(tblSprzedaz[[#This Row],[Data]]),2)</f>
        <v>2026-08</v>
      </c>
    </row>
    <row r="2169" spans="1:19" x14ac:dyDescent="0.25">
      <c r="A2169" s="7" t="s">
        <v>4505</v>
      </c>
      <c r="B2169" s="10">
        <v>46244</v>
      </c>
      <c r="C2169" s="7" t="s">
        <v>4506</v>
      </c>
      <c r="D2169" s="8" t="s">
        <v>134</v>
      </c>
      <c r="E2169" s="8" t="s">
        <v>53</v>
      </c>
      <c r="F2169" s="8" t="s">
        <v>29</v>
      </c>
      <c r="G2169" s="8" t="s">
        <v>36</v>
      </c>
      <c r="H2169" s="8" t="s">
        <v>46</v>
      </c>
      <c r="I2169" s="11">
        <v>21</v>
      </c>
      <c r="J2169" s="12">
        <v>27.88</v>
      </c>
      <c r="K2169" s="13">
        <v>0.05</v>
      </c>
      <c r="L2169" s="12">
        <v>15.43</v>
      </c>
      <c r="M2169" s="14">
        <f>ROUND(tblSprzedaz[[#This Row],[Ilość]]*tblSprzedaz[[#This Row],[Cena netto jednostkowa]]*(1-tblSprzedaz[[#This Row],[Rabat %]]),2)</f>
        <v>556.21</v>
      </c>
      <c r="N2169" s="14">
        <f>ROUND(tblSprzedaz[[#This Row],[Ilość]]*tblSprzedaz[[#This Row],[Koszt jednostkowy netto]],2)</f>
        <v>324.02999999999997</v>
      </c>
      <c r="O2169" s="14">
        <f>tblSprzedaz[[#This Row],[Przychód netto]]-tblSprzedaz[[#This Row],[Koszt całkowity netto]]</f>
        <v>232.18000000000006</v>
      </c>
      <c r="P2169" s="15">
        <f>IFERROR(tblSprzedaz[[#This Row],[Marża kwotowa]]/tblSprzedaz[[#This Row],[Przychód netto]],0)</f>
        <v>0.41743226479207501</v>
      </c>
      <c r="Q2169" s="16">
        <f>YEAR(tblSprzedaz[[#This Row],[Data]])</f>
        <v>2026</v>
      </c>
      <c r="R2169" s="16">
        <f>MONTH(tblSprzedaz[[#This Row],[Data]])</f>
        <v>8</v>
      </c>
      <c r="S2169" s="9" t="str">
        <f>YEAR(tblSprzedaz[[#This Row],[Data]])&amp;"-"&amp;RIGHT("0"&amp;MONTH(tblSprzedaz[[#This Row],[Data]]),2)</f>
        <v>2026-08</v>
      </c>
    </row>
    <row r="2170" spans="1:19" x14ac:dyDescent="0.25">
      <c r="A2170" s="7" t="s">
        <v>4507</v>
      </c>
      <c r="B2170" s="10">
        <v>46244</v>
      </c>
      <c r="C2170" s="7" t="s">
        <v>4508</v>
      </c>
      <c r="D2170" s="8" t="s">
        <v>117</v>
      </c>
      <c r="E2170" s="8" t="s">
        <v>74</v>
      </c>
      <c r="F2170" s="8" t="s">
        <v>37</v>
      </c>
      <c r="G2170" s="8" t="s">
        <v>32</v>
      </c>
      <c r="H2170" s="8" t="s">
        <v>43</v>
      </c>
      <c r="I2170" s="11">
        <v>3</v>
      </c>
      <c r="J2170" s="12">
        <v>126.35</v>
      </c>
      <c r="K2170" s="13">
        <v>0.1</v>
      </c>
      <c r="L2170" s="12">
        <v>96.12</v>
      </c>
      <c r="M2170" s="14">
        <f>ROUND(tblSprzedaz[[#This Row],[Ilość]]*tblSprzedaz[[#This Row],[Cena netto jednostkowa]]*(1-tblSprzedaz[[#This Row],[Rabat %]]),2)</f>
        <v>341.15</v>
      </c>
      <c r="N2170" s="14">
        <f>ROUND(tblSprzedaz[[#This Row],[Ilość]]*tblSprzedaz[[#This Row],[Koszt jednostkowy netto]],2)</f>
        <v>288.36</v>
      </c>
      <c r="O2170" s="14">
        <f>tblSprzedaz[[#This Row],[Przychód netto]]-tblSprzedaz[[#This Row],[Koszt całkowity netto]]</f>
        <v>52.789999999999964</v>
      </c>
      <c r="P2170" s="15">
        <f>IFERROR(tblSprzedaz[[#This Row],[Marża kwotowa]]/tblSprzedaz[[#This Row],[Przychód netto]],0)</f>
        <v>0.1547413161365967</v>
      </c>
      <c r="Q2170" s="16">
        <f>YEAR(tblSprzedaz[[#This Row],[Data]])</f>
        <v>2026</v>
      </c>
      <c r="R2170" s="16">
        <f>MONTH(tblSprzedaz[[#This Row],[Data]])</f>
        <v>8</v>
      </c>
      <c r="S2170" s="9" t="str">
        <f>YEAR(tblSprzedaz[[#This Row],[Data]])&amp;"-"&amp;RIGHT("0"&amp;MONTH(tblSprzedaz[[#This Row],[Data]]),2)</f>
        <v>2026-08</v>
      </c>
    </row>
    <row r="2171" spans="1:19" x14ac:dyDescent="0.25">
      <c r="A2171" s="7" t="s">
        <v>4509</v>
      </c>
      <c r="B2171" s="10">
        <v>46245</v>
      </c>
      <c r="C2171" s="7" t="s">
        <v>4510</v>
      </c>
      <c r="D2171" s="8" t="s">
        <v>132</v>
      </c>
      <c r="E2171" s="8" t="s">
        <v>74</v>
      </c>
      <c r="F2171" s="8" t="s">
        <v>37</v>
      </c>
      <c r="G2171" s="8" t="s">
        <v>30</v>
      </c>
      <c r="H2171" s="8" t="s">
        <v>40</v>
      </c>
      <c r="I2171" s="11">
        <v>20</v>
      </c>
      <c r="J2171" s="12">
        <v>126.35</v>
      </c>
      <c r="K2171" s="13">
        <v>0.1</v>
      </c>
      <c r="L2171" s="12">
        <v>101.62</v>
      </c>
      <c r="M2171" s="14">
        <f>ROUND(tblSprzedaz[[#This Row],[Ilość]]*tblSprzedaz[[#This Row],[Cena netto jednostkowa]]*(1-tblSprzedaz[[#This Row],[Rabat %]]),2)</f>
        <v>2274.3000000000002</v>
      </c>
      <c r="N2171" s="14">
        <f>ROUND(tblSprzedaz[[#This Row],[Ilość]]*tblSprzedaz[[#This Row],[Koszt jednostkowy netto]],2)</f>
        <v>2032.4</v>
      </c>
      <c r="O2171" s="14">
        <f>tblSprzedaz[[#This Row],[Przychód netto]]-tblSprzedaz[[#This Row],[Koszt całkowity netto]]</f>
        <v>241.90000000000009</v>
      </c>
      <c r="P2171" s="15">
        <f>IFERROR(tblSprzedaz[[#This Row],[Marża kwotowa]]/tblSprzedaz[[#This Row],[Przychód netto]],0)</f>
        <v>0.10636239722112302</v>
      </c>
      <c r="Q2171" s="16">
        <f>YEAR(tblSprzedaz[[#This Row],[Data]])</f>
        <v>2026</v>
      </c>
      <c r="R2171" s="16">
        <f>MONTH(tblSprzedaz[[#This Row],[Data]])</f>
        <v>8</v>
      </c>
      <c r="S2171" s="9" t="str">
        <f>YEAR(tblSprzedaz[[#This Row],[Data]])&amp;"-"&amp;RIGHT("0"&amp;MONTH(tblSprzedaz[[#This Row],[Data]]),2)</f>
        <v>2026-08</v>
      </c>
    </row>
    <row r="2172" spans="1:19" x14ac:dyDescent="0.25">
      <c r="A2172" s="7" t="s">
        <v>4511</v>
      </c>
      <c r="B2172" s="10">
        <v>46245</v>
      </c>
      <c r="C2172" s="7" t="s">
        <v>4512</v>
      </c>
      <c r="D2172" s="8" t="s">
        <v>95</v>
      </c>
      <c r="E2172" s="8" t="s">
        <v>48</v>
      </c>
      <c r="F2172" s="8" t="s">
        <v>29</v>
      </c>
      <c r="G2172" s="8" t="s">
        <v>34</v>
      </c>
      <c r="H2172" s="8" t="s">
        <v>44</v>
      </c>
      <c r="I2172" s="11">
        <v>4</v>
      </c>
      <c r="J2172" s="12">
        <v>33.659999999999997</v>
      </c>
      <c r="K2172" s="13">
        <v>0.05</v>
      </c>
      <c r="L2172" s="12">
        <v>21.02</v>
      </c>
      <c r="M2172" s="14">
        <f>ROUND(tblSprzedaz[[#This Row],[Ilość]]*tblSprzedaz[[#This Row],[Cena netto jednostkowa]]*(1-tblSprzedaz[[#This Row],[Rabat %]]),2)</f>
        <v>127.91</v>
      </c>
      <c r="N2172" s="14">
        <f>ROUND(tblSprzedaz[[#This Row],[Ilość]]*tblSprzedaz[[#This Row],[Koszt jednostkowy netto]],2)</f>
        <v>84.08</v>
      </c>
      <c r="O2172" s="14">
        <f>tblSprzedaz[[#This Row],[Przychód netto]]-tblSprzedaz[[#This Row],[Koszt całkowity netto]]</f>
        <v>43.83</v>
      </c>
      <c r="P2172" s="15">
        <f>IFERROR(tblSprzedaz[[#This Row],[Marża kwotowa]]/tblSprzedaz[[#This Row],[Przychód netto]],0)</f>
        <v>0.34266280978813229</v>
      </c>
      <c r="Q2172" s="16">
        <f>YEAR(tblSprzedaz[[#This Row],[Data]])</f>
        <v>2026</v>
      </c>
      <c r="R2172" s="16">
        <f>MONTH(tblSprzedaz[[#This Row],[Data]])</f>
        <v>8</v>
      </c>
      <c r="S2172" s="9" t="str">
        <f>YEAR(tblSprzedaz[[#This Row],[Data]])&amp;"-"&amp;RIGHT("0"&amp;MONTH(tblSprzedaz[[#This Row],[Data]]),2)</f>
        <v>2026-08</v>
      </c>
    </row>
    <row r="2173" spans="1:19" x14ac:dyDescent="0.25">
      <c r="A2173" s="7" t="s">
        <v>4513</v>
      </c>
      <c r="B2173" s="10">
        <v>46245</v>
      </c>
      <c r="C2173" s="7" t="s">
        <v>4514</v>
      </c>
      <c r="D2173" s="8" t="s">
        <v>81</v>
      </c>
      <c r="E2173" s="8" t="s">
        <v>54</v>
      </c>
      <c r="F2173" s="8" t="s">
        <v>31</v>
      </c>
      <c r="G2173" s="8" t="s">
        <v>36</v>
      </c>
      <c r="H2173" s="8" t="s">
        <v>47</v>
      </c>
      <c r="I2173" s="11">
        <v>7</v>
      </c>
      <c r="J2173" s="12">
        <v>207.9</v>
      </c>
      <c r="K2173" s="13">
        <v>0.05</v>
      </c>
      <c r="L2173" s="12">
        <v>135.94</v>
      </c>
      <c r="M2173" s="14">
        <f>ROUND(tblSprzedaz[[#This Row],[Ilość]]*tblSprzedaz[[#This Row],[Cena netto jednostkowa]]*(1-tblSprzedaz[[#This Row],[Rabat %]]),2)</f>
        <v>1382.54</v>
      </c>
      <c r="N2173" s="14">
        <f>ROUND(tblSprzedaz[[#This Row],[Ilość]]*tblSprzedaz[[#This Row],[Koszt jednostkowy netto]],2)</f>
        <v>951.58</v>
      </c>
      <c r="O2173" s="14">
        <f>tblSprzedaz[[#This Row],[Przychód netto]]-tblSprzedaz[[#This Row],[Koszt całkowity netto]]</f>
        <v>430.95999999999992</v>
      </c>
      <c r="P2173" s="15">
        <f>IFERROR(tblSprzedaz[[#This Row],[Marża kwotowa]]/tblSprzedaz[[#This Row],[Przychód netto]],0)</f>
        <v>0.31171611671271715</v>
      </c>
      <c r="Q2173" s="16">
        <f>YEAR(tblSprzedaz[[#This Row],[Data]])</f>
        <v>2026</v>
      </c>
      <c r="R2173" s="16">
        <f>MONTH(tblSprzedaz[[#This Row],[Data]])</f>
        <v>8</v>
      </c>
      <c r="S2173" s="9" t="str">
        <f>YEAR(tblSprzedaz[[#This Row],[Data]])&amp;"-"&amp;RIGHT("0"&amp;MONTH(tblSprzedaz[[#This Row],[Data]]),2)</f>
        <v>2026-08</v>
      </c>
    </row>
    <row r="2174" spans="1:19" x14ac:dyDescent="0.25">
      <c r="A2174" s="7" t="s">
        <v>4515</v>
      </c>
      <c r="B2174" s="10">
        <v>46245</v>
      </c>
      <c r="C2174" s="7" t="s">
        <v>4516</v>
      </c>
      <c r="D2174" s="8" t="s">
        <v>100</v>
      </c>
      <c r="E2174" s="8" t="s">
        <v>52</v>
      </c>
      <c r="F2174" s="8" t="s">
        <v>29</v>
      </c>
      <c r="G2174" s="8" t="s">
        <v>36</v>
      </c>
      <c r="H2174" s="8" t="s">
        <v>46</v>
      </c>
      <c r="I2174" s="11">
        <v>9</v>
      </c>
      <c r="J2174" s="12">
        <v>56.78</v>
      </c>
      <c r="K2174" s="13">
        <v>0</v>
      </c>
      <c r="L2174" s="12">
        <v>34.479999999999997</v>
      </c>
      <c r="M2174" s="14">
        <f>ROUND(tblSprzedaz[[#This Row],[Ilość]]*tblSprzedaz[[#This Row],[Cena netto jednostkowa]]*(1-tblSprzedaz[[#This Row],[Rabat %]]),2)</f>
        <v>511.02</v>
      </c>
      <c r="N2174" s="14">
        <f>ROUND(tblSprzedaz[[#This Row],[Ilość]]*tblSprzedaz[[#This Row],[Koszt jednostkowy netto]],2)</f>
        <v>310.32</v>
      </c>
      <c r="O2174" s="14">
        <f>tblSprzedaz[[#This Row],[Przychód netto]]-tblSprzedaz[[#This Row],[Koszt całkowity netto]]</f>
        <v>200.7</v>
      </c>
      <c r="P2174" s="15">
        <f>IFERROR(tblSprzedaz[[#This Row],[Marża kwotowa]]/tblSprzedaz[[#This Row],[Przychód netto]],0)</f>
        <v>0.39274392391687213</v>
      </c>
      <c r="Q2174" s="16">
        <f>YEAR(tblSprzedaz[[#This Row],[Data]])</f>
        <v>2026</v>
      </c>
      <c r="R2174" s="16">
        <f>MONTH(tblSprzedaz[[#This Row],[Data]])</f>
        <v>8</v>
      </c>
      <c r="S2174" s="9" t="str">
        <f>YEAR(tblSprzedaz[[#This Row],[Data]])&amp;"-"&amp;RIGHT("0"&amp;MONTH(tblSprzedaz[[#This Row],[Data]]),2)</f>
        <v>2026-08</v>
      </c>
    </row>
    <row r="2175" spans="1:19" x14ac:dyDescent="0.25">
      <c r="A2175" s="7" t="s">
        <v>4517</v>
      </c>
      <c r="B2175" s="10">
        <v>46246</v>
      </c>
      <c r="C2175" s="7" t="s">
        <v>4518</v>
      </c>
      <c r="D2175" s="8" t="s">
        <v>118</v>
      </c>
      <c r="E2175" s="8" t="s">
        <v>61</v>
      </c>
      <c r="F2175" s="8" t="s">
        <v>33</v>
      </c>
      <c r="G2175" s="8" t="s">
        <v>30</v>
      </c>
      <c r="H2175" s="8" t="s">
        <v>40</v>
      </c>
      <c r="I2175" s="11">
        <v>18</v>
      </c>
      <c r="J2175" s="12">
        <v>533.6</v>
      </c>
      <c r="K2175" s="13">
        <v>0</v>
      </c>
      <c r="L2175" s="12">
        <v>356.4</v>
      </c>
      <c r="M2175" s="14">
        <f>ROUND(tblSprzedaz[[#This Row],[Ilość]]*tblSprzedaz[[#This Row],[Cena netto jednostkowa]]*(1-tblSprzedaz[[#This Row],[Rabat %]]),2)</f>
        <v>9604.7999999999993</v>
      </c>
      <c r="N2175" s="14">
        <f>ROUND(tblSprzedaz[[#This Row],[Ilość]]*tblSprzedaz[[#This Row],[Koszt jednostkowy netto]],2)</f>
        <v>6415.2</v>
      </c>
      <c r="O2175" s="14">
        <f>tblSprzedaz[[#This Row],[Przychód netto]]-tblSprzedaz[[#This Row],[Koszt całkowity netto]]</f>
        <v>3189.5999999999995</v>
      </c>
      <c r="P2175" s="15">
        <f>IFERROR(tblSprzedaz[[#This Row],[Marża kwotowa]]/tblSprzedaz[[#This Row],[Przychód netto]],0)</f>
        <v>0.3320839580209895</v>
      </c>
      <c r="Q2175" s="16">
        <f>YEAR(tblSprzedaz[[#This Row],[Data]])</f>
        <v>2026</v>
      </c>
      <c r="R2175" s="16">
        <f>MONTH(tblSprzedaz[[#This Row],[Data]])</f>
        <v>8</v>
      </c>
      <c r="S2175" s="9" t="str">
        <f>YEAR(tblSprzedaz[[#This Row],[Data]])&amp;"-"&amp;RIGHT("0"&amp;MONTH(tblSprzedaz[[#This Row],[Data]]),2)</f>
        <v>2026-08</v>
      </c>
    </row>
    <row r="2176" spans="1:19" x14ac:dyDescent="0.25">
      <c r="A2176" s="7" t="s">
        <v>4519</v>
      </c>
      <c r="B2176" s="10">
        <v>46246</v>
      </c>
      <c r="C2176" s="7" t="s">
        <v>4520</v>
      </c>
      <c r="D2176" s="8" t="s">
        <v>149</v>
      </c>
      <c r="E2176" s="8" t="s">
        <v>77</v>
      </c>
      <c r="F2176" s="8" t="s">
        <v>37</v>
      </c>
      <c r="G2176" s="8" t="s">
        <v>30</v>
      </c>
      <c r="H2176" s="8" t="s">
        <v>40</v>
      </c>
      <c r="I2176" s="11">
        <v>18</v>
      </c>
      <c r="J2176" s="12">
        <v>77.900000000000006</v>
      </c>
      <c r="K2176" s="13">
        <v>0.05</v>
      </c>
      <c r="L2176" s="12">
        <v>58.59</v>
      </c>
      <c r="M2176" s="14">
        <f>ROUND(tblSprzedaz[[#This Row],[Ilość]]*tblSprzedaz[[#This Row],[Cena netto jednostkowa]]*(1-tblSprzedaz[[#This Row],[Rabat %]]),2)</f>
        <v>1332.09</v>
      </c>
      <c r="N2176" s="14">
        <f>ROUND(tblSprzedaz[[#This Row],[Ilość]]*tblSprzedaz[[#This Row],[Koszt jednostkowy netto]],2)</f>
        <v>1054.6199999999999</v>
      </c>
      <c r="O2176" s="14">
        <f>tblSprzedaz[[#This Row],[Przychód netto]]-tblSprzedaz[[#This Row],[Koszt całkowity netto]]</f>
        <v>277.47000000000003</v>
      </c>
      <c r="P2176" s="15">
        <f>IFERROR(tblSprzedaz[[#This Row],[Marża kwotowa]]/tblSprzedaz[[#This Row],[Przychód netto]],0)</f>
        <v>0.20829673670697929</v>
      </c>
      <c r="Q2176" s="16">
        <f>YEAR(tblSprzedaz[[#This Row],[Data]])</f>
        <v>2026</v>
      </c>
      <c r="R2176" s="16">
        <f>MONTH(tblSprzedaz[[#This Row],[Data]])</f>
        <v>8</v>
      </c>
      <c r="S2176" s="9" t="str">
        <f>YEAR(tblSprzedaz[[#This Row],[Data]])&amp;"-"&amp;RIGHT("0"&amp;MONTH(tblSprzedaz[[#This Row],[Data]]),2)</f>
        <v>2026-08</v>
      </c>
    </row>
    <row r="2177" spans="1:19" x14ac:dyDescent="0.25">
      <c r="A2177" s="7" t="s">
        <v>4521</v>
      </c>
      <c r="B2177" s="10">
        <v>46246</v>
      </c>
      <c r="C2177" s="7" t="s">
        <v>4522</v>
      </c>
      <c r="D2177" s="8" t="s">
        <v>116</v>
      </c>
      <c r="E2177" s="8" t="s">
        <v>60</v>
      </c>
      <c r="F2177" s="8" t="s">
        <v>33</v>
      </c>
      <c r="G2177" s="8" t="s">
        <v>32</v>
      </c>
      <c r="H2177" s="8" t="s">
        <v>43</v>
      </c>
      <c r="I2177" s="11">
        <v>2</v>
      </c>
      <c r="J2177" s="12">
        <v>455.4</v>
      </c>
      <c r="K2177" s="13">
        <v>0.05</v>
      </c>
      <c r="L2177" s="12">
        <v>318.48</v>
      </c>
      <c r="M2177" s="14">
        <f>ROUND(tblSprzedaz[[#This Row],[Ilość]]*tblSprzedaz[[#This Row],[Cena netto jednostkowa]]*(1-tblSprzedaz[[#This Row],[Rabat %]]),2)</f>
        <v>865.26</v>
      </c>
      <c r="N2177" s="14">
        <f>ROUND(tblSprzedaz[[#This Row],[Ilość]]*tblSprzedaz[[#This Row],[Koszt jednostkowy netto]],2)</f>
        <v>636.96</v>
      </c>
      <c r="O2177" s="14">
        <f>tblSprzedaz[[#This Row],[Przychód netto]]-tblSprzedaz[[#This Row],[Koszt całkowity netto]]</f>
        <v>228.29999999999995</v>
      </c>
      <c r="P2177" s="15">
        <f>IFERROR(tblSprzedaz[[#This Row],[Marża kwotowa]]/tblSprzedaz[[#This Row],[Przychód netto]],0)</f>
        <v>0.2638513279245544</v>
      </c>
      <c r="Q2177" s="16">
        <f>YEAR(tblSprzedaz[[#This Row],[Data]])</f>
        <v>2026</v>
      </c>
      <c r="R2177" s="16">
        <f>MONTH(tblSprzedaz[[#This Row],[Data]])</f>
        <v>8</v>
      </c>
      <c r="S2177" s="9" t="str">
        <f>YEAR(tblSprzedaz[[#This Row],[Data]])&amp;"-"&amp;RIGHT("0"&amp;MONTH(tblSprzedaz[[#This Row],[Data]]),2)</f>
        <v>2026-08</v>
      </c>
    </row>
    <row r="2178" spans="1:19" x14ac:dyDescent="0.25">
      <c r="A2178" s="7" t="s">
        <v>4523</v>
      </c>
      <c r="B2178" s="10">
        <v>46246</v>
      </c>
      <c r="C2178" s="7" t="s">
        <v>4524</v>
      </c>
      <c r="D2178" s="8" t="s">
        <v>102</v>
      </c>
      <c r="E2178" s="8" t="s">
        <v>53</v>
      </c>
      <c r="F2178" s="8" t="s">
        <v>29</v>
      </c>
      <c r="G2178" s="8" t="s">
        <v>36</v>
      </c>
      <c r="H2178" s="8" t="s">
        <v>46</v>
      </c>
      <c r="I2178" s="11">
        <v>16</v>
      </c>
      <c r="J2178" s="12">
        <v>27.88</v>
      </c>
      <c r="K2178" s="13">
        <v>0.15</v>
      </c>
      <c r="L2178" s="12">
        <v>17.54</v>
      </c>
      <c r="M2178" s="14">
        <f>ROUND(tblSprzedaz[[#This Row],[Ilość]]*tblSprzedaz[[#This Row],[Cena netto jednostkowa]]*(1-tblSprzedaz[[#This Row],[Rabat %]]),2)</f>
        <v>379.17</v>
      </c>
      <c r="N2178" s="14">
        <f>ROUND(tblSprzedaz[[#This Row],[Ilość]]*tblSprzedaz[[#This Row],[Koszt jednostkowy netto]],2)</f>
        <v>280.64</v>
      </c>
      <c r="O2178" s="14">
        <f>tblSprzedaz[[#This Row],[Przychód netto]]-tblSprzedaz[[#This Row],[Koszt całkowity netto]]</f>
        <v>98.53000000000003</v>
      </c>
      <c r="P2178" s="15">
        <f>IFERROR(tblSprzedaz[[#This Row],[Marża kwotowa]]/tblSprzedaz[[#This Row],[Przychód netto]],0)</f>
        <v>0.2598570562017038</v>
      </c>
      <c r="Q2178" s="16">
        <f>YEAR(tblSprzedaz[[#This Row],[Data]])</f>
        <v>2026</v>
      </c>
      <c r="R2178" s="16">
        <f>MONTH(tblSprzedaz[[#This Row],[Data]])</f>
        <v>8</v>
      </c>
      <c r="S2178" s="9" t="str">
        <f>YEAR(tblSprzedaz[[#This Row],[Data]])&amp;"-"&amp;RIGHT("0"&amp;MONTH(tblSprzedaz[[#This Row],[Data]]),2)</f>
        <v>2026-08</v>
      </c>
    </row>
    <row r="2179" spans="1:19" x14ac:dyDescent="0.25">
      <c r="A2179" s="7" t="s">
        <v>4525</v>
      </c>
      <c r="B2179" s="10">
        <v>46246</v>
      </c>
      <c r="C2179" s="7" t="s">
        <v>4526</v>
      </c>
      <c r="D2179" s="8" t="s">
        <v>126</v>
      </c>
      <c r="E2179" s="8" t="s">
        <v>49</v>
      </c>
      <c r="F2179" s="8" t="s">
        <v>29</v>
      </c>
      <c r="G2179" s="8" t="s">
        <v>30</v>
      </c>
      <c r="H2179" s="8" t="s">
        <v>40</v>
      </c>
      <c r="I2179" s="11">
        <v>2</v>
      </c>
      <c r="J2179" s="12">
        <v>39.44</v>
      </c>
      <c r="K2179" s="13">
        <v>0.15</v>
      </c>
      <c r="L2179" s="12">
        <v>23.54</v>
      </c>
      <c r="M2179" s="14">
        <f>ROUND(tblSprzedaz[[#This Row],[Ilość]]*tblSprzedaz[[#This Row],[Cena netto jednostkowa]]*(1-tblSprzedaz[[#This Row],[Rabat %]]),2)</f>
        <v>67.05</v>
      </c>
      <c r="N2179" s="14">
        <f>ROUND(tblSprzedaz[[#This Row],[Ilość]]*tblSprzedaz[[#This Row],[Koszt jednostkowy netto]],2)</f>
        <v>47.08</v>
      </c>
      <c r="O2179" s="14">
        <f>tblSprzedaz[[#This Row],[Przychód netto]]-tblSprzedaz[[#This Row],[Koszt całkowity netto]]</f>
        <v>19.97</v>
      </c>
      <c r="P2179" s="15">
        <f>IFERROR(tblSprzedaz[[#This Row],[Marża kwotowa]]/tblSprzedaz[[#This Row],[Przychód netto]],0)</f>
        <v>0.29783743475018642</v>
      </c>
      <c r="Q2179" s="16">
        <f>YEAR(tblSprzedaz[[#This Row],[Data]])</f>
        <v>2026</v>
      </c>
      <c r="R2179" s="16">
        <f>MONTH(tblSprzedaz[[#This Row],[Data]])</f>
        <v>8</v>
      </c>
      <c r="S2179" s="9" t="str">
        <f>YEAR(tblSprzedaz[[#This Row],[Data]])&amp;"-"&amp;RIGHT("0"&amp;MONTH(tblSprzedaz[[#This Row],[Data]]),2)</f>
        <v>2026-08</v>
      </c>
    </row>
    <row r="2180" spans="1:19" x14ac:dyDescent="0.25">
      <c r="A2180" s="7" t="s">
        <v>4527</v>
      </c>
      <c r="B2180" s="10">
        <v>46246</v>
      </c>
      <c r="C2180" s="7" t="s">
        <v>4528</v>
      </c>
      <c r="D2180" s="8" t="s">
        <v>81</v>
      </c>
      <c r="E2180" s="8" t="s">
        <v>70</v>
      </c>
      <c r="F2180" s="8" t="s">
        <v>35</v>
      </c>
      <c r="G2180" s="8" t="s">
        <v>36</v>
      </c>
      <c r="H2180" s="8" t="s">
        <v>47</v>
      </c>
      <c r="I2180" s="11">
        <v>21</v>
      </c>
      <c r="J2180" s="12">
        <v>113.56</v>
      </c>
      <c r="K2180" s="13">
        <v>0.1</v>
      </c>
      <c r="L2180" s="12">
        <v>80.64</v>
      </c>
      <c r="M2180" s="14">
        <f>ROUND(tblSprzedaz[[#This Row],[Ilość]]*tblSprzedaz[[#This Row],[Cena netto jednostkowa]]*(1-tblSprzedaz[[#This Row],[Rabat %]]),2)</f>
        <v>2146.2800000000002</v>
      </c>
      <c r="N2180" s="14">
        <f>ROUND(tblSprzedaz[[#This Row],[Ilość]]*tblSprzedaz[[#This Row],[Koszt jednostkowy netto]],2)</f>
        <v>1693.44</v>
      </c>
      <c r="O2180" s="14">
        <f>tblSprzedaz[[#This Row],[Przychód netto]]-tblSprzedaz[[#This Row],[Koszt całkowity netto]]</f>
        <v>452.84000000000015</v>
      </c>
      <c r="P2180" s="15">
        <f>IFERROR(tblSprzedaz[[#This Row],[Marża kwotowa]]/tblSprzedaz[[#This Row],[Przychód netto]],0)</f>
        <v>0.21098831466537454</v>
      </c>
      <c r="Q2180" s="16">
        <f>YEAR(tblSprzedaz[[#This Row],[Data]])</f>
        <v>2026</v>
      </c>
      <c r="R2180" s="16">
        <f>MONTH(tblSprzedaz[[#This Row],[Data]])</f>
        <v>8</v>
      </c>
      <c r="S2180" s="9" t="str">
        <f>YEAR(tblSprzedaz[[#This Row],[Data]])&amp;"-"&amp;RIGHT("0"&amp;MONTH(tblSprzedaz[[#This Row],[Data]]),2)</f>
        <v>2026-08</v>
      </c>
    </row>
    <row r="2181" spans="1:19" x14ac:dyDescent="0.25">
      <c r="A2181" s="7" t="s">
        <v>4529</v>
      </c>
      <c r="B2181" s="10">
        <v>46247</v>
      </c>
      <c r="C2181" s="7" t="s">
        <v>4530</v>
      </c>
      <c r="D2181" s="8" t="s">
        <v>96</v>
      </c>
      <c r="E2181" s="8" t="s">
        <v>58</v>
      </c>
      <c r="F2181" s="8" t="s">
        <v>31</v>
      </c>
      <c r="G2181" s="8" t="s">
        <v>34</v>
      </c>
      <c r="H2181" s="8" t="s">
        <v>44</v>
      </c>
      <c r="I2181" s="11">
        <v>8</v>
      </c>
      <c r="J2181" s="12">
        <v>350.7</v>
      </c>
      <c r="K2181" s="13">
        <v>0.15</v>
      </c>
      <c r="L2181" s="12">
        <v>226.62</v>
      </c>
      <c r="M2181" s="14">
        <f>ROUND(tblSprzedaz[[#This Row],[Ilość]]*tblSprzedaz[[#This Row],[Cena netto jednostkowa]]*(1-tblSprzedaz[[#This Row],[Rabat %]]),2)</f>
        <v>2384.7600000000002</v>
      </c>
      <c r="N2181" s="14">
        <f>ROUND(tblSprzedaz[[#This Row],[Ilość]]*tblSprzedaz[[#This Row],[Koszt jednostkowy netto]],2)</f>
        <v>1812.96</v>
      </c>
      <c r="O2181" s="14">
        <f>tblSprzedaz[[#This Row],[Przychód netto]]-tblSprzedaz[[#This Row],[Koszt całkowity netto]]</f>
        <v>571.80000000000018</v>
      </c>
      <c r="P2181" s="15">
        <f>IFERROR(tblSprzedaz[[#This Row],[Marża kwotowa]]/tblSprzedaz[[#This Row],[Przychód netto]],0)</f>
        <v>0.23977255572887843</v>
      </c>
      <c r="Q2181" s="16">
        <f>YEAR(tblSprzedaz[[#This Row],[Data]])</f>
        <v>2026</v>
      </c>
      <c r="R2181" s="16">
        <f>MONTH(tblSprzedaz[[#This Row],[Data]])</f>
        <v>8</v>
      </c>
      <c r="S2181" s="9" t="str">
        <f>YEAR(tblSprzedaz[[#This Row],[Data]])&amp;"-"&amp;RIGHT("0"&amp;MONTH(tblSprzedaz[[#This Row],[Data]]),2)</f>
        <v>2026-08</v>
      </c>
    </row>
    <row r="2182" spans="1:19" x14ac:dyDescent="0.25">
      <c r="A2182" s="7" t="s">
        <v>4531</v>
      </c>
      <c r="B2182" s="10">
        <v>46247</v>
      </c>
      <c r="C2182" s="7" t="s">
        <v>4532</v>
      </c>
      <c r="D2182" s="8" t="s">
        <v>98</v>
      </c>
      <c r="E2182" s="8" t="s">
        <v>49</v>
      </c>
      <c r="F2182" s="8" t="s">
        <v>29</v>
      </c>
      <c r="G2182" s="8" t="s">
        <v>36</v>
      </c>
      <c r="H2182" s="8" t="s">
        <v>47</v>
      </c>
      <c r="I2182" s="11">
        <v>3</v>
      </c>
      <c r="J2182" s="12">
        <v>39.44</v>
      </c>
      <c r="K2182" s="13">
        <v>0</v>
      </c>
      <c r="L2182" s="12">
        <v>22.57</v>
      </c>
      <c r="M2182" s="14">
        <f>ROUND(tblSprzedaz[[#This Row],[Ilość]]*tblSprzedaz[[#This Row],[Cena netto jednostkowa]]*(1-tblSprzedaz[[#This Row],[Rabat %]]),2)</f>
        <v>118.32</v>
      </c>
      <c r="N2182" s="14">
        <f>ROUND(tblSprzedaz[[#This Row],[Ilość]]*tblSprzedaz[[#This Row],[Koszt jednostkowy netto]],2)</f>
        <v>67.709999999999994</v>
      </c>
      <c r="O2182" s="14">
        <f>tblSprzedaz[[#This Row],[Przychód netto]]-tblSprzedaz[[#This Row],[Koszt całkowity netto]]</f>
        <v>50.61</v>
      </c>
      <c r="P2182" s="15">
        <f>IFERROR(tblSprzedaz[[#This Row],[Marża kwotowa]]/tblSprzedaz[[#This Row],[Przychód netto]],0)</f>
        <v>0.42773833671399597</v>
      </c>
      <c r="Q2182" s="16">
        <f>YEAR(tblSprzedaz[[#This Row],[Data]])</f>
        <v>2026</v>
      </c>
      <c r="R2182" s="16">
        <f>MONTH(tblSprzedaz[[#This Row],[Data]])</f>
        <v>8</v>
      </c>
      <c r="S2182" s="9" t="str">
        <f>YEAR(tblSprzedaz[[#This Row],[Data]])&amp;"-"&amp;RIGHT("0"&amp;MONTH(tblSprzedaz[[#This Row],[Data]]),2)</f>
        <v>2026-08</v>
      </c>
    </row>
    <row r="2183" spans="1:19" x14ac:dyDescent="0.25">
      <c r="A2183" s="7" t="s">
        <v>4533</v>
      </c>
      <c r="B2183" s="10">
        <v>46247</v>
      </c>
      <c r="C2183" s="7" t="s">
        <v>4534</v>
      </c>
      <c r="D2183" s="8" t="s">
        <v>116</v>
      </c>
      <c r="E2183" s="8" t="s">
        <v>53</v>
      </c>
      <c r="F2183" s="8" t="s">
        <v>29</v>
      </c>
      <c r="G2183" s="8" t="s">
        <v>28</v>
      </c>
      <c r="H2183" s="8" t="s">
        <v>39</v>
      </c>
      <c r="I2183" s="11">
        <v>4</v>
      </c>
      <c r="J2183" s="12">
        <v>27.88</v>
      </c>
      <c r="K2183" s="13">
        <v>0.05</v>
      </c>
      <c r="L2183" s="12">
        <v>17.54</v>
      </c>
      <c r="M2183" s="14">
        <f>ROUND(tblSprzedaz[[#This Row],[Ilość]]*tblSprzedaz[[#This Row],[Cena netto jednostkowa]]*(1-tblSprzedaz[[#This Row],[Rabat %]]),2)</f>
        <v>105.94</v>
      </c>
      <c r="N2183" s="14">
        <f>ROUND(tblSprzedaz[[#This Row],[Ilość]]*tblSprzedaz[[#This Row],[Koszt jednostkowy netto]],2)</f>
        <v>70.16</v>
      </c>
      <c r="O2183" s="14">
        <f>tblSprzedaz[[#This Row],[Przychód netto]]-tblSprzedaz[[#This Row],[Koszt całkowity netto]]</f>
        <v>35.78</v>
      </c>
      <c r="P2183" s="15">
        <f>IFERROR(tblSprzedaz[[#This Row],[Marża kwotowa]]/tblSprzedaz[[#This Row],[Przychód netto]],0)</f>
        <v>0.33773834245799511</v>
      </c>
      <c r="Q2183" s="16">
        <f>YEAR(tblSprzedaz[[#This Row],[Data]])</f>
        <v>2026</v>
      </c>
      <c r="R2183" s="16">
        <f>MONTH(tblSprzedaz[[#This Row],[Data]])</f>
        <v>8</v>
      </c>
      <c r="S2183" s="9" t="str">
        <f>YEAR(tblSprzedaz[[#This Row],[Data]])&amp;"-"&amp;RIGHT("0"&amp;MONTH(tblSprzedaz[[#This Row],[Data]]),2)</f>
        <v>2026-08</v>
      </c>
    </row>
    <row r="2184" spans="1:19" x14ac:dyDescent="0.25">
      <c r="A2184" s="7" t="s">
        <v>4535</v>
      </c>
      <c r="B2184" s="10">
        <v>46247</v>
      </c>
      <c r="C2184" s="7" t="s">
        <v>4536</v>
      </c>
      <c r="D2184" s="8" t="s">
        <v>97</v>
      </c>
      <c r="E2184" s="8" t="s">
        <v>57</v>
      </c>
      <c r="F2184" s="8" t="s">
        <v>31</v>
      </c>
      <c r="G2184" s="8" t="s">
        <v>36</v>
      </c>
      <c r="H2184" s="8" t="s">
        <v>46</v>
      </c>
      <c r="I2184" s="11">
        <v>8</v>
      </c>
      <c r="J2184" s="12">
        <v>315</v>
      </c>
      <c r="K2184" s="13">
        <v>0.15</v>
      </c>
      <c r="L2184" s="12">
        <v>196.87</v>
      </c>
      <c r="M2184" s="14">
        <f>ROUND(tblSprzedaz[[#This Row],[Ilość]]*tblSprzedaz[[#This Row],[Cena netto jednostkowa]]*(1-tblSprzedaz[[#This Row],[Rabat %]]),2)</f>
        <v>2142</v>
      </c>
      <c r="N2184" s="14">
        <f>ROUND(tblSprzedaz[[#This Row],[Ilość]]*tblSprzedaz[[#This Row],[Koszt jednostkowy netto]],2)</f>
        <v>1574.96</v>
      </c>
      <c r="O2184" s="14">
        <f>tblSprzedaz[[#This Row],[Przychód netto]]-tblSprzedaz[[#This Row],[Koszt całkowity netto]]</f>
        <v>567.04</v>
      </c>
      <c r="P2184" s="15">
        <f>IFERROR(tblSprzedaz[[#This Row],[Marża kwotowa]]/tblSprzedaz[[#This Row],[Przychód netto]],0)</f>
        <v>0.26472455648926235</v>
      </c>
      <c r="Q2184" s="16">
        <f>YEAR(tblSprzedaz[[#This Row],[Data]])</f>
        <v>2026</v>
      </c>
      <c r="R2184" s="16">
        <f>MONTH(tblSprzedaz[[#This Row],[Data]])</f>
        <v>8</v>
      </c>
      <c r="S2184" s="9" t="str">
        <f>YEAR(tblSprzedaz[[#This Row],[Data]])&amp;"-"&amp;RIGHT("0"&amp;MONTH(tblSprzedaz[[#This Row],[Data]]),2)</f>
        <v>2026-08</v>
      </c>
    </row>
    <row r="2185" spans="1:19" x14ac:dyDescent="0.25">
      <c r="A2185" s="7" t="s">
        <v>4537</v>
      </c>
      <c r="B2185" s="10">
        <v>46247</v>
      </c>
      <c r="C2185" s="7" t="s">
        <v>4538</v>
      </c>
      <c r="D2185" s="8" t="s">
        <v>103</v>
      </c>
      <c r="E2185" s="8" t="s">
        <v>48</v>
      </c>
      <c r="F2185" s="8" t="s">
        <v>29</v>
      </c>
      <c r="G2185" s="8" t="s">
        <v>36</v>
      </c>
      <c r="H2185" s="8" t="s">
        <v>47</v>
      </c>
      <c r="I2185" s="11">
        <v>17</v>
      </c>
      <c r="J2185" s="12">
        <v>33.659999999999997</v>
      </c>
      <c r="K2185" s="13">
        <v>0.15</v>
      </c>
      <c r="L2185" s="12">
        <v>18.59</v>
      </c>
      <c r="M2185" s="14">
        <f>ROUND(tblSprzedaz[[#This Row],[Ilość]]*tblSprzedaz[[#This Row],[Cena netto jednostkowa]]*(1-tblSprzedaz[[#This Row],[Rabat %]]),2)</f>
        <v>486.39</v>
      </c>
      <c r="N2185" s="14">
        <f>ROUND(tblSprzedaz[[#This Row],[Ilość]]*tblSprzedaz[[#This Row],[Koszt jednostkowy netto]],2)</f>
        <v>316.02999999999997</v>
      </c>
      <c r="O2185" s="14">
        <f>tblSprzedaz[[#This Row],[Przychód netto]]-tblSprzedaz[[#This Row],[Koszt całkowity netto]]</f>
        <v>170.36</v>
      </c>
      <c r="P2185" s="15">
        <f>IFERROR(tblSprzedaz[[#This Row],[Marża kwotowa]]/tblSprzedaz[[#This Row],[Przychód netto]],0)</f>
        <v>0.35025391147021939</v>
      </c>
      <c r="Q2185" s="16">
        <f>YEAR(tblSprzedaz[[#This Row],[Data]])</f>
        <v>2026</v>
      </c>
      <c r="R2185" s="16">
        <f>MONTH(tblSprzedaz[[#This Row],[Data]])</f>
        <v>8</v>
      </c>
      <c r="S2185" s="9" t="str">
        <f>YEAR(tblSprzedaz[[#This Row],[Data]])&amp;"-"&amp;RIGHT("0"&amp;MONTH(tblSprzedaz[[#This Row],[Data]]),2)</f>
        <v>2026-08</v>
      </c>
    </row>
    <row r="2186" spans="1:19" x14ac:dyDescent="0.25">
      <c r="A2186" s="7" t="s">
        <v>4539</v>
      </c>
      <c r="B2186" s="10">
        <v>46247</v>
      </c>
      <c r="C2186" s="7" t="s">
        <v>4540</v>
      </c>
      <c r="D2186" s="8" t="s">
        <v>127</v>
      </c>
      <c r="E2186" s="8" t="s">
        <v>63</v>
      </c>
      <c r="F2186" s="8" t="s">
        <v>33</v>
      </c>
      <c r="G2186" s="8" t="s">
        <v>36</v>
      </c>
      <c r="H2186" s="8" t="s">
        <v>46</v>
      </c>
      <c r="I2186" s="11">
        <v>4</v>
      </c>
      <c r="J2186" s="12">
        <v>690</v>
      </c>
      <c r="K2186" s="13">
        <v>0.05</v>
      </c>
      <c r="L2186" s="12">
        <v>472.5</v>
      </c>
      <c r="M2186" s="14">
        <f>ROUND(tblSprzedaz[[#This Row],[Ilość]]*tblSprzedaz[[#This Row],[Cena netto jednostkowa]]*(1-tblSprzedaz[[#This Row],[Rabat %]]),2)</f>
        <v>2622</v>
      </c>
      <c r="N2186" s="14">
        <f>ROUND(tblSprzedaz[[#This Row],[Ilość]]*tblSprzedaz[[#This Row],[Koszt jednostkowy netto]],2)</f>
        <v>1890</v>
      </c>
      <c r="O2186" s="14">
        <f>tblSprzedaz[[#This Row],[Przychód netto]]-tblSprzedaz[[#This Row],[Koszt całkowity netto]]</f>
        <v>732</v>
      </c>
      <c r="P2186" s="15">
        <f>IFERROR(tblSprzedaz[[#This Row],[Marża kwotowa]]/tblSprzedaz[[#This Row],[Przychód netto]],0)</f>
        <v>0.2791762013729977</v>
      </c>
      <c r="Q2186" s="16">
        <f>YEAR(tblSprzedaz[[#This Row],[Data]])</f>
        <v>2026</v>
      </c>
      <c r="R2186" s="16">
        <f>MONTH(tblSprzedaz[[#This Row],[Data]])</f>
        <v>8</v>
      </c>
      <c r="S2186" s="9" t="str">
        <f>YEAR(tblSprzedaz[[#This Row],[Data]])&amp;"-"&amp;RIGHT("0"&amp;MONTH(tblSprzedaz[[#This Row],[Data]]),2)</f>
        <v>2026-08</v>
      </c>
    </row>
    <row r="2187" spans="1:19" x14ac:dyDescent="0.25">
      <c r="A2187" s="7" t="s">
        <v>4541</v>
      </c>
      <c r="B2187" s="10">
        <v>46248</v>
      </c>
      <c r="C2187" s="7" t="s">
        <v>4542</v>
      </c>
      <c r="D2187" s="8" t="s">
        <v>103</v>
      </c>
      <c r="E2187" s="8" t="s">
        <v>71</v>
      </c>
      <c r="F2187" s="8" t="s">
        <v>35</v>
      </c>
      <c r="G2187" s="8" t="s">
        <v>34</v>
      </c>
      <c r="H2187" s="8" t="s">
        <v>45</v>
      </c>
      <c r="I2187" s="11">
        <v>1</v>
      </c>
      <c r="J2187" s="12">
        <v>55.76</v>
      </c>
      <c r="K2187" s="13">
        <v>0.1</v>
      </c>
      <c r="L2187" s="12">
        <v>40.86</v>
      </c>
      <c r="M2187" s="14">
        <f>ROUND(tblSprzedaz[[#This Row],[Ilość]]*tblSprzedaz[[#This Row],[Cena netto jednostkowa]]*(1-tblSprzedaz[[#This Row],[Rabat %]]),2)</f>
        <v>50.18</v>
      </c>
      <c r="N2187" s="14">
        <f>ROUND(tblSprzedaz[[#This Row],[Ilość]]*tblSprzedaz[[#This Row],[Koszt jednostkowy netto]],2)</f>
        <v>40.86</v>
      </c>
      <c r="O2187" s="14">
        <f>tblSprzedaz[[#This Row],[Przychód netto]]-tblSprzedaz[[#This Row],[Koszt całkowity netto]]</f>
        <v>9.32</v>
      </c>
      <c r="P2187" s="15">
        <f>IFERROR(tblSprzedaz[[#This Row],[Marża kwotowa]]/tblSprzedaz[[#This Row],[Przychód netto]],0)</f>
        <v>0.18573136707851734</v>
      </c>
      <c r="Q2187" s="16">
        <f>YEAR(tblSprzedaz[[#This Row],[Data]])</f>
        <v>2026</v>
      </c>
      <c r="R2187" s="16">
        <f>MONTH(tblSprzedaz[[#This Row],[Data]])</f>
        <v>8</v>
      </c>
      <c r="S2187" s="9" t="str">
        <f>YEAR(tblSprzedaz[[#This Row],[Data]])&amp;"-"&amp;RIGHT("0"&amp;MONTH(tblSprzedaz[[#This Row],[Data]]),2)</f>
        <v>2026-08</v>
      </c>
    </row>
    <row r="2188" spans="1:19" x14ac:dyDescent="0.25">
      <c r="A2188" s="7" t="s">
        <v>4543</v>
      </c>
      <c r="B2188" s="10">
        <v>46248</v>
      </c>
      <c r="C2188" s="7" t="s">
        <v>4544</v>
      </c>
      <c r="D2188" s="8" t="s">
        <v>122</v>
      </c>
      <c r="E2188" s="8" t="s">
        <v>73</v>
      </c>
      <c r="F2188" s="8" t="s">
        <v>37</v>
      </c>
      <c r="G2188" s="8" t="s">
        <v>30</v>
      </c>
      <c r="H2188" s="8" t="s">
        <v>41</v>
      </c>
      <c r="I2188" s="11">
        <v>4</v>
      </c>
      <c r="J2188" s="12">
        <v>110.2</v>
      </c>
      <c r="K2188" s="13">
        <v>0</v>
      </c>
      <c r="L2188" s="12">
        <v>85.89</v>
      </c>
      <c r="M2188" s="14">
        <f>ROUND(tblSprzedaz[[#This Row],[Ilość]]*tblSprzedaz[[#This Row],[Cena netto jednostkowa]]*(1-tblSprzedaz[[#This Row],[Rabat %]]),2)</f>
        <v>440.8</v>
      </c>
      <c r="N2188" s="14">
        <f>ROUND(tblSprzedaz[[#This Row],[Ilość]]*tblSprzedaz[[#This Row],[Koszt jednostkowy netto]],2)</f>
        <v>343.56</v>
      </c>
      <c r="O2188" s="14">
        <f>tblSprzedaz[[#This Row],[Przychód netto]]-tblSprzedaz[[#This Row],[Koszt całkowity netto]]</f>
        <v>97.240000000000009</v>
      </c>
      <c r="P2188" s="15">
        <f>IFERROR(tblSprzedaz[[#This Row],[Marża kwotowa]]/tblSprzedaz[[#This Row],[Przychód netto]],0)</f>
        <v>0.22059891107078042</v>
      </c>
      <c r="Q2188" s="16">
        <f>YEAR(tblSprzedaz[[#This Row],[Data]])</f>
        <v>2026</v>
      </c>
      <c r="R2188" s="16">
        <f>MONTH(tblSprzedaz[[#This Row],[Data]])</f>
        <v>8</v>
      </c>
      <c r="S2188" s="9" t="str">
        <f>YEAR(tblSprzedaz[[#This Row],[Data]])&amp;"-"&amp;RIGHT("0"&amp;MONTH(tblSprzedaz[[#This Row],[Data]]),2)</f>
        <v>2026-08</v>
      </c>
    </row>
    <row r="2189" spans="1:19" x14ac:dyDescent="0.25">
      <c r="A2189" s="7" t="s">
        <v>4545</v>
      </c>
      <c r="B2189" s="10">
        <v>46248</v>
      </c>
      <c r="C2189" s="7" t="s">
        <v>4546</v>
      </c>
      <c r="D2189" s="8" t="s">
        <v>101</v>
      </c>
      <c r="E2189" s="8" t="s">
        <v>54</v>
      </c>
      <c r="F2189" s="8" t="s">
        <v>31</v>
      </c>
      <c r="G2189" s="8" t="s">
        <v>34</v>
      </c>
      <c r="H2189" s="8" t="s">
        <v>44</v>
      </c>
      <c r="I2189" s="11">
        <v>3</v>
      </c>
      <c r="J2189" s="12">
        <v>207.9</v>
      </c>
      <c r="K2189" s="13">
        <v>0</v>
      </c>
      <c r="L2189" s="12">
        <v>132.97999999999999</v>
      </c>
      <c r="M2189" s="14">
        <f>ROUND(tblSprzedaz[[#This Row],[Ilość]]*tblSprzedaz[[#This Row],[Cena netto jednostkowa]]*(1-tblSprzedaz[[#This Row],[Rabat %]]),2)</f>
        <v>623.70000000000005</v>
      </c>
      <c r="N2189" s="14">
        <f>ROUND(tblSprzedaz[[#This Row],[Ilość]]*tblSprzedaz[[#This Row],[Koszt jednostkowy netto]],2)</f>
        <v>398.94</v>
      </c>
      <c r="O2189" s="14">
        <f>tblSprzedaz[[#This Row],[Przychód netto]]-tblSprzedaz[[#This Row],[Koszt całkowity netto]]</f>
        <v>224.76000000000005</v>
      </c>
      <c r="P2189" s="15">
        <f>IFERROR(tblSprzedaz[[#This Row],[Marża kwotowa]]/tblSprzedaz[[#This Row],[Przychód netto]],0)</f>
        <v>0.36036556036556039</v>
      </c>
      <c r="Q2189" s="16">
        <f>YEAR(tblSprzedaz[[#This Row],[Data]])</f>
        <v>2026</v>
      </c>
      <c r="R2189" s="16">
        <f>MONTH(tblSprzedaz[[#This Row],[Data]])</f>
        <v>8</v>
      </c>
      <c r="S2189" s="9" t="str">
        <f>YEAR(tblSprzedaz[[#This Row],[Data]])&amp;"-"&amp;RIGHT("0"&amp;MONTH(tblSprzedaz[[#This Row],[Data]]),2)</f>
        <v>2026-08</v>
      </c>
    </row>
    <row r="2190" spans="1:19" x14ac:dyDescent="0.25">
      <c r="A2190" s="7" t="s">
        <v>4547</v>
      </c>
      <c r="B2190" s="10">
        <v>46249</v>
      </c>
      <c r="C2190" s="7" t="s">
        <v>4548</v>
      </c>
      <c r="D2190" s="8" t="s">
        <v>89</v>
      </c>
      <c r="E2190" s="8" t="s">
        <v>68</v>
      </c>
      <c r="F2190" s="8" t="s">
        <v>35</v>
      </c>
      <c r="G2190" s="8" t="s">
        <v>28</v>
      </c>
      <c r="H2190" s="8" t="s">
        <v>39</v>
      </c>
      <c r="I2190" s="11">
        <v>16</v>
      </c>
      <c r="J2190" s="12">
        <v>90.44</v>
      </c>
      <c r="K2190" s="13">
        <v>0</v>
      </c>
      <c r="L2190" s="12">
        <v>64.13</v>
      </c>
      <c r="M2190" s="14">
        <f>ROUND(tblSprzedaz[[#This Row],[Ilość]]*tblSprzedaz[[#This Row],[Cena netto jednostkowa]]*(1-tblSprzedaz[[#This Row],[Rabat %]]),2)</f>
        <v>1447.04</v>
      </c>
      <c r="N2190" s="14">
        <f>ROUND(tblSprzedaz[[#This Row],[Ilość]]*tblSprzedaz[[#This Row],[Koszt jednostkowy netto]],2)</f>
        <v>1026.08</v>
      </c>
      <c r="O2190" s="14">
        <f>tblSprzedaz[[#This Row],[Przychód netto]]-tblSprzedaz[[#This Row],[Koszt całkowity netto]]</f>
        <v>420.96000000000004</v>
      </c>
      <c r="P2190" s="15">
        <f>IFERROR(tblSprzedaz[[#This Row],[Marża kwotowa]]/tblSprzedaz[[#This Row],[Przychód netto]],0)</f>
        <v>0.29091110128261832</v>
      </c>
      <c r="Q2190" s="16">
        <f>YEAR(tblSprzedaz[[#This Row],[Data]])</f>
        <v>2026</v>
      </c>
      <c r="R2190" s="16">
        <f>MONTH(tblSprzedaz[[#This Row],[Data]])</f>
        <v>8</v>
      </c>
      <c r="S2190" s="9" t="str">
        <f>YEAR(tblSprzedaz[[#This Row],[Data]])&amp;"-"&amp;RIGHT("0"&amp;MONTH(tblSprzedaz[[#This Row],[Data]]),2)</f>
        <v>2026-08</v>
      </c>
    </row>
    <row r="2191" spans="1:19" x14ac:dyDescent="0.25">
      <c r="A2191" s="7" t="s">
        <v>4549</v>
      </c>
      <c r="B2191" s="10">
        <v>46249</v>
      </c>
      <c r="C2191" s="7" t="s">
        <v>4550</v>
      </c>
      <c r="D2191" s="8" t="s">
        <v>146</v>
      </c>
      <c r="E2191" s="8" t="s">
        <v>66</v>
      </c>
      <c r="F2191" s="8" t="s">
        <v>35</v>
      </c>
      <c r="G2191" s="8" t="s">
        <v>34</v>
      </c>
      <c r="H2191" s="8" t="s">
        <v>44</v>
      </c>
      <c r="I2191" s="11">
        <v>8</v>
      </c>
      <c r="J2191" s="12">
        <v>67.319999999999993</v>
      </c>
      <c r="K2191" s="13">
        <v>0</v>
      </c>
      <c r="L2191" s="12">
        <v>50.85</v>
      </c>
      <c r="M2191" s="14">
        <f>ROUND(tblSprzedaz[[#This Row],[Ilość]]*tblSprzedaz[[#This Row],[Cena netto jednostkowa]]*(1-tblSprzedaz[[#This Row],[Rabat %]]),2)</f>
        <v>538.55999999999995</v>
      </c>
      <c r="N2191" s="14">
        <f>ROUND(tblSprzedaz[[#This Row],[Ilość]]*tblSprzedaz[[#This Row],[Koszt jednostkowy netto]],2)</f>
        <v>406.8</v>
      </c>
      <c r="O2191" s="14">
        <f>tblSprzedaz[[#This Row],[Przychód netto]]-tblSprzedaz[[#This Row],[Koszt całkowity netto]]</f>
        <v>131.75999999999993</v>
      </c>
      <c r="P2191" s="15">
        <f>IFERROR(tblSprzedaz[[#This Row],[Marża kwotowa]]/tblSprzedaz[[#This Row],[Przychód netto]],0)</f>
        <v>0.24465240641711219</v>
      </c>
      <c r="Q2191" s="16">
        <f>YEAR(tblSprzedaz[[#This Row],[Data]])</f>
        <v>2026</v>
      </c>
      <c r="R2191" s="16">
        <f>MONTH(tblSprzedaz[[#This Row],[Data]])</f>
        <v>8</v>
      </c>
      <c r="S2191" s="9" t="str">
        <f>YEAR(tblSprzedaz[[#This Row],[Data]])&amp;"-"&amp;RIGHT("0"&amp;MONTH(tblSprzedaz[[#This Row],[Data]]),2)</f>
        <v>2026-08</v>
      </c>
    </row>
    <row r="2192" spans="1:19" x14ac:dyDescent="0.25">
      <c r="A2192" s="7" t="s">
        <v>4551</v>
      </c>
      <c r="B2192" s="10">
        <v>46250</v>
      </c>
      <c r="C2192" s="7" t="s">
        <v>4552</v>
      </c>
      <c r="D2192" s="8" t="s">
        <v>79</v>
      </c>
      <c r="E2192" s="8" t="s">
        <v>67</v>
      </c>
      <c r="F2192" s="8" t="s">
        <v>35</v>
      </c>
      <c r="G2192" s="8" t="s">
        <v>28</v>
      </c>
      <c r="H2192" s="8" t="s">
        <v>39</v>
      </c>
      <c r="I2192" s="11">
        <v>6</v>
      </c>
      <c r="J2192" s="12">
        <v>78.88</v>
      </c>
      <c r="K2192" s="13">
        <v>0.15</v>
      </c>
      <c r="L2192" s="12">
        <v>59.22</v>
      </c>
      <c r="M2192" s="14">
        <f>ROUND(tblSprzedaz[[#This Row],[Ilość]]*tblSprzedaz[[#This Row],[Cena netto jednostkowa]]*(1-tblSprzedaz[[#This Row],[Rabat %]]),2)</f>
        <v>402.29</v>
      </c>
      <c r="N2192" s="14">
        <f>ROUND(tblSprzedaz[[#This Row],[Ilość]]*tblSprzedaz[[#This Row],[Koszt jednostkowy netto]],2)</f>
        <v>355.32</v>
      </c>
      <c r="O2192" s="14">
        <f>tblSprzedaz[[#This Row],[Przychód netto]]-tblSprzedaz[[#This Row],[Koszt całkowity netto]]</f>
        <v>46.970000000000027</v>
      </c>
      <c r="P2192" s="15">
        <f>IFERROR(tblSprzedaz[[#This Row],[Marża kwotowa]]/tblSprzedaz[[#This Row],[Przychód netto]],0)</f>
        <v>0.11675656864451024</v>
      </c>
      <c r="Q2192" s="16">
        <f>YEAR(tblSprzedaz[[#This Row],[Data]])</f>
        <v>2026</v>
      </c>
      <c r="R2192" s="16">
        <f>MONTH(tblSprzedaz[[#This Row],[Data]])</f>
        <v>8</v>
      </c>
      <c r="S2192" s="9" t="str">
        <f>YEAR(tblSprzedaz[[#This Row],[Data]])&amp;"-"&amp;RIGHT("0"&amp;MONTH(tblSprzedaz[[#This Row],[Data]]),2)</f>
        <v>2026-08</v>
      </c>
    </row>
    <row r="2193" spans="1:19" x14ac:dyDescent="0.25">
      <c r="A2193" s="7" t="s">
        <v>4553</v>
      </c>
      <c r="B2193" s="10">
        <v>46250</v>
      </c>
      <c r="C2193" s="7" t="s">
        <v>4554</v>
      </c>
      <c r="D2193" s="8" t="s">
        <v>142</v>
      </c>
      <c r="E2193" s="8" t="s">
        <v>48</v>
      </c>
      <c r="F2193" s="8" t="s">
        <v>29</v>
      </c>
      <c r="G2193" s="8" t="s">
        <v>34</v>
      </c>
      <c r="H2193" s="8" t="s">
        <v>44</v>
      </c>
      <c r="I2193" s="11">
        <v>4</v>
      </c>
      <c r="J2193" s="12">
        <v>33.659999999999997</v>
      </c>
      <c r="K2193" s="13">
        <v>0.1</v>
      </c>
      <c r="L2193" s="12">
        <v>19.989999999999998</v>
      </c>
      <c r="M2193" s="14">
        <f>ROUND(tblSprzedaz[[#This Row],[Ilość]]*tblSprzedaz[[#This Row],[Cena netto jednostkowa]]*(1-tblSprzedaz[[#This Row],[Rabat %]]),2)</f>
        <v>121.18</v>
      </c>
      <c r="N2193" s="14">
        <f>ROUND(tblSprzedaz[[#This Row],[Ilość]]*tblSprzedaz[[#This Row],[Koszt jednostkowy netto]],2)</f>
        <v>79.959999999999994</v>
      </c>
      <c r="O2193" s="14">
        <f>tblSprzedaz[[#This Row],[Przychód netto]]-tblSprzedaz[[#This Row],[Koszt całkowity netto]]</f>
        <v>41.220000000000013</v>
      </c>
      <c r="P2193" s="15">
        <f>IFERROR(tblSprzedaz[[#This Row],[Marża kwotowa]]/tblSprzedaz[[#This Row],[Przychód netto]],0)</f>
        <v>0.34015514111239487</v>
      </c>
      <c r="Q2193" s="16">
        <f>YEAR(tblSprzedaz[[#This Row],[Data]])</f>
        <v>2026</v>
      </c>
      <c r="R2193" s="16">
        <f>MONTH(tblSprzedaz[[#This Row],[Data]])</f>
        <v>8</v>
      </c>
      <c r="S2193" s="9" t="str">
        <f>YEAR(tblSprzedaz[[#This Row],[Data]])&amp;"-"&amp;RIGHT("0"&amp;MONTH(tblSprzedaz[[#This Row],[Data]]),2)</f>
        <v>2026-08</v>
      </c>
    </row>
    <row r="2194" spans="1:19" x14ac:dyDescent="0.25">
      <c r="A2194" s="7" t="s">
        <v>4555</v>
      </c>
      <c r="B2194" s="10">
        <v>46251</v>
      </c>
      <c r="C2194" s="7" t="s">
        <v>4556</v>
      </c>
      <c r="D2194" s="8" t="s">
        <v>129</v>
      </c>
      <c r="E2194" s="8" t="s">
        <v>72</v>
      </c>
      <c r="F2194" s="8" t="s">
        <v>37</v>
      </c>
      <c r="G2194" s="8" t="s">
        <v>36</v>
      </c>
      <c r="H2194" s="8" t="s">
        <v>46</v>
      </c>
      <c r="I2194" s="11">
        <v>13</v>
      </c>
      <c r="J2194" s="12">
        <v>94.05</v>
      </c>
      <c r="K2194" s="13">
        <v>0</v>
      </c>
      <c r="L2194" s="12">
        <v>74.430000000000007</v>
      </c>
      <c r="M2194" s="14">
        <f>ROUND(tblSprzedaz[[#This Row],[Ilość]]*tblSprzedaz[[#This Row],[Cena netto jednostkowa]]*(1-tblSprzedaz[[#This Row],[Rabat %]]),2)</f>
        <v>1222.6500000000001</v>
      </c>
      <c r="N2194" s="14">
        <f>ROUND(tblSprzedaz[[#This Row],[Ilość]]*tblSprzedaz[[#This Row],[Koszt jednostkowy netto]],2)</f>
        <v>967.59</v>
      </c>
      <c r="O2194" s="14">
        <f>tblSprzedaz[[#This Row],[Przychód netto]]-tblSprzedaz[[#This Row],[Koszt całkowity netto]]</f>
        <v>255.06000000000006</v>
      </c>
      <c r="P2194" s="15">
        <f>IFERROR(tblSprzedaz[[#This Row],[Marża kwotowa]]/tblSprzedaz[[#This Row],[Przychód netto]],0)</f>
        <v>0.20861244019138758</v>
      </c>
      <c r="Q2194" s="16">
        <f>YEAR(tblSprzedaz[[#This Row],[Data]])</f>
        <v>2026</v>
      </c>
      <c r="R2194" s="16">
        <f>MONTH(tblSprzedaz[[#This Row],[Data]])</f>
        <v>8</v>
      </c>
      <c r="S2194" s="9" t="str">
        <f>YEAR(tblSprzedaz[[#This Row],[Data]])&amp;"-"&amp;RIGHT("0"&amp;MONTH(tblSprzedaz[[#This Row],[Data]]),2)</f>
        <v>2026-08</v>
      </c>
    </row>
    <row r="2195" spans="1:19" x14ac:dyDescent="0.25">
      <c r="A2195" s="7" t="s">
        <v>4557</v>
      </c>
      <c r="B2195" s="10">
        <v>46251</v>
      </c>
      <c r="C2195" s="7" t="s">
        <v>4558</v>
      </c>
      <c r="D2195" s="8" t="s">
        <v>102</v>
      </c>
      <c r="E2195" s="8" t="s">
        <v>58</v>
      </c>
      <c r="F2195" s="8" t="s">
        <v>31</v>
      </c>
      <c r="G2195" s="8" t="s">
        <v>36</v>
      </c>
      <c r="H2195" s="8" t="s">
        <v>47</v>
      </c>
      <c r="I2195" s="11">
        <v>12</v>
      </c>
      <c r="J2195" s="12">
        <v>350.7</v>
      </c>
      <c r="K2195" s="13">
        <v>0.05</v>
      </c>
      <c r="L2195" s="12">
        <v>229.4</v>
      </c>
      <c r="M2195" s="14">
        <f>ROUND(tblSprzedaz[[#This Row],[Ilość]]*tblSprzedaz[[#This Row],[Cena netto jednostkowa]]*(1-tblSprzedaz[[#This Row],[Rabat %]]),2)</f>
        <v>3997.98</v>
      </c>
      <c r="N2195" s="14">
        <f>ROUND(tblSprzedaz[[#This Row],[Ilość]]*tblSprzedaz[[#This Row],[Koszt jednostkowy netto]],2)</f>
        <v>2752.8</v>
      </c>
      <c r="O2195" s="14">
        <f>tblSprzedaz[[#This Row],[Przychód netto]]-tblSprzedaz[[#This Row],[Koszt całkowity netto]]</f>
        <v>1245.1799999999998</v>
      </c>
      <c r="P2195" s="15">
        <f>IFERROR(tblSprzedaz[[#This Row],[Marża kwotowa]]/tblSprzedaz[[#This Row],[Przychód netto]],0)</f>
        <v>0.31145228340311853</v>
      </c>
      <c r="Q2195" s="16">
        <f>YEAR(tblSprzedaz[[#This Row],[Data]])</f>
        <v>2026</v>
      </c>
      <c r="R2195" s="16">
        <f>MONTH(tblSprzedaz[[#This Row],[Data]])</f>
        <v>8</v>
      </c>
      <c r="S2195" s="9" t="str">
        <f>YEAR(tblSprzedaz[[#This Row],[Data]])&amp;"-"&amp;RIGHT("0"&amp;MONTH(tblSprzedaz[[#This Row],[Data]]),2)</f>
        <v>2026-08</v>
      </c>
    </row>
    <row r="2196" spans="1:19" x14ac:dyDescent="0.25">
      <c r="A2196" s="7" t="s">
        <v>4559</v>
      </c>
      <c r="B2196" s="10">
        <v>46251</v>
      </c>
      <c r="C2196" s="7" t="s">
        <v>4560</v>
      </c>
      <c r="D2196" s="8" t="s">
        <v>93</v>
      </c>
      <c r="E2196" s="8" t="s">
        <v>68</v>
      </c>
      <c r="F2196" s="8" t="s">
        <v>35</v>
      </c>
      <c r="G2196" s="8" t="s">
        <v>28</v>
      </c>
      <c r="H2196" s="8" t="s">
        <v>39</v>
      </c>
      <c r="I2196" s="11">
        <v>14</v>
      </c>
      <c r="J2196" s="12">
        <v>90.44</v>
      </c>
      <c r="K2196" s="13">
        <v>0</v>
      </c>
      <c r="L2196" s="12">
        <v>67.78</v>
      </c>
      <c r="M2196" s="14">
        <f>ROUND(tblSprzedaz[[#This Row],[Ilość]]*tblSprzedaz[[#This Row],[Cena netto jednostkowa]]*(1-tblSprzedaz[[#This Row],[Rabat %]]),2)</f>
        <v>1266.1600000000001</v>
      </c>
      <c r="N2196" s="14">
        <f>ROUND(tblSprzedaz[[#This Row],[Ilość]]*tblSprzedaz[[#This Row],[Koszt jednostkowy netto]],2)</f>
        <v>948.92</v>
      </c>
      <c r="O2196" s="14">
        <f>tblSprzedaz[[#This Row],[Przychód netto]]-tblSprzedaz[[#This Row],[Koszt całkowity netto]]</f>
        <v>317.24000000000012</v>
      </c>
      <c r="P2196" s="15">
        <f>IFERROR(tblSprzedaz[[#This Row],[Marża kwotowa]]/tblSprzedaz[[#This Row],[Przychód netto]],0)</f>
        <v>0.25055285272003547</v>
      </c>
      <c r="Q2196" s="16">
        <f>YEAR(tblSprzedaz[[#This Row],[Data]])</f>
        <v>2026</v>
      </c>
      <c r="R2196" s="16">
        <f>MONTH(tblSprzedaz[[#This Row],[Data]])</f>
        <v>8</v>
      </c>
      <c r="S2196" s="9" t="str">
        <f>YEAR(tblSprzedaz[[#This Row],[Data]])&amp;"-"&amp;RIGHT("0"&amp;MONTH(tblSprzedaz[[#This Row],[Data]]),2)</f>
        <v>2026-08</v>
      </c>
    </row>
    <row r="2197" spans="1:19" x14ac:dyDescent="0.25">
      <c r="A2197" s="7" t="s">
        <v>4561</v>
      </c>
      <c r="B2197" s="10">
        <v>46251</v>
      </c>
      <c r="C2197" s="7" t="s">
        <v>4562</v>
      </c>
      <c r="D2197" s="8" t="s">
        <v>137</v>
      </c>
      <c r="E2197" s="8" t="s">
        <v>73</v>
      </c>
      <c r="F2197" s="8" t="s">
        <v>37</v>
      </c>
      <c r="G2197" s="8" t="s">
        <v>32</v>
      </c>
      <c r="H2197" s="8" t="s">
        <v>42</v>
      </c>
      <c r="I2197" s="11">
        <v>18</v>
      </c>
      <c r="J2197" s="12">
        <v>110.2</v>
      </c>
      <c r="K2197" s="13">
        <v>0.1</v>
      </c>
      <c r="L2197" s="12">
        <v>86.99</v>
      </c>
      <c r="M2197" s="14">
        <f>ROUND(tblSprzedaz[[#This Row],[Ilość]]*tblSprzedaz[[#This Row],[Cena netto jednostkowa]]*(1-tblSprzedaz[[#This Row],[Rabat %]]),2)</f>
        <v>1785.24</v>
      </c>
      <c r="N2197" s="14">
        <f>ROUND(tblSprzedaz[[#This Row],[Ilość]]*tblSprzedaz[[#This Row],[Koszt jednostkowy netto]],2)</f>
        <v>1565.82</v>
      </c>
      <c r="O2197" s="14">
        <f>tblSprzedaz[[#This Row],[Przychód netto]]-tblSprzedaz[[#This Row],[Koszt całkowity netto]]</f>
        <v>219.42000000000007</v>
      </c>
      <c r="P2197" s="15">
        <f>IFERROR(tblSprzedaz[[#This Row],[Marża kwotowa]]/tblSprzedaz[[#This Row],[Przychód netto]],0)</f>
        <v>0.12290784432345235</v>
      </c>
      <c r="Q2197" s="16">
        <f>YEAR(tblSprzedaz[[#This Row],[Data]])</f>
        <v>2026</v>
      </c>
      <c r="R2197" s="16">
        <f>MONTH(tblSprzedaz[[#This Row],[Data]])</f>
        <v>8</v>
      </c>
      <c r="S2197" s="9" t="str">
        <f>YEAR(tblSprzedaz[[#This Row],[Data]])&amp;"-"&amp;RIGHT("0"&amp;MONTH(tblSprzedaz[[#This Row],[Data]]),2)</f>
        <v>2026-08</v>
      </c>
    </row>
    <row r="2198" spans="1:19" x14ac:dyDescent="0.25">
      <c r="A2198" s="7" t="s">
        <v>4563</v>
      </c>
      <c r="B2198" s="10">
        <v>46251</v>
      </c>
      <c r="C2198" s="7" t="s">
        <v>4564</v>
      </c>
      <c r="D2198" s="8" t="s">
        <v>112</v>
      </c>
      <c r="E2198" s="8" t="s">
        <v>64</v>
      </c>
      <c r="F2198" s="8" t="s">
        <v>33</v>
      </c>
      <c r="G2198" s="8" t="s">
        <v>36</v>
      </c>
      <c r="H2198" s="8" t="s">
        <v>46</v>
      </c>
      <c r="I2198" s="11">
        <v>4</v>
      </c>
      <c r="J2198" s="12">
        <v>768.2</v>
      </c>
      <c r="K2198" s="13">
        <v>0.1</v>
      </c>
      <c r="L2198" s="12">
        <v>528.72</v>
      </c>
      <c r="M2198" s="14">
        <f>ROUND(tblSprzedaz[[#This Row],[Ilość]]*tblSprzedaz[[#This Row],[Cena netto jednostkowa]]*(1-tblSprzedaz[[#This Row],[Rabat %]]),2)</f>
        <v>2765.52</v>
      </c>
      <c r="N2198" s="14">
        <f>ROUND(tblSprzedaz[[#This Row],[Ilość]]*tblSprzedaz[[#This Row],[Koszt jednostkowy netto]],2)</f>
        <v>2114.88</v>
      </c>
      <c r="O2198" s="14">
        <f>tblSprzedaz[[#This Row],[Przychód netto]]-tblSprzedaz[[#This Row],[Koszt całkowity netto]]</f>
        <v>650.63999999999987</v>
      </c>
      <c r="P2198" s="15">
        <f>IFERROR(tblSprzedaz[[#This Row],[Marża kwotowa]]/tblSprzedaz[[#This Row],[Przychód netto]],0)</f>
        <v>0.235268593248286</v>
      </c>
      <c r="Q2198" s="16">
        <f>YEAR(tblSprzedaz[[#This Row],[Data]])</f>
        <v>2026</v>
      </c>
      <c r="R2198" s="16">
        <f>MONTH(tblSprzedaz[[#This Row],[Data]])</f>
        <v>8</v>
      </c>
      <c r="S2198" s="9" t="str">
        <f>YEAR(tblSprzedaz[[#This Row],[Data]])&amp;"-"&amp;RIGHT("0"&amp;MONTH(tblSprzedaz[[#This Row],[Data]]),2)</f>
        <v>2026-08</v>
      </c>
    </row>
    <row r="2199" spans="1:19" x14ac:dyDescent="0.25">
      <c r="A2199" s="7" t="s">
        <v>4565</v>
      </c>
      <c r="B2199" s="10">
        <v>46251</v>
      </c>
      <c r="C2199" s="7" t="s">
        <v>4566</v>
      </c>
      <c r="D2199" s="8" t="s">
        <v>148</v>
      </c>
      <c r="E2199" s="8" t="s">
        <v>54</v>
      </c>
      <c r="F2199" s="8" t="s">
        <v>31</v>
      </c>
      <c r="G2199" s="8" t="s">
        <v>36</v>
      </c>
      <c r="H2199" s="8" t="s">
        <v>47</v>
      </c>
      <c r="I2199" s="11">
        <v>8</v>
      </c>
      <c r="J2199" s="12">
        <v>207.9</v>
      </c>
      <c r="K2199" s="13">
        <v>0.15</v>
      </c>
      <c r="L2199" s="12">
        <v>124.84</v>
      </c>
      <c r="M2199" s="14">
        <f>ROUND(tblSprzedaz[[#This Row],[Ilość]]*tblSprzedaz[[#This Row],[Cena netto jednostkowa]]*(1-tblSprzedaz[[#This Row],[Rabat %]]),2)</f>
        <v>1413.72</v>
      </c>
      <c r="N2199" s="14">
        <f>ROUND(tblSprzedaz[[#This Row],[Ilość]]*tblSprzedaz[[#This Row],[Koszt jednostkowy netto]],2)</f>
        <v>998.72</v>
      </c>
      <c r="O2199" s="14">
        <f>tblSprzedaz[[#This Row],[Przychód netto]]-tblSprzedaz[[#This Row],[Koszt całkowity netto]]</f>
        <v>415</v>
      </c>
      <c r="P2199" s="15">
        <f>IFERROR(tblSprzedaz[[#This Row],[Marża kwotowa]]/tblSprzedaz[[#This Row],[Przychód netto]],0)</f>
        <v>0.29355176413999945</v>
      </c>
      <c r="Q2199" s="16">
        <f>YEAR(tblSprzedaz[[#This Row],[Data]])</f>
        <v>2026</v>
      </c>
      <c r="R2199" s="16">
        <f>MONTH(tblSprzedaz[[#This Row],[Data]])</f>
        <v>8</v>
      </c>
      <c r="S2199" s="9" t="str">
        <f>YEAR(tblSprzedaz[[#This Row],[Data]])&amp;"-"&amp;RIGHT("0"&amp;MONTH(tblSprzedaz[[#This Row],[Data]]),2)</f>
        <v>2026-08</v>
      </c>
    </row>
    <row r="2200" spans="1:19" x14ac:dyDescent="0.25">
      <c r="A2200" s="7" t="s">
        <v>4567</v>
      </c>
      <c r="B2200" s="10">
        <v>46252</v>
      </c>
      <c r="C2200" s="7" t="s">
        <v>4568</v>
      </c>
      <c r="D2200" s="8" t="s">
        <v>143</v>
      </c>
      <c r="E2200" s="8" t="s">
        <v>76</v>
      </c>
      <c r="F2200" s="8" t="s">
        <v>37</v>
      </c>
      <c r="G2200" s="8" t="s">
        <v>28</v>
      </c>
      <c r="H2200" s="8" t="s">
        <v>38</v>
      </c>
      <c r="I2200" s="11">
        <v>14</v>
      </c>
      <c r="J2200" s="12">
        <v>158.65</v>
      </c>
      <c r="K2200" s="13">
        <v>0.15</v>
      </c>
      <c r="L2200" s="12">
        <v>118.62</v>
      </c>
      <c r="M2200" s="14">
        <f>ROUND(tblSprzedaz[[#This Row],[Ilość]]*tblSprzedaz[[#This Row],[Cena netto jednostkowa]]*(1-tblSprzedaz[[#This Row],[Rabat %]]),2)</f>
        <v>1887.94</v>
      </c>
      <c r="N2200" s="14">
        <f>ROUND(tblSprzedaz[[#This Row],[Ilość]]*tblSprzedaz[[#This Row],[Koszt jednostkowy netto]],2)</f>
        <v>1660.68</v>
      </c>
      <c r="O2200" s="14">
        <f>tblSprzedaz[[#This Row],[Przychód netto]]-tblSprzedaz[[#This Row],[Koszt całkowity netto]]</f>
        <v>227.26</v>
      </c>
      <c r="P2200" s="15">
        <f>IFERROR(tblSprzedaz[[#This Row],[Marża kwotowa]]/tblSprzedaz[[#This Row],[Przychód netto]],0)</f>
        <v>0.12037458817547167</v>
      </c>
      <c r="Q2200" s="16">
        <f>YEAR(tblSprzedaz[[#This Row],[Data]])</f>
        <v>2026</v>
      </c>
      <c r="R2200" s="16">
        <f>MONTH(tblSprzedaz[[#This Row],[Data]])</f>
        <v>8</v>
      </c>
      <c r="S2200" s="9" t="str">
        <f>YEAR(tblSprzedaz[[#This Row],[Data]])&amp;"-"&amp;RIGHT("0"&amp;MONTH(tblSprzedaz[[#This Row],[Data]]),2)</f>
        <v>2026-08</v>
      </c>
    </row>
    <row r="2201" spans="1:19" x14ac:dyDescent="0.25">
      <c r="A2201" s="7" t="s">
        <v>4569</v>
      </c>
      <c r="B2201" s="10">
        <v>46252</v>
      </c>
      <c r="C2201" s="7" t="s">
        <v>4570</v>
      </c>
      <c r="D2201" s="8" t="s">
        <v>140</v>
      </c>
      <c r="E2201" s="8" t="s">
        <v>54</v>
      </c>
      <c r="F2201" s="8" t="s">
        <v>31</v>
      </c>
      <c r="G2201" s="8" t="s">
        <v>32</v>
      </c>
      <c r="H2201" s="8" t="s">
        <v>42</v>
      </c>
      <c r="I2201" s="11">
        <v>2</v>
      </c>
      <c r="J2201" s="12">
        <v>207.9</v>
      </c>
      <c r="K2201" s="13">
        <v>0.15</v>
      </c>
      <c r="L2201" s="12">
        <v>133.97999999999999</v>
      </c>
      <c r="M2201" s="14">
        <f>ROUND(tblSprzedaz[[#This Row],[Ilość]]*tblSprzedaz[[#This Row],[Cena netto jednostkowa]]*(1-tblSprzedaz[[#This Row],[Rabat %]]),2)</f>
        <v>353.43</v>
      </c>
      <c r="N2201" s="14">
        <f>ROUND(tblSprzedaz[[#This Row],[Ilość]]*tblSprzedaz[[#This Row],[Koszt jednostkowy netto]],2)</f>
        <v>267.95999999999998</v>
      </c>
      <c r="O2201" s="14">
        <f>tblSprzedaz[[#This Row],[Przychód netto]]-tblSprzedaz[[#This Row],[Koszt całkowity netto]]</f>
        <v>85.470000000000027</v>
      </c>
      <c r="P2201" s="15">
        <f>IFERROR(tblSprzedaz[[#This Row],[Marża kwotowa]]/tblSprzedaz[[#This Row],[Przychód netto]],0)</f>
        <v>0.24183006535947721</v>
      </c>
      <c r="Q2201" s="16">
        <f>YEAR(tblSprzedaz[[#This Row],[Data]])</f>
        <v>2026</v>
      </c>
      <c r="R2201" s="16">
        <f>MONTH(tblSprzedaz[[#This Row],[Data]])</f>
        <v>8</v>
      </c>
      <c r="S2201" s="9" t="str">
        <f>YEAR(tblSprzedaz[[#This Row],[Data]])&amp;"-"&amp;RIGHT("0"&amp;MONTH(tblSprzedaz[[#This Row],[Data]]),2)</f>
        <v>2026-08</v>
      </c>
    </row>
    <row r="2202" spans="1:19" x14ac:dyDescent="0.25">
      <c r="A2202" s="7" t="s">
        <v>4571</v>
      </c>
      <c r="B2202" s="10">
        <v>46252</v>
      </c>
      <c r="C2202" s="7" t="s">
        <v>4572</v>
      </c>
      <c r="D2202" s="8" t="s">
        <v>81</v>
      </c>
      <c r="E2202" s="8" t="s">
        <v>58</v>
      </c>
      <c r="F2202" s="8" t="s">
        <v>31</v>
      </c>
      <c r="G2202" s="8" t="s">
        <v>34</v>
      </c>
      <c r="H2202" s="8" t="s">
        <v>45</v>
      </c>
      <c r="I2202" s="11">
        <v>1</v>
      </c>
      <c r="J2202" s="12">
        <v>350.7</v>
      </c>
      <c r="K2202" s="13">
        <v>0</v>
      </c>
      <c r="L2202" s="12">
        <v>224.62</v>
      </c>
      <c r="M2202" s="14">
        <f>ROUND(tblSprzedaz[[#This Row],[Ilość]]*tblSprzedaz[[#This Row],[Cena netto jednostkowa]]*(1-tblSprzedaz[[#This Row],[Rabat %]]),2)</f>
        <v>350.7</v>
      </c>
      <c r="N2202" s="14">
        <f>ROUND(tblSprzedaz[[#This Row],[Ilość]]*tblSprzedaz[[#This Row],[Koszt jednostkowy netto]],2)</f>
        <v>224.62</v>
      </c>
      <c r="O2202" s="14">
        <f>tblSprzedaz[[#This Row],[Przychód netto]]-tblSprzedaz[[#This Row],[Koszt całkowity netto]]</f>
        <v>126.07999999999998</v>
      </c>
      <c r="P2202" s="15">
        <f>IFERROR(tblSprzedaz[[#This Row],[Marża kwotowa]]/tblSprzedaz[[#This Row],[Przychód netto]],0)</f>
        <v>0.35950955232392356</v>
      </c>
      <c r="Q2202" s="16">
        <f>YEAR(tblSprzedaz[[#This Row],[Data]])</f>
        <v>2026</v>
      </c>
      <c r="R2202" s="16">
        <f>MONTH(tblSprzedaz[[#This Row],[Data]])</f>
        <v>8</v>
      </c>
      <c r="S2202" s="9" t="str">
        <f>YEAR(tblSprzedaz[[#This Row],[Data]])&amp;"-"&amp;RIGHT("0"&amp;MONTH(tblSprzedaz[[#This Row],[Data]]),2)</f>
        <v>2026-08</v>
      </c>
    </row>
    <row r="2203" spans="1:19" x14ac:dyDescent="0.25">
      <c r="A2203" s="7" t="s">
        <v>4573</v>
      </c>
      <c r="B2203" s="10">
        <v>46253</v>
      </c>
      <c r="C2203" s="7" t="s">
        <v>4574</v>
      </c>
      <c r="D2203" s="8" t="s">
        <v>111</v>
      </c>
      <c r="E2203" s="8" t="s">
        <v>66</v>
      </c>
      <c r="F2203" s="8" t="s">
        <v>35</v>
      </c>
      <c r="G2203" s="8" t="s">
        <v>36</v>
      </c>
      <c r="H2203" s="8" t="s">
        <v>46</v>
      </c>
      <c r="I2203" s="11">
        <v>20</v>
      </c>
      <c r="J2203" s="12">
        <v>67.319999999999993</v>
      </c>
      <c r="K2203" s="13">
        <v>0</v>
      </c>
      <c r="L2203" s="12">
        <v>49.33</v>
      </c>
      <c r="M2203" s="14">
        <f>ROUND(tblSprzedaz[[#This Row],[Ilość]]*tblSprzedaz[[#This Row],[Cena netto jednostkowa]]*(1-tblSprzedaz[[#This Row],[Rabat %]]),2)</f>
        <v>1346.4</v>
      </c>
      <c r="N2203" s="14">
        <f>ROUND(tblSprzedaz[[#This Row],[Ilość]]*tblSprzedaz[[#This Row],[Koszt jednostkowy netto]],2)</f>
        <v>986.6</v>
      </c>
      <c r="O2203" s="14">
        <f>tblSprzedaz[[#This Row],[Przychód netto]]-tblSprzedaz[[#This Row],[Koszt całkowity netto]]</f>
        <v>359.80000000000007</v>
      </c>
      <c r="P2203" s="15">
        <f>IFERROR(tblSprzedaz[[#This Row],[Marża kwotowa]]/tblSprzedaz[[#This Row],[Przychód netto]],0)</f>
        <v>0.26723113487819372</v>
      </c>
      <c r="Q2203" s="16">
        <f>YEAR(tblSprzedaz[[#This Row],[Data]])</f>
        <v>2026</v>
      </c>
      <c r="R2203" s="16">
        <f>MONTH(tblSprzedaz[[#This Row],[Data]])</f>
        <v>8</v>
      </c>
      <c r="S2203" s="9" t="str">
        <f>YEAR(tblSprzedaz[[#This Row],[Data]])&amp;"-"&amp;RIGHT("0"&amp;MONTH(tblSprzedaz[[#This Row],[Data]]),2)</f>
        <v>2026-08</v>
      </c>
    </row>
    <row r="2204" spans="1:19" x14ac:dyDescent="0.25">
      <c r="A2204" s="7" t="s">
        <v>4575</v>
      </c>
      <c r="B2204" s="10">
        <v>46253</v>
      </c>
      <c r="C2204" s="7" t="s">
        <v>4576</v>
      </c>
      <c r="D2204" s="8" t="s">
        <v>98</v>
      </c>
      <c r="E2204" s="8" t="s">
        <v>73</v>
      </c>
      <c r="F2204" s="8" t="s">
        <v>37</v>
      </c>
      <c r="G2204" s="8" t="s">
        <v>28</v>
      </c>
      <c r="H2204" s="8" t="s">
        <v>39</v>
      </c>
      <c r="I2204" s="11">
        <v>13</v>
      </c>
      <c r="J2204" s="12">
        <v>110.2</v>
      </c>
      <c r="K2204" s="13">
        <v>0.1</v>
      </c>
      <c r="L2204" s="12">
        <v>84.7</v>
      </c>
      <c r="M2204" s="14">
        <f>ROUND(tblSprzedaz[[#This Row],[Ilość]]*tblSprzedaz[[#This Row],[Cena netto jednostkowa]]*(1-tblSprzedaz[[#This Row],[Rabat %]]),2)</f>
        <v>1289.3399999999999</v>
      </c>
      <c r="N2204" s="14">
        <f>ROUND(tblSprzedaz[[#This Row],[Ilość]]*tblSprzedaz[[#This Row],[Koszt jednostkowy netto]],2)</f>
        <v>1101.0999999999999</v>
      </c>
      <c r="O2204" s="14">
        <f>tblSprzedaz[[#This Row],[Przychód netto]]-tblSprzedaz[[#This Row],[Koszt całkowity netto]]</f>
        <v>188.24</v>
      </c>
      <c r="P2204" s="15">
        <f>IFERROR(tblSprzedaz[[#This Row],[Marża kwotowa]]/tblSprzedaz[[#This Row],[Przychód netto]],0)</f>
        <v>0.14599717685017141</v>
      </c>
      <c r="Q2204" s="16">
        <f>YEAR(tblSprzedaz[[#This Row],[Data]])</f>
        <v>2026</v>
      </c>
      <c r="R2204" s="16">
        <f>MONTH(tblSprzedaz[[#This Row],[Data]])</f>
        <v>8</v>
      </c>
      <c r="S2204" s="9" t="str">
        <f>YEAR(tblSprzedaz[[#This Row],[Data]])&amp;"-"&amp;RIGHT("0"&amp;MONTH(tblSprzedaz[[#This Row],[Data]]),2)</f>
        <v>2026-08</v>
      </c>
    </row>
    <row r="2205" spans="1:19" x14ac:dyDescent="0.25">
      <c r="A2205" s="7" t="s">
        <v>4577</v>
      </c>
      <c r="B2205" s="10">
        <v>46253</v>
      </c>
      <c r="C2205" s="7" t="s">
        <v>4578</v>
      </c>
      <c r="D2205" s="8" t="s">
        <v>137</v>
      </c>
      <c r="E2205" s="8" t="s">
        <v>50</v>
      </c>
      <c r="F2205" s="8" t="s">
        <v>29</v>
      </c>
      <c r="G2205" s="8" t="s">
        <v>32</v>
      </c>
      <c r="H2205" s="8" t="s">
        <v>43</v>
      </c>
      <c r="I2205" s="11">
        <v>24</v>
      </c>
      <c r="J2205" s="12">
        <v>45.22</v>
      </c>
      <c r="K2205" s="13">
        <v>0.05</v>
      </c>
      <c r="L2205" s="12">
        <v>26.15</v>
      </c>
      <c r="M2205" s="14">
        <f>ROUND(tblSprzedaz[[#This Row],[Ilość]]*tblSprzedaz[[#This Row],[Cena netto jednostkowa]]*(1-tblSprzedaz[[#This Row],[Rabat %]]),2)</f>
        <v>1031.02</v>
      </c>
      <c r="N2205" s="14">
        <f>ROUND(tblSprzedaz[[#This Row],[Ilość]]*tblSprzedaz[[#This Row],[Koszt jednostkowy netto]],2)</f>
        <v>627.6</v>
      </c>
      <c r="O2205" s="14">
        <f>tblSprzedaz[[#This Row],[Przychód netto]]-tblSprzedaz[[#This Row],[Koszt całkowity netto]]</f>
        <v>403.41999999999996</v>
      </c>
      <c r="P2205" s="15">
        <f>IFERROR(tblSprzedaz[[#This Row],[Marża kwotowa]]/tblSprzedaz[[#This Row],[Przychód netto]],0)</f>
        <v>0.39128241935170993</v>
      </c>
      <c r="Q2205" s="16">
        <f>YEAR(tblSprzedaz[[#This Row],[Data]])</f>
        <v>2026</v>
      </c>
      <c r="R2205" s="16">
        <f>MONTH(tblSprzedaz[[#This Row],[Data]])</f>
        <v>8</v>
      </c>
      <c r="S2205" s="9" t="str">
        <f>YEAR(tblSprzedaz[[#This Row],[Data]])&amp;"-"&amp;RIGHT("0"&amp;MONTH(tblSprzedaz[[#This Row],[Data]]),2)</f>
        <v>2026-08</v>
      </c>
    </row>
    <row r="2206" spans="1:19" x14ac:dyDescent="0.25">
      <c r="A2206" s="7" t="s">
        <v>4579</v>
      </c>
      <c r="B2206" s="10">
        <v>46253</v>
      </c>
      <c r="C2206" s="7" t="s">
        <v>4580</v>
      </c>
      <c r="D2206" s="8" t="s">
        <v>128</v>
      </c>
      <c r="E2206" s="8" t="s">
        <v>74</v>
      </c>
      <c r="F2206" s="8" t="s">
        <v>37</v>
      </c>
      <c r="G2206" s="8" t="s">
        <v>36</v>
      </c>
      <c r="H2206" s="8" t="s">
        <v>46</v>
      </c>
      <c r="I2206" s="11">
        <v>2</v>
      </c>
      <c r="J2206" s="12">
        <v>126.35</v>
      </c>
      <c r="K2206" s="13">
        <v>0</v>
      </c>
      <c r="L2206" s="12">
        <v>95.53</v>
      </c>
      <c r="M2206" s="14">
        <f>ROUND(tblSprzedaz[[#This Row],[Ilość]]*tblSprzedaz[[#This Row],[Cena netto jednostkowa]]*(1-tblSprzedaz[[#This Row],[Rabat %]]),2)</f>
        <v>252.7</v>
      </c>
      <c r="N2206" s="14">
        <f>ROUND(tblSprzedaz[[#This Row],[Ilość]]*tblSprzedaz[[#This Row],[Koszt jednostkowy netto]],2)</f>
        <v>191.06</v>
      </c>
      <c r="O2206" s="14">
        <f>tblSprzedaz[[#This Row],[Przychód netto]]-tblSprzedaz[[#This Row],[Koszt całkowity netto]]</f>
        <v>61.639999999999986</v>
      </c>
      <c r="P2206" s="15">
        <f>IFERROR(tblSprzedaz[[#This Row],[Marża kwotowa]]/tblSprzedaz[[#This Row],[Przychód netto]],0)</f>
        <v>0.24392560348239015</v>
      </c>
      <c r="Q2206" s="16">
        <f>YEAR(tblSprzedaz[[#This Row],[Data]])</f>
        <v>2026</v>
      </c>
      <c r="R2206" s="16">
        <f>MONTH(tblSprzedaz[[#This Row],[Data]])</f>
        <v>8</v>
      </c>
      <c r="S2206" s="9" t="str">
        <f>YEAR(tblSprzedaz[[#This Row],[Data]])&amp;"-"&amp;RIGHT("0"&amp;MONTH(tblSprzedaz[[#This Row],[Data]]),2)</f>
        <v>2026-08</v>
      </c>
    </row>
    <row r="2207" spans="1:19" x14ac:dyDescent="0.25">
      <c r="A2207" s="7" t="s">
        <v>4581</v>
      </c>
      <c r="B2207" s="10">
        <v>46254</v>
      </c>
      <c r="C2207" s="7" t="s">
        <v>4582</v>
      </c>
      <c r="D2207" s="8" t="s">
        <v>121</v>
      </c>
      <c r="E2207" s="8" t="s">
        <v>58</v>
      </c>
      <c r="F2207" s="8" t="s">
        <v>31</v>
      </c>
      <c r="G2207" s="8" t="s">
        <v>30</v>
      </c>
      <c r="H2207" s="8" t="s">
        <v>41</v>
      </c>
      <c r="I2207" s="11">
        <v>2</v>
      </c>
      <c r="J2207" s="12">
        <v>350.7</v>
      </c>
      <c r="K2207" s="13">
        <v>0.05</v>
      </c>
      <c r="L2207" s="12">
        <v>235.53</v>
      </c>
      <c r="M2207" s="14">
        <f>ROUND(tblSprzedaz[[#This Row],[Ilość]]*tblSprzedaz[[#This Row],[Cena netto jednostkowa]]*(1-tblSprzedaz[[#This Row],[Rabat %]]),2)</f>
        <v>666.33</v>
      </c>
      <c r="N2207" s="14">
        <f>ROUND(tblSprzedaz[[#This Row],[Ilość]]*tblSprzedaz[[#This Row],[Koszt jednostkowy netto]],2)</f>
        <v>471.06</v>
      </c>
      <c r="O2207" s="14">
        <f>tblSprzedaz[[#This Row],[Przychód netto]]-tblSprzedaz[[#This Row],[Koszt całkowity netto]]</f>
        <v>195.27000000000004</v>
      </c>
      <c r="P2207" s="15">
        <f>IFERROR(tblSprzedaz[[#This Row],[Marża kwotowa]]/tblSprzedaz[[#This Row],[Przychód netto]],0)</f>
        <v>0.29305299176083927</v>
      </c>
      <c r="Q2207" s="16">
        <f>YEAR(tblSprzedaz[[#This Row],[Data]])</f>
        <v>2026</v>
      </c>
      <c r="R2207" s="16">
        <f>MONTH(tblSprzedaz[[#This Row],[Data]])</f>
        <v>8</v>
      </c>
      <c r="S2207" s="9" t="str">
        <f>YEAR(tblSprzedaz[[#This Row],[Data]])&amp;"-"&amp;RIGHT("0"&amp;MONTH(tblSprzedaz[[#This Row],[Data]]),2)</f>
        <v>2026-08</v>
      </c>
    </row>
    <row r="2208" spans="1:19" x14ac:dyDescent="0.25">
      <c r="A2208" s="7" t="s">
        <v>4583</v>
      </c>
      <c r="B2208" s="10">
        <v>46254</v>
      </c>
      <c r="C2208" s="7" t="s">
        <v>4584</v>
      </c>
      <c r="D2208" s="8" t="s">
        <v>100</v>
      </c>
      <c r="E2208" s="8" t="s">
        <v>66</v>
      </c>
      <c r="F2208" s="8" t="s">
        <v>35</v>
      </c>
      <c r="G2208" s="8" t="s">
        <v>30</v>
      </c>
      <c r="H2208" s="8" t="s">
        <v>41</v>
      </c>
      <c r="I2208" s="11">
        <v>11</v>
      </c>
      <c r="J2208" s="12">
        <v>67.319999999999993</v>
      </c>
      <c r="K2208" s="13">
        <v>0.15</v>
      </c>
      <c r="L2208" s="12">
        <v>47.27</v>
      </c>
      <c r="M2208" s="14">
        <f>ROUND(tblSprzedaz[[#This Row],[Ilość]]*tblSprzedaz[[#This Row],[Cena netto jednostkowa]]*(1-tblSprzedaz[[#This Row],[Rabat %]]),2)</f>
        <v>629.44000000000005</v>
      </c>
      <c r="N2208" s="14">
        <f>ROUND(tblSprzedaz[[#This Row],[Ilość]]*tblSprzedaz[[#This Row],[Koszt jednostkowy netto]],2)</f>
        <v>519.97</v>
      </c>
      <c r="O2208" s="14">
        <f>tblSprzedaz[[#This Row],[Przychód netto]]-tblSprzedaz[[#This Row],[Koszt całkowity netto]]</f>
        <v>109.47000000000003</v>
      </c>
      <c r="P2208" s="15">
        <f>IFERROR(tblSprzedaz[[#This Row],[Marża kwotowa]]/tblSprzedaz[[#This Row],[Przychód netto]],0)</f>
        <v>0.17391649720386379</v>
      </c>
      <c r="Q2208" s="16">
        <f>YEAR(tblSprzedaz[[#This Row],[Data]])</f>
        <v>2026</v>
      </c>
      <c r="R2208" s="16">
        <f>MONTH(tblSprzedaz[[#This Row],[Data]])</f>
        <v>8</v>
      </c>
      <c r="S2208" s="9" t="str">
        <f>YEAR(tblSprzedaz[[#This Row],[Data]])&amp;"-"&amp;RIGHT("0"&amp;MONTH(tblSprzedaz[[#This Row],[Data]]),2)</f>
        <v>2026-08</v>
      </c>
    </row>
    <row r="2209" spans="1:19" x14ac:dyDescent="0.25">
      <c r="A2209" s="7" t="s">
        <v>4585</v>
      </c>
      <c r="B2209" s="10">
        <v>46254</v>
      </c>
      <c r="C2209" s="7" t="s">
        <v>4586</v>
      </c>
      <c r="D2209" s="8" t="s">
        <v>80</v>
      </c>
      <c r="E2209" s="8" t="s">
        <v>55</v>
      </c>
      <c r="F2209" s="8" t="s">
        <v>31</v>
      </c>
      <c r="G2209" s="8" t="s">
        <v>28</v>
      </c>
      <c r="H2209" s="8" t="s">
        <v>39</v>
      </c>
      <c r="I2209" s="11">
        <v>14</v>
      </c>
      <c r="J2209" s="12">
        <v>243.6</v>
      </c>
      <c r="K2209" s="13">
        <v>0</v>
      </c>
      <c r="L2209" s="12">
        <v>163.05000000000001</v>
      </c>
      <c r="M2209" s="14">
        <f>ROUND(tblSprzedaz[[#This Row],[Ilość]]*tblSprzedaz[[#This Row],[Cena netto jednostkowa]]*(1-tblSprzedaz[[#This Row],[Rabat %]]),2)</f>
        <v>3410.4</v>
      </c>
      <c r="N2209" s="14">
        <f>ROUND(tblSprzedaz[[#This Row],[Ilość]]*tblSprzedaz[[#This Row],[Koszt jednostkowy netto]],2)</f>
        <v>2282.6999999999998</v>
      </c>
      <c r="O2209" s="14">
        <f>tblSprzedaz[[#This Row],[Przychód netto]]-tblSprzedaz[[#This Row],[Koszt całkowity netto]]</f>
        <v>1127.7000000000003</v>
      </c>
      <c r="P2209" s="15">
        <f>IFERROR(tblSprzedaz[[#This Row],[Marża kwotowa]]/tblSprzedaz[[#This Row],[Przychód netto]],0)</f>
        <v>0.33066502463054193</v>
      </c>
      <c r="Q2209" s="16">
        <f>YEAR(tblSprzedaz[[#This Row],[Data]])</f>
        <v>2026</v>
      </c>
      <c r="R2209" s="16">
        <f>MONTH(tblSprzedaz[[#This Row],[Data]])</f>
        <v>8</v>
      </c>
      <c r="S2209" s="9" t="str">
        <f>YEAR(tblSprzedaz[[#This Row],[Data]])&amp;"-"&amp;RIGHT("0"&amp;MONTH(tblSprzedaz[[#This Row],[Data]]),2)</f>
        <v>2026-08</v>
      </c>
    </row>
    <row r="2210" spans="1:19" x14ac:dyDescent="0.25">
      <c r="A2210" s="7" t="s">
        <v>4587</v>
      </c>
      <c r="B2210" s="10">
        <v>46254</v>
      </c>
      <c r="C2210" s="7" t="s">
        <v>4588</v>
      </c>
      <c r="D2210" s="8" t="s">
        <v>102</v>
      </c>
      <c r="E2210" s="8" t="s">
        <v>67</v>
      </c>
      <c r="F2210" s="8" t="s">
        <v>35</v>
      </c>
      <c r="G2210" s="8" t="s">
        <v>30</v>
      </c>
      <c r="H2210" s="8" t="s">
        <v>40</v>
      </c>
      <c r="I2210" s="11">
        <v>6</v>
      </c>
      <c r="J2210" s="12">
        <v>78.88</v>
      </c>
      <c r="K2210" s="13">
        <v>0.1</v>
      </c>
      <c r="L2210" s="12">
        <v>54.58</v>
      </c>
      <c r="M2210" s="14">
        <f>ROUND(tblSprzedaz[[#This Row],[Ilość]]*tblSprzedaz[[#This Row],[Cena netto jednostkowa]]*(1-tblSprzedaz[[#This Row],[Rabat %]]),2)</f>
        <v>425.95</v>
      </c>
      <c r="N2210" s="14">
        <f>ROUND(tblSprzedaz[[#This Row],[Ilość]]*tblSprzedaz[[#This Row],[Koszt jednostkowy netto]],2)</f>
        <v>327.48</v>
      </c>
      <c r="O2210" s="14">
        <f>tblSprzedaz[[#This Row],[Przychód netto]]-tblSprzedaz[[#This Row],[Koszt całkowity netto]]</f>
        <v>98.46999999999997</v>
      </c>
      <c r="P2210" s="15">
        <f>IFERROR(tblSprzedaz[[#This Row],[Marża kwotowa]]/tblSprzedaz[[#This Row],[Przychód netto]],0)</f>
        <v>0.23117736823570836</v>
      </c>
      <c r="Q2210" s="16">
        <f>YEAR(tblSprzedaz[[#This Row],[Data]])</f>
        <v>2026</v>
      </c>
      <c r="R2210" s="16">
        <f>MONTH(tblSprzedaz[[#This Row],[Data]])</f>
        <v>8</v>
      </c>
      <c r="S2210" s="9" t="str">
        <f>YEAR(tblSprzedaz[[#This Row],[Data]])&amp;"-"&amp;RIGHT("0"&amp;MONTH(tblSprzedaz[[#This Row],[Data]]),2)</f>
        <v>2026-08</v>
      </c>
    </row>
    <row r="2211" spans="1:19" x14ac:dyDescent="0.25">
      <c r="A2211" s="7" t="s">
        <v>4589</v>
      </c>
      <c r="B2211" s="10">
        <v>46254</v>
      </c>
      <c r="C2211" s="7" t="s">
        <v>4590</v>
      </c>
      <c r="D2211" s="8" t="s">
        <v>126</v>
      </c>
      <c r="E2211" s="8" t="s">
        <v>72</v>
      </c>
      <c r="F2211" s="8" t="s">
        <v>37</v>
      </c>
      <c r="G2211" s="8" t="s">
        <v>32</v>
      </c>
      <c r="H2211" s="8" t="s">
        <v>43</v>
      </c>
      <c r="I2211" s="11">
        <v>23</v>
      </c>
      <c r="J2211" s="12">
        <v>94.05</v>
      </c>
      <c r="K2211" s="13">
        <v>0.1</v>
      </c>
      <c r="L2211" s="12">
        <v>74.03</v>
      </c>
      <c r="M2211" s="14">
        <f>ROUND(tblSprzedaz[[#This Row],[Ilość]]*tblSprzedaz[[#This Row],[Cena netto jednostkowa]]*(1-tblSprzedaz[[#This Row],[Rabat %]]),2)</f>
        <v>1946.84</v>
      </c>
      <c r="N2211" s="14">
        <f>ROUND(tblSprzedaz[[#This Row],[Ilość]]*tblSprzedaz[[#This Row],[Koszt jednostkowy netto]],2)</f>
        <v>1702.69</v>
      </c>
      <c r="O2211" s="14">
        <f>tblSprzedaz[[#This Row],[Przychód netto]]-tblSprzedaz[[#This Row],[Koszt całkowity netto]]</f>
        <v>244.14999999999986</v>
      </c>
      <c r="P2211" s="15">
        <f>IFERROR(tblSprzedaz[[#This Row],[Marża kwotowa]]/tblSprzedaz[[#This Row],[Przychód netto]],0)</f>
        <v>0.12540835405066666</v>
      </c>
      <c r="Q2211" s="16">
        <f>YEAR(tblSprzedaz[[#This Row],[Data]])</f>
        <v>2026</v>
      </c>
      <c r="R2211" s="16">
        <f>MONTH(tblSprzedaz[[#This Row],[Data]])</f>
        <v>8</v>
      </c>
      <c r="S2211" s="9" t="str">
        <f>YEAR(tblSprzedaz[[#This Row],[Data]])&amp;"-"&amp;RIGHT("0"&amp;MONTH(tblSprzedaz[[#This Row],[Data]]),2)</f>
        <v>2026-08</v>
      </c>
    </row>
    <row r="2212" spans="1:19" x14ac:dyDescent="0.25">
      <c r="A2212" s="7" t="s">
        <v>4591</v>
      </c>
      <c r="B2212" s="10">
        <v>46255</v>
      </c>
      <c r="C2212" s="7" t="s">
        <v>4592</v>
      </c>
      <c r="D2212" s="8" t="s">
        <v>113</v>
      </c>
      <c r="E2212" s="8" t="s">
        <v>56</v>
      </c>
      <c r="F2212" s="8" t="s">
        <v>31</v>
      </c>
      <c r="G2212" s="8" t="s">
        <v>32</v>
      </c>
      <c r="H2212" s="8" t="s">
        <v>43</v>
      </c>
      <c r="I2212" s="11">
        <v>22</v>
      </c>
      <c r="J2212" s="12">
        <v>279.3</v>
      </c>
      <c r="K2212" s="13">
        <v>0</v>
      </c>
      <c r="L2212" s="12">
        <v>166.54</v>
      </c>
      <c r="M2212" s="14">
        <f>ROUND(tblSprzedaz[[#This Row],[Ilość]]*tblSprzedaz[[#This Row],[Cena netto jednostkowa]]*(1-tblSprzedaz[[#This Row],[Rabat %]]),2)</f>
        <v>6144.6</v>
      </c>
      <c r="N2212" s="14">
        <f>ROUND(tblSprzedaz[[#This Row],[Ilość]]*tblSprzedaz[[#This Row],[Koszt jednostkowy netto]],2)</f>
        <v>3663.88</v>
      </c>
      <c r="O2212" s="14">
        <f>tblSprzedaz[[#This Row],[Przychód netto]]-tblSprzedaz[[#This Row],[Koszt całkowity netto]]</f>
        <v>2480.7200000000003</v>
      </c>
      <c r="P2212" s="15">
        <f>IFERROR(tblSprzedaz[[#This Row],[Marża kwotowa]]/tblSprzedaz[[#This Row],[Przychód netto]],0)</f>
        <v>0.4037235947010383</v>
      </c>
      <c r="Q2212" s="16">
        <f>YEAR(tblSprzedaz[[#This Row],[Data]])</f>
        <v>2026</v>
      </c>
      <c r="R2212" s="16">
        <f>MONTH(tblSprzedaz[[#This Row],[Data]])</f>
        <v>8</v>
      </c>
      <c r="S2212" s="9" t="str">
        <f>YEAR(tblSprzedaz[[#This Row],[Data]])&amp;"-"&amp;RIGHT("0"&amp;MONTH(tblSprzedaz[[#This Row],[Data]]),2)</f>
        <v>2026-08</v>
      </c>
    </row>
    <row r="2213" spans="1:19" x14ac:dyDescent="0.25">
      <c r="A2213" s="7" t="s">
        <v>4593</v>
      </c>
      <c r="B2213" s="10">
        <v>46255</v>
      </c>
      <c r="C2213" s="7" t="s">
        <v>4594</v>
      </c>
      <c r="D2213" s="8" t="s">
        <v>140</v>
      </c>
      <c r="E2213" s="8" t="s">
        <v>65</v>
      </c>
      <c r="F2213" s="8" t="s">
        <v>33</v>
      </c>
      <c r="G2213" s="8" t="s">
        <v>36</v>
      </c>
      <c r="H2213" s="8" t="s">
        <v>47</v>
      </c>
      <c r="I2213" s="11">
        <v>14</v>
      </c>
      <c r="J2213" s="12">
        <v>377.2</v>
      </c>
      <c r="K2213" s="13">
        <v>0.1</v>
      </c>
      <c r="L2213" s="12">
        <v>266.19</v>
      </c>
      <c r="M2213" s="14">
        <f>ROUND(tblSprzedaz[[#This Row],[Ilość]]*tblSprzedaz[[#This Row],[Cena netto jednostkowa]]*(1-tblSprzedaz[[#This Row],[Rabat %]]),2)</f>
        <v>4752.72</v>
      </c>
      <c r="N2213" s="14">
        <f>ROUND(tblSprzedaz[[#This Row],[Ilość]]*tblSprzedaz[[#This Row],[Koszt jednostkowy netto]],2)</f>
        <v>3726.66</v>
      </c>
      <c r="O2213" s="14">
        <f>tblSprzedaz[[#This Row],[Przychód netto]]-tblSprzedaz[[#This Row],[Koszt całkowity netto]]</f>
        <v>1026.0600000000004</v>
      </c>
      <c r="P2213" s="15">
        <f>IFERROR(tblSprzedaz[[#This Row],[Marża kwotowa]]/tblSprzedaz[[#This Row],[Przychód netto]],0)</f>
        <v>0.21588900671615419</v>
      </c>
      <c r="Q2213" s="16">
        <f>YEAR(tblSprzedaz[[#This Row],[Data]])</f>
        <v>2026</v>
      </c>
      <c r="R2213" s="16">
        <f>MONTH(tblSprzedaz[[#This Row],[Data]])</f>
        <v>8</v>
      </c>
      <c r="S2213" s="9" t="str">
        <f>YEAR(tblSprzedaz[[#This Row],[Data]])&amp;"-"&amp;RIGHT("0"&amp;MONTH(tblSprzedaz[[#This Row],[Data]]),2)</f>
        <v>2026-08</v>
      </c>
    </row>
    <row r="2214" spans="1:19" x14ac:dyDescent="0.25">
      <c r="A2214" s="7" t="s">
        <v>4595</v>
      </c>
      <c r="B2214" s="10">
        <v>46255</v>
      </c>
      <c r="C2214" s="7" t="s">
        <v>4596</v>
      </c>
      <c r="D2214" s="8" t="s">
        <v>104</v>
      </c>
      <c r="E2214" s="8" t="s">
        <v>76</v>
      </c>
      <c r="F2214" s="8" t="s">
        <v>37</v>
      </c>
      <c r="G2214" s="8" t="s">
        <v>32</v>
      </c>
      <c r="H2214" s="8" t="s">
        <v>43</v>
      </c>
      <c r="I2214" s="11">
        <v>22</v>
      </c>
      <c r="J2214" s="12">
        <v>158.65</v>
      </c>
      <c r="K2214" s="13">
        <v>0.1</v>
      </c>
      <c r="L2214" s="12">
        <v>117.45</v>
      </c>
      <c r="M2214" s="14">
        <f>ROUND(tblSprzedaz[[#This Row],[Ilość]]*tblSprzedaz[[#This Row],[Cena netto jednostkowa]]*(1-tblSprzedaz[[#This Row],[Rabat %]]),2)</f>
        <v>3141.27</v>
      </c>
      <c r="N2214" s="14">
        <f>ROUND(tblSprzedaz[[#This Row],[Ilość]]*tblSprzedaz[[#This Row],[Koszt jednostkowy netto]],2)</f>
        <v>2583.9</v>
      </c>
      <c r="O2214" s="14">
        <f>tblSprzedaz[[#This Row],[Przychód netto]]-tblSprzedaz[[#This Row],[Koszt całkowity netto]]</f>
        <v>557.36999999999989</v>
      </c>
      <c r="P2214" s="15">
        <f>IFERROR(tblSprzedaz[[#This Row],[Marża kwotowa]]/tblSprzedaz[[#This Row],[Przychód netto]],0)</f>
        <v>0.17743460447525997</v>
      </c>
      <c r="Q2214" s="16">
        <f>YEAR(tblSprzedaz[[#This Row],[Data]])</f>
        <v>2026</v>
      </c>
      <c r="R2214" s="16">
        <f>MONTH(tblSprzedaz[[#This Row],[Data]])</f>
        <v>8</v>
      </c>
      <c r="S2214" s="9" t="str">
        <f>YEAR(tblSprzedaz[[#This Row],[Data]])&amp;"-"&amp;RIGHT("0"&amp;MONTH(tblSprzedaz[[#This Row],[Data]]),2)</f>
        <v>2026-08</v>
      </c>
    </row>
    <row r="2215" spans="1:19" x14ac:dyDescent="0.25">
      <c r="A2215" s="7" t="s">
        <v>4597</v>
      </c>
      <c r="B2215" s="10">
        <v>46255</v>
      </c>
      <c r="C2215" s="7" t="s">
        <v>4598</v>
      </c>
      <c r="D2215" s="8" t="s">
        <v>120</v>
      </c>
      <c r="E2215" s="8" t="s">
        <v>67</v>
      </c>
      <c r="F2215" s="8" t="s">
        <v>35</v>
      </c>
      <c r="G2215" s="8" t="s">
        <v>34</v>
      </c>
      <c r="H2215" s="8" t="s">
        <v>45</v>
      </c>
      <c r="I2215" s="11">
        <v>1</v>
      </c>
      <c r="J2215" s="12">
        <v>78.88</v>
      </c>
      <c r="K2215" s="13">
        <v>0</v>
      </c>
      <c r="L2215" s="12">
        <v>54.73</v>
      </c>
      <c r="M2215" s="14">
        <f>ROUND(tblSprzedaz[[#This Row],[Ilość]]*tblSprzedaz[[#This Row],[Cena netto jednostkowa]]*(1-tblSprzedaz[[#This Row],[Rabat %]]),2)</f>
        <v>78.88</v>
      </c>
      <c r="N2215" s="14">
        <f>ROUND(tblSprzedaz[[#This Row],[Ilość]]*tblSprzedaz[[#This Row],[Koszt jednostkowy netto]],2)</f>
        <v>54.73</v>
      </c>
      <c r="O2215" s="14">
        <f>tblSprzedaz[[#This Row],[Przychód netto]]-tblSprzedaz[[#This Row],[Koszt całkowity netto]]</f>
        <v>24.15</v>
      </c>
      <c r="P2215" s="15">
        <f>IFERROR(tblSprzedaz[[#This Row],[Marża kwotowa]]/tblSprzedaz[[#This Row],[Przychód netto]],0)</f>
        <v>0.30616125760649088</v>
      </c>
      <c r="Q2215" s="16">
        <f>YEAR(tblSprzedaz[[#This Row],[Data]])</f>
        <v>2026</v>
      </c>
      <c r="R2215" s="16">
        <f>MONTH(tblSprzedaz[[#This Row],[Data]])</f>
        <v>8</v>
      </c>
      <c r="S2215" s="9" t="str">
        <f>YEAR(tblSprzedaz[[#This Row],[Data]])&amp;"-"&amp;RIGHT("0"&amp;MONTH(tblSprzedaz[[#This Row],[Data]]),2)</f>
        <v>2026-08</v>
      </c>
    </row>
    <row r="2216" spans="1:19" x14ac:dyDescent="0.25">
      <c r="A2216" s="7" t="s">
        <v>4599</v>
      </c>
      <c r="B2216" s="10">
        <v>46255</v>
      </c>
      <c r="C2216" s="7" t="s">
        <v>4600</v>
      </c>
      <c r="D2216" s="8" t="s">
        <v>116</v>
      </c>
      <c r="E2216" s="8" t="s">
        <v>52</v>
      </c>
      <c r="F2216" s="8" t="s">
        <v>29</v>
      </c>
      <c r="G2216" s="8" t="s">
        <v>36</v>
      </c>
      <c r="H2216" s="8" t="s">
        <v>47</v>
      </c>
      <c r="I2216" s="11">
        <v>11</v>
      </c>
      <c r="J2216" s="12">
        <v>56.78</v>
      </c>
      <c r="K2216" s="13">
        <v>0.15</v>
      </c>
      <c r="L2216" s="12">
        <v>32.31</v>
      </c>
      <c r="M2216" s="14">
        <f>ROUND(tblSprzedaz[[#This Row],[Ilość]]*tblSprzedaz[[#This Row],[Cena netto jednostkowa]]*(1-tblSprzedaz[[#This Row],[Rabat %]]),2)</f>
        <v>530.89</v>
      </c>
      <c r="N2216" s="14">
        <f>ROUND(tblSprzedaz[[#This Row],[Ilość]]*tblSprzedaz[[#This Row],[Koszt jednostkowy netto]],2)</f>
        <v>355.41</v>
      </c>
      <c r="O2216" s="14">
        <f>tblSprzedaz[[#This Row],[Przychód netto]]-tblSprzedaz[[#This Row],[Koszt całkowity netto]]</f>
        <v>175.47999999999996</v>
      </c>
      <c r="P2216" s="15">
        <f>IFERROR(tblSprzedaz[[#This Row],[Marża kwotowa]]/tblSprzedaz[[#This Row],[Przychód netto]],0)</f>
        <v>0.330539283090659</v>
      </c>
      <c r="Q2216" s="16">
        <f>YEAR(tblSprzedaz[[#This Row],[Data]])</f>
        <v>2026</v>
      </c>
      <c r="R2216" s="16">
        <f>MONTH(tblSprzedaz[[#This Row],[Data]])</f>
        <v>8</v>
      </c>
      <c r="S2216" s="9" t="str">
        <f>YEAR(tblSprzedaz[[#This Row],[Data]])&amp;"-"&amp;RIGHT("0"&amp;MONTH(tblSprzedaz[[#This Row],[Data]]),2)</f>
        <v>2026-08</v>
      </c>
    </row>
    <row r="2217" spans="1:19" x14ac:dyDescent="0.25">
      <c r="A2217" s="7" t="s">
        <v>4601</v>
      </c>
      <c r="B2217" s="10">
        <v>46255</v>
      </c>
      <c r="C2217" s="7" t="s">
        <v>4602</v>
      </c>
      <c r="D2217" s="8" t="s">
        <v>133</v>
      </c>
      <c r="E2217" s="8" t="s">
        <v>53</v>
      </c>
      <c r="F2217" s="8" t="s">
        <v>29</v>
      </c>
      <c r="G2217" s="8" t="s">
        <v>30</v>
      </c>
      <c r="H2217" s="8" t="s">
        <v>40</v>
      </c>
      <c r="I2217" s="11">
        <v>22</v>
      </c>
      <c r="J2217" s="12">
        <v>27.88</v>
      </c>
      <c r="K2217" s="13">
        <v>0</v>
      </c>
      <c r="L2217" s="12">
        <v>17.29</v>
      </c>
      <c r="M2217" s="14">
        <f>ROUND(tblSprzedaz[[#This Row],[Ilość]]*tblSprzedaz[[#This Row],[Cena netto jednostkowa]]*(1-tblSprzedaz[[#This Row],[Rabat %]]),2)</f>
        <v>613.36</v>
      </c>
      <c r="N2217" s="14">
        <f>ROUND(tblSprzedaz[[#This Row],[Ilość]]*tblSprzedaz[[#This Row],[Koszt jednostkowy netto]],2)</f>
        <v>380.38</v>
      </c>
      <c r="O2217" s="14">
        <f>tblSprzedaz[[#This Row],[Przychód netto]]-tblSprzedaz[[#This Row],[Koszt całkowity netto]]</f>
        <v>232.98000000000002</v>
      </c>
      <c r="P2217" s="15">
        <f>IFERROR(tblSprzedaz[[#This Row],[Marża kwotowa]]/tblSprzedaz[[#This Row],[Przychód netto]],0)</f>
        <v>0.37984218077474896</v>
      </c>
      <c r="Q2217" s="16">
        <f>YEAR(tblSprzedaz[[#This Row],[Data]])</f>
        <v>2026</v>
      </c>
      <c r="R2217" s="16">
        <f>MONTH(tblSprzedaz[[#This Row],[Data]])</f>
        <v>8</v>
      </c>
      <c r="S2217" s="9" t="str">
        <f>YEAR(tblSprzedaz[[#This Row],[Data]])&amp;"-"&amp;RIGHT("0"&amp;MONTH(tblSprzedaz[[#This Row],[Data]]),2)</f>
        <v>2026-08</v>
      </c>
    </row>
    <row r="2218" spans="1:19" x14ac:dyDescent="0.25">
      <c r="A2218" s="7" t="s">
        <v>4603</v>
      </c>
      <c r="B2218" s="10">
        <v>46256</v>
      </c>
      <c r="C2218" s="7" t="s">
        <v>4604</v>
      </c>
      <c r="D2218" s="8" t="s">
        <v>117</v>
      </c>
      <c r="E2218" s="8" t="s">
        <v>49</v>
      </c>
      <c r="F2218" s="8" t="s">
        <v>29</v>
      </c>
      <c r="G2218" s="8" t="s">
        <v>36</v>
      </c>
      <c r="H2218" s="8" t="s">
        <v>46</v>
      </c>
      <c r="I2218" s="11">
        <v>6</v>
      </c>
      <c r="J2218" s="12">
        <v>39.44</v>
      </c>
      <c r="K2218" s="13">
        <v>0</v>
      </c>
      <c r="L2218" s="12">
        <v>22.15</v>
      </c>
      <c r="M2218" s="14">
        <f>ROUND(tblSprzedaz[[#This Row],[Ilość]]*tblSprzedaz[[#This Row],[Cena netto jednostkowa]]*(1-tblSprzedaz[[#This Row],[Rabat %]]),2)</f>
        <v>236.64</v>
      </c>
      <c r="N2218" s="14">
        <f>ROUND(tblSprzedaz[[#This Row],[Ilość]]*tblSprzedaz[[#This Row],[Koszt jednostkowy netto]],2)</f>
        <v>132.9</v>
      </c>
      <c r="O2218" s="14">
        <f>tblSprzedaz[[#This Row],[Przychód netto]]-tblSprzedaz[[#This Row],[Koszt całkowity netto]]</f>
        <v>103.73999999999998</v>
      </c>
      <c r="P2218" s="15">
        <f>IFERROR(tblSprzedaz[[#This Row],[Marża kwotowa]]/tblSprzedaz[[#This Row],[Przychód netto]],0)</f>
        <v>0.43838742393509122</v>
      </c>
      <c r="Q2218" s="16">
        <f>YEAR(tblSprzedaz[[#This Row],[Data]])</f>
        <v>2026</v>
      </c>
      <c r="R2218" s="16">
        <f>MONTH(tblSprzedaz[[#This Row],[Data]])</f>
        <v>8</v>
      </c>
      <c r="S2218" s="9" t="str">
        <f>YEAR(tblSprzedaz[[#This Row],[Data]])&amp;"-"&amp;RIGHT("0"&amp;MONTH(tblSprzedaz[[#This Row],[Data]]),2)</f>
        <v>2026-08</v>
      </c>
    </row>
    <row r="2219" spans="1:19" x14ac:dyDescent="0.25">
      <c r="A2219" s="7" t="s">
        <v>4605</v>
      </c>
      <c r="B2219" s="10">
        <v>46256</v>
      </c>
      <c r="C2219" s="7" t="s">
        <v>4606</v>
      </c>
      <c r="D2219" s="8" t="s">
        <v>125</v>
      </c>
      <c r="E2219" s="8" t="s">
        <v>73</v>
      </c>
      <c r="F2219" s="8" t="s">
        <v>37</v>
      </c>
      <c r="G2219" s="8" t="s">
        <v>28</v>
      </c>
      <c r="H2219" s="8" t="s">
        <v>39</v>
      </c>
      <c r="I2219" s="11">
        <v>18</v>
      </c>
      <c r="J2219" s="12">
        <v>110.2</v>
      </c>
      <c r="K2219" s="13">
        <v>0.15</v>
      </c>
      <c r="L2219" s="12">
        <v>80.59</v>
      </c>
      <c r="M2219" s="14">
        <f>ROUND(tblSprzedaz[[#This Row],[Ilość]]*tblSprzedaz[[#This Row],[Cena netto jednostkowa]]*(1-tblSprzedaz[[#This Row],[Rabat %]]),2)</f>
        <v>1686.06</v>
      </c>
      <c r="N2219" s="14">
        <f>ROUND(tblSprzedaz[[#This Row],[Ilość]]*tblSprzedaz[[#This Row],[Koszt jednostkowy netto]],2)</f>
        <v>1450.62</v>
      </c>
      <c r="O2219" s="14">
        <f>tblSprzedaz[[#This Row],[Przychód netto]]-tblSprzedaz[[#This Row],[Koszt całkowity netto]]</f>
        <v>235.44000000000005</v>
      </c>
      <c r="P2219" s="15">
        <f>IFERROR(tblSprzedaz[[#This Row],[Marża kwotowa]]/tblSprzedaz[[#This Row],[Przychód netto]],0)</f>
        <v>0.13963915874879901</v>
      </c>
      <c r="Q2219" s="16">
        <f>YEAR(tblSprzedaz[[#This Row],[Data]])</f>
        <v>2026</v>
      </c>
      <c r="R2219" s="16">
        <f>MONTH(tblSprzedaz[[#This Row],[Data]])</f>
        <v>8</v>
      </c>
      <c r="S2219" s="9" t="str">
        <f>YEAR(tblSprzedaz[[#This Row],[Data]])&amp;"-"&amp;RIGHT("0"&amp;MONTH(tblSprzedaz[[#This Row],[Data]]),2)</f>
        <v>2026-08</v>
      </c>
    </row>
    <row r="2220" spans="1:19" x14ac:dyDescent="0.25">
      <c r="A2220" s="7" t="s">
        <v>4607</v>
      </c>
      <c r="B2220" s="10">
        <v>46257</v>
      </c>
      <c r="C2220" s="7" t="s">
        <v>4608</v>
      </c>
      <c r="D2220" s="8" t="s">
        <v>91</v>
      </c>
      <c r="E2220" s="8" t="s">
        <v>63</v>
      </c>
      <c r="F2220" s="8" t="s">
        <v>33</v>
      </c>
      <c r="G2220" s="8" t="s">
        <v>30</v>
      </c>
      <c r="H2220" s="8" t="s">
        <v>40</v>
      </c>
      <c r="I2220" s="11">
        <v>21</v>
      </c>
      <c r="J2220" s="12">
        <v>690</v>
      </c>
      <c r="K2220" s="13">
        <v>0.1</v>
      </c>
      <c r="L2220" s="12">
        <v>488.77</v>
      </c>
      <c r="M2220" s="14">
        <f>ROUND(tblSprzedaz[[#This Row],[Ilość]]*tblSprzedaz[[#This Row],[Cena netto jednostkowa]]*(1-tblSprzedaz[[#This Row],[Rabat %]]),2)</f>
        <v>13041</v>
      </c>
      <c r="N2220" s="14">
        <f>ROUND(tblSprzedaz[[#This Row],[Ilość]]*tblSprzedaz[[#This Row],[Koszt jednostkowy netto]],2)</f>
        <v>10264.17</v>
      </c>
      <c r="O2220" s="14">
        <f>tblSprzedaz[[#This Row],[Przychód netto]]-tblSprzedaz[[#This Row],[Koszt całkowity netto]]</f>
        <v>2776.83</v>
      </c>
      <c r="P2220" s="15">
        <f>IFERROR(tblSprzedaz[[#This Row],[Marża kwotowa]]/tblSprzedaz[[#This Row],[Przychód netto]],0)</f>
        <v>0.21293075684380031</v>
      </c>
      <c r="Q2220" s="16">
        <f>YEAR(tblSprzedaz[[#This Row],[Data]])</f>
        <v>2026</v>
      </c>
      <c r="R2220" s="16">
        <f>MONTH(tblSprzedaz[[#This Row],[Data]])</f>
        <v>8</v>
      </c>
      <c r="S2220" s="9" t="str">
        <f>YEAR(tblSprzedaz[[#This Row],[Data]])&amp;"-"&amp;RIGHT("0"&amp;MONTH(tblSprzedaz[[#This Row],[Data]]),2)</f>
        <v>2026-08</v>
      </c>
    </row>
    <row r="2221" spans="1:19" x14ac:dyDescent="0.25">
      <c r="A2221" s="7" t="s">
        <v>4609</v>
      </c>
      <c r="B2221" s="10">
        <v>46258</v>
      </c>
      <c r="C2221" s="7" t="s">
        <v>4610</v>
      </c>
      <c r="D2221" s="8" t="s">
        <v>87</v>
      </c>
      <c r="E2221" s="8" t="s">
        <v>63</v>
      </c>
      <c r="F2221" s="8" t="s">
        <v>33</v>
      </c>
      <c r="G2221" s="8" t="s">
        <v>36</v>
      </c>
      <c r="H2221" s="8" t="s">
        <v>46</v>
      </c>
      <c r="I2221" s="11">
        <v>16</v>
      </c>
      <c r="J2221" s="12">
        <v>690</v>
      </c>
      <c r="K2221" s="13">
        <v>0.05</v>
      </c>
      <c r="L2221" s="12">
        <v>448.83</v>
      </c>
      <c r="M2221" s="14">
        <f>ROUND(tblSprzedaz[[#This Row],[Ilość]]*tblSprzedaz[[#This Row],[Cena netto jednostkowa]]*(1-tblSprzedaz[[#This Row],[Rabat %]]),2)</f>
        <v>10488</v>
      </c>
      <c r="N2221" s="14">
        <f>ROUND(tblSprzedaz[[#This Row],[Ilość]]*tblSprzedaz[[#This Row],[Koszt jednostkowy netto]],2)</f>
        <v>7181.28</v>
      </c>
      <c r="O2221" s="14">
        <f>tblSprzedaz[[#This Row],[Przychód netto]]-tblSprzedaz[[#This Row],[Koszt całkowity netto]]</f>
        <v>3306.7200000000003</v>
      </c>
      <c r="P2221" s="15">
        <f>IFERROR(tblSprzedaz[[#This Row],[Marża kwotowa]]/tblSprzedaz[[#This Row],[Przychód netto]],0)</f>
        <v>0.31528604118993137</v>
      </c>
      <c r="Q2221" s="16">
        <f>YEAR(tblSprzedaz[[#This Row],[Data]])</f>
        <v>2026</v>
      </c>
      <c r="R2221" s="16">
        <f>MONTH(tblSprzedaz[[#This Row],[Data]])</f>
        <v>8</v>
      </c>
      <c r="S2221" s="9" t="str">
        <f>YEAR(tblSprzedaz[[#This Row],[Data]])&amp;"-"&amp;RIGHT("0"&amp;MONTH(tblSprzedaz[[#This Row],[Data]]),2)</f>
        <v>2026-08</v>
      </c>
    </row>
    <row r="2222" spans="1:19" x14ac:dyDescent="0.25">
      <c r="A2222" s="7" t="s">
        <v>4611</v>
      </c>
      <c r="B2222" s="10">
        <v>46258</v>
      </c>
      <c r="C2222" s="7" t="s">
        <v>4612</v>
      </c>
      <c r="D2222" s="8" t="s">
        <v>121</v>
      </c>
      <c r="E2222" s="8" t="s">
        <v>66</v>
      </c>
      <c r="F2222" s="8" t="s">
        <v>35</v>
      </c>
      <c r="G2222" s="8" t="s">
        <v>36</v>
      </c>
      <c r="H2222" s="8" t="s">
        <v>46</v>
      </c>
      <c r="I2222" s="11">
        <v>21</v>
      </c>
      <c r="J2222" s="12">
        <v>67.319999999999993</v>
      </c>
      <c r="K2222" s="13">
        <v>0.1</v>
      </c>
      <c r="L2222" s="12">
        <v>48.24</v>
      </c>
      <c r="M2222" s="14">
        <f>ROUND(tblSprzedaz[[#This Row],[Ilość]]*tblSprzedaz[[#This Row],[Cena netto jednostkowa]]*(1-tblSprzedaz[[#This Row],[Rabat %]]),2)</f>
        <v>1272.3499999999999</v>
      </c>
      <c r="N2222" s="14">
        <f>ROUND(tblSprzedaz[[#This Row],[Ilość]]*tblSprzedaz[[#This Row],[Koszt jednostkowy netto]],2)</f>
        <v>1013.04</v>
      </c>
      <c r="O2222" s="14">
        <f>tblSprzedaz[[#This Row],[Przychód netto]]-tblSprzedaz[[#This Row],[Koszt całkowity netto]]</f>
        <v>259.30999999999995</v>
      </c>
      <c r="P2222" s="15">
        <f>IFERROR(tblSprzedaz[[#This Row],[Marża kwotowa]]/tblSprzedaz[[#This Row],[Przychód netto]],0)</f>
        <v>0.20380398475262307</v>
      </c>
      <c r="Q2222" s="16">
        <f>YEAR(tblSprzedaz[[#This Row],[Data]])</f>
        <v>2026</v>
      </c>
      <c r="R2222" s="16">
        <f>MONTH(tblSprzedaz[[#This Row],[Data]])</f>
        <v>8</v>
      </c>
      <c r="S2222" s="9" t="str">
        <f>YEAR(tblSprzedaz[[#This Row],[Data]])&amp;"-"&amp;RIGHT("0"&amp;MONTH(tblSprzedaz[[#This Row],[Data]]),2)</f>
        <v>2026-08</v>
      </c>
    </row>
    <row r="2223" spans="1:19" x14ac:dyDescent="0.25">
      <c r="A2223" s="7" t="s">
        <v>4613</v>
      </c>
      <c r="B2223" s="10">
        <v>46258</v>
      </c>
      <c r="C2223" s="7" t="s">
        <v>4614</v>
      </c>
      <c r="D2223" s="8" t="s">
        <v>105</v>
      </c>
      <c r="E2223" s="8" t="s">
        <v>71</v>
      </c>
      <c r="F2223" s="8" t="s">
        <v>35</v>
      </c>
      <c r="G2223" s="8" t="s">
        <v>28</v>
      </c>
      <c r="H2223" s="8" t="s">
        <v>38</v>
      </c>
      <c r="I2223" s="11">
        <v>5</v>
      </c>
      <c r="J2223" s="12">
        <v>55.76</v>
      </c>
      <c r="K2223" s="13">
        <v>0.05</v>
      </c>
      <c r="L2223" s="12">
        <v>40.42</v>
      </c>
      <c r="M2223" s="14">
        <f>ROUND(tblSprzedaz[[#This Row],[Ilość]]*tblSprzedaz[[#This Row],[Cena netto jednostkowa]]*(1-tblSprzedaz[[#This Row],[Rabat %]]),2)</f>
        <v>264.86</v>
      </c>
      <c r="N2223" s="14">
        <f>ROUND(tblSprzedaz[[#This Row],[Ilość]]*tblSprzedaz[[#This Row],[Koszt jednostkowy netto]],2)</f>
        <v>202.1</v>
      </c>
      <c r="O2223" s="14">
        <f>tblSprzedaz[[#This Row],[Przychód netto]]-tblSprzedaz[[#This Row],[Koszt całkowity netto]]</f>
        <v>62.760000000000019</v>
      </c>
      <c r="P2223" s="15">
        <f>IFERROR(tblSprzedaz[[#This Row],[Marża kwotowa]]/tblSprzedaz[[#This Row],[Przychód netto]],0)</f>
        <v>0.23695537264970179</v>
      </c>
      <c r="Q2223" s="16">
        <f>YEAR(tblSprzedaz[[#This Row],[Data]])</f>
        <v>2026</v>
      </c>
      <c r="R2223" s="16">
        <f>MONTH(tblSprzedaz[[#This Row],[Data]])</f>
        <v>8</v>
      </c>
      <c r="S2223" s="9" t="str">
        <f>YEAR(tblSprzedaz[[#This Row],[Data]])&amp;"-"&amp;RIGHT("0"&amp;MONTH(tblSprzedaz[[#This Row],[Data]]),2)</f>
        <v>2026-08</v>
      </c>
    </row>
    <row r="2224" spans="1:19" x14ac:dyDescent="0.25">
      <c r="A2224" s="7" t="s">
        <v>4615</v>
      </c>
      <c r="B2224" s="10">
        <v>46258</v>
      </c>
      <c r="C2224" s="7" t="s">
        <v>4616</v>
      </c>
      <c r="D2224" s="8" t="s">
        <v>100</v>
      </c>
      <c r="E2224" s="8" t="s">
        <v>69</v>
      </c>
      <c r="F2224" s="8" t="s">
        <v>35</v>
      </c>
      <c r="G2224" s="8" t="s">
        <v>36</v>
      </c>
      <c r="H2224" s="8" t="s">
        <v>46</v>
      </c>
      <c r="I2224" s="11">
        <v>5</v>
      </c>
      <c r="J2224" s="12">
        <v>102</v>
      </c>
      <c r="K2224" s="13">
        <v>0.15</v>
      </c>
      <c r="L2224" s="12">
        <v>70.61</v>
      </c>
      <c r="M2224" s="14">
        <f>ROUND(tblSprzedaz[[#This Row],[Ilość]]*tblSprzedaz[[#This Row],[Cena netto jednostkowa]]*(1-tblSprzedaz[[#This Row],[Rabat %]]),2)</f>
        <v>433.5</v>
      </c>
      <c r="N2224" s="14">
        <f>ROUND(tblSprzedaz[[#This Row],[Ilość]]*tblSprzedaz[[#This Row],[Koszt jednostkowy netto]],2)</f>
        <v>353.05</v>
      </c>
      <c r="O2224" s="14">
        <f>tblSprzedaz[[#This Row],[Przychód netto]]-tblSprzedaz[[#This Row],[Koszt całkowity netto]]</f>
        <v>80.449999999999989</v>
      </c>
      <c r="P2224" s="15">
        <f>IFERROR(tblSprzedaz[[#This Row],[Marża kwotowa]]/tblSprzedaz[[#This Row],[Przychód netto]],0)</f>
        <v>0.18558246828143019</v>
      </c>
      <c r="Q2224" s="16">
        <f>YEAR(tblSprzedaz[[#This Row],[Data]])</f>
        <v>2026</v>
      </c>
      <c r="R2224" s="16">
        <f>MONTH(tblSprzedaz[[#This Row],[Data]])</f>
        <v>8</v>
      </c>
      <c r="S2224" s="9" t="str">
        <f>YEAR(tblSprzedaz[[#This Row],[Data]])&amp;"-"&amp;RIGHT("0"&amp;MONTH(tblSprzedaz[[#This Row],[Data]]),2)</f>
        <v>2026-08</v>
      </c>
    </row>
    <row r="2225" spans="1:19" x14ac:dyDescent="0.25">
      <c r="A2225" s="7" t="s">
        <v>4617</v>
      </c>
      <c r="B2225" s="10">
        <v>46259</v>
      </c>
      <c r="C2225" s="7" t="s">
        <v>4618</v>
      </c>
      <c r="D2225" s="8" t="s">
        <v>78</v>
      </c>
      <c r="E2225" s="8" t="s">
        <v>63</v>
      </c>
      <c r="F2225" s="8" t="s">
        <v>33</v>
      </c>
      <c r="G2225" s="8" t="s">
        <v>32</v>
      </c>
      <c r="H2225" s="8" t="s">
        <v>42</v>
      </c>
      <c r="I2225" s="11">
        <v>9</v>
      </c>
      <c r="J2225" s="12">
        <v>690</v>
      </c>
      <c r="K2225" s="13">
        <v>0</v>
      </c>
      <c r="L2225" s="12">
        <v>452.68</v>
      </c>
      <c r="M2225" s="14">
        <f>ROUND(tblSprzedaz[[#This Row],[Ilość]]*tblSprzedaz[[#This Row],[Cena netto jednostkowa]]*(1-tblSprzedaz[[#This Row],[Rabat %]]),2)</f>
        <v>6210</v>
      </c>
      <c r="N2225" s="14">
        <f>ROUND(tblSprzedaz[[#This Row],[Ilość]]*tblSprzedaz[[#This Row],[Koszt jednostkowy netto]],2)</f>
        <v>4074.12</v>
      </c>
      <c r="O2225" s="14">
        <f>tblSprzedaz[[#This Row],[Przychód netto]]-tblSprzedaz[[#This Row],[Koszt całkowity netto]]</f>
        <v>2135.88</v>
      </c>
      <c r="P2225" s="15">
        <f>IFERROR(tblSprzedaz[[#This Row],[Marża kwotowa]]/tblSprzedaz[[#This Row],[Przychód netto]],0)</f>
        <v>0.34394202898550724</v>
      </c>
      <c r="Q2225" s="16">
        <f>YEAR(tblSprzedaz[[#This Row],[Data]])</f>
        <v>2026</v>
      </c>
      <c r="R2225" s="16">
        <f>MONTH(tblSprzedaz[[#This Row],[Data]])</f>
        <v>8</v>
      </c>
      <c r="S2225" s="9" t="str">
        <f>YEAR(tblSprzedaz[[#This Row],[Data]])&amp;"-"&amp;RIGHT("0"&amp;MONTH(tblSprzedaz[[#This Row],[Data]]),2)</f>
        <v>2026-08</v>
      </c>
    </row>
    <row r="2226" spans="1:19" x14ac:dyDescent="0.25">
      <c r="A2226" s="7" t="s">
        <v>4619</v>
      </c>
      <c r="B2226" s="10">
        <v>46259</v>
      </c>
      <c r="C2226" s="7" t="s">
        <v>4620</v>
      </c>
      <c r="D2226" s="8" t="s">
        <v>150</v>
      </c>
      <c r="E2226" s="8" t="s">
        <v>55</v>
      </c>
      <c r="F2226" s="8" t="s">
        <v>31</v>
      </c>
      <c r="G2226" s="8" t="s">
        <v>28</v>
      </c>
      <c r="H2226" s="8" t="s">
        <v>38</v>
      </c>
      <c r="I2226" s="11">
        <v>6</v>
      </c>
      <c r="J2226" s="12">
        <v>243.6</v>
      </c>
      <c r="K2226" s="13">
        <v>0</v>
      </c>
      <c r="L2226" s="12">
        <v>154.91</v>
      </c>
      <c r="M2226" s="14">
        <f>ROUND(tblSprzedaz[[#This Row],[Ilość]]*tblSprzedaz[[#This Row],[Cena netto jednostkowa]]*(1-tblSprzedaz[[#This Row],[Rabat %]]),2)</f>
        <v>1461.6</v>
      </c>
      <c r="N2226" s="14">
        <f>ROUND(tblSprzedaz[[#This Row],[Ilość]]*tblSprzedaz[[#This Row],[Koszt jednostkowy netto]],2)</f>
        <v>929.46</v>
      </c>
      <c r="O2226" s="14">
        <f>tblSprzedaz[[#This Row],[Przychód netto]]-tblSprzedaz[[#This Row],[Koszt całkowity netto]]</f>
        <v>532.13999999999987</v>
      </c>
      <c r="P2226" s="15">
        <f>IFERROR(tblSprzedaz[[#This Row],[Marża kwotowa]]/tblSprzedaz[[#This Row],[Przychód netto]],0)</f>
        <v>0.36408045977011488</v>
      </c>
      <c r="Q2226" s="16">
        <f>YEAR(tblSprzedaz[[#This Row],[Data]])</f>
        <v>2026</v>
      </c>
      <c r="R2226" s="16">
        <f>MONTH(tblSprzedaz[[#This Row],[Data]])</f>
        <v>8</v>
      </c>
      <c r="S2226" s="9" t="str">
        <f>YEAR(tblSprzedaz[[#This Row],[Data]])&amp;"-"&amp;RIGHT("0"&amp;MONTH(tblSprzedaz[[#This Row],[Data]]),2)</f>
        <v>2026-08</v>
      </c>
    </row>
    <row r="2227" spans="1:19" x14ac:dyDescent="0.25">
      <c r="A2227" s="7" t="s">
        <v>4621</v>
      </c>
      <c r="B2227" s="10">
        <v>46259</v>
      </c>
      <c r="C2227" s="7" t="s">
        <v>4622</v>
      </c>
      <c r="D2227" s="8" t="s">
        <v>123</v>
      </c>
      <c r="E2227" s="8" t="s">
        <v>54</v>
      </c>
      <c r="F2227" s="8" t="s">
        <v>31</v>
      </c>
      <c r="G2227" s="8" t="s">
        <v>34</v>
      </c>
      <c r="H2227" s="8" t="s">
        <v>45</v>
      </c>
      <c r="I2227" s="11">
        <v>2</v>
      </c>
      <c r="J2227" s="12">
        <v>207.9</v>
      </c>
      <c r="K2227" s="13">
        <v>0</v>
      </c>
      <c r="L2227" s="12">
        <v>131.63999999999999</v>
      </c>
      <c r="M2227" s="14">
        <f>ROUND(tblSprzedaz[[#This Row],[Ilość]]*tblSprzedaz[[#This Row],[Cena netto jednostkowa]]*(1-tblSprzedaz[[#This Row],[Rabat %]]),2)</f>
        <v>415.8</v>
      </c>
      <c r="N2227" s="14">
        <f>ROUND(tblSprzedaz[[#This Row],[Ilość]]*tblSprzedaz[[#This Row],[Koszt jednostkowy netto]],2)</f>
        <v>263.27999999999997</v>
      </c>
      <c r="O2227" s="14">
        <f>tblSprzedaz[[#This Row],[Przychód netto]]-tblSprzedaz[[#This Row],[Koszt całkowity netto]]</f>
        <v>152.52000000000004</v>
      </c>
      <c r="P2227" s="15">
        <f>IFERROR(tblSprzedaz[[#This Row],[Marża kwotowa]]/tblSprzedaz[[#This Row],[Przychód netto]],0)</f>
        <v>0.36681096681096692</v>
      </c>
      <c r="Q2227" s="16">
        <f>YEAR(tblSprzedaz[[#This Row],[Data]])</f>
        <v>2026</v>
      </c>
      <c r="R2227" s="16">
        <f>MONTH(tblSprzedaz[[#This Row],[Data]])</f>
        <v>8</v>
      </c>
      <c r="S2227" s="9" t="str">
        <f>YEAR(tblSprzedaz[[#This Row],[Data]])&amp;"-"&amp;RIGHT("0"&amp;MONTH(tblSprzedaz[[#This Row],[Data]]),2)</f>
        <v>2026-08</v>
      </c>
    </row>
    <row r="2228" spans="1:19" x14ac:dyDescent="0.25">
      <c r="A2228" s="7" t="s">
        <v>4623</v>
      </c>
      <c r="B2228" s="10">
        <v>46259</v>
      </c>
      <c r="C2228" s="7" t="s">
        <v>4624</v>
      </c>
      <c r="D2228" s="8" t="s">
        <v>121</v>
      </c>
      <c r="E2228" s="8" t="s">
        <v>65</v>
      </c>
      <c r="F2228" s="8" t="s">
        <v>33</v>
      </c>
      <c r="G2228" s="8" t="s">
        <v>30</v>
      </c>
      <c r="H2228" s="8" t="s">
        <v>41</v>
      </c>
      <c r="I2228" s="11">
        <v>21</v>
      </c>
      <c r="J2228" s="12">
        <v>377.2</v>
      </c>
      <c r="K2228" s="13">
        <v>0</v>
      </c>
      <c r="L2228" s="12">
        <v>255.95</v>
      </c>
      <c r="M2228" s="14">
        <f>ROUND(tblSprzedaz[[#This Row],[Ilość]]*tblSprzedaz[[#This Row],[Cena netto jednostkowa]]*(1-tblSprzedaz[[#This Row],[Rabat %]]),2)</f>
        <v>7921.2</v>
      </c>
      <c r="N2228" s="14">
        <f>ROUND(tblSprzedaz[[#This Row],[Ilość]]*tblSprzedaz[[#This Row],[Koszt jednostkowy netto]],2)</f>
        <v>5374.95</v>
      </c>
      <c r="O2228" s="14">
        <f>tblSprzedaz[[#This Row],[Przychód netto]]-tblSprzedaz[[#This Row],[Koszt całkowity netto]]</f>
        <v>2546.25</v>
      </c>
      <c r="P2228" s="15">
        <f>IFERROR(tblSprzedaz[[#This Row],[Marża kwotowa]]/tblSprzedaz[[#This Row],[Przychód netto]],0)</f>
        <v>0.32144750795334043</v>
      </c>
      <c r="Q2228" s="16">
        <f>YEAR(tblSprzedaz[[#This Row],[Data]])</f>
        <v>2026</v>
      </c>
      <c r="R2228" s="16">
        <f>MONTH(tblSprzedaz[[#This Row],[Data]])</f>
        <v>8</v>
      </c>
      <c r="S2228" s="9" t="str">
        <f>YEAR(tblSprzedaz[[#This Row],[Data]])&amp;"-"&amp;RIGHT("0"&amp;MONTH(tblSprzedaz[[#This Row],[Data]]),2)</f>
        <v>2026-08</v>
      </c>
    </row>
    <row r="2229" spans="1:19" x14ac:dyDescent="0.25">
      <c r="A2229" s="7" t="s">
        <v>4625</v>
      </c>
      <c r="B2229" s="10">
        <v>46259</v>
      </c>
      <c r="C2229" s="7" t="s">
        <v>4626</v>
      </c>
      <c r="D2229" s="8" t="s">
        <v>137</v>
      </c>
      <c r="E2229" s="8" t="s">
        <v>73</v>
      </c>
      <c r="F2229" s="8" t="s">
        <v>37</v>
      </c>
      <c r="G2229" s="8" t="s">
        <v>36</v>
      </c>
      <c r="H2229" s="8" t="s">
        <v>47</v>
      </c>
      <c r="I2229" s="11">
        <v>15</v>
      </c>
      <c r="J2229" s="12">
        <v>110.2</v>
      </c>
      <c r="K2229" s="13">
        <v>0.15</v>
      </c>
      <c r="L2229" s="12">
        <v>86.75</v>
      </c>
      <c r="M2229" s="14">
        <f>ROUND(tblSprzedaz[[#This Row],[Ilość]]*tblSprzedaz[[#This Row],[Cena netto jednostkowa]]*(1-tblSprzedaz[[#This Row],[Rabat %]]),2)</f>
        <v>1405.05</v>
      </c>
      <c r="N2229" s="14">
        <f>ROUND(tblSprzedaz[[#This Row],[Ilość]]*tblSprzedaz[[#This Row],[Koszt jednostkowy netto]],2)</f>
        <v>1301.25</v>
      </c>
      <c r="O2229" s="14">
        <f>tblSprzedaz[[#This Row],[Przychód netto]]-tblSprzedaz[[#This Row],[Koszt całkowity netto]]</f>
        <v>103.79999999999995</v>
      </c>
      <c r="P2229" s="15">
        <f>IFERROR(tblSprzedaz[[#This Row],[Marża kwotowa]]/tblSprzedaz[[#This Row],[Przychód netto]],0)</f>
        <v>7.3876374506245304E-2</v>
      </c>
      <c r="Q2229" s="16">
        <f>YEAR(tblSprzedaz[[#This Row],[Data]])</f>
        <v>2026</v>
      </c>
      <c r="R2229" s="16">
        <f>MONTH(tblSprzedaz[[#This Row],[Data]])</f>
        <v>8</v>
      </c>
      <c r="S2229" s="9" t="str">
        <f>YEAR(tblSprzedaz[[#This Row],[Data]])&amp;"-"&amp;RIGHT("0"&amp;MONTH(tblSprzedaz[[#This Row],[Data]]),2)</f>
        <v>2026-08</v>
      </c>
    </row>
    <row r="2230" spans="1:19" x14ac:dyDescent="0.25">
      <c r="A2230" s="7" t="s">
        <v>4627</v>
      </c>
      <c r="B2230" s="10">
        <v>46260</v>
      </c>
      <c r="C2230" s="7" t="s">
        <v>4628</v>
      </c>
      <c r="D2230" s="8" t="s">
        <v>101</v>
      </c>
      <c r="E2230" s="8" t="s">
        <v>60</v>
      </c>
      <c r="F2230" s="8" t="s">
        <v>33</v>
      </c>
      <c r="G2230" s="8" t="s">
        <v>30</v>
      </c>
      <c r="H2230" s="8" t="s">
        <v>41</v>
      </c>
      <c r="I2230" s="11">
        <v>5</v>
      </c>
      <c r="J2230" s="12">
        <v>455.4</v>
      </c>
      <c r="K2230" s="13">
        <v>0</v>
      </c>
      <c r="L2230" s="12">
        <v>300.35000000000002</v>
      </c>
      <c r="M2230" s="14">
        <f>ROUND(tblSprzedaz[[#This Row],[Ilość]]*tblSprzedaz[[#This Row],[Cena netto jednostkowa]]*(1-tblSprzedaz[[#This Row],[Rabat %]]),2)</f>
        <v>2277</v>
      </c>
      <c r="N2230" s="14">
        <f>ROUND(tblSprzedaz[[#This Row],[Ilość]]*tblSprzedaz[[#This Row],[Koszt jednostkowy netto]],2)</f>
        <v>1501.75</v>
      </c>
      <c r="O2230" s="14">
        <f>tblSprzedaz[[#This Row],[Przychód netto]]-tblSprzedaz[[#This Row],[Koszt całkowity netto]]</f>
        <v>775.25</v>
      </c>
      <c r="P2230" s="15">
        <f>IFERROR(tblSprzedaz[[#This Row],[Marża kwotowa]]/tblSprzedaz[[#This Row],[Przychód netto]],0)</f>
        <v>0.34046991655687309</v>
      </c>
      <c r="Q2230" s="16">
        <f>YEAR(tblSprzedaz[[#This Row],[Data]])</f>
        <v>2026</v>
      </c>
      <c r="R2230" s="16">
        <f>MONTH(tblSprzedaz[[#This Row],[Data]])</f>
        <v>8</v>
      </c>
      <c r="S2230" s="9" t="str">
        <f>YEAR(tblSprzedaz[[#This Row],[Data]])&amp;"-"&amp;RIGHT("0"&amp;MONTH(tblSprzedaz[[#This Row],[Data]]),2)</f>
        <v>2026-08</v>
      </c>
    </row>
    <row r="2231" spans="1:19" x14ac:dyDescent="0.25">
      <c r="A2231" s="7" t="s">
        <v>4629</v>
      </c>
      <c r="B2231" s="10">
        <v>46260</v>
      </c>
      <c r="C2231" s="7" t="s">
        <v>4630</v>
      </c>
      <c r="D2231" s="8" t="s">
        <v>143</v>
      </c>
      <c r="E2231" s="8" t="s">
        <v>76</v>
      </c>
      <c r="F2231" s="8" t="s">
        <v>37</v>
      </c>
      <c r="G2231" s="8" t="s">
        <v>28</v>
      </c>
      <c r="H2231" s="8" t="s">
        <v>38</v>
      </c>
      <c r="I2231" s="11">
        <v>18</v>
      </c>
      <c r="J2231" s="12">
        <v>158.65</v>
      </c>
      <c r="K2231" s="13">
        <v>0.15</v>
      </c>
      <c r="L2231" s="12">
        <v>126.35</v>
      </c>
      <c r="M2231" s="14">
        <f>ROUND(tblSprzedaz[[#This Row],[Ilość]]*tblSprzedaz[[#This Row],[Cena netto jednostkowa]]*(1-tblSprzedaz[[#This Row],[Rabat %]]),2)</f>
        <v>2427.35</v>
      </c>
      <c r="N2231" s="14">
        <f>ROUND(tblSprzedaz[[#This Row],[Ilość]]*tblSprzedaz[[#This Row],[Koszt jednostkowy netto]],2)</f>
        <v>2274.3000000000002</v>
      </c>
      <c r="O2231" s="14">
        <f>tblSprzedaz[[#This Row],[Przychód netto]]-tblSprzedaz[[#This Row],[Koszt całkowity netto]]</f>
        <v>153.04999999999973</v>
      </c>
      <c r="P2231" s="15">
        <f>IFERROR(tblSprzedaz[[#This Row],[Marża kwotowa]]/tblSprzedaz[[#This Row],[Przychód netto]],0)</f>
        <v>6.3052299833151262E-2</v>
      </c>
      <c r="Q2231" s="16">
        <f>YEAR(tblSprzedaz[[#This Row],[Data]])</f>
        <v>2026</v>
      </c>
      <c r="R2231" s="16">
        <f>MONTH(tblSprzedaz[[#This Row],[Data]])</f>
        <v>8</v>
      </c>
      <c r="S2231" s="9" t="str">
        <f>YEAR(tblSprzedaz[[#This Row],[Data]])&amp;"-"&amp;RIGHT("0"&amp;MONTH(tblSprzedaz[[#This Row],[Data]]),2)</f>
        <v>2026-08</v>
      </c>
    </row>
    <row r="2232" spans="1:19" x14ac:dyDescent="0.25">
      <c r="A2232" s="7" t="s">
        <v>4631</v>
      </c>
      <c r="B2232" s="10">
        <v>46260</v>
      </c>
      <c r="C2232" s="7" t="s">
        <v>4632</v>
      </c>
      <c r="D2232" s="8" t="s">
        <v>86</v>
      </c>
      <c r="E2232" s="8" t="s">
        <v>53</v>
      </c>
      <c r="F2232" s="8" t="s">
        <v>29</v>
      </c>
      <c r="G2232" s="8" t="s">
        <v>34</v>
      </c>
      <c r="H2232" s="8" t="s">
        <v>45</v>
      </c>
      <c r="I2232" s="11">
        <v>2</v>
      </c>
      <c r="J2232" s="12">
        <v>27.88</v>
      </c>
      <c r="K2232" s="13">
        <v>0</v>
      </c>
      <c r="L2232" s="12">
        <v>16.079999999999998</v>
      </c>
      <c r="M2232" s="14">
        <f>ROUND(tblSprzedaz[[#This Row],[Ilość]]*tblSprzedaz[[#This Row],[Cena netto jednostkowa]]*(1-tblSprzedaz[[#This Row],[Rabat %]]),2)</f>
        <v>55.76</v>
      </c>
      <c r="N2232" s="14">
        <f>ROUND(tblSprzedaz[[#This Row],[Ilość]]*tblSprzedaz[[#This Row],[Koszt jednostkowy netto]],2)</f>
        <v>32.159999999999997</v>
      </c>
      <c r="O2232" s="14">
        <f>tblSprzedaz[[#This Row],[Przychód netto]]-tblSprzedaz[[#This Row],[Koszt całkowity netto]]</f>
        <v>23.6</v>
      </c>
      <c r="P2232" s="15">
        <f>IFERROR(tblSprzedaz[[#This Row],[Marża kwotowa]]/tblSprzedaz[[#This Row],[Przychód netto]],0)</f>
        <v>0.42324246771879487</v>
      </c>
      <c r="Q2232" s="16">
        <f>YEAR(tblSprzedaz[[#This Row],[Data]])</f>
        <v>2026</v>
      </c>
      <c r="R2232" s="16">
        <f>MONTH(tblSprzedaz[[#This Row],[Data]])</f>
        <v>8</v>
      </c>
      <c r="S2232" s="9" t="str">
        <f>YEAR(tblSprzedaz[[#This Row],[Data]])&amp;"-"&amp;RIGHT("0"&amp;MONTH(tblSprzedaz[[#This Row],[Data]]),2)</f>
        <v>2026-08</v>
      </c>
    </row>
    <row r="2233" spans="1:19" x14ac:dyDescent="0.25">
      <c r="A2233" s="7" t="s">
        <v>4633</v>
      </c>
      <c r="B2233" s="10">
        <v>46261</v>
      </c>
      <c r="C2233" s="7" t="s">
        <v>4634</v>
      </c>
      <c r="D2233" s="8" t="s">
        <v>129</v>
      </c>
      <c r="E2233" s="8" t="s">
        <v>69</v>
      </c>
      <c r="F2233" s="8" t="s">
        <v>35</v>
      </c>
      <c r="G2233" s="8" t="s">
        <v>30</v>
      </c>
      <c r="H2233" s="8" t="s">
        <v>40</v>
      </c>
      <c r="I2233" s="11">
        <v>7</v>
      </c>
      <c r="J2233" s="12">
        <v>102</v>
      </c>
      <c r="K2233" s="13">
        <v>0</v>
      </c>
      <c r="L2233" s="12">
        <v>72.180000000000007</v>
      </c>
      <c r="M2233" s="14">
        <f>ROUND(tblSprzedaz[[#This Row],[Ilość]]*tblSprzedaz[[#This Row],[Cena netto jednostkowa]]*(1-tblSprzedaz[[#This Row],[Rabat %]]),2)</f>
        <v>714</v>
      </c>
      <c r="N2233" s="14">
        <f>ROUND(tblSprzedaz[[#This Row],[Ilość]]*tblSprzedaz[[#This Row],[Koszt jednostkowy netto]],2)</f>
        <v>505.26</v>
      </c>
      <c r="O2233" s="14">
        <f>tblSprzedaz[[#This Row],[Przychód netto]]-tblSprzedaz[[#This Row],[Koszt całkowity netto]]</f>
        <v>208.74</v>
      </c>
      <c r="P2233" s="15">
        <f>IFERROR(tblSprzedaz[[#This Row],[Marża kwotowa]]/tblSprzedaz[[#This Row],[Przychód netto]],0)</f>
        <v>0.29235294117647059</v>
      </c>
      <c r="Q2233" s="16">
        <f>YEAR(tblSprzedaz[[#This Row],[Data]])</f>
        <v>2026</v>
      </c>
      <c r="R2233" s="16">
        <f>MONTH(tblSprzedaz[[#This Row],[Data]])</f>
        <v>8</v>
      </c>
      <c r="S2233" s="9" t="str">
        <f>YEAR(tblSprzedaz[[#This Row],[Data]])&amp;"-"&amp;RIGHT("0"&amp;MONTH(tblSprzedaz[[#This Row],[Data]]),2)</f>
        <v>2026-08</v>
      </c>
    </row>
    <row r="2234" spans="1:19" x14ac:dyDescent="0.25">
      <c r="A2234" s="7" t="s">
        <v>4635</v>
      </c>
      <c r="B2234" s="10">
        <v>46261</v>
      </c>
      <c r="C2234" s="7" t="s">
        <v>4636</v>
      </c>
      <c r="D2234" s="8" t="s">
        <v>113</v>
      </c>
      <c r="E2234" s="8" t="s">
        <v>68</v>
      </c>
      <c r="F2234" s="8" t="s">
        <v>35</v>
      </c>
      <c r="G2234" s="8" t="s">
        <v>32</v>
      </c>
      <c r="H2234" s="8" t="s">
        <v>42</v>
      </c>
      <c r="I2234" s="11">
        <v>11</v>
      </c>
      <c r="J2234" s="12">
        <v>90.44</v>
      </c>
      <c r="K2234" s="13">
        <v>0</v>
      </c>
      <c r="L2234" s="12">
        <v>62.63</v>
      </c>
      <c r="M2234" s="14">
        <f>ROUND(tblSprzedaz[[#This Row],[Ilość]]*tblSprzedaz[[#This Row],[Cena netto jednostkowa]]*(1-tblSprzedaz[[#This Row],[Rabat %]]),2)</f>
        <v>994.84</v>
      </c>
      <c r="N2234" s="14">
        <f>ROUND(tblSprzedaz[[#This Row],[Ilość]]*tblSprzedaz[[#This Row],[Koszt jednostkowy netto]],2)</f>
        <v>688.93</v>
      </c>
      <c r="O2234" s="14">
        <f>tblSprzedaz[[#This Row],[Przychód netto]]-tblSprzedaz[[#This Row],[Koszt całkowity netto]]</f>
        <v>305.91000000000008</v>
      </c>
      <c r="P2234" s="15">
        <f>IFERROR(tblSprzedaz[[#This Row],[Marża kwotowa]]/tblSprzedaz[[#This Row],[Przychód netto]],0)</f>
        <v>0.30749668288367987</v>
      </c>
      <c r="Q2234" s="16">
        <f>YEAR(tblSprzedaz[[#This Row],[Data]])</f>
        <v>2026</v>
      </c>
      <c r="R2234" s="16">
        <f>MONTH(tblSprzedaz[[#This Row],[Data]])</f>
        <v>8</v>
      </c>
      <c r="S2234" s="9" t="str">
        <f>YEAR(tblSprzedaz[[#This Row],[Data]])&amp;"-"&amp;RIGHT("0"&amp;MONTH(tblSprzedaz[[#This Row],[Data]]),2)</f>
        <v>2026-08</v>
      </c>
    </row>
    <row r="2235" spans="1:19" x14ac:dyDescent="0.25">
      <c r="A2235" s="7" t="s">
        <v>4637</v>
      </c>
      <c r="B2235" s="10">
        <v>46261</v>
      </c>
      <c r="C2235" s="7" t="s">
        <v>4638</v>
      </c>
      <c r="D2235" s="8" t="s">
        <v>105</v>
      </c>
      <c r="E2235" s="8" t="s">
        <v>64</v>
      </c>
      <c r="F2235" s="8" t="s">
        <v>33</v>
      </c>
      <c r="G2235" s="8" t="s">
        <v>34</v>
      </c>
      <c r="H2235" s="8" t="s">
        <v>45</v>
      </c>
      <c r="I2235" s="11">
        <v>8</v>
      </c>
      <c r="J2235" s="12">
        <v>768.2</v>
      </c>
      <c r="K2235" s="13">
        <v>0</v>
      </c>
      <c r="L2235" s="12">
        <v>543.33000000000004</v>
      </c>
      <c r="M2235" s="14">
        <f>ROUND(tblSprzedaz[[#This Row],[Ilość]]*tblSprzedaz[[#This Row],[Cena netto jednostkowa]]*(1-tblSprzedaz[[#This Row],[Rabat %]]),2)</f>
        <v>6145.6</v>
      </c>
      <c r="N2235" s="14">
        <f>ROUND(tblSprzedaz[[#This Row],[Ilość]]*tblSprzedaz[[#This Row],[Koszt jednostkowy netto]],2)</f>
        <v>4346.6400000000003</v>
      </c>
      <c r="O2235" s="14">
        <f>tblSprzedaz[[#This Row],[Przychód netto]]-tblSprzedaz[[#This Row],[Koszt całkowity netto]]</f>
        <v>1798.96</v>
      </c>
      <c r="P2235" s="15">
        <f>IFERROR(tblSprzedaz[[#This Row],[Marża kwotowa]]/tblSprzedaz[[#This Row],[Przychód netto]],0)</f>
        <v>0.29272324915386616</v>
      </c>
      <c r="Q2235" s="16">
        <f>YEAR(tblSprzedaz[[#This Row],[Data]])</f>
        <v>2026</v>
      </c>
      <c r="R2235" s="16">
        <f>MONTH(tblSprzedaz[[#This Row],[Data]])</f>
        <v>8</v>
      </c>
      <c r="S2235" s="9" t="str">
        <f>YEAR(tblSprzedaz[[#This Row],[Data]])&amp;"-"&amp;RIGHT("0"&amp;MONTH(tblSprzedaz[[#This Row],[Data]]),2)</f>
        <v>2026-08</v>
      </c>
    </row>
    <row r="2236" spans="1:19" x14ac:dyDescent="0.25">
      <c r="A2236" s="7" t="s">
        <v>4639</v>
      </c>
      <c r="B2236" s="10">
        <v>46261</v>
      </c>
      <c r="C2236" s="7" t="s">
        <v>4640</v>
      </c>
      <c r="D2236" s="8" t="s">
        <v>82</v>
      </c>
      <c r="E2236" s="8" t="s">
        <v>56</v>
      </c>
      <c r="F2236" s="8" t="s">
        <v>31</v>
      </c>
      <c r="G2236" s="8" t="s">
        <v>28</v>
      </c>
      <c r="H2236" s="8" t="s">
        <v>38</v>
      </c>
      <c r="I2236" s="11">
        <v>6</v>
      </c>
      <c r="J2236" s="12">
        <v>279.3</v>
      </c>
      <c r="K2236" s="13">
        <v>0.1</v>
      </c>
      <c r="L2236" s="12">
        <v>175.87</v>
      </c>
      <c r="M2236" s="14">
        <f>ROUND(tblSprzedaz[[#This Row],[Ilość]]*tblSprzedaz[[#This Row],[Cena netto jednostkowa]]*(1-tblSprzedaz[[#This Row],[Rabat %]]),2)</f>
        <v>1508.22</v>
      </c>
      <c r="N2236" s="14">
        <f>ROUND(tblSprzedaz[[#This Row],[Ilość]]*tblSprzedaz[[#This Row],[Koszt jednostkowy netto]],2)</f>
        <v>1055.22</v>
      </c>
      <c r="O2236" s="14">
        <f>tblSprzedaz[[#This Row],[Przychód netto]]-tblSprzedaz[[#This Row],[Koszt całkowity netto]]</f>
        <v>453</v>
      </c>
      <c r="P2236" s="15">
        <f>IFERROR(tblSprzedaz[[#This Row],[Marża kwotowa]]/tblSprzedaz[[#This Row],[Przychód netto]],0)</f>
        <v>0.30035405975255597</v>
      </c>
      <c r="Q2236" s="16">
        <f>YEAR(tblSprzedaz[[#This Row],[Data]])</f>
        <v>2026</v>
      </c>
      <c r="R2236" s="16">
        <f>MONTH(tblSprzedaz[[#This Row],[Data]])</f>
        <v>8</v>
      </c>
      <c r="S2236" s="9" t="str">
        <f>YEAR(tblSprzedaz[[#This Row],[Data]])&amp;"-"&amp;RIGHT("0"&amp;MONTH(tblSprzedaz[[#This Row],[Data]]),2)</f>
        <v>2026-08</v>
      </c>
    </row>
    <row r="2237" spans="1:19" x14ac:dyDescent="0.25">
      <c r="A2237" s="7" t="s">
        <v>4641</v>
      </c>
      <c r="B2237" s="10">
        <v>46262</v>
      </c>
      <c r="C2237" s="7" t="s">
        <v>4642</v>
      </c>
      <c r="D2237" s="8" t="s">
        <v>111</v>
      </c>
      <c r="E2237" s="8" t="s">
        <v>68</v>
      </c>
      <c r="F2237" s="8" t="s">
        <v>35</v>
      </c>
      <c r="G2237" s="8" t="s">
        <v>28</v>
      </c>
      <c r="H2237" s="8" t="s">
        <v>38</v>
      </c>
      <c r="I2237" s="11">
        <v>14</v>
      </c>
      <c r="J2237" s="12">
        <v>90.44</v>
      </c>
      <c r="K2237" s="13">
        <v>0.1</v>
      </c>
      <c r="L2237" s="12">
        <v>64.77</v>
      </c>
      <c r="M2237" s="14">
        <f>ROUND(tblSprzedaz[[#This Row],[Ilość]]*tblSprzedaz[[#This Row],[Cena netto jednostkowa]]*(1-tblSprzedaz[[#This Row],[Rabat %]]),2)</f>
        <v>1139.54</v>
      </c>
      <c r="N2237" s="14">
        <f>ROUND(tblSprzedaz[[#This Row],[Ilość]]*tblSprzedaz[[#This Row],[Koszt jednostkowy netto]],2)</f>
        <v>906.78</v>
      </c>
      <c r="O2237" s="14">
        <f>tblSprzedaz[[#This Row],[Przychód netto]]-tblSprzedaz[[#This Row],[Koszt całkowity netto]]</f>
        <v>232.76</v>
      </c>
      <c r="P2237" s="15">
        <f>IFERROR(tblSprzedaz[[#This Row],[Marża kwotowa]]/tblSprzedaz[[#This Row],[Przychód netto]],0)</f>
        <v>0.20425785843410499</v>
      </c>
      <c r="Q2237" s="16">
        <f>YEAR(tblSprzedaz[[#This Row],[Data]])</f>
        <v>2026</v>
      </c>
      <c r="R2237" s="16">
        <f>MONTH(tblSprzedaz[[#This Row],[Data]])</f>
        <v>8</v>
      </c>
      <c r="S2237" s="9" t="str">
        <f>YEAR(tblSprzedaz[[#This Row],[Data]])&amp;"-"&amp;RIGHT("0"&amp;MONTH(tblSprzedaz[[#This Row],[Data]]),2)</f>
        <v>2026-08</v>
      </c>
    </row>
    <row r="2238" spans="1:19" x14ac:dyDescent="0.25">
      <c r="A2238" s="7" t="s">
        <v>4643</v>
      </c>
      <c r="B2238" s="10">
        <v>46262</v>
      </c>
      <c r="C2238" s="7" t="s">
        <v>4644</v>
      </c>
      <c r="D2238" s="8" t="s">
        <v>109</v>
      </c>
      <c r="E2238" s="8" t="s">
        <v>74</v>
      </c>
      <c r="F2238" s="8" t="s">
        <v>37</v>
      </c>
      <c r="G2238" s="8" t="s">
        <v>28</v>
      </c>
      <c r="H2238" s="8" t="s">
        <v>38</v>
      </c>
      <c r="I2238" s="11">
        <v>11</v>
      </c>
      <c r="J2238" s="12">
        <v>126.35</v>
      </c>
      <c r="K2238" s="13">
        <v>0</v>
      </c>
      <c r="L2238" s="12">
        <v>94.69</v>
      </c>
      <c r="M2238" s="14">
        <f>ROUND(tblSprzedaz[[#This Row],[Ilość]]*tblSprzedaz[[#This Row],[Cena netto jednostkowa]]*(1-tblSprzedaz[[#This Row],[Rabat %]]),2)</f>
        <v>1389.85</v>
      </c>
      <c r="N2238" s="14">
        <f>ROUND(tblSprzedaz[[#This Row],[Ilość]]*tblSprzedaz[[#This Row],[Koszt jednostkowy netto]],2)</f>
        <v>1041.5899999999999</v>
      </c>
      <c r="O2238" s="14">
        <f>tblSprzedaz[[#This Row],[Przychód netto]]-tblSprzedaz[[#This Row],[Koszt całkowity netto]]</f>
        <v>348.26</v>
      </c>
      <c r="P2238" s="15">
        <f>IFERROR(tblSprzedaz[[#This Row],[Marża kwotowa]]/tblSprzedaz[[#This Row],[Przychód netto]],0)</f>
        <v>0.25057380292837356</v>
      </c>
      <c r="Q2238" s="16">
        <f>YEAR(tblSprzedaz[[#This Row],[Data]])</f>
        <v>2026</v>
      </c>
      <c r="R2238" s="16">
        <f>MONTH(tblSprzedaz[[#This Row],[Data]])</f>
        <v>8</v>
      </c>
      <c r="S2238" s="9" t="str">
        <f>YEAR(tblSprzedaz[[#This Row],[Data]])&amp;"-"&amp;RIGHT("0"&amp;MONTH(tblSprzedaz[[#This Row],[Data]]),2)</f>
        <v>2026-08</v>
      </c>
    </row>
    <row r="2239" spans="1:19" x14ac:dyDescent="0.25">
      <c r="A2239" s="7" t="s">
        <v>4645</v>
      </c>
      <c r="B2239" s="10">
        <v>46262</v>
      </c>
      <c r="C2239" s="7" t="s">
        <v>4646</v>
      </c>
      <c r="D2239" s="8" t="s">
        <v>106</v>
      </c>
      <c r="E2239" s="8" t="s">
        <v>64</v>
      </c>
      <c r="F2239" s="8" t="s">
        <v>33</v>
      </c>
      <c r="G2239" s="8" t="s">
        <v>34</v>
      </c>
      <c r="H2239" s="8" t="s">
        <v>44</v>
      </c>
      <c r="I2239" s="11">
        <v>4</v>
      </c>
      <c r="J2239" s="12">
        <v>768.2</v>
      </c>
      <c r="K2239" s="13">
        <v>0.15</v>
      </c>
      <c r="L2239" s="12">
        <v>495.4</v>
      </c>
      <c r="M2239" s="14">
        <f>ROUND(tblSprzedaz[[#This Row],[Ilość]]*tblSprzedaz[[#This Row],[Cena netto jednostkowa]]*(1-tblSprzedaz[[#This Row],[Rabat %]]),2)</f>
        <v>2611.88</v>
      </c>
      <c r="N2239" s="14">
        <f>ROUND(tblSprzedaz[[#This Row],[Ilość]]*tblSprzedaz[[#This Row],[Koszt jednostkowy netto]],2)</f>
        <v>1981.6</v>
      </c>
      <c r="O2239" s="14">
        <f>tblSprzedaz[[#This Row],[Przychód netto]]-tblSprzedaz[[#This Row],[Koszt całkowity netto]]</f>
        <v>630.2800000000002</v>
      </c>
      <c r="P2239" s="15">
        <f>IFERROR(tblSprzedaz[[#This Row],[Marża kwotowa]]/tblSprzedaz[[#This Row],[Przychód netto]],0)</f>
        <v>0.24131277087768205</v>
      </c>
      <c r="Q2239" s="16">
        <f>YEAR(tblSprzedaz[[#This Row],[Data]])</f>
        <v>2026</v>
      </c>
      <c r="R2239" s="16">
        <f>MONTH(tblSprzedaz[[#This Row],[Data]])</f>
        <v>8</v>
      </c>
      <c r="S2239" s="9" t="str">
        <f>YEAR(tblSprzedaz[[#This Row],[Data]])&amp;"-"&amp;RIGHT("0"&amp;MONTH(tblSprzedaz[[#This Row],[Data]]),2)</f>
        <v>2026-08</v>
      </c>
    </row>
    <row r="2240" spans="1:19" x14ac:dyDescent="0.25">
      <c r="A2240" s="7" t="s">
        <v>4647</v>
      </c>
      <c r="B2240" s="10">
        <v>46262</v>
      </c>
      <c r="C2240" s="7" t="s">
        <v>4648</v>
      </c>
      <c r="D2240" s="8" t="s">
        <v>86</v>
      </c>
      <c r="E2240" s="8" t="s">
        <v>57</v>
      </c>
      <c r="F2240" s="8" t="s">
        <v>31</v>
      </c>
      <c r="G2240" s="8" t="s">
        <v>32</v>
      </c>
      <c r="H2240" s="8" t="s">
        <v>42</v>
      </c>
      <c r="I2240" s="11">
        <v>17</v>
      </c>
      <c r="J2240" s="12">
        <v>315</v>
      </c>
      <c r="K2240" s="13">
        <v>0</v>
      </c>
      <c r="L2240" s="12">
        <v>202.05</v>
      </c>
      <c r="M2240" s="14">
        <f>ROUND(tblSprzedaz[[#This Row],[Ilość]]*tblSprzedaz[[#This Row],[Cena netto jednostkowa]]*(1-tblSprzedaz[[#This Row],[Rabat %]]),2)</f>
        <v>5355</v>
      </c>
      <c r="N2240" s="14">
        <f>ROUND(tblSprzedaz[[#This Row],[Ilość]]*tblSprzedaz[[#This Row],[Koszt jednostkowy netto]],2)</f>
        <v>3434.85</v>
      </c>
      <c r="O2240" s="14">
        <f>tblSprzedaz[[#This Row],[Przychód netto]]-tblSprzedaz[[#This Row],[Koszt całkowity netto]]</f>
        <v>1920.15</v>
      </c>
      <c r="P2240" s="15">
        <f>IFERROR(tblSprzedaz[[#This Row],[Marża kwotowa]]/tblSprzedaz[[#This Row],[Przychód netto]],0)</f>
        <v>0.3585714285714286</v>
      </c>
      <c r="Q2240" s="16">
        <f>YEAR(tblSprzedaz[[#This Row],[Data]])</f>
        <v>2026</v>
      </c>
      <c r="R2240" s="16">
        <f>MONTH(tblSprzedaz[[#This Row],[Data]])</f>
        <v>8</v>
      </c>
      <c r="S2240" s="9" t="str">
        <f>YEAR(tblSprzedaz[[#This Row],[Data]])&amp;"-"&amp;RIGHT("0"&amp;MONTH(tblSprzedaz[[#This Row],[Data]]),2)</f>
        <v>2026-08</v>
      </c>
    </row>
    <row r="2241" spans="1:19" x14ac:dyDescent="0.25">
      <c r="A2241" s="7" t="s">
        <v>4649</v>
      </c>
      <c r="B2241" s="10">
        <v>46263</v>
      </c>
      <c r="C2241" s="7" t="s">
        <v>4650</v>
      </c>
      <c r="D2241" s="8" t="s">
        <v>128</v>
      </c>
      <c r="E2241" s="8" t="s">
        <v>58</v>
      </c>
      <c r="F2241" s="8" t="s">
        <v>31</v>
      </c>
      <c r="G2241" s="8" t="s">
        <v>32</v>
      </c>
      <c r="H2241" s="8" t="s">
        <v>42</v>
      </c>
      <c r="I2241" s="11">
        <v>3</v>
      </c>
      <c r="J2241" s="12">
        <v>350.7</v>
      </c>
      <c r="K2241" s="13">
        <v>0.05</v>
      </c>
      <c r="L2241" s="12">
        <v>229.95</v>
      </c>
      <c r="M2241" s="14">
        <f>ROUND(tblSprzedaz[[#This Row],[Ilość]]*tblSprzedaz[[#This Row],[Cena netto jednostkowa]]*(1-tblSprzedaz[[#This Row],[Rabat %]]),2)</f>
        <v>999.5</v>
      </c>
      <c r="N2241" s="14">
        <f>ROUND(tblSprzedaz[[#This Row],[Ilość]]*tblSprzedaz[[#This Row],[Koszt jednostkowy netto]],2)</f>
        <v>689.85</v>
      </c>
      <c r="O2241" s="14">
        <f>tblSprzedaz[[#This Row],[Przychód netto]]-tblSprzedaz[[#This Row],[Koszt całkowity netto]]</f>
        <v>309.64999999999998</v>
      </c>
      <c r="P2241" s="15">
        <f>IFERROR(tblSprzedaz[[#This Row],[Marża kwotowa]]/tblSprzedaz[[#This Row],[Przychód netto]],0)</f>
        <v>0.30980490245122561</v>
      </c>
      <c r="Q2241" s="16">
        <f>YEAR(tblSprzedaz[[#This Row],[Data]])</f>
        <v>2026</v>
      </c>
      <c r="R2241" s="16">
        <f>MONTH(tblSprzedaz[[#This Row],[Data]])</f>
        <v>8</v>
      </c>
      <c r="S2241" s="9" t="str">
        <f>YEAR(tblSprzedaz[[#This Row],[Data]])&amp;"-"&amp;RIGHT("0"&amp;MONTH(tblSprzedaz[[#This Row],[Data]]),2)</f>
        <v>2026-08</v>
      </c>
    </row>
    <row r="2242" spans="1:19" x14ac:dyDescent="0.25">
      <c r="A2242" s="7" t="s">
        <v>4651</v>
      </c>
      <c r="B2242" s="10">
        <v>46263</v>
      </c>
      <c r="C2242" s="7" t="s">
        <v>4652</v>
      </c>
      <c r="D2242" s="8" t="s">
        <v>129</v>
      </c>
      <c r="E2242" s="8" t="s">
        <v>61</v>
      </c>
      <c r="F2242" s="8" t="s">
        <v>33</v>
      </c>
      <c r="G2242" s="8" t="s">
        <v>34</v>
      </c>
      <c r="H2242" s="8" t="s">
        <v>44</v>
      </c>
      <c r="I2242" s="11">
        <v>5</v>
      </c>
      <c r="J2242" s="12">
        <v>533.6</v>
      </c>
      <c r="K2242" s="13">
        <v>0</v>
      </c>
      <c r="L2242" s="12">
        <v>369.95</v>
      </c>
      <c r="M2242" s="14">
        <f>ROUND(tblSprzedaz[[#This Row],[Ilość]]*tblSprzedaz[[#This Row],[Cena netto jednostkowa]]*(1-tblSprzedaz[[#This Row],[Rabat %]]),2)</f>
        <v>2668</v>
      </c>
      <c r="N2242" s="14">
        <f>ROUND(tblSprzedaz[[#This Row],[Ilość]]*tblSprzedaz[[#This Row],[Koszt jednostkowy netto]],2)</f>
        <v>1849.75</v>
      </c>
      <c r="O2242" s="14">
        <f>tblSprzedaz[[#This Row],[Przychód netto]]-tblSprzedaz[[#This Row],[Koszt całkowity netto]]</f>
        <v>818.25</v>
      </c>
      <c r="P2242" s="15">
        <f>IFERROR(tblSprzedaz[[#This Row],[Marża kwotowa]]/tblSprzedaz[[#This Row],[Przychód netto]],0)</f>
        <v>0.30669040479760118</v>
      </c>
      <c r="Q2242" s="16">
        <f>YEAR(tblSprzedaz[[#This Row],[Data]])</f>
        <v>2026</v>
      </c>
      <c r="R2242" s="16">
        <f>MONTH(tblSprzedaz[[#This Row],[Data]])</f>
        <v>8</v>
      </c>
      <c r="S2242" s="9" t="str">
        <f>YEAR(tblSprzedaz[[#This Row],[Data]])&amp;"-"&amp;RIGHT("0"&amp;MONTH(tblSprzedaz[[#This Row],[Data]]),2)</f>
        <v>2026-08</v>
      </c>
    </row>
    <row r="2243" spans="1:19" x14ac:dyDescent="0.25">
      <c r="A2243" s="7" t="s">
        <v>4653</v>
      </c>
      <c r="B2243" s="10">
        <v>46264</v>
      </c>
      <c r="C2243" s="7" t="s">
        <v>4654</v>
      </c>
      <c r="D2243" s="8" t="s">
        <v>82</v>
      </c>
      <c r="E2243" s="8" t="s">
        <v>61</v>
      </c>
      <c r="F2243" s="8" t="s">
        <v>33</v>
      </c>
      <c r="G2243" s="8" t="s">
        <v>36</v>
      </c>
      <c r="H2243" s="8" t="s">
        <v>46</v>
      </c>
      <c r="I2243" s="11">
        <v>4</v>
      </c>
      <c r="J2243" s="12">
        <v>533.6</v>
      </c>
      <c r="K2243" s="13">
        <v>0</v>
      </c>
      <c r="L2243" s="12">
        <v>357.86</v>
      </c>
      <c r="M2243" s="14">
        <f>ROUND(tblSprzedaz[[#This Row],[Ilość]]*tblSprzedaz[[#This Row],[Cena netto jednostkowa]]*(1-tblSprzedaz[[#This Row],[Rabat %]]),2)</f>
        <v>2134.4</v>
      </c>
      <c r="N2243" s="14">
        <f>ROUND(tblSprzedaz[[#This Row],[Ilość]]*tblSprzedaz[[#This Row],[Koszt jednostkowy netto]],2)</f>
        <v>1431.44</v>
      </c>
      <c r="O2243" s="14">
        <f>tblSprzedaz[[#This Row],[Przychód netto]]-tblSprzedaz[[#This Row],[Koszt całkowity netto]]</f>
        <v>702.96</v>
      </c>
      <c r="P2243" s="15">
        <f>IFERROR(tblSprzedaz[[#This Row],[Marża kwotowa]]/tblSprzedaz[[#This Row],[Przychód netto]],0)</f>
        <v>0.32934782608695651</v>
      </c>
      <c r="Q2243" s="16">
        <f>YEAR(tblSprzedaz[[#This Row],[Data]])</f>
        <v>2026</v>
      </c>
      <c r="R2243" s="16">
        <f>MONTH(tblSprzedaz[[#This Row],[Data]])</f>
        <v>8</v>
      </c>
      <c r="S2243" s="9" t="str">
        <f>YEAR(tblSprzedaz[[#This Row],[Data]])&amp;"-"&amp;RIGHT("0"&amp;MONTH(tblSprzedaz[[#This Row],[Data]]),2)</f>
        <v>2026-08</v>
      </c>
    </row>
    <row r="2244" spans="1:19" x14ac:dyDescent="0.25">
      <c r="A2244" s="7" t="s">
        <v>4655</v>
      </c>
      <c r="B2244" s="10">
        <v>46264</v>
      </c>
      <c r="C2244" s="7" t="s">
        <v>4656</v>
      </c>
      <c r="D2244" s="8" t="s">
        <v>115</v>
      </c>
      <c r="E2244" s="8" t="s">
        <v>65</v>
      </c>
      <c r="F2244" s="8" t="s">
        <v>33</v>
      </c>
      <c r="G2244" s="8" t="s">
        <v>28</v>
      </c>
      <c r="H2244" s="8" t="s">
        <v>38</v>
      </c>
      <c r="I2244" s="11">
        <v>6</v>
      </c>
      <c r="J2244" s="12">
        <v>377.2</v>
      </c>
      <c r="K2244" s="13">
        <v>0.1</v>
      </c>
      <c r="L2244" s="12">
        <v>258.55</v>
      </c>
      <c r="M2244" s="14">
        <f>ROUND(tblSprzedaz[[#This Row],[Ilość]]*tblSprzedaz[[#This Row],[Cena netto jednostkowa]]*(1-tblSprzedaz[[#This Row],[Rabat %]]),2)</f>
        <v>2036.88</v>
      </c>
      <c r="N2244" s="14">
        <f>ROUND(tblSprzedaz[[#This Row],[Ilość]]*tblSprzedaz[[#This Row],[Koszt jednostkowy netto]],2)</f>
        <v>1551.3</v>
      </c>
      <c r="O2244" s="14">
        <f>tblSprzedaz[[#This Row],[Przychód netto]]-tblSprzedaz[[#This Row],[Koszt całkowity netto]]</f>
        <v>485.58000000000015</v>
      </c>
      <c r="P2244" s="15">
        <f>IFERROR(tblSprzedaz[[#This Row],[Marża kwotowa]]/tblSprzedaz[[#This Row],[Przychód netto]],0)</f>
        <v>0.23839401437492641</v>
      </c>
      <c r="Q2244" s="16">
        <f>YEAR(tblSprzedaz[[#This Row],[Data]])</f>
        <v>2026</v>
      </c>
      <c r="R2244" s="16">
        <f>MONTH(tblSprzedaz[[#This Row],[Data]])</f>
        <v>8</v>
      </c>
      <c r="S2244" s="9" t="str">
        <f>YEAR(tblSprzedaz[[#This Row],[Data]])&amp;"-"&amp;RIGHT("0"&amp;MONTH(tblSprzedaz[[#This Row],[Data]]),2)</f>
        <v>2026-08</v>
      </c>
    </row>
    <row r="2245" spans="1:19" x14ac:dyDescent="0.25">
      <c r="A2245" s="7" t="s">
        <v>4657</v>
      </c>
      <c r="B2245" s="10">
        <v>46265</v>
      </c>
      <c r="C2245" s="7" t="s">
        <v>4658</v>
      </c>
      <c r="D2245" s="8" t="s">
        <v>142</v>
      </c>
      <c r="E2245" s="8" t="s">
        <v>66</v>
      </c>
      <c r="F2245" s="8" t="s">
        <v>35</v>
      </c>
      <c r="G2245" s="8" t="s">
        <v>36</v>
      </c>
      <c r="H2245" s="8" t="s">
        <v>47</v>
      </c>
      <c r="I2245" s="11">
        <v>11</v>
      </c>
      <c r="J2245" s="12">
        <v>67.319999999999993</v>
      </c>
      <c r="K2245" s="13">
        <v>0.15</v>
      </c>
      <c r="L2245" s="12">
        <v>49.11</v>
      </c>
      <c r="M2245" s="14">
        <f>ROUND(tblSprzedaz[[#This Row],[Ilość]]*tblSprzedaz[[#This Row],[Cena netto jednostkowa]]*(1-tblSprzedaz[[#This Row],[Rabat %]]),2)</f>
        <v>629.44000000000005</v>
      </c>
      <c r="N2245" s="14">
        <f>ROUND(tblSprzedaz[[#This Row],[Ilość]]*tblSprzedaz[[#This Row],[Koszt jednostkowy netto]],2)</f>
        <v>540.21</v>
      </c>
      <c r="O2245" s="14">
        <f>tblSprzedaz[[#This Row],[Przychód netto]]-tblSprzedaz[[#This Row],[Koszt całkowity netto]]</f>
        <v>89.230000000000018</v>
      </c>
      <c r="P2245" s="15">
        <f>IFERROR(tblSprzedaz[[#This Row],[Marża kwotowa]]/tblSprzedaz[[#This Row],[Przychód netto]],0)</f>
        <v>0.14176093035078802</v>
      </c>
      <c r="Q2245" s="16">
        <f>YEAR(tblSprzedaz[[#This Row],[Data]])</f>
        <v>2026</v>
      </c>
      <c r="R2245" s="16">
        <f>MONTH(tblSprzedaz[[#This Row],[Data]])</f>
        <v>8</v>
      </c>
      <c r="S2245" s="9" t="str">
        <f>YEAR(tblSprzedaz[[#This Row],[Data]])&amp;"-"&amp;RIGHT("0"&amp;MONTH(tblSprzedaz[[#This Row],[Data]]),2)</f>
        <v>2026-08</v>
      </c>
    </row>
    <row r="2246" spans="1:19" x14ac:dyDescent="0.25">
      <c r="A2246" s="7" t="s">
        <v>4659</v>
      </c>
      <c r="B2246" s="10">
        <v>46265</v>
      </c>
      <c r="C2246" s="7" t="s">
        <v>4660</v>
      </c>
      <c r="D2246" s="8" t="s">
        <v>111</v>
      </c>
      <c r="E2246" s="8" t="s">
        <v>77</v>
      </c>
      <c r="F2246" s="8" t="s">
        <v>37</v>
      </c>
      <c r="G2246" s="8" t="s">
        <v>36</v>
      </c>
      <c r="H2246" s="8" t="s">
        <v>46</v>
      </c>
      <c r="I2246" s="11">
        <v>7</v>
      </c>
      <c r="J2246" s="12">
        <v>77.900000000000006</v>
      </c>
      <c r="K2246" s="13">
        <v>0</v>
      </c>
      <c r="L2246" s="12">
        <v>57.93</v>
      </c>
      <c r="M2246" s="14">
        <f>ROUND(tblSprzedaz[[#This Row],[Ilość]]*tblSprzedaz[[#This Row],[Cena netto jednostkowa]]*(1-tblSprzedaz[[#This Row],[Rabat %]]),2)</f>
        <v>545.29999999999995</v>
      </c>
      <c r="N2246" s="14">
        <f>ROUND(tblSprzedaz[[#This Row],[Ilość]]*tblSprzedaz[[#This Row],[Koszt jednostkowy netto]],2)</f>
        <v>405.51</v>
      </c>
      <c r="O2246" s="14">
        <f>tblSprzedaz[[#This Row],[Przychód netto]]-tblSprzedaz[[#This Row],[Koszt całkowity netto]]</f>
        <v>139.78999999999996</v>
      </c>
      <c r="P2246" s="15">
        <f>IFERROR(tblSprzedaz[[#This Row],[Marża kwotowa]]/tblSprzedaz[[#This Row],[Przychód netto]],0)</f>
        <v>0.25635430038510909</v>
      </c>
      <c r="Q2246" s="16">
        <f>YEAR(tblSprzedaz[[#This Row],[Data]])</f>
        <v>2026</v>
      </c>
      <c r="R2246" s="16">
        <f>MONTH(tblSprzedaz[[#This Row],[Data]])</f>
        <v>8</v>
      </c>
      <c r="S2246" s="9" t="str">
        <f>YEAR(tblSprzedaz[[#This Row],[Data]])&amp;"-"&amp;RIGHT("0"&amp;MONTH(tblSprzedaz[[#This Row],[Data]]),2)</f>
        <v>2026-08</v>
      </c>
    </row>
    <row r="2247" spans="1:19" x14ac:dyDescent="0.25">
      <c r="A2247" s="7" t="s">
        <v>4661</v>
      </c>
      <c r="B2247" s="10">
        <v>46265</v>
      </c>
      <c r="C2247" s="7" t="s">
        <v>4662</v>
      </c>
      <c r="D2247" s="8" t="s">
        <v>129</v>
      </c>
      <c r="E2247" s="8" t="s">
        <v>75</v>
      </c>
      <c r="F2247" s="8" t="s">
        <v>37</v>
      </c>
      <c r="G2247" s="8" t="s">
        <v>30</v>
      </c>
      <c r="H2247" s="8" t="s">
        <v>40</v>
      </c>
      <c r="I2247" s="11">
        <v>16</v>
      </c>
      <c r="J2247" s="12">
        <v>142.5</v>
      </c>
      <c r="K2247" s="13">
        <v>0</v>
      </c>
      <c r="L2247" s="12">
        <v>113.51</v>
      </c>
      <c r="M2247" s="14">
        <f>ROUND(tblSprzedaz[[#This Row],[Ilość]]*tblSprzedaz[[#This Row],[Cena netto jednostkowa]]*(1-tblSprzedaz[[#This Row],[Rabat %]]),2)</f>
        <v>2280</v>
      </c>
      <c r="N2247" s="14">
        <f>ROUND(tblSprzedaz[[#This Row],[Ilość]]*tblSprzedaz[[#This Row],[Koszt jednostkowy netto]],2)</f>
        <v>1816.16</v>
      </c>
      <c r="O2247" s="14">
        <f>tblSprzedaz[[#This Row],[Przychód netto]]-tblSprzedaz[[#This Row],[Koszt całkowity netto]]</f>
        <v>463.83999999999992</v>
      </c>
      <c r="P2247" s="15">
        <f>IFERROR(tblSprzedaz[[#This Row],[Marża kwotowa]]/tblSprzedaz[[#This Row],[Przychód netto]],0)</f>
        <v>0.20343859649122803</v>
      </c>
      <c r="Q2247" s="16">
        <f>YEAR(tblSprzedaz[[#This Row],[Data]])</f>
        <v>2026</v>
      </c>
      <c r="R2247" s="16">
        <f>MONTH(tblSprzedaz[[#This Row],[Data]])</f>
        <v>8</v>
      </c>
      <c r="S2247" s="9" t="str">
        <f>YEAR(tblSprzedaz[[#This Row],[Data]])&amp;"-"&amp;RIGHT("0"&amp;MONTH(tblSprzedaz[[#This Row],[Data]]),2)</f>
        <v>2026-08</v>
      </c>
    </row>
    <row r="2248" spans="1:19" x14ac:dyDescent="0.25">
      <c r="A2248" s="7" t="s">
        <v>4663</v>
      </c>
      <c r="B2248" s="10">
        <v>46265</v>
      </c>
      <c r="C2248" s="7" t="s">
        <v>4664</v>
      </c>
      <c r="D2248" s="8" t="s">
        <v>150</v>
      </c>
      <c r="E2248" s="8" t="s">
        <v>61</v>
      </c>
      <c r="F2248" s="8" t="s">
        <v>33</v>
      </c>
      <c r="G2248" s="8" t="s">
        <v>32</v>
      </c>
      <c r="H2248" s="8" t="s">
        <v>42</v>
      </c>
      <c r="I2248" s="11">
        <v>23</v>
      </c>
      <c r="J2248" s="12">
        <v>533.6</v>
      </c>
      <c r="K2248" s="13">
        <v>0</v>
      </c>
      <c r="L2248" s="12">
        <v>346.72</v>
      </c>
      <c r="M2248" s="14">
        <f>ROUND(tblSprzedaz[[#This Row],[Ilość]]*tblSprzedaz[[#This Row],[Cena netto jednostkowa]]*(1-tblSprzedaz[[#This Row],[Rabat %]]),2)</f>
        <v>12272.8</v>
      </c>
      <c r="N2248" s="14">
        <f>ROUND(tblSprzedaz[[#This Row],[Ilość]]*tblSprzedaz[[#This Row],[Koszt jednostkowy netto]],2)</f>
        <v>7974.56</v>
      </c>
      <c r="O2248" s="14">
        <f>tblSprzedaz[[#This Row],[Przychód netto]]-tblSprzedaz[[#This Row],[Koszt całkowity netto]]</f>
        <v>4298.2399999999989</v>
      </c>
      <c r="P2248" s="15">
        <f>IFERROR(tblSprzedaz[[#This Row],[Marża kwotowa]]/tblSprzedaz[[#This Row],[Przychód netto]],0)</f>
        <v>0.35022488755622183</v>
      </c>
      <c r="Q2248" s="16">
        <f>YEAR(tblSprzedaz[[#This Row],[Data]])</f>
        <v>2026</v>
      </c>
      <c r="R2248" s="16">
        <f>MONTH(tblSprzedaz[[#This Row],[Data]])</f>
        <v>8</v>
      </c>
      <c r="S2248" s="9" t="str">
        <f>YEAR(tblSprzedaz[[#This Row],[Data]])&amp;"-"&amp;RIGHT("0"&amp;MONTH(tblSprzedaz[[#This Row],[Data]]),2)</f>
        <v>2026-08</v>
      </c>
    </row>
    <row r="2249" spans="1:19" x14ac:dyDescent="0.25">
      <c r="A2249" s="7" t="s">
        <v>4665</v>
      </c>
      <c r="B2249" s="10">
        <v>46265</v>
      </c>
      <c r="C2249" s="7" t="s">
        <v>4666</v>
      </c>
      <c r="D2249" s="8" t="s">
        <v>148</v>
      </c>
      <c r="E2249" s="8" t="s">
        <v>65</v>
      </c>
      <c r="F2249" s="8" t="s">
        <v>33</v>
      </c>
      <c r="G2249" s="8" t="s">
        <v>30</v>
      </c>
      <c r="H2249" s="8" t="s">
        <v>41</v>
      </c>
      <c r="I2249" s="11">
        <v>5</v>
      </c>
      <c r="J2249" s="12">
        <v>377.2</v>
      </c>
      <c r="K2249" s="13">
        <v>0.1</v>
      </c>
      <c r="L2249" s="12">
        <v>251.26</v>
      </c>
      <c r="M2249" s="14">
        <f>ROUND(tblSprzedaz[[#This Row],[Ilość]]*tblSprzedaz[[#This Row],[Cena netto jednostkowa]]*(1-tblSprzedaz[[#This Row],[Rabat %]]),2)</f>
        <v>1697.4</v>
      </c>
      <c r="N2249" s="14">
        <f>ROUND(tblSprzedaz[[#This Row],[Ilość]]*tblSprzedaz[[#This Row],[Koszt jednostkowy netto]],2)</f>
        <v>1256.3</v>
      </c>
      <c r="O2249" s="14">
        <f>tblSprzedaz[[#This Row],[Przychód netto]]-tblSprzedaz[[#This Row],[Koszt całkowity netto]]</f>
        <v>441.10000000000014</v>
      </c>
      <c r="P2249" s="15">
        <f>IFERROR(tblSprzedaz[[#This Row],[Marża kwotowa]]/tblSprzedaz[[#This Row],[Przychód netto]],0)</f>
        <v>0.2598680334629434</v>
      </c>
      <c r="Q2249" s="16">
        <f>YEAR(tblSprzedaz[[#This Row],[Data]])</f>
        <v>2026</v>
      </c>
      <c r="R2249" s="16">
        <f>MONTH(tblSprzedaz[[#This Row],[Data]])</f>
        <v>8</v>
      </c>
      <c r="S2249" s="9" t="str">
        <f>YEAR(tblSprzedaz[[#This Row],[Data]])&amp;"-"&amp;RIGHT("0"&amp;MONTH(tblSprzedaz[[#This Row],[Data]]),2)</f>
        <v>2026-08</v>
      </c>
    </row>
    <row r="2250" spans="1:19" x14ac:dyDescent="0.25">
      <c r="A2250" s="7" t="s">
        <v>4667</v>
      </c>
      <c r="B2250" s="10">
        <v>46266</v>
      </c>
      <c r="C2250" s="7" t="s">
        <v>4668</v>
      </c>
      <c r="D2250" s="8" t="s">
        <v>120</v>
      </c>
      <c r="E2250" s="8" t="s">
        <v>68</v>
      </c>
      <c r="F2250" s="8" t="s">
        <v>35</v>
      </c>
      <c r="G2250" s="8" t="s">
        <v>30</v>
      </c>
      <c r="H2250" s="8" t="s">
        <v>41</v>
      </c>
      <c r="I2250" s="11">
        <v>8</v>
      </c>
      <c r="J2250" s="12">
        <v>90.44</v>
      </c>
      <c r="K2250" s="13">
        <v>0.1</v>
      </c>
      <c r="L2250" s="12">
        <v>67.39</v>
      </c>
      <c r="M2250" s="14">
        <f>ROUND(tblSprzedaz[[#This Row],[Ilość]]*tblSprzedaz[[#This Row],[Cena netto jednostkowa]]*(1-tblSprzedaz[[#This Row],[Rabat %]]),2)</f>
        <v>651.16999999999996</v>
      </c>
      <c r="N2250" s="14">
        <f>ROUND(tblSprzedaz[[#This Row],[Ilość]]*tblSprzedaz[[#This Row],[Koszt jednostkowy netto]],2)</f>
        <v>539.12</v>
      </c>
      <c r="O2250" s="14">
        <f>tblSprzedaz[[#This Row],[Przychód netto]]-tblSprzedaz[[#This Row],[Koszt całkowity netto]]</f>
        <v>112.04999999999995</v>
      </c>
      <c r="P2250" s="15">
        <f>IFERROR(tblSprzedaz[[#This Row],[Marża kwotowa]]/tblSprzedaz[[#This Row],[Przychód netto]],0)</f>
        <v>0.17207488059953616</v>
      </c>
      <c r="Q2250" s="16">
        <f>YEAR(tblSprzedaz[[#This Row],[Data]])</f>
        <v>2026</v>
      </c>
      <c r="R2250" s="16">
        <f>MONTH(tblSprzedaz[[#This Row],[Data]])</f>
        <v>9</v>
      </c>
      <c r="S2250" s="9" t="str">
        <f>YEAR(tblSprzedaz[[#This Row],[Data]])&amp;"-"&amp;RIGHT("0"&amp;MONTH(tblSprzedaz[[#This Row],[Data]]),2)</f>
        <v>2026-09</v>
      </c>
    </row>
    <row r="2251" spans="1:19" x14ac:dyDescent="0.25">
      <c r="A2251" s="7" t="s">
        <v>4669</v>
      </c>
      <c r="B2251" s="10">
        <v>46266</v>
      </c>
      <c r="C2251" s="7" t="s">
        <v>4670</v>
      </c>
      <c r="D2251" s="8" t="s">
        <v>112</v>
      </c>
      <c r="E2251" s="8" t="s">
        <v>55</v>
      </c>
      <c r="F2251" s="8" t="s">
        <v>31</v>
      </c>
      <c r="G2251" s="8" t="s">
        <v>32</v>
      </c>
      <c r="H2251" s="8" t="s">
        <v>42</v>
      </c>
      <c r="I2251" s="11">
        <v>39</v>
      </c>
      <c r="J2251" s="12">
        <v>243.6</v>
      </c>
      <c r="K2251" s="13">
        <v>0.15</v>
      </c>
      <c r="L2251" s="12">
        <v>152.56</v>
      </c>
      <c r="M2251" s="14">
        <f>ROUND(tblSprzedaz[[#This Row],[Ilość]]*tblSprzedaz[[#This Row],[Cena netto jednostkowa]]*(1-tblSprzedaz[[#This Row],[Rabat %]]),2)</f>
        <v>8075.34</v>
      </c>
      <c r="N2251" s="14">
        <f>ROUND(tblSprzedaz[[#This Row],[Ilość]]*tblSprzedaz[[#This Row],[Koszt jednostkowy netto]],2)</f>
        <v>5949.84</v>
      </c>
      <c r="O2251" s="14">
        <f>tblSprzedaz[[#This Row],[Przychód netto]]-tblSprzedaz[[#This Row],[Koszt całkowity netto]]</f>
        <v>2125.5</v>
      </c>
      <c r="P2251" s="15">
        <f>IFERROR(tblSprzedaz[[#This Row],[Marża kwotowa]]/tblSprzedaz[[#This Row],[Przychód netto]],0)</f>
        <v>0.26320873176856951</v>
      </c>
      <c r="Q2251" s="16">
        <f>YEAR(tblSprzedaz[[#This Row],[Data]])</f>
        <v>2026</v>
      </c>
      <c r="R2251" s="16">
        <f>MONTH(tblSprzedaz[[#This Row],[Data]])</f>
        <v>9</v>
      </c>
      <c r="S2251" s="9" t="str">
        <f>YEAR(tblSprzedaz[[#This Row],[Data]])&amp;"-"&amp;RIGHT("0"&amp;MONTH(tblSprzedaz[[#This Row],[Data]]),2)</f>
        <v>2026-09</v>
      </c>
    </row>
    <row r="2252" spans="1:19" x14ac:dyDescent="0.25">
      <c r="A2252" s="7" t="s">
        <v>4671</v>
      </c>
      <c r="B2252" s="10">
        <v>46266</v>
      </c>
      <c r="C2252" s="7" t="s">
        <v>4672</v>
      </c>
      <c r="D2252" s="8" t="s">
        <v>93</v>
      </c>
      <c r="E2252" s="8" t="s">
        <v>65</v>
      </c>
      <c r="F2252" s="8" t="s">
        <v>33</v>
      </c>
      <c r="G2252" s="8" t="s">
        <v>32</v>
      </c>
      <c r="H2252" s="8" t="s">
        <v>42</v>
      </c>
      <c r="I2252" s="11">
        <v>30</v>
      </c>
      <c r="J2252" s="12">
        <v>377.2</v>
      </c>
      <c r="K2252" s="13">
        <v>0</v>
      </c>
      <c r="L2252" s="12">
        <v>261.91000000000003</v>
      </c>
      <c r="M2252" s="14">
        <f>ROUND(tblSprzedaz[[#This Row],[Ilość]]*tblSprzedaz[[#This Row],[Cena netto jednostkowa]]*(1-tblSprzedaz[[#This Row],[Rabat %]]),2)</f>
        <v>11316</v>
      </c>
      <c r="N2252" s="14">
        <f>ROUND(tblSprzedaz[[#This Row],[Ilość]]*tblSprzedaz[[#This Row],[Koszt jednostkowy netto]],2)</f>
        <v>7857.3</v>
      </c>
      <c r="O2252" s="14">
        <f>tblSprzedaz[[#This Row],[Przychód netto]]-tblSprzedaz[[#This Row],[Koszt całkowity netto]]</f>
        <v>3458.7</v>
      </c>
      <c r="P2252" s="15">
        <f>IFERROR(tblSprzedaz[[#This Row],[Marża kwotowa]]/tblSprzedaz[[#This Row],[Przychód netto]],0)</f>
        <v>0.30564687168610816</v>
      </c>
      <c r="Q2252" s="16">
        <f>YEAR(tblSprzedaz[[#This Row],[Data]])</f>
        <v>2026</v>
      </c>
      <c r="R2252" s="16">
        <f>MONTH(tblSprzedaz[[#This Row],[Data]])</f>
        <v>9</v>
      </c>
      <c r="S2252" s="9" t="str">
        <f>YEAR(tblSprzedaz[[#This Row],[Data]])&amp;"-"&amp;RIGHT("0"&amp;MONTH(tblSprzedaz[[#This Row],[Data]]),2)</f>
        <v>2026-09</v>
      </c>
    </row>
    <row r="2253" spans="1:19" x14ac:dyDescent="0.25">
      <c r="A2253" s="7" t="s">
        <v>4673</v>
      </c>
      <c r="B2253" s="10">
        <v>46266</v>
      </c>
      <c r="C2253" s="7" t="s">
        <v>4674</v>
      </c>
      <c r="D2253" s="8" t="s">
        <v>109</v>
      </c>
      <c r="E2253" s="8" t="s">
        <v>53</v>
      </c>
      <c r="F2253" s="8" t="s">
        <v>29</v>
      </c>
      <c r="G2253" s="8" t="s">
        <v>34</v>
      </c>
      <c r="H2253" s="8" t="s">
        <v>45</v>
      </c>
      <c r="I2253" s="11">
        <v>13</v>
      </c>
      <c r="J2253" s="12">
        <v>27.88</v>
      </c>
      <c r="K2253" s="13">
        <v>0.1</v>
      </c>
      <c r="L2253" s="12">
        <v>16.82</v>
      </c>
      <c r="M2253" s="14">
        <f>ROUND(tblSprzedaz[[#This Row],[Ilość]]*tblSprzedaz[[#This Row],[Cena netto jednostkowa]]*(1-tblSprzedaz[[#This Row],[Rabat %]]),2)</f>
        <v>326.2</v>
      </c>
      <c r="N2253" s="14">
        <f>ROUND(tblSprzedaz[[#This Row],[Ilość]]*tblSprzedaz[[#This Row],[Koszt jednostkowy netto]],2)</f>
        <v>218.66</v>
      </c>
      <c r="O2253" s="14">
        <f>tblSprzedaz[[#This Row],[Przychód netto]]-tblSprzedaz[[#This Row],[Koszt całkowity netto]]</f>
        <v>107.53999999999999</v>
      </c>
      <c r="P2253" s="15">
        <f>IFERROR(tblSprzedaz[[#This Row],[Marża kwotowa]]/tblSprzedaz[[#This Row],[Przychód netto]],0)</f>
        <v>0.32967504598405883</v>
      </c>
      <c r="Q2253" s="16">
        <f>YEAR(tblSprzedaz[[#This Row],[Data]])</f>
        <v>2026</v>
      </c>
      <c r="R2253" s="16">
        <f>MONTH(tblSprzedaz[[#This Row],[Data]])</f>
        <v>9</v>
      </c>
      <c r="S2253" s="9" t="str">
        <f>YEAR(tblSprzedaz[[#This Row],[Data]])&amp;"-"&amp;RIGHT("0"&amp;MONTH(tblSprzedaz[[#This Row],[Data]]),2)</f>
        <v>2026-09</v>
      </c>
    </row>
    <row r="2254" spans="1:19" x14ac:dyDescent="0.25">
      <c r="A2254" s="7" t="s">
        <v>4675</v>
      </c>
      <c r="B2254" s="10">
        <v>46266</v>
      </c>
      <c r="C2254" s="7" t="s">
        <v>4676</v>
      </c>
      <c r="D2254" s="8" t="s">
        <v>135</v>
      </c>
      <c r="E2254" s="8" t="s">
        <v>52</v>
      </c>
      <c r="F2254" s="8" t="s">
        <v>29</v>
      </c>
      <c r="G2254" s="8" t="s">
        <v>36</v>
      </c>
      <c r="H2254" s="8" t="s">
        <v>47</v>
      </c>
      <c r="I2254" s="11">
        <v>18</v>
      </c>
      <c r="J2254" s="12">
        <v>56.78</v>
      </c>
      <c r="K2254" s="13">
        <v>0.15</v>
      </c>
      <c r="L2254" s="12">
        <v>31.47</v>
      </c>
      <c r="M2254" s="14">
        <f>ROUND(tblSprzedaz[[#This Row],[Ilość]]*tblSprzedaz[[#This Row],[Cena netto jednostkowa]]*(1-tblSprzedaz[[#This Row],[Rabat %]]),2)</f>
        <v>868.73</v>
      </c>
      <c r="N2254" s="14">
        <f>ROUND(tblSprzedaz[[#This Row],[Ilość]]*tblSprzedaz[[#This Row],[Koszt jednostkowy netto]],2)</f>
        <v>566.46</v>
      </c>
      <c r="O2254" s="14">
        <f>tblSprzedaz[[#This Row],[Przychód netto]]-tblSprzedaz[[#This Row],[Koszt całkowity netto]]</f>
        <v>302.27</v>
      </c>
      <c r="P2254" s="15">
        <f>IFERROR(tblSprzedaz[[#This Row],[Marża kwotowa]]/tblSprzedaz[[#This Row],[Przychód netto]],0)</f>
        <v>0.34794470088520019</v>
      </c>
      <c r="Q2254" s="16">
        <f>YEAR(tblSprzedaz[[#This Row],[Data]])</f>
        <v>2026</v>
      </c>
      <c r="R2254" s="16">
        <f>MONTH(tblSprzedaz[[#This Row],[Data]])</f>
        <v>9</v>
      </c>
      <c r="S2254" s="9" t="str">
        <f>YEAR(tblSprzedaz[[#This Row],[Data]])&amp;"-"&amp;RIGHT("0"&amp;MONTH(tblSprzedaz[[#This Row],[Data]]),2)</f>
        <v>2026-09</v>
      </c>
    </row>
    <row r="2255" spans="1:19" x14ac:dyDescent="0.25">
      <c r="A2255" s="7" t="s">
        <v>4677</v>
      </c>
      <c r="B2255" s="10">
        <v>46266</v>
      </c>
      <c r="C2255" s="7" t="s">
        <v>4678</v>
      </c>
      <c r="D2255" s="8" t="s">
        <v>131</v>
      </c>
      <c r="E2255" s="8" t="s">
        <v>75</v>
      </c>
      <c r="F2255" s="8" t="s">
        <v>37</v>
      </c>
      <c r="G2255" s="8" t="s">
        <v>34</v>
      </c>
      <c r="H2255" s="8" t="s">
        <v>44</v>
      </c>
      <c r="I2255" s="11">
        <v>8</v>
      </c>
      <c r="J2255" s="12">
        <v>142.5</v>
      </c>
      <c r="K2255" s="13">
        <v>0</v>
      </c>
      <c r="L2255" s="12">
        <v>114.76</v>
      </c>
      <c r="M2255" s="14">
        <f>ROUND(tblSprzedaz[[#This Row],[Ilość]]*tblSprzedaz[[#This Row],[Cena netto jednostkowa]]*(1-tblSprzedaz[[#This Row],[Rabat %]]),2)</f>
        <v>1140</v>
      </c>
      <c r="N2255" s="14">
        <f>ROUND(tblSprzedaz[[#This Row],[Ilość]]*tblSprzedaz[[#This Row],[Koszt jednostkowy netto]],2)</f>
        <v>918.08</v>
      </c>
      <c r="O2255" s="14">
        <f>tblSprzedaz[[#This Row],[Przychód netto]]-tblSprzedaz[[#This Row],[Koszt całkowity netto]]</f>
        <v>221.91999999999996</v>
      </c>
      <c r="P2255" s="15">
        <f>IFERROR(tblSprzedaz[[#This Row],[Marża kwotowa]]/tblSprzedaz[[#This Row],[Przychód netto]],0)</f>
        <v>0.19466666666666663</v>
      </c>
      <c r="Q2255" s="16">
        <f>YEAR(tblSprzedaz[[#This Row],[Data]])</f>
        <v>2026</v>
      </c>
      <c r="R2255" s="16">
        <f>MONTH(tblSprzedaz[[#This Row],[Data]])</f>
        <v>9</v>
      </c>
      <c r="S2255" s="9" t="str">
        <f>YEAR(tblSprzedaz[[#This Row],[Data]])&amp;"-"&amp;RIGHT("0"&amp;MONTH(tblSprzedaz[[#This Row],[Data]]),2)</f>
        <v>2026-09</v>
      </c>
    </row>
    <row r="2256" spans="1:19" x14ac:dyDescent="0.25">
      <c r="A2256" s="7" t="s">
        <v>4679</v>
      </c>
      <c r="B2256" s="10">
        <v>46266</v>
      </c>
      <c r="C2256" s="7" t="s">
        <v>4680</v>
      </c>
      <c r="D2256" s="8" t="s">
        <v>98</v>
      </c>
      <c r="E2256" s="8" t="s">
        <v>50</v>
      </c>
      <c r="F2256" s="8" t="s">
        <v>29</v>
      </c>
      <c r="G2256" s="8" t="s">
        <v>28</v>
      </c>
      <c r="H2256" s="8" t="s">
        <v>39</v>
      </c>
      <c r="I2256" s="11">
        <v>9</v>
      </c>
      <c r="J2256" s="12">
        <v>45.22</v>
      </c>
      <c r="K2256" s="13">
        <v>0</v>
      </c>
      <c r="L2256" s="12">
        <v>27.86</v>
      </c>
      <c r="M2256" s="14">
        <f>ROUND(tblSprzedaz[[#This Row],[Ilość]]*tblSprzedaz[[#This Row],[Cena netto jednostkowa]]*(1-tblSprzedaz[[#This Row],[Rabat %]]),2)</f>
        <v>406.98</v>
      </c>
      <c r="N2256" s="14">
        <f>ROUND(tblSprzedaz[[#This Row],[Ilość]]*tblSprzedaz[[#This Row],[Koszt jednostkowy netto]],2)</f>
        <v>250.74</v>
      </c>
      <c r="O2256" s="14">
        <f>tblSprzedaz[[#This Row],[Przychód netto]]-tblSprzedaz[[#This Row],[Koszt całkowity netto]]</f>
        <v>156.24</v>
      </c>
      <c r="P2256" s="15">
        <f>IFERROR(tblSprzedaz[[#This Row],[Marża kwotowa]]/tblSprzedaz[[#This Row],[Przychód netto]],0)</f>
        <v>0.38390092879256965</v>
      </c>
      <c r="Q2256" s="16">
        <f>YEAR(tblSprzedaz[[#This Row],[Data]])</f>
        <v>2026</v>
      </c>
      <c r="R2256" s="16">
        <f>MONTH(tblSprzedaz[[#This Row],[Data]])</f>
        <v>9</v>
      </c>
      <c r="S2256" s="9" t="str">
        <f>YEAR(tblSprzedaz[[#This Row],[Data]])&amp;"-"&amp;RIGHT("0"&amp;MONTH(tblSprzedaz[[#This Row],[Data]]),2)</f>
        <v>2026-09</v>
      </c>
    </row>
    <row r="2257" spans="1:19" x14ac:dyDescent="0.25">
      <c r="A2257" s="7" t="s">
        <v>4681</v>
      </c>
      <c r="B2257" s="10">
        <v>46267</v>
      </c>
      <c r="C2257" s="7" t="s">
        <v>4682</v>
      </c>
      <c r="D2257" s="8" t="s">
        <v>93</v>
      </c>
      <c r="E2257" s="8" t="s">
        <v>77</v>
      </c>
      <c r="F2257" s="8" t="s">
        <v>37</v>
      </c>
      <c r="G2257" s="8" t="s">
        <v>32</v>
      </c>
      <c r="H2257" s="8" t="s">
        <v>43</v>
      </c>
      <c r="I2257" s="11">
        <v>11</v>
      </c>
      <c r="J2257" s="12">
        <v>77.900000000000006</v>
      </c>
      <c r="K2257" s="13">
        <v>0</v>
      </c>
      <c r="L2257" s="12">
        <v>62.67</v>
      </c>
      <c r="M2257" s="14">
        <f>ROUND(tblSprzedaz[[#This Row],[Ilość]]*tblSprzedaz[[#This Row],[Cena netto jednostkowa]]*(1-tblSprzedaz[[#This Row],[Rabat %]]),2)</f>
        <v>856.9</v>
      </c>
      <c r="N2257" s="14">
        <f>ROUND(tblSprzedaz[[#This Row],[Ilość]]*tblSprzedaz[[#This Row],[Koszt jednostkowy netto]],2)</f>
        <v>689.37</v>
      </c>
      <c r="O2257" s="14">
        <f>tblSprzedaz[[#This Row],[Przychód netto]]-tblSprzedaz[[#This Row],[Koszt całkowity netto]]</f>
        <v>167.52999999999997</v>
      </c>
      <c r="P2257" s="15">
        <f>IFERROR(tblSprzedaz[[#This Row],[Marża kwotowa]]/tblSprzedaz[[#This Row],[Przychód netto]],0)</f>
        <v>0.1955070603337612</v>
      </c>
      <c r="Q2257" s="16">
        <f>YEAR(tblSprzedaz[[#This Row],[Data]])</f>
        <v>2026</v>
      </c>
      <c r="R2257" s="16">
        <f>MONTH(tblSprzedaz[[#This Row],[Data]])</f>
        <v>9</v>
      </c>
      <c r="S2257" s="9" t="str">
        <f>YEAR(tblSprzedaz[[#This Row],[Data]])&amp;"-"&amp;RIGHT("0"&amp;MONTH(tblSprzedaz[[#This Row],[Data]]),2)</f>
        <v>2026-09</v>
      </c>
    </row>
    <row r="2258" spans="1:19" x14ac:dyDescent="0.25">
      <c r="A2258" s="7" t="s">
        <v>4683</v>
      </c>
      <c r="B2258" s="10">
        <v>46267</v>
      </c>
      <c r="C2258" s="7" t="s">
        <v>4684</v>
      </c>
      <c r="D2258" s="8" t="s">
        <v>146</v>
      </c>
      <c r="E2258" s="8" t="s">
        <v>62</v>
      </c>
      <c r="F2258" s="8" t="s">
        <v>33</v>
      </c>
      <c r="G2258" s="8" t="s">
        <v>30</v>
      </c>
      <c r="H2258" s="8" t="s">
        <v>40</v>
      </c>
      <c r="I2258" s="11">
        <v>33</v>
      </c>
      <c r="J2258" s="12">
        <v>611.79999999999995</v>
      </c>
      <c r="K2258" s="13">
        <v>0.05</v>
      </c>
      <c r="L2258" s="12">
        <v>414</v>
      </c>
      <c r="M2258" s="14">
        <f>ROUND(tblSprzedaz[[#This Row],[Ilość]]*tblSprzedaz[[#This Row],[Cena netto jednostkowa]]*(1-tblSprzedaz[[#This Row],[Rabat %]]),2)</f>
        <v>19179.93</v>
      </c>
      <c r="N2258" s="14">
        <f>ROUND(tblSprzedaz[[#This Row],[Ilość]]*tblSprzedaz[[#This Row],[Koszt jednostkowy netto]],2)</f>
        <v>13662</v>
      </c>
      <c r="O2258" s="14">
        <f>tblSprzedaz[[#This Row],[Przychód netto]]-tblSprzedaz[[#This Row],[Koszt całkowity netto]]</f>
        <v>5517.93</v>
      </c>
      <c r="P2258" s="15">
        <f>IFERROR(tblSprzedaz[[#This Row],[Marża kwotowa]]/tblSprzedaz[[#This Row],[Przychód netto]],0)</f>
        <v>0.2876929165017808</v>
      </c>
      <c r="Q2258" s="16">
        <f>YEAR(tblSprzedaz[[#This Row],[Data]])</f>
        <v>2026</v>
      </c>
      <c r="R2258" s="16">
        <f>MONTH(tblSprzedaz[[#This Row],[Data]])</f>
        <v>9</v>
      </c>
      <c r="S2258" s="9" t="str">
        <f>YEAR(tblSprzedaz[[#This Row],[Data]])&amp;"-"&amp;RIGHT("0"&amp;MONTH(tblSprzedaz[[#This Row],[Data]]),2)</f>
        <v>2026-09</v>
      </c>
    </row>
    <row r="2259" spans="1:19" x14ac:dyDescent="0.25">
      <c r="A2259" s="7" t="s">
        <v>4685</v>
      </c>
      <c r="B2259" s="10">
        <v>46267</v>
      </c>
      <c r="C2259" s="7" t="s">
        <v>4686</v>
      </c>
      <c r="D2259" s="8" t="s">
        <v>83</v>
      </c>
      <c r="E2259" s="8" t="s">
        <v>49</v>
      </c>
      <c r="F2259" s="8" t="s">
        <v>29</v>
      </c>
      <c r="G2259" s="8" t="s">
        <v>28</v>
      </c>
      <c r="H2259" s="8" t="s">
        <v>38</v>
      </c>
      <c r="I2259" s="11">
        <v>27</v>
      </c>
      <c r="J2259" s="12">
        <v>39.44</v>
      </c>
      <c r="K2259" s="13">
        <v>0</v>
      </c>
      <c r="L2259" s="12">
        <v>22.61</v>
      </c>
      <c r="M2259" s="14">
        <f>ROUND(tblSprzedaz[[#This Row],[Ilość]]*tblSprzedaz[[#This Row],[Cena netto jednostkowa]]*(1-tblSprzedaz[[#This Row],[Rabat %]]),2)</f>
        <v>1064.8800000000001</v>
      </c>
      <c r="N2259" s="14">
        <f>ROUND(tblSprzedaz[[#This Row],[Ilość]]*tblSprzedaz[[#This Row],[Koszt jednostkowy netto]],2)</f>
        <v>610.47</v>
      </c>
      <c r="O2259" s="14">
        <f>tblSprzedaz[[#This Row],[Przychód netto]]-tblSprzedaz[[#This Row],[Koszt całkowity netto]]</f>
        <v>454.41000000000008</v>
      </c>
      <c r="P2259" s="15">
        <f>IFERROR(tblSprzedaz[[#This Row],[Marża kwotowa]]/tblSprzedaz[[#This Row],[Przychód netto]],0)</f>
        <v>0.42672413793103453</v>
      </c>
      <c r="Q2259" s="16">
        <f>YEAR(tblSprzedaz[[#This Row],[Data]])</f>
        <v>2026</v>
      </c>
      <c r="R2259" s="16">
        <f>MONTH(tblSprzedaz[[#This Row],[Data]])</f>
        <v>9</v>
      </c>
      <c r="S2259" s="9" t="str">
        <f>YEAR(tblSprzedaz[[#This Row],[Data]])&amp;"-"&amp;RIGHT("0"&amp;MONTH(tblSprzedaz[[#This Row],[Data]]),2)</f>
        <v>2026-09</v>
      </c>
    </row>
    <row r="2260" spans="1:19" x14ac:dyDescent="0.25">
      <c r="A2260" s="7" t="s">
        <v>4687</v>
      </c>
      <c r="B2260" s="10">
        <v>46267</v>
      </c>
      <c r="C2260" s="7" t="s">
        <v>4688</v>
      </c>
      <c r="D2260" s="8" t="s">
        <v>113</v>
      </c>
      <c r="E2260" s="8" t="s">
        <v>75</v>
      </c>
      <c r="F2260" s="8" t="s">
        <v>37</v>
      </c>
      <c r="G2260" s="8" t="s">
        <v>32</v>
      </c>
      <c r="H2260" s="8" t="s">
        <v>42</v>
      </c>
      <c r="I2260" s="11">
        <v>8</v>
      </c>
      <c r="J2260" s="12">
        <v>142.5</v>
      </c>
      <c r="K2260" s="13">
        <v>0.15</v>
      </c>
      <c r="L2260" s="12">
        <v>107.05</v>
      </c>
      <c r="M2260" s="14">
        <f>ROUND(tblSprzedaz[[#This Row],[Ilość]]*tblSprzedaz[[#This Row],[Cena netto jednostkowa]]*(1-tblSprzedaz[[#This Row],[Rabat %]]),2)</f>
        <v>969</v>
      </c>
      <c r="N2260" s="14">
        <f>ROUND(tblSprzedaz[[#This Row],[Ilość]]*tblSprzedaz[[#This Row],[Koszt jednostkowy netto]],2)</f>
        <v>856.4</v>
      </c>
      <c r="O2260" s="14">
        <f>tblSprzedaz[[#This Row],[Przychód netto]]-tblSprzedaz[[#This Row],[Koszt całkowity netto]]</f>
        <v>112.60000000000002</v>
      </c>
      <c r="P2260" s="15">
        <f>IFERROR(tblSprzedaz[[#This Row],[Marża kwotowa]]/tblSprzedaz[[#This Row],[Przychód netto]],0)</f>
        <v>0.11620227038183698</v>
      </c>
      <c r="Q2260" s="16">
        <f>YEAR(tblSprzedaz[[#This Row],[Data]])</f>
        <v>2026</v>
      </c>
      <c r="R2260" s="16">
        <f>MONTH(tblSprzedaz[[#This Row],[Data]])</f>
        <v>9</v>
      </c>
      <c r="S2260" s="9" t="str">
        <f>YEAR(tblSprzedaz[[#This Row],[Data]])&amp;"-"&amp;RIGHT("0"&amp;MONTH(tblSprzedaz[[#This Row],[Data]]),2)</f>
        <v>2026-09</v>
      </c>
    </row>
    <row r="2261" spans="1:19" x14ac:dyDescent="0.25">
      <c r="A2261" s="7" t="s">
        <v>4689</v>
      </c>
      <c r="B2261" s="10">
        <v>46267</v>
      </c>
      <c r="C2261" s="7" t="s">
        <v>4690</v>
      </c>
      <c r="D2261" s="8" t="s">
        <v>119</v>
      </c>
      <c r="E2261" s="8" t="s">
        <v>73</v>
      </c>
      <c r="F2261" s="8" t="s">
        <v>37</v>
      </c>
      <c r="G2261" s="8" t="s">
        <v>36</v>
      </c>
      <c r="H2261" s="8" t="s">
        <v>46</v>
      </c>
      <c r="I2261" s="11">
        <v>2</v>
      </c>
      <c r="J2261" s="12">
        <v>110.2</v>
      </c>
      <c r="K2261" s="13">
        <v>0.15</v>
      </c>
      <c r="L2261" s="12">
        <v>84.09</v>
      </c>
      <c r="M2261" s="14">
        <f>ROUND(tblSprzedaz[[#This Row],[Ilość]]*tblSprzedaz[[#This Row],[Cena netto jednostkowa]]*(1-tblSprzedaz[[#This Row],[Rabat %]]),2)</f>
        <v>187.34</v>
      </c>
      <c r="N2261" s="14">
        <f>ROUND(tblSprzedaz[[#This Row],[Ilość]]*tblSprzedaz[[#This Row],[Koszt jednostkowy netto]],2)</f>
        <v>168.18</v>
      </c>
      <c r="O2261" s="14">
        <f>tblSprzedaz[[#This Row],[Przychód netto]]-tblSprzedaz[[#This Row],[Koszt całkowity netto]]</f>
        <v>19.159999999999997</v>
      </c>
      <c r="P2261" s="15">
        <f>IFERROR(tblSprzedaz[[#This Row],[Marża kwotowa]]/tblSprzedaz[[#This Row],[Przychód netto]],0)</f>
        <v>0.1022739404291662</v>
      </c>
      <c r="Q2261" s="16">
        <f>YEAR(tblSprzedaz[[#This Row],[Data]])</f>
        <v>2026</v>
      </c>
      <c r="R2261" s="16">
        <f>MONTH(tblSprzedaz[[#This Row],[Data]])</f>
        <v>9</v>
      </c>
      <c r="S2261" s="9" t="str">
        <f>YEAR(tblSprzedaz[[#This Row],[Data]])&amp;"-"&amp;RIGHT("0"&amp;MONTH(tblSprzedaz[[#This Row],[Data]]),2)</f>
        <v>2026-09</v>
      </c>
    </row>
    <row r="2262" spans="1:19" x14ac:dyDescent="0.25">
      <c r="A2262" s="7" t="s">
        <v>4691</v>
      </c>
      <c r="B2262" s="10">
        <v>46267</v>
      </c>
      <c r="C2262" s="7" t="s">
        <v>4692</v>
      </c>
      <c r="D2262" s="8" t="s">
        <v>142</v>
      </c>
      <c r="E2262" s="8" t="s">
        <v>61</v>
      </c>
      <c r="F2262" s="8" t="s">
        <v>33</v>
      </c>
      <c r="G2262" s="8" t="s">
        <v>28</v>
      </c>
      <c r="H2262" s="8" t="s">
        <v>39</v>
      </c>
      <c r="I2262" s="11">
        <v>21</v>
      </c>
      <c r="J2262" s="12">
        <v>533.6</v>
      </c>
      <c r="K2262" s="13">
        <v>0.15</v>
      </c>
      <c r="L2262" s="12">
        <v>376.01</v>
      </c>
      <c r="M2262" s="14">
        <f>ROUND(tblSprzedaz[[#This Row],[Ilość]]*tblSprzedaz[[#This Row],[Cena netto jednostkowa]]*(1-tblSprzedaz[[#This Row],[Rabat %]]),2)</f>
        <v>9524.76</v>
      </c>
      <c r="N2262" s="14">
        <f>ROUND(tblSprzedaz[[#This Row],[Ilość]]*tblSprzedaz[[#This Row],[Koszt jednostkowy netto]],2)</f>
        <v>7896.21</v>
      </c>
      <c r="O2262" s="14">
        <f>tblSprzedaz[[#This Row],[Przychód netto]]-tblSprzedaz[[#This Row],[Koszt całkowity netto]]</f>
        <v>1628.5500000000002</v>
      </c>
      <c r="P2262" s="15">
        <f>IFERROR(tblSprzedaz[[#This Row],[Marża kwotowa]]/tblSprzedaz[[#This Row],[Przychód netto]],0)</f>
        <v>0.17098068612752448</v>
      </c>
      <c r="Q2262" s="16">
        <f>YEAR(tblSprzedaz[[#This Row],[Data]])</f>
        <v>2026</v>
      </c>
      <c r="R2262" s="16">
        <f>MONTH(tblSprzedaz[[#This Row],[Data]])</f>
        <v>9</v>
      </c>
      <c r="S2262" s="9" t="str">
        <f>YEAR(tblSprzedaz[[#This Row],[Data]])&amp;"-"&amp;RIGHT("0"&amp;MONTH(tblSprzedaz[[#This Row],[Data]]),2)</f>
        <v>2026-09</v>
      </c>
    </row>
    <row r="2263" spans="1:19" x14ac:dyDescent="0.25">
      <c r="A2263" s="7" t="s">
        <v>4693</v>
      </c>
      <c r="B2263" s="10">
        <v>46268</v>
      </c>
      <c r="C2263" s="7" t="s">
        <v>4694</v>
      </c>
      <c r="D2263" s="8" t="s">
        <v>92</v>
      </c>
      <c r="E2263" s="8" t="s">
        <v>59</v>
      </c>
      <c r="F2263" s="8" t="s">
        <v>31</v>
      </c>
      <c r="G2263" s="8" t="s">
        <v>32</v>
      </c>
      <c r="H2263" s="8" t="s">
        <v>42</v>
      </c>
      <c r="I2263" s="11">
        <v>9</v>
      </c>
      <c r="J2263" s="12">
        <v>172.2</v>
      </c>
      <c r="K2263" s="13">
        <v>0</v>
      </c>
      <c r="L2263" s="12">
        <v>112.31</v>
      </c>
      <c r="M2263" s="14">
        <f>ROUND(tblSprzedaz[[#This Row],[Ilość]]*tblSprzedaz[[#This Row],[Cena netto jednostkowa]]*(1-tblSprzedaz[[#This Row],[Rabat %]]),2)</f>
        <v>1549.8</v>
      </c>
      <c r="N2263" s="14">
        <f>ROUND(tblSprzedaz[[#This Row],[Ilość]]*tblSprzedaz[[#This Row],[Koszt jednostkowy netto]],2)</f>
        <v>1010.79</v>
      </c>
      <c r="O2263" s="14">
        <f>tblSprzedaz[[#This Row],[Przychód netto]]-tblSprzedaz[[#This Row],[Koszt całkowity netto]]</f>
        <v>539.01</v>
      </c>
      <c r="P2263" s="15">
        <f>IFERROR(tblSprzedaz[[#This Row],[Marża kwotowa]]/tblSprzedaz[[#This Row],[Przychód netto]],0)</f>
        <v>0.3477932636469222</v>
      </c>
      <c r="Q2263" s="16">
        <f>YEAR(tblSprzedaz[[#This Row],[Data]])</f>
        <v>2026</v>
      </c>
      <c r="R2263" s="16">
        <f>MONTH(tblSprzedaz[[#This Row],[Data]])</f>
        <v>9</v>
      </c>
      <c r="S2263" s="9" t="str">
        <f>YEAR(tblSprzedaz[[#This Row],[Data]])&amp;"-"&amp;RIGHT("0"&amp;MONTH(tblSprzedaz[[#This Row],[Data]]),2)</f>
        <v>2026-09</v>
      </c>
    </row>
    <row r="2264" spans="1:19" x14ac:dyDescent="0.25">
      <c r="A2264" s="7" t="s">
        <v>4695</v>
      </c>
      <c r="B2264" s="10">
        <v>46268</v>
      </c>
      <c r="C2264" s="7" t="s">
        <v>4696</v>
      </c>
      <c r="D2264" s="8" t="s">
        <v>105</v>
      </c>
      <c r="E2264" s="8" t="s">
        <v>52</v>
      </c>
      <c r="F2264" s="8" t="s">
        <v>29</v>
      </c>
      <c r="G2264" s="8" t="s">
        <v>36</v>
      </c>
      <c r="H2264" s="8" t="s">
        <v>47</v>
      </c>
      <c r="I2264" s="11">
        <v>27</v>
      </c>
      <c r="J2264" s="12">
        <v>56.78</v>
      </c>
      <c r="K2264" s="13">
        <v>0</v>
      </c>
      <c r="L2264" s="12">
        <v>35.39</v>
      </c>
      <c r="M2264" s="14">
        <f>ROUND(tblSprzedaz[[#This Row],[Ilość]]*tblSprzedaz[[#This Row],[Cena netto jednostkowa]]*(1-tblSprzedaz[[#This Row],[Rabat %]]),2)</f>
        <v>1533.06</v>
      </c>
      <c r="N2264" s="14">
        <f>ROUND(tblSprzedaz[[#This Row],[Ilość]]*tblSprzedaz[[#This Row],[Koszt jednostkowy netto]],2)</f>
        <v>955.53</v>
      </c>
      <c r="O2264" s="14">
        <f>tblSprzedaz[[#This Row],[Przychód netto]]-tblSprzedaz[[#This Row],[Koszt całkowity netto]]</f>
        <v>577.53</v>
      </c>
      <c r="P2264" s="15">
        <f>IFERROR(tblSprzedaz[[#This Row],[Marża kwotowa]]/tblSprzedaz[[#This Row],[Przychód netto]],0)</f>
        <v>0.37671715392743921</v>
      </c>
      <c r="Q2264" s="16">
        <f>YEAR(tblSprzedaz[[#This Row],[Data]])</f>
        <v>2026</v>
      </c>
      <c r="R2264" s="16">
        <f>MONTH(tblSprzedaz[[#This Row],[Data]])</f>
        <v>9</v>
      </c>
      <c r="S2264" s="9" t="str">
        <f>YEAR(tblSprzedaz[[#This Row],[Data]])&amp;"-"&amp;RIGHT("0"&amp;MONTH(tblSprzedaz[[#This Row],[Data]]),2)</f>
        <v>2026-09</v>
      </c>
    </row>
    <row r="2265" spans="1:19" x14ac:dyDescent="0.25">
      <c r="A2265" s="7" t="s">
        <v>4697</v>
      </c>
      <c r="B2265" s="10">
        <v>46268</v>
      </c>
      <c r="C2265" s="7" t="s">
        <v>4698</v>
      </c>
      <c r="D2265" s="8" t="s">
        <v>110</v>
      </c>
      <c r="E2265" s="8" t="s">
        <v>74</v>
      </c>
      <c r="F2265" s="8" t="s">
        <v>37</v>
      </c>
      <c r="G2265" s="8" t="s">
        <v>34</v>
      </c>
      <c r="H2265" s="8" t="s">
        <v>45</v>
      </c>
      <c r="I2265" s="11">
        <v>10</v>
      </c>
      <c r="J2265" s="12">
        <v>126.35</v>
      </c>
      <c r="K2265" s="13">
        <v>0.1</v>
      </c>
      <c r="L2265" s="12">
        <v>97.21</v>
      </c>
      <c r="M2265" s="14">
        <f>ROUND(tblSprzedaz[[#This Row],[Ilość]]*tblSprzedaz[[#This Row],[Cena netto jednostkowa]]*(1-tblSprzedaz[[#This Row],[Rabat %]]),2)</f>
        <v>1137.1500000000001</v>
      </c>
      <c r="N2265" s="14">
        <f>ROUND(tblSprzedaz[[#This Row],[Ilość]]*tblSprzedaz[[#This Row],[Koszt jednostkowy netto]],2)</f>
        <v>972.1</v>
      </c>
      <c r="O2265" s="14">
        <f>tblSprzedaz[[#This Row],[Przychód netto]]-tblSprzedaz[[#This Row],[Koszt całkowity netto]]</f>
        <v>165.05000000000007</v>
      </c>
      <c r="P2265" s="15">
        <f>IFERROR(tblSprzedaz[[#This Row],[Marża kwotowa]]/tblSprzedaz[[#This Row],[Przychód netto]],0)</f>
        <v>0.14514356065602607</v>
      </c>
      <c r="Q2265" s="16">
        <f>YEAR(tblSprzedaz[[#This Row],[Data]])</f>
        <v>2026</v>
      </c>
      <c r="R2265" s="16">
        <f>MONTH(tblSprzedaz[[#This Row],[Data]])</f>
        <v>9</v>
      </c>
      <c r="S2265" s="9" t="str">
        <f>YEAR(tblSprzedaz[[#This Row],[Data]])&amp;"-"&amp;RIGHT("0"&amp;MONTH(tblSprzedaz[[#This Row],[Data]]),2)</f>
        <v>2026-09</v>
      </c>
    </row>
    <row r="2266" spans="1:19" x14ac:dyDescent="0.25">
      <c r="A2266" s="7" t="s">
        <v>4699</v>
      </c>
      <c r="B2266" s="10">
        <v>46269</v>
      </c>
      <c r="C2266" s="7" t="s">
        <v>4700</v>
      </c>
      <c r="D2266" s="8" t="s">
        <v>104</v>
      </c>
      <c r="E2266" s="8" t="s">
        <v>67</v>
      </c>
      <c r="F2266" s="8" t="s">
        <v>35</v>
      </c>
      <c r="G2266" s="8" t="s">
        <v>36</v>
      </c>
      <c r="H2266" s="8" t="s">
        <v>47</v>
      </c>
      <c r="I2266" s="11">
        <v>23</v>
      </c>
      <c r="J2266" s="12">
        <v>78.88</v>
      </c>
      <c r="K2266" s="13">
        <v>0</v>
      </c>
      <c r="L2266" s="12">
        <v>58.36</v>
      </c>
      <c r="M2266" s="14">
        <f>ROUND(tblSprzedaz[[#This Row],[Ilość]]*tblSprzedaz[[#This Row],[Cena netto jednostkowa]]*(1-tblSprzedaz[[#This Row],[Rabat %]]),2)</f>
        <v>1814.24</v>
      </c>
      <c r="N2266" s="14">
        <f>ROUND(tblSprzedaz[[#This Row],[Ilość]]*tblSprzedaz[[#This Row],[Koszt jednostkowy netto]],2)</f>
        <v>1342.28</v>
      </c>
      <c r="O2266" s="14">
        <f>tblSprzedaz[[#This Row],[Przychód netto]]-tblSprzedaz[[#This Row],[Koszt całkowity netto]]</f>
        <v>471.96000000000004</v>
      </c>
      <c r="P2266" s="15">
        <f>IFERROR(tblSprzedaz[[#This Row],[Marża kwotowa]]/tblSprzedaz[[#This Row],[Przychód netto]],0)</f>
        <v>0.26014198782961462</v>
      </c>
      <c r="Q2266" s="16">
        <f>YEAR(tblSprzedaz[[#This Row],[Data]])</f>
        <v>2026</v>
      </c>
      <c r="R2266" s="16">
        <f>MONTH(tblSprzedaz[[#This Row],[Data]])</f>
        <v>9</v>
      </c>
      <c r="S2266" s="9" t="str">
        <f>YEAR(tblSprzedaz[[#This Row],[Data]])&amp;"-"&amp;RIGHT("0"&amp;MONTH(tblSprzedaz[[#This Row],[Data]]),2)</f>
        <v>2026-09</v>
      </c>
    </row>
    <row r="2267" spans="1:19" x14ac:dyDescent="0.25">
      <c r="A2267" s="7" t="s">
        <v>4701</v>
      </c>
      <c r="B2267" s="10">
        <v>46269</v>
      </c>
      <c r="C2267" s="7" t="s">
        <v>4702</v>
      </c>
      <c r="D2267" s="8" t="s">
        <v>102</v>
      </c>
      <c r="E2267" s="8" t="s">
        <v>77</v>
      </c>
      <c r="F2267" s="8" t="s">
        <v>37</v>
      </c>
      <c r="G2267" s="8" t="s">
        <v>34</v>
      </c>
      <c r="H2267" s="8" t="s">
        <v>45</v>
      </c>
      <c r="I2267" s="11">
        <v>4</v>
      </c>
      <c r="J2267" s="12">
        <v>77.900000000000006</v>
      </c>
      <c r="K2267" s="13">
        <v>0</v>
      </c>
      <c r="L2267" s="12">
        <v>58.97</v>
      </c>
      <c r="M2267" s="14">
        <f>ROUND(tblSprzedaz[[#This Row],[Ilość]]*tblSprzedaz[[#This Row],[Cena netto jednostkowa]]*(1-tblSprzedaz[[#This Row],[Rabat %]]),2)</f>
        <v>311.60000000000002</v>
      </c>
      <c r="N2267" s="14">
        <f>ROUND(tblSprzedaz[[#This Row],[Ilość]]*tblSprzedaz[[#This Row],[Koszt jednostkowy netto]],2)</f>
        <v>235.88</v>
      </c>
      <c r="O2267" s="14">
        <f>tblSprzedaz[[#This Row],[Przychód netto]]-tblSprzedaz[[#This Row],[Koszt całkowity netto]]</f>
        <v>75.720000000000027</v>
      </c>
      <c r="P2267" s="15">
        <f>IFERROR(tblSprzedaz[[#This Row],[Marża kwotowa]]/tblSprzedaz[[#This Row],[Przychód netto]],0)</f>
        <v>0.24300385109114256</v>
      </c>
      <c r="Q2267" s="16">
        <f>YEAR(tblSprzedaz[[#This Row],[Data]])</f>
        <v>2026</v>
      </c>
      <c r="R2267" s="16">
        <f>MONTH(tblSprzedaz[[#This Row],[Data]])</f>
        <v>9</v>
      </c>
      <c r="S2267" s="9" t="str">
        <f>YEAR(tblSprzedaz[[#This Row],[Data]])&amp;"-"&amp;RIGHT("0"&amp;MONTH(tblSprzedaz[[#This Row],[Data]]),2)</f>
        <v>2026-09</v>
      </c>
    </row>
    <row r="2268" spans="1:19" x14ac:dyDescent="0.25">
      <c r="A2268" s="7" t="s">
        <v>4703</v>
      </c>
      <c r="B2268" s="10">
        <v>46269</v>
      </c>
      <c r="C2268" s="7" t="s">
        <v>4704</v>
      </c>
      <c r="D2268" s="8" t="s">
        <v>146</v>
      </c>
      <c r="E2268" s="8" t="s">
        <v>68</v>
      </c>
      <c r="F2268" s="8" t="s">
        <v>35</v>
      </c>
      <c r="G2268" s="8" t="s">
        <v>28</v>
      </c>
      <c r="H2268" s="8" t="s">
        <v>39</v>
      </c>
      <c r="I2268" s="11">
        <v>24</v>
      </c>
      <c r="J2268" s="12">
        <v>90.44</v>
      </c>
      <c r="K2268" s="13">
        <v>0</v>
      </c>
      <c r="L2268" s="12">
        <v>68.86</v>
      </c>
      <c r="M2268" s="14">
        <f>ROUND(tblSprzedaz[[#This Row],[Ilość]]*tblSprzedaz[[#This Row],[Cena netto jednostkowa]]*(1-tblSprzedaz[[#This Row],[Rabat %]]),2)</f>
        <v>2170.56</v>
      </c>
      <c r="N2268" s="14">
        <f>ROUND(tblSprzedaz[[#This Row],[Ilość]]*tblSprzedaz[[#This Row],[Koszt jednostkowy netto]],2)</f>
        <v>1652.64</v>
      </c>
      <c r="O2268" s="14">
        <f>tblSprzedaz[[#This Row],[Przychód netto]]-tblSprzedaz[[#This Row],[Koszt całkowity netto]]</f>
        <v>517.91999999999985</v>
      </c>
      <c r="P2268" s="15">
        <f>IFERROR(tblSprzedaz[[#This Row],[Marża kwotowa]]/tblSprzedaz[[#This Row],[Przychód netto]],0)</f>
        <v>0.23861123396727105</v>
      </c>
      <c r="Q2268" s="16">
        <f>YEAR(tblSprzedaz[[#This Row],[Data]])</f>
        <v>2026</v>
      </c>
      <c r="R2268" s="16">
        <f>MONTH(tblSprzedaz[[#This Row],[Data]])</f>
        <v>9</v>
      </c>
      <c r="S2268" s="9" t="str">
        <f>YEAR(tblSprzedaz[[#This Row],[Data]])&amp;"-"&amp;RIGHT("0"&amp;MONTH(tblSprzedaz[[#This Row],[Data]]),2)</f>
        <v>2026-09</v>
      </c>
    </row>
    <row r="2269" spans="1:19" x14ac:dyDescent="0.25">
      <c r="A2269" s="7" t="s">
        <v>4705</v>
      </c>
      <c r="B2269" s="10">
        <v>46270</v>
      </c>
      <c r="C2269" s="7" t="s">
        <v>4706</v>
      </c>
      <c r="D2269" s="8" t="s">
        <v>131</v>
      </c>
      <c r="E2269" s="8" t="s">
        <v>71</v>
      </c>
      <c r="F2269" s="8" t="s">
        <v>35</v>
      </c>
      <c r="G2269" s="8" t="s">
        <v>32</v>
      </c>
      <c r="H2269" s="8" t="s">
        <v>43</v>
      </c>
      <c r="I2269" s="11">
        <v>34</v>
      </c>
      <c r="J2269" s="12">
        <v>55.76</v>
      </c>
      <c r="K2269" s="13">
        <v>0.05</v>
      </c>
      <c r="L2269" s="12">
        <v>40.35</v>
      </c>
      <c r="M2269" s="14">
        <f>ROUND(tblSprzedaz[[#This Row],[Ilość]]*tblSprzedaz[[#This Row],[Cena netto jednostkowa]]*(1-tblSprzedaz[[#This Row],[Rabat %]]),2)</f>
        <v>1801.05</v>
      </c>
      <c r="N2269" s="14">
        <f>ROUND(tblSprzedaz[[#This Row],[Ilość]]*tblSprzedaz[[#This Row],[Koszt jednostkowy netto]],2)</f>
        <v>1371.9</v>
      </c>
      <c r="O2269" s="14">
        <f>tblSprzedaz[[#This Row],[Przychód netto]]-tblSprzedaz[[#This Row],[Koszt całkowity netto]]</f>
        <v>429.14999999999986</v>
      </c>
      <c r="P2269" s="15">
        <f>IFERROR(tblSprzedaz[[#This Row],[Marża kwotowa]]/tblSprzedaz[[#This Row],[Przychód netto]],0)</f>
        <v>0.23827767135837422</v>
      </c>
      <c r="Q2269" s="16">
        <f>YEAR(tblSprzedaz[[#This Row],[Data]])</f>
        <v>2026</v>
      </c>
      <c r="R2269" s="16">
        <f>MONTH(tblSprzedaz[[#This Row],[Data]])</f>
        <v>9</v>
      </c>
      <c r="S2269" s="9" t="str">
        <f>YEAR(tblSprzedaz[[#This Row],[Data]])&amp;"-"&amp;RIGHT("0"&amp;MONTH(tblSprzedaz[[#This Row],[Data]]),2)</f>
        <v>2026-09</v>
      </c>
    </row>
    <row r="2270" spans="1:19" x14ac:dyDescent="0.25">
      <c r="A2270" s="7" t="s">
        <v>4707</v>
      </c>
      <c r="B2270" s="10">
        <v>46270</v>
      </c>
      <c r="C2270" s="7" t="s">
        <v>4708</v>
      </c>
      <c r="D2270" s="8" t="s">
        <v>85</v>
      </c>
      <c r="E2270" s="8" t="s">
        <v>62</v>
      </c>
      <c r="F2270" s="8" t="s">
        <v>33</v>
      </c>
      <c r="G2270" s="8" t="s">
        <v>30</v>
      </c>
      <c r="H2270" s="8" t="s">
        <v>40</v>
      </c>
      <c r="I2270" s="11">
        <v>20</v>
      </c>
      <c r="J2270" s="12">
        <v>611.79999999999995</v>
      </c>
      <c r="K2270" s="13">
        <v>0</v>
      </c>
      <c r="L2270" s="12">
        <v>437.18</v>
      </c>
      <c r="M2270" s="14">
        <f>ROUND(tblSprzedaz[[#This Row],[Ilość]]*tblSprzedaz[[#This Row],[Cena netto jednostkowa]]*(1-tblSprzedaz[[#This Row],[Rabat %]]),2)</f>
        <v>12236</v>
      </c>
      <c r="N2270" s="14">
        <f>ROUND(tblSprzedaz[[#This Row],[Ilość]]*tblSprzedaz[[#This Row],[Koszt jednostkowy netto]],2)</f>
        <v>8743.6</v>
      </c>
      <c r="O2270" s="14">
        <f>tblSprzedaz[[#This Row],[Przychód netto]]-tblSprzedaz[[#This Row],[Koszt całkowity netto]]</f>
        <v>3492.3999999999996</v>
      </c>
      <c r="P2270" s="15">
        <f>IFERROR(tblSprzedaz[[#This Row],[Marża kwotowa]]/tblSprzedaz[[#This Row],[Przychód netto]],0)</f>
        <v>0.28542007191892771</v>
      </c>
      <c r="Q2270" s="16">
        <f>YEAR(tblSprzedaz[[#This Row],[Data]])</f>
        <v>2026</v>
      </c>
      <c r="R2270" s="16">
        <f>MONTH(tblSprzedaz[[#This Row],[Data]])</f>
        <v>9</v>
      </c>
      <c r="S2270" s="9" t="str">
        <f>YEAR(tblSprzedaz[[#This Row],[Data]])&amp;"-"&amp;RIGHT("0"&amp;MONTH(tblSprzedaz[[#This Row],[Data]]),2)</f>
        <v>2026-09</v>
      </c>
    </row>
    <row r="2271" spans="1:19" x14ac:dyDescent="0.25">
      <c r="A2271" s="7" t="s">
        <v>4709</v>
      </c>
      <c r="B2271" s="10">
        <v>46271</v>
      </c>
      <c r="C2271" s="7" t="s">
        <v>4710</v>
      </c>
      <c r="D2271" s="8" t="s">
        <v>87</v>
      </c>
      <c r="E2271" s="8" t="s">
        <v>71</v>
      </c>
      <c r="F2271" s="8" t="s">
        <v>35</v>
      </c>
      <c r="G2271" s="8" t="s">
        <v>30</v>
      </c>
      <c r="H2271" s="8" t="s">
        <v>40</v>
      </c>
      <c r="I2271" s="11">
        <v>9</v>
      </c>
      <c r="J2271" s="12">
        <v>55.76</v>
      </c>
      <c r="K2271" s="13">
        <v>0</v>
      </c>
      <c r="L2271" s="12">
        <v>38.46</v>
      </c>
      <c r="M2271" s="14">
        <f>ROUND(tblSprzedaz[[#This Row],[Ilość]]*tblSprzedaz[[#This Row],[Cena netto jednostkowa]]*(1-tblSprzedaz[[#This Row],[Rabat %]]),2)</f>
        <v>501.84</v>
      </c>
      <c r="N2271" s="14">
        <f>ROUND(tblSprzedaz[[#This Row],[Ilość]]*tblSprzedaz[[#This Row],[Koszt jednostkowy netto]],2)</f>
        <v>346.14</v>
      </c>
      <c r="O2271" s="14">
        <f>tblSprzedaz[[#This Row],[Przychód netto]]-tblSprzedaz[[#This Row],[Koszt całkowity netto]]</f>
        <v>155.69999999999999</v>
      </c>
      <c r="P2271" s="15">
        <f>IFERROR(tblSprzedaz[[#This Row],[Marża kwotowa]]/tblSprzedaz[[#This Row],[Przychód netto]],0)</f>
        <v>0.31025824964131993</v>
      </c>
      <c r="Q2271" s="16">
        <f>YEAR(tblSprzedaz[[#This Row],[Data]])</f>
        <v>2026</v>
      </c>
      <c r="R2271" s="16">
        <f>MONTH(tblSprzedaz[[#This Row],[Data]])</f>
        <v>9</v>
      </c>
      <c r="S2271" s="9" t="str">
        <f>YEAR(tblSprzedaz[[#This Row],[Data]])&amp;"-"&amp;RIGHT("0"&amp;MONTH(tblSprzedaz[[#This Row],[Data]]),2)</f>
        <v>2026-09</v>
      </c>
    </row>
    <row r="2272" spans="1:19" x14ac:dyDescent="0.25">
      <c r="A2272" s="7" t="s">
        <v>4711</v>
      </c>
      <c r="B2272" s="10">
        <v>46271</v>
      </c>
      <c r="C2272" s="7" t="s">
        <v>4712</v>
      </c>
      <c r="D2272" s="8" t="s">
        <v>86</v>
      </c>
      <c r="E2272" s="8" t="s">
        <v>60</v>
      </c>
      <c r="F2272" s="8" t="s">
        <v>33</v>
      </c>
      <c r="G2272" s="8" t="s">
        <v>34</v>
      </c>
      <c r="H2272" s="8" t="s">
        <v>44</v>
      </c>
      <c r="I2272" s="11">
        <v>13</v>
      </c>
      <c r="J2272" s="12">
        <v>455.4</v>
      </c>
      <c r="K2272" s="13">
        <v>0.05</v>
      </c>
      <c r="L2272" s="12">
        <v>311.99</v>
      </c>
      <c r="M2272" s="14">
        <f>ROUND(tblSprzedaz[[#This Row],[Ilość]]*tblSprzedaz[[#This Row],[Cena netto jednostkowa]]*(1-tblSprzedaz[[#This Row],[Rabat %]]),2)</f>
        <v>5624.19</v>
      </c>
      <c r="N2272" s="14">
        <f>ROUND(tblSprzedaz[[#This Row],[Ilość]]*tblSprzedaz[[#This Row],[Koszt jednostkowy netto]],2)</f>
        <v>4055.87</v>
      </c>
      <c r="O2272" s="14">
        <f>tblSprzedaz[[#This Row],[Przychód netto]]-tblSprzedaz[[#This Row],[Koszt całkowity netto]]</f>
        <v>1568.3199999999997</v>
      </c>
      <c r="P2272" s="15">
        <f>IFERROR(tblSprzedaz[[#This Row],[Marża kwotowa]]/tblSprzedaz[[#This Row],[Przychód netto]],0)</f>
        <v>0.2788525992187319</v>
      </c>
      <c r="Q2272" s="16">
        <f>YEAR(tblSprzedaz[[#This Row],[Data]])</f>
        <v>2026</v>
      </c>
      <c r="R2272" s="16">
        <f>MONTH(tblSprzedaz[[#This Row],[Data]])</f>
        <v>9</v>
      </c>
      <c r="S2272" s="9" t="str">
        <f>YEAR(tblSprzedaz[[#This Row],[Data]])&amp;"-"&amp;RIGHT("0"&amp;MONTH(tblSprzedaz[[#This Row],[Data]]),2)</f>
        <v>2026-09</v>
      </c>
    </row>
    <row r="2273" spans="1:19" x14ac:dyDescent="0.25">
      <c r="A2273" s="7" t="s">
        <v>4713</v>
      </c>
      <c r="B2273" s="10">
        <v>46272</v>
      </c>
      <c r="C2273" s="7" t="s">
        <v>4714</v>
      </c>
      <c r="D2273" s="8" t="s">
        <v>123</v>
      </c>
      <c r="E2273" s="8" t="s">
        <v>64</v>
      </c>
      <c r="F2273" s="8" t="s">
        <v>33</v>
      </c>
      <c r="G2273" s="8" t="s">
        <v>34</v>
      </c>
      <c r="H2273" s="8" t="s">
        <v>44</v>
      </c>
      <c r="I2273" s="11">
        <v>1</v>
      </c>
      <c r="J2273" s="12">
        <v>768.2</v>
      </c>
      <c r="K2273" s="13">
        <v>0.05</v>
      </c>
      <c r="L2273" s="12">
        <v>551.17999999999995</v>
      </c>
      <c r="M2273" s="14">
        <f>ROUND(tblSprzedaz[[#This Row],[Ilość]]*tblSprzedaz[[#This Row],[Cena netto jednostkowa]]*(1-tblSprzedaz[[#This Row],[Rabat %]]),2)</f>
        <v>729.79</v>
      </c>
      <c r="N2273" s="14">
        <f>ROUND(tblSprzedaz[[#This Row],[Ilość]]*tblSprzedaz[[#This Row],[Koszt jednostkowy netto]],2)</f>
        <v>551.17999999999995</v>
      </c>
      <c r="O2273" s="14">
        <f>tblSprzedaz[[#This Row],[Przychód netto]]-tblSprzedaz[[#This Row],[Koszt całkowity netto]]</f>
        <v>178.61</v>
      </c>
      <c r="P2273" s="15">
        <f>IFERROR(tblSprzedaz[[#This Row],[Marża kwotowa]]/tblSprzedaz[[#This Row],[Przychód netto]],0)</f>
        <v>0.24474163800545365</v>
      </c>
      <c r="Q2273" s="16">
        <f>YEAR(tblSprzedaz[[#This Row],[Data]])</f>
        <v>2026</v>
      </c>
      <c r="R2273" s="16">
        <f>MONTH(tblSprzedaz[[#This Row],[Data]])</f>
        <v>9</v>
      </c>
      <c r="S2273" s="9" t="str">
        <f>YEAR(tblSprzedaz[[#This Row],[Data]])&amp;"-"&amp;RIGHT("0"&amp;MONTH(tblSprzedaz[[#This Row],[Data]]),2)</f>
        <v>2026-09</v>
      </c>
    </row>
    <row r="2274" spans="1:19" x14ac:dyDescent="0.25">
      <c r="A2274" s="7" t="s">
        <v>4715</v>
      </c>
      <c r="B2274" s="10">
        <v>46272</v>
      </c>
      <c r="C2274" s="7" t="s">
        <v>4716</v>
      </c>
      <c r="D2274" s="8" t="s">
        <v>79</v>
      </c>
      <c r="E2274" s="8" t="s">
        <v>51</v>
      </c>
      <c r="F2274" s="8" t="s">
        <v>29</v>
      </c>
      <c r="G2274" s="8" t="s">
        <v>36</v>
      </c>
      <c r="H2274" s="8" t="s">
        <v>46</v>
      </c>
      <c r="I2274" s="11">
        <v>29</v>
      </c>
      <c r="J2274" s="12">
        <v>51</v>
      </c>
      <c r="K2274" s="13">
        <v>0.1</v>
      </c>
      <c r="L2274" s="12">
        <v>31.63</v>
      </c>
      <c r="M2274" s="14">
        <f>ROUND(tblSprzedaz[[#This Row],[Ilość]]*tblSprzedaz[[#This Row],[Cena netto jednostkowa]]*(1-tblSprzedaz[[#This Row],[Rabat %]]),2)</f>
        <v>1331.1</v>
      </c>
      <c r="N2274" s="14">
        <f>ROUND(tblSprzedaz[[#This Row],[Ilość]]*tblSprzedaz[[#This Row],[Koszt jednostkowy netto]],2)</f>
        <v>917.27</v>
      </c>
      <c r="O2274" s="14">
        <f>tblSprzedaz[[#This Row],[Przychód netto]]-tblSprzedaz[[#This Row],[Koszt całkowity netto]]</f>
        <v>413.82999999999993</v>
      </c>
      <c r="P2274" s="15">
        <f>IFERROR(tblSprzedaz[[#This Row],[Marża kwotowa]]/tblSprzedaz[[#This Row],[Przychód netto]],0)</f>
        <v>0.3108932461873638</v>
      </c>
      <c r="Q2274" s="16">
        <f>YEAR(tblSprzedaz[[#This Row],[Data]])</f>
        <v>2026</v>
      </c>
      <c r="R2274" s="16">
        <f>MONTH(tblSprzedaz[[#This Row],[Data]])</f>
        <v>9</v>
      </c>
      <c r="S2274" s="9" t="str">
        <f>YEAR(tblSprzedaz[[#This Row],[Data]])&amp;"-"&amp;RIGHT("0"&amp;MONTH(tblSprzedaz[[#This Row],[Data]]),2)</f>
        <v>2026-09</v>
      </c>
    </row>
    <row r="2275" spans="1:19" x14ac:dyDescent="0.25">
      <c r="A2275" s="7" t="s">
        <v>4717</v>
      </c>
      <c r="B2275" s="10">
        <v>46272</v>
      </c>
      <c r="C2275" s="7" t="s">
        <v>4718</v>
      </c>
      <c r="D2275" s="8" t="s">
        <v>98</v>
      </c>
      <c r="E2275" s="8" t="s">
        <v>50</v>
      </c>
      <c r="F2275" s="8" t="s">
        <v>29</v>
      </c>
      <c r="G2275" s="8" t="s">
        <v>36</v>
      </c>
      <c r="H2275" s="8" t="s">
        <v>46</v>
      </c>
      <c r="I2275" s="11">
        <v>4</v>
      </c>
      <c r="J2275" s="12">
        <v>45.22</v>
      </c>
      <c r="K2275" s="13">
        <v>0.05</v>
      </c>
      <c r="L2275" s="12">
        <v>24.91</v>
      </c>
      <c r="M2275" s="14">
        <f>ROUND(tblSprzedaz[[#This Row],[Ilość]]*tblSprzedaz[[#This Row],[Cena netto jednostkowa]]*(1-tblSprzedaz[[#This Row],[Rabat %]]),2)</f>
        <v>171.84</v>
      </c>
      <c r="N2275" s="14">
        <f>ROUND(tblSprzedaz[[#This Row],[Ilość]]*tblSprzedaz[[#This Row],[Koszt jednostkowy netto]],2)</f>
        <v>99.64</v>
      </c>
      <c r="O2275" s="14">
        <f>tblSprzedaz[[#This Row],[Przychód netto]]-tblSprzedaz[[#This Row],[Koszt całkowity netto]]</f>
        <v>72.2</v>
      </c>
      <c r="P2275" s="15">
        <f>IFERROR(tblSprzedaz[[#This Row],[Marża kwotowa]]/tblSprzedaz[[#This Row],[Przychód netto]],0)</f>
        <v>0.4201582867783985</v>
      </c>
      <c r="Q2275" s="16">
        <f>YEAR(tblSprzedaz[[#This Row],[Data]])</f>
        <v>2026</v>
      </c>
      <c r="R2275" s="16">
        <f>MONTH(tblSprzedaz[[#This Row],[Data]])</f>
        <v>9</v>
      </c>
      <c r="S2275" s="9" t="str">
        <f>YEAR(tblSprzedaz[[#This Row],[Data]])&amp;"-"&amp;RIGHT("0"&amp;MONTH(tblSprzedaz[[#This Row],[Data]]),2)</f>
        <v>2026-09</v>
      </c>
    </row>
    <row r="2276" spans="1:19" x14ac:dyDescent="0.25">
      <c r="A2276" s="7" t="s">
        <v>4719</v>
      </c>
      <c r="B2276" s="10">
        <v>46272</v>
      </c>
      <c r="C2276" s="7" t="s">
        <v>4720</v>
      </c>
      <c r="D2276" s="8" t="s">
        <v>112</v>
      </c>
      <c r="E2276" s="8" t="s">
        <v>54</v>
      </c>
      <c r="F2276" s="8" t="s">
        <v>31</v>
      </c>
      <c r="G2276" s="8" t="s">
        <v>34</v>
      </c>
      <c r="H2276" s="8" t="s">
        <v>44</v>
      </c>
      <c r="I2276" s="11">
        <v>11</v>
      </c>
      <c r="J2276" s="12">
        <v>207.9</v>
      </c>
      <c r="K2276" s="13">
        <v>0</v>
      </c>
      <c r="L2276" s="12">
        <v>129.36000000000001</v>
      </c>
      <c r="M2276" s="14">
        <f>ROUND(tblSprzedaz[[#This Row],[Ilość]]*tblSprzedaz[[#This Row],[Cena netto jednostkowa]]*(1-tblSprzedaz[[#This Row],[Rabat %]]),2)</f>
        <v>2286.9</v>
      </c>
      <c r="N2276" s="14">
        <f>ROUND(tblSprzedaz[[#This Row],[Ilość]]*tblSprzedaz[[#This Row],[Koszt jednostkowy netto]],2)</f>
        <v>1422.96</v>
      </c>
      <c r="O2276" s="14">
        <f>tblSprzedaz[[#This Row],[Przychód netto]]-tblSprzedaz[[#This Row],[Koszt całkowity netto]]</f>
        <v>863.94</v>
      </c>
      <c r="P2276" s="15">
        <f>IFERROR(tblSprzedaz[[#This Row],[Marża kwotowa]]/tblSprzedaz[[#This Row],[Przychód netto]],0)</f>
        <v>0.37777777777777777</v>
      </c>
      <c r="Q2276" s="16">
        <f>YEAR(tblSprzedaz[[#This Row],[Data]])</f>
        <v>2026</v>
      </c>
      <c r="R2276" s="16">
        <f>MONTH(tblSprzedaz[[#This Row],[Data]])</f>
        <v>9</v>
      </c>
      <c r="S2276" s="9" t="str">
        <f>YEAR(tblSprzedaz[[#This Row],[Data]])&amp;"-"&amp;RIGHT("0"&amp;MONTH(tblSprzedaz[[#This Row],[Data]]),2)</f>
        <v>2026-09</v>
      </c>
    </row>
    <row r="2277" spans="1:19" x14ac:dyDescent="0.25">
      <c r="A2277" s="7" t="s">
        <v>4721</v>
      </c>
      <c r="B2277" s="10">
        <v>46272</v>
      </c>
      <c r="C2277" s="7" t="s">
        <v>4722</v>
      </c>
      <c r="D2277" s="8" t="s">
        <v>109</v>
      </c>
      <c r="E2277" s="8" t="s">
        <v>65</v>
      </c>
      <c r="F2277" s="8" t="s">
        <v>33</v>
      </c>
      <c r="G2277" s="8" t="s">
        <v>30</v>
      </c>
      <c r="H2277" s="8" t="s">
        <v>41</v>
      </c>
      <c r="I2277" s="11">
        <v>18</v>
      </c>
      <c r="J2277" s="12">
        <v>377.2</v>
      </c>
      <c r="K2277" s="13">
        <v>0</v>
      </c>
      <c r="L2277" s="12">
        <v>252.8</v>
      </c>
      <c r="M2277" s="14">
        <f>ROUND(tblSprzedaz[[#This Row],[Ilość]]*tblSprzedaz[[#This Row],[Cena netto jednostkowa]]*(1-tblSprzedaz[[#This Row],[Rabat %]]),2)</f>
        <v>6789.6</v>
      </c>
      <c r="N2277" s="14">
        <f>ROUND(tblSprzedaz[[#This Row],[Ilość]]*tblSprzedaz[[#This Row],[Koszt jednostkowy netto]],2)</f>
        <v>4550.3999999999996</v>
      </c>
      <c r="O2277" s="14">
        <f>tblSprzedaz[[#This Row],[Przychód netto]]-tblSprzedaz[[#This Row],[Koszt całkowity netto]]</f>
        <v>2239.2000000000007</v>
      </c>
      <c r="P2277" s="15">
        <f>IFERROR(tblSprzedaz[[#This Row],[Marża kwotowa]]/tblSprzedaz[[#This Row],[Przychód netto]],0)</f>
        <v>0.32979851537645821</v>
      </c>
      <c r="Q2277" s="16">
        <f>YEAR(tblSprzedaz[[#This Row],[Data]])</f>
        <v>2026</v>
      </c>
      <c r="R2277" s="16">
        <f>MONTH(tblSprzedaz[[#This Row],[Data]])</f>
        <v>9</v>
      </c>
      <c r="S2277" s="9" t="str">
        <f>YEAR(tblSprzedaz[[#This Row],[Data]])&amp;"-"&amp;RIGHT("0"&amp;MONTH(tblSprzedaz[[#This Row],[Data]]),2)</f>
        <v>2026-09</v>
      </c>
    </row>
    <row r="2278" spans="1:19" x14ac:dyDescent="0.25">
      <c r="A2278" s="7" t="s">
        <v>4723</v>
      </c>
      <c r="B2278" s="10">
        <v>46272</v>
      </c>
      <c r="C2278" s="7" t="s">
        <v>4724</v>
      </c>
      <c r="D2278" s="8" t="s">
        <v>121</v>
      </c>
      <c r="E2278" s="8" t="s">
        <v>69</v>
      </c>
      <c r="F2278" s="8" t="s">
        <v>35</v>
      </c>
      <c r="G2278" s="8" t="s">
        <v>34</v>
      </c>
      <c r="H2278" s="8" t="s">
        <v>45</v>
      </c>
      <c r="I2278" s="11">
        <v>8</v>
      </c>
      <c r="J2278" s="12">
        <v>102</v>
      </c>
      <c r="K2278" s="13">
        <v>0.1</v>
      </c>
      <c r="L2278" s="12">
        <v>75.099999999999994</v>
      </c>
      <c r="M2278" s="14">
        <f>ROUND(tblSprzedaz[[#This Row],[Ilość]]*tblSprzedaz[[#This Row],[Cena netto jednostkowa]]*(1-tblSprzedaz[[#This Row],[Rabat %]]),2)</f>
        <v>734.4</v>
      </c>
      <c r="N2278" s="14">
        <f>ROUND(tblSprzedaz[[#This Row],[Ilość]]*tblSprzedaz[[#This Row],[Koszt jednostkowy netto]],2)</f>
        <v>600.79999999999995</v>
      </c>
      <c r="O2278" s="14">
        <f>tblSprzedaz[[#This Row],[Przychód netto]]-tblSprzedaz[[#This Row],[Koszt całkowity netto]]</f>
        <v>133.60000000000002</v>
      </c>
      <c r="P2278" s="15">
        <f>IFERROR(tblSprzedaz[[#This Row],[Marża kwotowa]]/tblSprzedaz[[#This Row],[Przychód netto]],0)</f>
        <v>0.18191721132897606</v>
      </c>
      <c r="Q2278" s="16">
        <f>YEAR(tblSprzedaz[[#This Row],[Data]])</f>
        <v>2026</v>
      </c>
      <c r="R2278" s="16">
        <f>MONTH(tblSprzedaz[[#This Row],[Data]])</f>
        <v>9</v>
      </c>
      <c r="S2278" s="9" t="str">
        <f>YEAR(tblSprzedaz[[#This Row],[Data]])&amp;"-"&amp;RIGHT("0"&amp;MONTH(tblSprzedaz[[#This Row],[Data]]),2)</f>
        <v>2026-09</v>
      </c>
    </row>
    <row r="2279" spans="1:19" x14ac:dyDescent="0.25">
      <c r="A2279" s="7" t="s">
        <v>4725</v>
      </c>
      <c r="B2279" s="10">
        <v>46273</v>
      </c>
      <c r="C2279" s="7" t="s">
        <v>4726</v>
      </c>
      <c r="D2279" s="8" t="s">
        <v>108</v>
      </c>
      <c r="E2279" s="8" t="s">
        <v>59</v>
      </c>
      <c r="F2279" s="8" t="s">
        <v>31</v>
      </c>
      <c r="G2279" s="8" t="s">
        <v>36</v>
      </c>
      <c r="H2279" s="8" t="s">
        <v>47</v>
      </c>
      <c r="I2279" s="11">
        <v>31</v>
      </c>
      <c r="J2279" s="12">
        <v>172.2</v>
      </c>
      <c r="K2279" s="13">
        <v>0</v>
      </c>
      <c r="L2279" s="12">
        <v>109.74</v>
      </c>
      <c r="M2279" s="14">
        <f>ROUND(tblSprzedaz[[#This Row],[Ilość]]*tblSprzedaz[[#This Row],[Cena netto jednostkowa]]*(1-tblSprzedaz[[#This Row],[Rabat %]]),2)</f>
        <v>5338.2</v>
      </c>
      <c r="N2279" s="14">
        <f>ROUND(tblSprzedaz[[#This Row],[Ilość]]*tblSprzedaz[[#This Row],[Koszt jednostkowy netto]],2)</f>
        <v>3401.94</v>
      </c>
      <c r="O2279" s="14">
        <f>tblSprzedaz[[#This Row],[Przychód netto]]-tblSprzedaz[[#This Row],[Koszt całkowity netto]]</f>
        <v>1936.2599999999998</v>
      </c>
      <c r="P2279" s="15">
        <f>IFERROR(tblSprzedaz[[#This Row],[Marża kwotowa]]/tblSprzedaz[[#This Row],[Przychód netto]],0)</f>
        <v>0.36271777003484318</v>
      </c>
      <c r="Q2279" s="16">
        <f>YEAR(tblSprzedaz[[#This Row],[Data]])</f>
        <v>2026</v>
      </c>
      <c r="R2279" s="16">
        <f>MONTH(tblSprzedaz[[#This Row],[Data]])</f>
        <v>9</v>
      </c>
      <c r="S2279" s="9" t="str">
        <f>YEAR(tblSprzedaz[[#This Row],[Data]])&amp;"-"&amp;RIGHT("0"&amp;MONTH(tblSprzedaz[[#This Row],[Data]]),2)</f>
        <v>2026-09</v>
      </c>
    </row>
    <row r="2280" spans="1:19" x14ac:dyDescent="0.25">
      <c r="A2280" s="7" t="s">
        <v>4727</v>
      </c>
      <c r="B2280" s="10">
        <v>46273</v>
      </c>
      <c r="C2280" s="7" t="s">
        <v>4728</v>
      </c>
      <c r="D2280" s="8" t="s">
        <v>87</v>
      </c>
      <c r="E2280" s="8" t="s">
        <v>64</v>
      </c>
      <c r="F2280" s="8" t="s">
        <v>33</v>
      </c>
      <c r="G2280" s="8" t="s">
        <v>30</v>
      </c>
      <c r="H2280" s="8" t="s">
        <v>40</v>
      </c>
      <c r="I2280" s="11">
        <v>3</v>
      </c>
      <c r="J2280" s="12">
        <v>768.2</v>
      </c>
      <c r="K2280" s="13">
        <v>0</v>
      </c>
      <c r="L2280" s="12">
        <v>512.53</v>
      </c>
      <c r="M2280" s="14">
        <f>ROUND(tblSprzedaz[[#This Row],[Ilość]]*tblSprzedaz[[#This Row],[Cena netto jednostkowa]]*(1-tblSprzedaz[[#This Row],[Rabat %]]),2)</f>
        <v>2304.6</v>
      </c>
      <c r="N2280" s="14">
        <f>ROUND(tblSprzedaz[[#This Row],[Ilość]]*tblSprzedaz[[#This Row],[Koszt jednostkowy netto]],2)</f>
        <v>1537.59</v>
      </c>
      <c r="O2280" s="14">
        <f>tblSprzedaz[[#This Row],[Przychód netto]]-tblSprzedaz[[#This Row],[Koszt całkowity netto]]</f>
        <v>767.01</v>
      </c>
      <c r="P2280" s="15">
        <f>IFERROR(tblSprzedaz[[#This Row],[Marża kwotowa]]/tblSprzedaz[[#This Row],[Przychód netto]],0)</f>
        <v>0.33281697474615984</v>
      </c>
      <c r="Q2280" s="16">
        <f>YEAR(tblSprzedaz[[#This Row],[Data]])</f>
        <v>2026</v>
      </c>
      <c r="R2280" s="16">
        <f>MONTH(tblSprzedaz[[#This Row],[Data]])</f>
        <v>9</v>
      </c>
      <c r="S2280" s="9" t="str">
        <f>YEAR(tblSprzedaz[[#This Row],[Data]])&amp;"-"&amp;RIGHT("0"&amp;MONTH(tblSprzedaz[[#This Row],[Data]]),2)</f>
        <v>2026-09</v>
      </c>
    </row>
    <row r="2281" spans="1:19" x14ac:dyDescent="0.25">
      <c r="A2281" s="7" t="s">
        <v>4729</v>
      </c>
      <c r="B2281" s="10">
        <v>46273</v>
      </c>
      <c r="C2281" s="7" t="s">
        <v>4730</v>
      </c>
      <c r="D2281" s="8" t="s">
        <v>129</v>
      </c>
      <c r="E2281" s="8" t="s">
        <v>53</v>
      </c>
      <c r="F2281" s="8" t="s">
        <v>29</v>
      </c>
      <c r="G2281" s="8" t="s">
        <v>32</v>
      </c>
      <c r="H2281" s="8" t="s">
        <v>42</v>
      </c>
      <c r="I2281" s="11">
        <v>26</v>
      </c>
      <c r="J2281" s="12">
        <v>27.88</v>
      </c>
      <c r="K2281" s="13">
        <v>0.15</v>
      </c>
      <c r="L2281" s="12">
        <v>17.22</v>
      </c>
      <c r="M2281" s="14">
        <f>ROUND(tblSprzedaz[[#This Row],[Ilość]]*tblSprzedaz[[#This Row],[Cena netto jednostkowa]]*(1-tblSprzedaz[[#This Row],[Rabat %]]),2)</f>
        <v>616.15</v>
      </c>
      <c r="N2281" s="14">
        <f>ROUND(tblSprzedaz[[#This Row],[Ilość]]*tblSprzedaz[[#This Row],[Koszt jednostkowy netto]],2)</f>
        <v>447.72</v>
      </c>
      <c r="O2281" s="14">
        <f>tblSprzedaz[[#This Row],[Przychód netto]]-tblSprzedaz[[#This Row],[Koszt całkowity netto]]</f>
        <v>168.42999999999995</v>
      </c>
      <c r="P2281" s="15">
        <f>IFERROR(tblSprzedaz[[#This Row],[Marża kwotowa]]/tblSprzedaz[[#This Row],[Przychód netto]],0)</f>
        <v>0.27335876004219745</v>
      </c>
      <c r="Q2281" s="16">
        <f>YEAR(tblSprzedaz[[#This Row],[Data]])</f>
        <v>2026</v>
      </c>
      <c r="R2281" s="16">
        <f>MONTH(tblSprzedaz[[#This Row],[Data]])</f>
        <v>9</v>
      </c>
      <c r="S2281" s="9" t="str">
        <f>YEAR(tblSprzedaz[[#This Row],[Data]])&amp;"-"&amp;RIGHT("0"&amp;MONTH(tblSprzedaz[[#This Row],[Data]]),2)</f>
        <v>2026-09</v>
      </c>
    </row>
    <row r="2282" spans="1:19" x14ac:dyDescent="0.25">
      <c r="A2282" s="7" t="s">
        <v>4731</v>
      </c>
      <c r="B2282" s="10">
        <v>46273</v>
      </c>
      <c r="C2282" s="7" t="s">
        <v>4732</v>
      </c>
      <c r="D2282" s="8" t="s">
        <v>98</v>
      </c>
      <c r="E2282" s="8" t="s">
        <v>77</v>
      </c>
      <c r="F2282" s="8" t="s">
        <v>37</v>
      </c>
      <c r="G2282" s="8" t="s">
        <v>30</v>
      </c>
      <c r="H2282" s="8" t="s">
        <v>40</v>
      </c>
      <c r="I2282" s="11">
        <v>12</v>
      </c>
      <c r="J2282" s="12">
        <v>77.900000000000006</v>
      </c>
      <c r="K2282" s="13">
        <v>0</v>
      </c>
      <c r="L2282" s="12">
        <v>60.48</v>
      </c>
      <c r="M2282" s="14">
        <f>ROUND(tblSprzedaz[[#This Row],[Ilość]]*tblSprzedaz[[#This Row],[Cena netto jednostkowa]]*(1-tblSprzedaz[[#This Row],[Rabat %]]),2)</f>
        <v>934.8</v>
      </c>
      <c r="N2282" s="14">
        <f>ROUND(tblSprzedaz[[#This Row],[Ilość]]*tblSprzedaz[[#This Row],[Koszt jednostkowy netto]],2)</f>
        <v>725.76</v>
      </c>
      <c r="O2282" s="14">
        <f>tblSprzedaz[[#This Row],[Przychód netto]]-tblSprzedaz[[#This Row],[Koszt całkowity netto]]</f>
        <v>209.03999999999996</v>
      </c>
      <c r="P2282" s="15">
        <f>IFERROR(tblSprzedaz[[#This Row],[Marża kwotowa]]/tblSprzedaz[[#This Row],[Przychód netto]],0)</f>
        <v>0.22362002567394093</v>
      </c>
      <c r="Q2282" s="16">
        <f>YEAR(tblSprzedaz[[#This Row],[Data]])</f>
        <v>2026</v>
      </c>
      <c r="R2282" s="16">
        <f>MONTH(tblSprzedaz[[#This Row],[Data]])</f>
        <v>9</v>
      </c>
      <c r="S2282" s="9" t="str">
        <f>YEAR(tblSprzedaz[[#This Row],[Data]])&amp;"-"&amp;RIGHT("0"&amp;MONTH(tblSprzedaz[[#This Row],[Data]]),2)</f>
        <v>2026-09</v>
      </c>
    </row>
    <row r="2283" spans="1:19" x14ac:dyDescent="0.25">
      <c r="A2283" s="7" t="s">
        <v>4733</v>
      </c>
      <c r="B2283" s="10">
        <v>46273</v>
      </c>
      <c r="C2283" s="7" t="s">
        <v>4734</v>
      </c>
      <c r="D2283" s="8" t="s">
        <v>110</v>
      </c>
      <c r="E2283" s="8" t="s">
        <v>67</v>
      </c>
      <c r="F2283" s="8" t="s">
        <v>35</v>
      </c>
      <c r="G2283" s="8" t="s">
        <v>28</v>
      </c>
      <c r="H2283" s="8" t="s">
        <v>39</v>
      </c>
      <c r="I2283" s="11">
        <v>23</v>
      </c>
      <c r="J2283" s="12">
        <v>78.88</v>
      </c>
      <c r="K2283" s="13">
        <v>0.1</v>
      </c>
      <c r="L2283" s="12">
        <v>55.4</v>
      </c>
      <c r="M2283" s="14">
        <f>ROUND(tblSprzedaz[[#This Row],[Ilość]]*tblSprzedaz[[#This Row],[Cena netto jednostkowa]]*(1-tblSprzedaz[[#This Row],[Rabat %]]),2)</f>
        <v>1632.82</v>
      </c>
      <c r="N2283" s="14">
        <f>ROUND(tblSprzedaz[[#This Row],[Ilość]]*tblSprzedaz[[#This Row],[Koszt jednostkowy netto]],2)</f>
        <v>1274.2</v>
      </c>
      <c r="O2283" s="14">
        <f>tblSprzedaz[[#This Row],[Przychód netto]]-tblSprzedaz[[#This Row],[Koszt całkowity netto]]</f>
        <v>358.61999999999989</v>
      </c>
      <c r="P2283" s="15">
        <f>IFERROR(tblSprzedaz[[#This Row],[Marża kwotowa]]/tblSprzedaz[[#This Row],[Przychód netto]],0)</f>
        <v>0.21963229259808179</v>
      </c>
      <c r="Q2283" s="16">
        <f>YEAR(tblSprzedaz[[#This Row],[Data]])</f>
        <v>2026</v>
      </c>
      <c r="R2283" s="16">
        <f>MONTH(tblSprzedaz[[#This Row],[Data]])</f>
        <v>9</v>
      </c>
      <c r="S2283" s="9" t="str">
        <f>YEAR(tblSprzedaz[[#This Row],[Data]])&amp;"-"&amp;RIGHT("0"&amp;MONTH(tblSprzedaz[[#This Row],[Data]]),2)</f>
        <v>2026-09</v>
      </c>
    </row>
    <row r="2284" spans="1:19" x14ac:dyDescent="0.25">
      <c r="A2284" s="7" t="s">
        <v>4735</v>
      </c>
      <c r="B2284" s="10">
        <v>46274</v>
      </c>
      <c r="C2284" s="7" t="s">
        <v>4736</v>
      </c>
      <c r="D2284" s="8" t="s">
        <v>85</v>
      </c>
      <c r="E2284" s="8" t="s">
        <v>59</v>
      </c>
      <c r="F2284" s="8" t="s">
        <v>31</v>
      </c>
      <c r="G2284" s="8" t="s">
        <v>34</v>
      </c>
      <c r="H2284" s="8" t="s">
        <v>44</v>
      </c>
      <c r="I2284" s="11">
        <v>8</v>
      </c>
      <c r="J2284" s="12">
        <v>172.2</v>
      </c>
      <c r="K2284" s="13">
        <v>0</v>
      </c>
      <c r="L2284" s="12">
        <v>104</v>
      </c>
      <c r="M2284" s="14">
        <f>ROUND(tblSprzedaz[[#This Row],[Ilość]]*tblSprzedaz[[#This Row],[Cena netto jednostkowa]]*(1-tblSprzedaz[[#This Row],[Rabat %]]),2)</f>
        <v>1377.6</v>
      </c>
      <c r="N2284" s="14">
        <f>ROUND(tblSprzedaz[[#This Row],[Ilość]]*tblSprzedaz[[#This Row],[Koszt jednostkowy netto]],2)</f>
        <v>832</v>
      </c>
      <c r="O2284" s="14">
        <f>tblSprzedaz[[#This Row],[Przychód netto]]-tblSprzedaz[[#This Row],[Koszt całkowity netto]]</f>
        <v>545.59999999999991</v>
      </c>
      <c r="P2284" s="15">
        <f>IFERROR(tblSprzedaz[[#This Row],[Marża kwotowa]]/tblSprzedaz[[#This Row],[Przychód netto]],0)</f>
        <v>0.3960511033681765</v>
      </c>
      <c r="Q2284" s="16">
        <f>YEAR(tblSprzedaz[[#This Row],[Data]])</f>
        <v>2026</v>
      </c>
      <c r="R2284" s="16">
        <f>MONTH(tblSprzedaz[[#This Row],[Data]])</f>
        <v>9</v>
      </c>
      <c r="S2284" s="9" t="str">
        <f>YEAR(tblSprzedaz[[#This Row],[Data]])&amp;"-"&amp;RIGHT("0"&amp;MONTH(tblSprzedaz[[#This Row],[Data]]),2)</f>
        <v>2026-09</v>
      </c>
    </row>
    <row r="2285" spans="1:19" x14ac:dyDescent="0.25">
      <c r="A2285" s="7" t="s">
        <v>4737</v>
      </c>
      <c r="B2285" s="10">
        <v>46274</v>
      </c>
      <c r="C2285" s="7" t="s">
        <v>4738</v>
      </c>
      <c r="D2285" s="8" t="s">
        <v>96</v>
      </c>
      <c r="E2285" s="8" t="s">
        <v>57</v>
      </c>
      <c r="F2285" s="8" t="s">
        <v>31</v>
      </c>
      <c r="G2285" s="8" t="s">
        <v>30</v>
      </c>
      <c r="H2285" s="8" t="s">
        <v>41</v>
      </c>
      <c r="I2285" s="11">
        <v>31</v>
      </c>
      <c r="J2285" s="12">
        <v>315</v>
      </c>
      <c r="K2285" s="13">
        <v>0.05</v>
      </c>
      <c r="L2285" s="12">
        <v>197.5</v>
      </c>
      <c r="M2285" s="14">
        <f>ROUND(tblSprzedaz[[#This Row],[Ilość]]*tblSprzedaz[[#This Row],[Cena netto jednostkowa]]*(1-tblSprzedaz[[#This Row],[Rabat %]]),2)</f>
        <v>9276.75</v>
      </c>
      <c r="N2285" s="14">
        <f>ROUND(tblSprzedaz[[#This Row],[Ilość]]*tblSprzedaz[[#This Row],[Koszt jednostkowy netto]],2)</f>
        <v>6122.5</v>
      </c>
      <c r="O2285" s="14">
        <f>tblSprzedaz[[#This Row],[Przychód netto]]-tblSprzedaz[[#This Row],[Koszt całkowity netto]]</f>
        <v>3154.25</v>
      </c>
      <c r="P2285" s="15">
        <f>IFERROR(tblSprzedaz[[#This Row],[Marża kwotowa]]/tblSprzedaz[[#This Row],[Przychód netto]],0)</f>
        <v>0.34001670843776105</v>
      </c>
      <c r="Q2285" s="16">
        <f>YEAR(tblSprzedaz[[#This Row],[Data]])</f>
        <v>2026</v>
      </c>
      <c r="R2285" s="16">
        <f>MONTH(tblSprzedaz[[#This Row],[Data]])</f>
        <v>9</v>
      </c>
      <c r="S2285" s="9" t="str">
        <f>YEAR(tblSprzedaz[[#This Row],[Data]])&amp;"-"&amp;RIGHT("0"&amp;MONTH(tblSprzedaz[[#This Row],[Data]]),2)</f>
        <v>2026-09</v>
      </c>
    </row>
    <row r="2286" spans="1:19" x14ac:dyDescent="0.25">
      <c r="A2286" s="7" t="s">
        <v>4739</v>
      </c>
      <c r="B2286" s="10">
        <v>46274</v>
      </c>
      <c r="C2286" s="7" t="s">
        <v>4740</v>
      </c>
      <c r="D2286" s="8" t="s">
        <v>111</v>
      </c>
      <c r="E2286" s="8" t="s">
        <v>74</v>
      </c>
      <c r="F2286" s="8" t="s">
        <v>37</v>
      </c>
      <c r="G2286" s="8" t="s">
        <v>30</v>
      </c>
      <c r="H2286" s="8" t="s">
        <v>40</v>
      </c>
      <c r="I2286" s="11">
        <v>15</v>
      </c>
      <c r="J2286" s="12">
        <v>126.35</v>
      </c>
      <c r="K2286" s="13">
        <v>0</v>
      </c>
      <c r="L2286" s="12">
        <v>101.7</v>
      </c>
      <c r="M2286" s="14">
        <f>ROUND(tblSprzedaz[[#This Row],[Ilość]]*tblSprzedaz[[#This Row],[Cena netto jednostkowa]]*(1-tblSprzedaz[[#This Row],[Rabat %]]),2)</f>
        <v>1895.25</v>
      </c>
      <c r="N2286" s="14">
        <f>ROUND(tblSprzedaz[[#This Row],[Ilość]]*tblSprzedaz[[#This Row],[Koszt jednostkowy netto]],2)</f>
        <v>1525.5</v>
      </c>
      <c r="O2286" s="14">
        <f>tblSprzedaz[[#This Row],[Przychód netto]]-tblSprzedaz[[#This Row],[Koszt całkowity netto]]</f>
        <v>369.75</v>
      </c>
      <c r="P2286" s="15">
        <f>IFERROR(tblSprzedaz[[#This Row],[Marża kwotowa]]/tblSprzedaz[[#This Row],[Przychód netto]],0)</f>
        <v>0.19509299564701227</v>
      </c>
      <c r="Q2286" s="16">
        <f>YEAR(tblSprzedaz[[#This Row],[Data]])</f>
        <v>2026</v>
      </c>
      <c r="R2286" s="16">
        <f>MONTH(tblSprzedaz[[#This Row],[Data]])</f>
        <v>9</v>
      </c>
      <c r="S2286" s="9" t="str">
        <f>YEAR(tblSprzedaz[[#This Row],[Data]])&amp;"-"&amp;RIGHT("0"&amp;MONTH(tblSprzedaz[[#This Row],[Data]]),2)</f>
        <v>2026-09</v>
      </c>
    </row>
    <row r="2287" spans="1:19" x14ac:dyDescent="0.25">
      <c r="A2287" s="7" t="s">
        <v>4741</v>
      </c>
      <c r="B2287" s="10">
        <v>46274</v>
      </c>
      <c r="C2287" s="7" t="s">
        <v>4742</v>
      </c>
      <c r="D2287" s="8" t="s">
        <v>130</v>
      </c>
      <c r="E2287" s="8" t="s">
        <v>53</v>
      </c>
      <c r="F2287" s="8" t="s">
        <v>29</v>
      </c>
      <c r="G2287" s="8" t="s">
        <v>32</v>
      </c>
      <c r="H2287" s="8" t="s">
        <v>43</v>
      </c>
      <c r="I2287" s="11">
        <v>5</v>
      </c>
      <c r="J2287" s="12">
        <v>27.88</v>
      </c>
      <c r="K2287" s="13">
        <v>0</v>
      </c>
      <c r="L2287" s="12">
        <v>16.72</v>
      </c>
      <c r="M2287" s="14">
        <f>ROUND(tblSprzedaz[[#This Row],[Ilość]]*tblSprzedaz[[#This Row],[Cena netto jednostkowa]]*(1-tblSprzedaz[[#This Row],[Rabat %]]),2)</f>
        <v>139.4</v>
      </c>
      <c r="N2287" s="14">
        <f>ROUND(tblSprzedaz[[#This Row],[Ilość]]*tblSprzedaz[[#This Row],[Koszt jednostkowy netto]],2)</f>
        <v>83.6</v>
      </c>
      <c r="O2287" s="14">
        <f>tblSprzedaz[[#This Row],[Przychód netto]]-tblSprzedaz[[#This Row],[Koszt całkowity netto]]</f>
        <v>55.800000000000011</v>
      </c>
      <c r="P2287" s="15">
        <f>IFERROR(tblSprzedaz[[#This Row],[Marża kwotowa]]/tblSprzedaz[[#This Row],[Przychód netto]],0)</f>
        <v>0.40028694404591109</v>
      </c>
      <c r="Q2287" s="16">
        <f>YEAR(tblSprzedaz[[#This Row],[Data]])</f>
        <v>2026</v>
      </c>
      <c r="R2287" s="16">
        <f>MONTH(tblSprzedaz[[#This Row],[Data]])</f>
        <v>9</v>
      </c>
      <c r="S2287" s="9" t="str">
        <f>YEAR(tblSprzedaz[[#This Row],[Data]])&amp;"-"&amp;RIGHT("0"&amp;MONTH(tblSprzedaz[[#This Row],[Data]]),2)</f>
        <v>2026-09</v>
      </c>
    </row>
    <row r="2288" spans="1:19" x14ac:dyDescent="0.25">
      <c r="A2288" s="7" t="s">
        <v>4743</v>
      </c>
      <c r="B2288" s="10">
        <v>46274</v>
      </c>
      <c r="C2288" s="7" t="s">
        <v>4744</v>
      </c>
      <c r="D2288" s="8" t="s">
        <v>139</v>
      </c>
      <c r="E2288" s="8" t="s">
        <v>67</v>
      </c>
      <c r="F2288" s="8" t="s">
        <v>35</v>
      </c>
      <c r="G2288" s="8" t="s">
        <v>36</v>
      </c>
      <c r="H2288" s="8" t="s">
        <v>46</v>
      </c>
      <c r="I2288" s="11">
        <v>2</v>
      </c>
      <c r="J2288" s="12">
        <v>78.88</v>
      </c>
      <c r="K2288" s="13">
        <v>0.05</v>
      </c>
      <c r="L2288" s="12">
        <v>55.33</v>
      </c>
      <c r="M2288" s="14">
        <f>ROUND(tblSprzedaz[[#This Row],[Ilość]]*tblSprzedaz[[#This Row],[Cena netto jednostkowa]]*(1-tblSprzedaz[[#This Row],[Rabat %]]),2)</f>
        <v>149.87</v>
      </c>
      <c r="N2288" s="14">
        <f>ROUND(tblSprzedaz[[#This Row],[Ilość]]*tblSprzedaz[[#This Row],[Koszt jednostkowy netto]],2)</f>
        <v>110.66</v>
      </c>
      <c r="O2288" s="14">
        <f>tblSprzedaz[[#This Row],[Przychód netto]]-tblSprzedaz[[#This Row],[Koszt całkowity netto]]</f>
        <v>39.210000000000008</v>
      </c>
      <c r="P2288" s="15">
        <f>IFERROR(tblSprzedaz[[#This Row],[Marża kwotowa]]/tblSprzedaz[[#This Row],[Przychód netto]],0)</f>
        <v>0.26162674317742046</v>
      </c>
      <c r="Q2288" s="16">
        <f>YEAR(tblSprzedaz[[#This Row],[Data]])</f>
        <v>2026</v>
      </c>
      <c r="R2288" s="16">
        <f>MONTH(tblSprzedaz[[#This Row],[Data]])</f>
        <v>9</v>
      </c>
      <c r="S2288" s="9" t="str">
        <f>YEAR(tblSprzedaz[[#This Row],[Data]])&amp;"-"&amp;RIGHT("0"&amp;MONTH(tblSprzedaz[[#This Row],[Data]]),2)</f>
        <v>2026-09</v>
      </c>
    </row>
    <row r="2289" spans="1:19" x14ac:dyDescent="0.25">
      <c r="A2289" s="7" t="s">
        <v>4745</v>
      </c>
      <c r="B2289" s="10">
        <v>46274</v>
      </c>
      <c r="C2289" s="7" t="s">
        <v>4746</v>
      </c>
      <c r="D2289" s="8" t="s">
        <v>143</v>
      </c>
      <c r="E2289" s="8" t="s">
        <v>48</v>
      </c>
      <c r="F2289" s="8" t="s">
        <v>29</v>
      </c>
      <c r="G2289" s="8" t="s">
        <v>34</v>
      </c>
      <c r="H2289" s="8" t="s">
        <v>44</v>
      </c>
      <c r="I2289" s="11">
        <v>5</v>
      </c>
      <c r="J2289" s="12">
        <v>33.659999999999997</v>
      </c>
      <c r="K2289" s="13">
        <v>0.1</v>
      </c>
      <c r="L2289" s="12">
        <v>20.23</v>
      </c>
      <c r="M2289" s="14">
        <f>ROUND(tblSprzedaz[[#This Row],[Ilość]]*tblSprzedaz[[#This Row],[Cena netto jednostkowa]]*(1-tblSprzedaz[[#This Row],[Rabat %]]),2)</f>
        <v>151.47</v>
      </c>
      <c r="N2289" s="14">
        <f>ROUND(tblSprzedaz[[#This Row],[Ilość]]*tblSprzedaz[[#This Row],[Koszt jednostkowy netto]],2)</f>
        <v>101.15</v>
      </c>
      <c r="O2289" s="14">
        <f>tblSprzedaz[[#This Row],[Przychód netto]]-tblSprzedaz[[#This Row],[Koszt całkowity netto]]</f>
        <v>50.319999999999993</v>
      </c>
      <c r="P2289" s="15">
        <f>IFERROR(tblSprzedaz[[#This Row],[Marża kwotowa]]/tblSprzedaz[[#This Row],[Przychód netto]],0)</f>
        <v>0.33221099887766548</v>
      </c>
      <c r="Q2289" s="16">
        <f>YEAR(tblSprzedaz[[#This Row],[Data]])</f>
        <v>2026</v>
      </c>
      <c r="R2289" s="16">
        <f>MONTH(tblSprzedaz[[#This Row],[Data]])</f>
        <v>9</v>
      </c>
      <c r="S2289" s="9" t="str">
        <f>YEAR(tblSprzedaz[[#This Row],[Data]])&amp;"-"&amp;RIGHT("0"&amp;MONTH(tblSprzedaz[[#This Row],[Data]]),2)</f>
        <v>2026-09</v>
      </c>
    </row>
    <row r="2290" spans="1:19" x14ac:dyDescent="0.25">
      <c r="A2290" s="7" t="s">
        <v>4747</v>
      </c>
      <c r="B2290" s="10">
        <v>46274</v>
      </c>
      <c r="C2290" s="7" t="s">
        <v>4748</v>
      </c>
      <c r="D2290" s="8" t="s">
        <v>148</v>
      </c>
      <c r="E2290" s="8" t="s">
        <v>70</v>
      </c>
      <c r="F2290" s="8" t="s">
        <v>35</v>
      </c>
      <c r="G2290" s="8" t="s">
        <v>36</v>
      </c>
      <c r="H2290" s="8" t="s">
        <v>46</v>
      </c>
      <c r="I2290" s="11">
        <v>16</v>
      </c>
      <c r="J2290" s="12">
        <v>113.56</v>
      </c>
      <c r="K2290" s="13">
        <v>0.15</v>
      </c>
      <c r="L2290" s="12">
        <v>86.32</v>
      </c>
      <c r="M2290" s="14">
        <f>ROUND(tblSprzedaz[[#This Row],[Ilość]]*tblSprzedaz[[#This Row],[Cena netto jednostkowa]]*(1-tblSprzedaz[[#This Row],[Rabat %]]),2)</f>
        <v>1544.42</v>
      </c>
      <c r="N2290" s="14">
        <f>ROUND(tblSprzedaz[[#This Row],[Ilość]]*tblSprzedaz[[#This Row],[Koszt jednostkowy netto]],2)</f>
        <v>1381.12</v>
      </c>
      <c r="O2290" s="14">
        <f>tblSprzedaz[[#This Row],[Przychód netto]]-tblSprzedaz[[#This Row],[Koszt całkowity netto]]</f>
        <v>163.30000000000018</v>
      </c>
      <c r="P2290" s="15">
        <f>IFERROR(tblSprzedaz[[#This Row],[Marża kwotowa]]/tblSprzedaz[[#This Row],[Przychód netto]],0)</f>
        <v>0.1057354864609369</v>
      </c>
      <c r="Q2290" s="16">
        <f>YEAR(tblSprzedaz[[#This Row],[Data]])</f>
        <v>2026</v>
      </c>
      <c r="R2290" s="16">
        <f>MONTH(tblSprzedaz[[#This Row],[Data]])</f>
        <v>9</v>
      </c>
      <c r="S2290" s="9" t="str">
        <f>YEAR(tblSprzedaz[[#This Row],[Data]])&amp;"-"&amp;RIGHT("0"&amp;MONTH(tblSprzedaz[[#This Row],[Data]]),2)</f>
        <v>2026-09</v>
      </c>
    </row>
    <row r="2291" spans="1:19" x14ac:dyDescent="0.25">
      <c r="A2291" s="7" t="s">
        <v>4749</v>
      </c>
      <c r="B2291" s="10">
        <v>46275</v>
      </c>
      <c r="C2291" s="7" t="s">
        <v>4750</v>
      </c>
      <c r="D2291" s="8" t="s">
        <v>82</v>
      </c>
      <c r="E2291" s="8" t="s">
        <v>56</v>
      </c>
      <c r="F2291" s="8" t="s">
        <v>31</v>
      </c>
      <c r="G2291" s="8" t="s">
        <v>28</v>
      </c>
      <c r="H2291" s="8" t="s">
        <v>39</v>
      </c>
      <c r="I2291" s="11">
        <v>17</v>
      </c>
      <c r="J2291" s="12">
        <v>279.3</v>
      </c>
      <c r="K2291" s="13">
        <v>0</v>
      </c>
      <c r="L2291" s="12">
        <v>181.95</v>
      </c>
      <c r="M2291" s="14">
        <f>ROUND(tblSprzedaz[[#This Row],[Ilość]]*tblSprzedaz[[#This Row],[Cena netto jednostkowa]]*(1-tblSprzedaz[[#This Row],[Rabat %]]),2)</f>
        <v>4748.1000000000004</v>
      </c>
      <c r="N2291" s="14">
        <f>ROUND(tblSprzedaz[[#This Row],[Ilość]]*tblSprzedaz[[#This Row],[Koszt jednostkowy netto]],2)</f>
        <v>3093.15</v>
      </c>
      <c r="O2291" s="14">
        <f>tblSprzedaz[[#This Row],[Przychód netto]]-tblSprzedaz[[#This Row],[Koszt całkowity netto]]</f>
        <v>1654.9500000000003</v>
      </c>
      <c r="P2291" s="15">
        <f>IFERROR(tblSprzedaz[[#This Row],[Marża kwotowa]]/tblSprzedaz[[#This Row],[Przychód netto]],0)</f>
        <v>0.34854994629430724</v>
      </c>
      <c r="Q2291" s="16">
        <f>YEAR(tblSprzedaz[[#This Row],[Data]])</f>
        <v>2026</v>
      </c>
      <c r="R2291" s="16">
        <f>MONTH(tblSprzedaz[[#This Row],[Data]])</f>
        <v>9</v>
      </c>
      <c r="S2291" s="9" t="str">
        <f>YEAR(tblSprzedaz[[#This Row],[Data]])&amp;"-"&amp;RIGHT("0"&amp;MONTH(tblSprzedaz[[#This Row],[Data]]),2)</f>
        <v>2026-09</v>
      </c>
    </row>
    <row r="2292" spans="1:19" x14ac:dyDescent="0.25">
      <c r="A2292" s="7" t="s">
        <v>4751</v>
      </c>
      <c r="B2292" s="10">
        <v>46275</v>
      </c>
      <c r="C2292" s="7" t="s">
        <v>4752</v>
      </c>
      <c r="D2292" s="8" t="s">
        <v>91</v>
      </c>
      <c r="E2292" s="8" t="s">
        <v>73</v>
      </c>
      <c r="F2292" s="8" t="s">
        <v>37</v>
      </c>
      <c r="G2292" s="8" t="s">
        <v>34</v>
      </c>
      <c r="H2292" s="8" t="s">
        <v>44</v>
      </c>
      <c r="I2292" s="11">
        <v>7</v>
      </c>
      <c r="J2292" s="12">
        <v>110.2</v>
      </c>
      <c r="K2292" s="13">
        <v>0.15</v>
      </c>
      <c r="L2292" s="12">
        <v>82.65</v>
      </c>
      <c r="M2292" s="14">
        <f>ROUND(tblSprzedaz[[#This Row],[Ilość]]*tblSprzedaz[[#This Row],[Cena netto jednostkowa]]*(1-tblSprzedaz[[#This Row],[Rabat %]]),2)</f>
        <v>655.69</v>
      </c>
      <c r="N2292" s="14">
        <f>ROUND(tblSprzedaz[[#This Row],[Ilość]]*tblSprzedaz[[#This Row],[Koszt jednostkowy netto]],2)</f>
        <v>578.54999999999995</v>
      </c>
      <c r="O2292" s="14">
        <f>tblSprzedaz[[#This Row],[Przychód netto]]-tblSprzedaz[[#This Row],[Koszt całkowity netto]]</f>
        <v>77.1400000000001</v>
      </c>
      <c r="P2292" s="15">
        <f>IFERROR(tblSprzedaz[[#This Row],[Marża kwotowa]]/tblSprzedaz[[#This Row],[Przychód netto]],0)</f>
        <v>0.11764705882352955</v>
      </c>
      <c r="Q2292" s="16">
        <f>YEAR(tblSprzedaz[[#This Row],[Data]])</f>
        <v>2026</v>
      </c>
      <c r="R2292" s="16">
        <f>MONTH(tblSprzedaz[[#This Row],[Data]])</f>
        <v>9</v>
      </c>
      <c r="S2292" s="9" t="str">
        <f>YEAR(tblSprzedaz[[#This Row],[Data]])&amp;"-"&amp;RIGHT("0"&amp;MONTH(tblSprzedaz[[#This Row],[Data]]),2)</f>
        <v>2026-09</v>
      </c>
    </row>
    <row r="2293" spans="1:19" x14ac:dyDescent="0.25">
      <c r="A2293" s="7" t="s">
        <v>4753</v>
      </c>
      <c r="B2293" s="10">
        <v>46275</v>
      </c>
      <c r="C2293" s="7" t="s">
        <v>4754</v>
      </c>
      <c r="D2293" s="8" t="s">
        <v>118</v>
      </c>
      <c r="E2293" s="8" t="s">
        <v>50</v>
      </c>
      <c r="F2293" s="8" t="s">
        <v>29</v>
      </c>
      <c r="G2293" s="8" t="s">
        <v>32</v>
      </c>
      <c r="H2293" s="8" t="s">
        <v>42</v>
      </c>
      <c r="I2293" s="11">
        <v>37</v>
      </c>
      <c r="J2293" s="12">
        <v>45.22</v>
      </c>
      <c r="K2293" s="13">
        <v>0.15</v>
      </c>
      <c r="L2293" s="12">
        <v>25.71</v>
      </c>
      <c r="M2293" s="14">
        <f>ROUND(tblSprzedaz[[#This Row],[Ilość]]*tblSprzedaz[[#This Row],[Cena netto jednostkowa]]*(1-tblSprzedaz[[#This Row],[Rabat %]]),2)</f>
        <v>1422.17</v>
      </c>
      <c r="N2293" s="14">
        <f>ROUND(tblSprzedaz[[#This Row],[Ilość]]*tblSprzedaz[[#This Row],[Koszt jednostkowy netto]],2)</f>
        <v>951.27</v>
      </c>
      <c r="O2293" s="14">
        <f>tblSprzedaz[[#This Row],[Przychód netto]]-tblSprzedaz[[#This Row],[Koszt całkowity netto]]</f>
        <v>470.90000000000009</v>
      </c>
      <c r="P2293" s="15">
        <f>IFERROR(tblSprzedaz[[#This Row],[Marża kwotowa]]/tblSprzedaz[[#This Row],[Przychód netto]],0)</f>
        <v>0.33111372058192767</v>
      </c>
      <c r="Q2293" s="16">
        <f>YEAR(tblSprzedaz[[#This Row],[Data]])</f>
        <v>2026</v>
      </c>
      <c r="R2293" s="16">
        <f>MONTH(tblSprzedaz[[#This Row],[Data]])</f>
        <v>9</v>
      </c>
      <c r="S2293" s="9" t="str">
        <f>YEAR(tblSprzedaz[[#This Row],[Data]])&amp;"-"&amp;RIGHT("0"&amp;MONTH(tblSprzedaz[[#This Row],[Data]]),2)</f>
        <v>2026-09</v>
      </c>
    </row>
    <row r="2294" spans="1:19" x14ac:dyDescent="0.25">
      <c r="A2294" s="7" t="s">
        <v>4755</v>
      </c>
      <c r="B2294" s="10">
        <v>46275</v>
      </c>
      <c r="C2294" s="7" t="s">
        <v>4756</v>
      </c>
      <c r="D2294" s="8" t="s">
        <v>121</v>
      </c>
      <c r="E2294" s="8" t="s">
        <v>63</v>
      </c>
      <c r="F2294" s="8" t="s">
        <v>33</v>
      </c>
      <c r="G2294" s="8" t="s">
        <v>36</v>
      </c>
      <c r="H2294" s="8" t="s">
        <v>46</v>
      </c>
      <c r="I2294" s="11">
        <v>21</v>
      </c>
      <c r="J2294" s="12">
        <v>690</v>
      </c>
      <c r="K2294" s="13">
        <v>0</v>
      </c>
      <c r="L2294" s="12">
        <v>472.56</v>
      </c>
      <c r="M2294" s="14">
        <f>ROUND(tblSprzedaz[[#This Row],[Ilość]]*tblSprzedaz[[#This Row],[Cena netto jednostkowa]]*(1-tblSprzedaz[[#This Row],[Rabat %]]),2)</f>
        <v>14490</v>
      </c>
      <c r="N2294" s="14">
        <f>ROUND(tblSprzedaz[[#This Row],[Ilość]]*tblSprzedaz[[#This Row],[Koszt jednostkowy netto]],2)</f>
        <v>9923.76</v>
      </c>
      <c r="O2294" s="14">
        <f>tblSprzedaz[[#This Row],[Przychód netto]]-tblSprzedaz[[#This Row],[Koszt całkowity netto]]</f>
        <v>4566.24</v>
      </c>
      <c r="P2294" s="15">
        <f>IFERROR(tblSprzedaz[[#This Row],[Marża kwotowa]]/tblSprzedaz[[#This Row],[Przychód netto]],0)</f>
        <v>0.31513043478260866</v>
      </c>
      <c r="Q2294" s="16">
        <f>YEAR(tblSprzedaz[[#This Row],[Data]])</f>
        <v>2026</v>
      </c>
      <c r="R2294" s="16">
        <f>MONTH(tblSprzedaz[[#This Row],[Data]])</f>
        <v>9</v>
      </c>
      <c r="S2294" s="9" t="str">
        <f>YEAR(tblSprzedaz[[#This Row],[Data]])&amp;"-"&amp;RIGHT("0"&amp;MONTH(tblSprzedaz[[#This Row],[Data]]),2)</f>
        <v>2026-09</v>
      </c>
    </row>
    <row r="2295" spans="1:19" x14ac:dyDescent="0.25">
      <c r="A2295" s="7" t="s">
        <v>4757</v>
      </c>
      <c r="B2295" s="10">
        <v>46275</v>
      </c>
      <c r="C2295" s="7" t="s">
        <v>4758</v>
      </c>
      <c r="D2295" s="8" t="s">
        <v>119</v>
      </c>
      <c r="E2295" s="8" t="s">
        <v>52</v>
      </c>
      <c r="F2295" s="8" t="s">
        <v>29</v>
      </c>
      <c r="G2295" s="8" t="s">
        <v>32</v>
      </c>
      <c r="H2295" s="8" t="s">
        <v>42</v>
      </c>
      <c r="I2295" s="11">
        <v>25</v>
      </c>
      <c r="J2295" s="12">
        <v>56.78</v>
      </c>
      <c r="K2295" s="13">
        <v>0</v>
      </c>
      <c r="L2295" s="12">
        <v>35.35</v>
      </c>
      <c r="M2295" s="14">
        <f>ROUND(tblSprzedaz[[#This Row],[Ilość]]*tblSprzedaz[[#This Row],[Cena netto jednostkowa]]*(1-tblSprzedaz[[#This Row],[Rabat %]]),2)</f>
        <v>1419.5</v>
      </c>
      <c r="N2295" s="14">
        <f>ROUND(tblSprzedaz[[#This Row],[Ilość]]*tblSprzedaz[[#This Row],[Koszt jednostkowy netto]],2)</f>
        <v>883.75</v>
      </c>
      <c r="O2295" s="14">
        <f>tblSprzedaz[[#This Row],[Przychód netto]]-tblSprzedaz[[#This Row],[Koszt całkowity netto]]</f>
        <v>535.75</v>
      </c>
      <c r="P2295" s="15">
        <f>IFERROR(tblSprzedaz[[#This Row],[Marża kwotowa]]/tblSprzedaz[[#This Row],[Przychód netto]],0)</f>
        <v>0.37742162733356815</v>
      </c>
      <c r="Q2295" s="16">
        <f>YEAR(tblSprzedaz[[#This Row],[Data]])</f>
        <v>2026</v>
      </c>
      <c r="R2295" s="16">
        <f>MONTH(tblSprzedaz[[#This Row],[Data]])</f>
        <v>9</v>
      </c>
      <c r="S2295" s="9" t="str">
        <f>YEAR(tblSprzedaz[[#This Row],[Data]])&amp;"-"&amp;RIGHT("0"&amp;MONTH(tblSprzedaz[[#This Row],[Data]]),2)</f>
        <v>2026-09</v>
      </c>
    </row>
    <row r="2296" spans="1:19" x14ac:dyDescent="0.25">
      <c r="A2296" s="7" t="s">
        <v>4759</v>
      </c>
      <c r="B2296" s="10">
        <v>46275</v>
      </c>
      <c r="C2296" s="7" t="s">
        <v>4760</v>
      </c>
      <c r="D2296" s="8" t="s">
        <v>137</v>
      </c>
      <c r="E2296" s="8" t="s">
        <v>71</v>
      </c>
      <c r="F2296" s="8" t="s">
        <v>35</v>
      </c>
      <c r="G2296" s="8" t="s">
        <v>36</v>
      </c>
      <c r="H2296" s="8" t="s">
        <v>47</v>
      </c>
      <c r="I2296" s="11">
        <v>3</v>
      </c>
      <c r="J2296" s="12">
        <v>55.76</v>
      </c>
      <c r="K2296" s="13">
        <v>0</v>
      </c>
      <c r="L2296" s="12">
        <v>40.06</v>
      </c>
      <c r="M2296" s="14">
        <f>ROUND(tblSprzedaz[[#This Row],[Ilość]]*tblSprzedaz[[#This Row],[Cena netto jednostkowa]]*(1-tblSprzedaz[[#This Row],[Rabat %]]),2)</f>
        <v>167.28</v>
      </c>
      <c r="N2296" s="14">
        <f>ROUND(tblSprzedaz[[#This Row],[Ilość]]*tblSprzedaz[[#This Row],[Koszt jednostkowy netto]],2)</f>
        <v>120.18</v>
      </c>
      <c r="O2296" s="14">
        <f>tblSprzedaz[[#This Row],[Przychód netto]]-tblSprzedaz[[#This Row],[Koszt całkowity netto]]</f>
        <v>47.099999999999994</v>
      </c>
      <c r="P2296" s="15">
        <f>IFERROR(tblSprzedaz[[#This Row],[Marża kwotowa]]/tblSprzedaz[[#This Row],[Przychód netto]],0)</f>
        <v>0.28156384505021514</v>
      </c>
      <c r="Q2296" s="16">
        <f>YEAR(tblSprzedaz[[#This Row],[Data]])</f>
        <v>2026</v>
      </c>
      <c r="R2296" s="16">
        <f>MONTH(tblSprzedaz[[#This Row],[Data]])</f>
        <v>9</v>
      </c>
      <c r="S2296" s="9" t="str">
        <f>YEAR(tblSprzedaz[[#This Row],[Data]])&amp;"-"&amp;RIGHT("0"&amp;MONTH(tblSprzedaz[[#This Row],[Data]]),2)</f>
        <v>2026-09</v>
      </c>
    </row>
    <row r="2297" spans="1:19" x14ac:dyDescent="0.25">
      <c r="A2297" s="7" t="s">
        <v>4761</v>
      </c>
      <c r="B2297" s="10">
        <v>46275</v>
      </c>
      <c r="C2297" s="7" t="s">
        <v>4762</v>
      </c>
      <c r="D2297" s="8" t="s">
        <v>90</v>
      </c>
      <c r="E2297" s="8" t="s">
        <v>57</v>
      </c>
      <c r="F2297" s="8" t="s">
        <v>31</v>
      </c>
      <c r="G2297" s="8" t="s">
        <v>28</v>
      </c>
      <c r="H2297" s="8" t="s">
        <v>38</v>
      </c>
      <c r="I2297" s="11">
        <v>25</v>
      </c>
      <c r="J2297" s="12">
        <v>315</v>
      </c>
      <c r="K2297" s="13">
        <v>0.15</v>
      </c>
      <c r="L2297" s="12">
        <v>203.52</v>
      </c>
      <c r="M2297" s="14">
        <f>ROUND(tblSprzedaz[[#This Row],[Ilość]]*tblSprzedaz[[#This Row],[Cena netto jednostkowa]]*(1-tblSprzedaz[[#This Row],[Rabat %]]),2)</f>
        <v>6693.75</v>
      </c>
      <c r="N2297" s="14">
        <f>ROUND(tblSprzedaz[[#This Row],[Ilość]]*tblSprzedaz[[#This Row],[Koszt jednostkowy netto]],2)</f>
        <v>5088</v>
      </c>
      <c r="O2297" s="14">
        <f>tblSprzedaz[[#This Row],[Przychód netto]]-tblSprzedaz[[#This Row],[Koszt całkowity netto]]</f>
        <v>1605.75</v>
      </c>
      <c r="P2297" s="15">
        <f>IFERROR(tblSprzedaz[[#This Row],[Marża kwotowa]]/tblSprzedaz[[#This Row],[Przychód netto]],0)</f>
        <v>0.23988795518207284</v>
      </c>
      <c r="Q2297" s="16">
        <f>YEAR(tblSprzedaz[[#This Row],[Data]])</f>
        <v>2026</v>
      </c>
      <c r="R2297" s="16">
        <f>MONTH(tblSprzedaz[[#This Row],[Data]])</f>
        <v>9</v>
      </c>
      <c r="S2297" s="9" t="str">
        <f>YEAR(tblSprzedaz[[#This Row],[Data]])&amp;"-"&amp;RIGHT("0"&amp;MONTH(tblSprzedaz[[#This Row],[Data]]),2)</f>
        <v>2026-09</v>
      </c>
    </row>
    <row r="2298" spans="1:19" x14ac:dyDescent="0.25">
      <c r="A2298" s="7" t="s">
        <v>4763</v>
      </c>
      <c r="B2298" s="10">
        <v>46276</v>
      </c>
      <c r="C2298" s="7" t="s">
        <v>4764</v>
      </c>
      <c r="D2298" s="8" t="s">
        <v>135</v>
      </c>
      <c r="E2298" s="8" t="s">
        <v>53</v>
      </c>
      <c r="F2298" s="8" t="s">
        <v>29</v>
      </c>
      <c r="G2298" s="8" t="s">
        <v>36</v>
      </c>
      <c r="H2298" s="8" t="s">
        <v>47</v>
      </c>
      <c r="I2298" s="11">
        <v>27</v>
      </c>
      <c r="J2298" s="12">
        <v>27.88</v>
      </c>
      <c r="K2298" s="13">
        <v>0.15</v>
      </c>
      <c r="L2298" s="12">
        <v>15.88</v>
      </c>
      <c r="M2298" s="14">
        <f>ROUND(tblSprzedaz[[#This Row],[Ilość]]*tblSprzedaz[[#This Row],[Cena netto jednostkowa]]*(1-tblSprzedaz[[#This Row],[Rabat %]]),2)</f>
        <v>639.85</v>
      </c>
      <c r="N2298" s="14">
        <f>ROUND(tblSprzedaz[[#This Row],[Ilość]]*tblSprzedaz[[#This Row],[Koszt jednostkowy netto]],2)</f>
        <v>428.76</v>
      </c>
      <c r="O2298" s="14">
        <f>tblSprzedaz[[#This Row],[Przychód netto]]-tblSprzedaz[[#This Row],[Koszt całkowity netto]]</f>
        <v>211.09000000000003</v>
      </c>
      <c r="P2298" s="15">
        <f>IFERROR(tblSprzedaz[[#This Row],[Marża kwotowa]]/tblSprzedaz[[#This Row],[Przychód netto]],0)</f>
        <v>0.32990544658904436</v>
      </c>
      <c r="Q2298" s="16">
        <f>YEAR(tblSprzedaz[[#This Row],[Data]])</f>
        <v>2026</v>
      </c>
      <c r="R2298" s="16">
        <f>MONTH(tblSprzedaz[[#This Row],[Data]])</f>
        <v>9</v>
      </c>
      <c r="S2298" s="9" t="str">
        <f>YEAR(tblSprzedaz[[#This Row],[Data]])&amp;"-"&amp;RIGHT("0"&amp;MONTH(tblSprzedaz[[#This Row],[Data]]),2)</f>
        <v>2026-09</v>
      </c>
    </row>
    <row r="2299" spans="1:19" x14ac:dyDescent="0.25">
      <c r="A2299" s="7" t="s">
        <v>4765</v>
      </c>
      <c r="B2299" s="10">
        <v>46276</v>
      </c>
      <c r="C2299" s="7" t="s">
        <v>4766</v>
      </c>
      <c r="D2299" s="8" t="s">
        <v>108</v>
      </c>
      <c r="E2299" s="8" t="s">
        <v>72</v>
      </c>
      <c r="F2299" s="8" t="s">
        <v>37</v>
      </c>
      <c r="G2299" s="8" t="s">
        <v>30</v>
      </c>
      <c r="H2299" s="8" t="s">
        <v>40</v>
      </c>
      <c r="I2299" s="11">
        <v>9</v>
      </c>
      <c r="J2299" s="12">
        <v>94.05</v>
      </c>
      <c r="K2299" s="13">
        <v>0.1</v>
      </c>
      <c r="L2299" s="12">
        <v>72.06</v>
      </c>
      <c r="M2299" s="14">
        <f>ROUND(tblSprzedaz[[#This Row],[Ilość]]*tblSprzedaz[[#This Row],[Cena netto jednostkowa]]*(1-tblSprzedaz[[#This Row],[Rabat %]]),2)</f>
        <v>761.81</v>
      </c>
      <c r="N2299" s="14">
        <f>ROUND(tblSprzedaz[[#This Row],[Ilość]]*tblSprzedaz[[#This Row],[Koszt jednostkowy netto]],2)</f>
        <v>648.54</v>
      </c>
      <c r="O2299" s="14">
        <f>tblSprzedaz[[#This Row],[Przychód netto]]-tblSprzedaz[[#This Row],[Koszt całkowity netto]]</f>
        <v>113.26999999999998</v>
      </c>
      <c r="P2299" s="15">
        <f>IFERROR(tblSprzedaz[[#This Row],[Marża kwotowa]]/tblSprzedaz[[#This Row],[Przychód netto]],0)</f>
        <v>0.14868536774261298</v>
      </c>
      <c r="Q2299" s="16">
        <f>YEAR(tblSprzedaz[[#This Row],[Data]])</f>
        <v>2026</v>
      </c>
      <c r="R2299" s="16">
        <f>MONTH(tblSprzedaz[[#This Row],[Data]])</f>
        <v>9</v>
      </c>
      <c r="S2299" s="9" t="str">
        <f>YEAR(tblSprzedaz[[#This Row],[Data]])&amp;"-"&amp;RIGHT("0"&amp;MONTH(tblSprzedaz[[#This Row],[Data]]),2)</f>
        <v>2026-09</v>
      </c>
    </row>
    <row r="2300" spans="1:19" x14ac:dyDescent="0.25">
      <c r="A2300" s="7" t="s">
        <v>4767</v>
      </c>
      <c r="B2300" s="10">
        <v>46276</v>
      </c>
      <c r="C2300" s="7" t="s">
        <v>4768</v>
      </c>
      <c r="D2300" s="8" t="s">
        <v>139</v>
      </c>
      <c r="E2300" s="8" t="s">
        <v>77</v>
      </c>
      <c r="F2300" s="8" t="s">
        <v>37</v>
      </c>
      <c r="G2300" s="8" t="s">
        <v>30</v>
      </c>
      <c r="H2300" s="8" t="s">
        <v>40</v>
      </c>
      <c r="I2300" s="11">
        <v>16</v>
      </c>
      <c r="J2300" s="12">
        <v>77.900000000000006</v>
      </c>
      <c r="K2300" s="13">
        <v>0.15</v>
      </c>
      <c r="L2300" s="12">
        <v>62.59</v>
      </c>
      <c r="M2300" s="14">
        <f>ROUND(tblSprzedaz[[#This Row],[Ilość]]*tblSprzedaz[[#This Row],[Cena netto jednostkowa]]*(1-tblSprzedaz[[#This Row],[Rabat %]]),2)</f>
        <v>1059.44</v>
      </c>
      <c r="N2300" s="14">
        <f>ROUND(tblSprzedaz[[#This Row],[Ilość]]*tblSprzedaz[[#This Row],[Koszt jednostkowy netto]],2)</f>
        <v>1001.44</v>
      </c>
      <c r="O2300" s="14">
        <f>tblSprzedaz[[#This Row],[Przychód netto]]-tblSprzedaz[[#This Row],[Koszt całkowity netto]]</f>
        <v>58</v>
      </c>
      <c r="P2300" s="15">
        <f>IFERROR(tblSprzedaz[[#This Row],[Marża kwotowa]]/tblSprzedaz[[#This Row],[Przychód netto]],0)</f>
        <v>5.474590349618666E-2</v>
      </c>
      <c r="Q2300" s="16">
        <f>YEAR(tblSprzedaz[[#This Row],[Data]])</f>
        <v>2026</v>
      </c>
      <c r="R2300" s="16">
        <f>MONTH(tblSprzedaz[[#This Row],[Data]])</f>
        <v>9</v>
      </c>
      <c r="S2300" s="9" t="str">
        <f>YEAR(tblSprzedaz[[#This Row],[Data]])&amp;"-"&amp;RIGHT("0"&amp;MONTH(tblSprzedaz[[#This Row],[Data]]),2)</f>
        <v>2026-09</v>
      </c>
    </row>
    <row r="2301" spans="1:19" x14ac:dyDescent="0.25">
      <c r="A2301" s="7" t="s">
        <v>4769</v>
      </c>
      <c r="B2301" s="10">
        <v>46277</v>
      </c>
      <c r="C2301" s="7" t="s">
        <v>4770</v>
      </c>
      <c r="D2301" s="8" t="s">
        <v>120</v>
      </c>
      <c r="E2301" s="8" t="s">
        <v>62</v>
      </c>
      <c r="F2301" s="8" t="s">
        <v>33</v>
      </c>
      <c r="G2301" s="8" t="s">
        <v>28</v>
      </c>
      <c r="H2301" s="8" t="s">
        <v>38</v>
      </c>
      <c r="I2301" s="11">
        <v>12</v>
      </c>
      <c r="J2301" s="12">
        <v>611.79999999999995</v>
      </c>
      <c r="K2301" s="13">
        <v>0</v>
      </c>
      <c r="L2301" s="12">
        <v>409.12</v>
      </c>
      <c r="M2301" s="14">
        <f>ROUND(tblSprzedaz[[#This Row],[Ilość]]*tblSprzedaz[[#This Row],[Cena netto jednostkowa]]*(1-tblSprzedaz[[#This Row],[Rabat %]]),2)</f>
        <v>7341.6</v>
      </c>
      <c r="N2301" s="14">
        <f>ROUND(tblSprzedaz[[#This Row],[Ilość]]*tblSprzedaz[[#This Row],[Koszt jednostkowy netto]],2)</f>
        <v>4909.4399999999996</v>
      </c>
      <c r="O2301" s="14">
        <f>tblSprzedaz[[#This Row],[Przychód netto]]-tblSprzedaz[[#This Row],[Koszt całkowity netto]]</f>
        <v>2432.1600000000008</v>
      </c>
      <c r="P2301" s="15">
        <f>IFERROR(tblSprzedaz[[#This Row],[Marża kwotowa]]/tblSprzedaz[[#This Row],[Przychód netto]],0)</f>
        <v>0.33128473357306321</v>
      </c>
      <c r="Q2301" s="16">
        <f>YEAR(tblSprzedaz[[#This Row],[Data]])</f>
        <v>2026</v>
      </c>
      <c r="R2301" s="16">
        <f>MONTH(tblSprzedaz[[#This Row],[Data]])</f>
        <v>9</v>
      </c>
      <c r="S2301" s="9" t="str">
        <f>YEAR(tblSprzedaz[[#This Row],[Data]])&amp;"-"&amp;RIGHT("0"&amp;MONTH(tblSprzedaz[[#This Row],[Data]]),2)</f>
        <v>2026-09</v>
      </c>
    </row>
    <row r="2302" spans="1:19" x14ac:dyDescent="0.25">
      <c r="A2302" s="7" t="s">
        <v>4771</v>
      </c>
      <c r="B2302" s="10">
        <v>46277</v>
      </c>
      <c r="C2302" s="7" t="s">
        <v>4772</v>
      </c>
      <c r="D2302" s="8" t="s">
        <v>127</v>
      </c>
      <c r="E2302" s="8" t="s">
        <v>72</v>
      </c>
      <c r="F2302" s="8" t="s">
        <v>37</v>
      </c>
      <c r="G2302" s="8" t="s">
        <v>28</v>
      </c>
      <c r="H2302" s="8" t="s">
        <v>39</v>
      </c>
      <c r="I2302" s="11">
        <v>7</v>
      </c>
      <c r="J2302" s="12">
        <v>94.05</v>
      </c>
      <c r="K2302" s="13">
        <v>0.05</v>
      </c>
      <c r="L2302" s="12">
        <v>70.930000000000007</v>
      </c>
      <c r="M2302" s="14">
        <f>ROUND(tblSprzedaz[[#This Row],[Ilość]]*tblSprzedaz[[#This Row],[Cena netto jednostkowa]]*(1-tblSprzedaz[[#This Row],[Rabat %]]),2)</f>
        <v>625.42999999999995</v>
      </c>
      <c r="N2302" s="14">
        <f>ROUND(tblSprzedaz[[#This Row],[Ilość]]*tblSprzedaz[[#This Row],[Koszt jednostkowy netto]],2)</f>
        <v>496.51</v>
      </c>
      <c r="O2302" s="14">
        <f>tblSprzedaz[[#This Row],[Przychód netto]]-tblSprzedaz[[#This Row],[Koszt całkowity netto]]</f>
        <v>128.91999999999996</v>
      </c>
      <c r="P2302" s="15">
        <f>IFERROR(tblSprzedaz[[#This Row],[Marża kwotowa]]/tblSprzedaz[[#This Row],[Przychód netto]],0)</f>
        <v>0.20613018243448503</v>
      </c>
      <c r="Q2302" s="16">
        <f>YEAR(tblSprzedaz[[#This Row],[Data]])</f>
        <v>2026</v>
      </c>
      <c r="R2302" s="16">
        <f>MONTH(tblSprzedaz[[#This Row],[Data]])</f>
        <v>9</v>
      </c>
      <c r="S2302" s="9" t="str">
        <f>YEAR(tblSprzedaz[[#This Row],[Data]])&amp;"-"&amp;RIGHT("0"&amp;MONTH(tblSprzedaz[[#This Row],[Data]]),2)</f>
        <v>2026-09</v>
      </c>
    </row>
    <row r="2303" spans="1:19" x14ac:dyDescent="0.25">
      <c r="A2303" s="7" t="s">
        <v>4773</v>
      </c>
      <c r="B2303" s="10">
        <v>46278</v>
      </c>
      <c r="C2303" s="7" t="s">
        <v>4774</v>
      </c>
      <c r="D2303" s="8" t="s">
        <v>117</v>
      </c>
      <c r="E2303" s="8" t="s">
        <v>75</v>
      </c>
      <c r="F2303" s="8" t="s">
        <v>37</v>
      </c>
      <c r="G2303" s="8" t="s">
        <v>30</v>
      </c>
      <c r="H2303" s="8" t="s">
        <v>40</v>
      </c>
      <c r="I2303" s="11">
        <v>26</v>
      </c>
      <c r="J2303" s="12">
        <v>142.5</v>
      </c>
      <c r="K2303" s="13">
        <v>0</v>
      </c>
      <c r="L2303" s="12">
        <v>114.17</v>
      </c>
      <c r="M2303" s="14">
        <f>ROUND(tblSprzedaz[[#This Row],[Ilość]]*tblSprzedaz[[#This Row],[Cena netto jednostkowa]]*(1-tblSprzedaz[[#This Row],[Rabat %]]),2)</f>
        <v>3705</v>
      </c>
      <c r="N2303" s="14">
        <f>ROUND(tblSprzedaz[[#This Row],[Ilość]]*tblSprzedaz[[#This Row],[Koszt jednostkowy netto]],2)</f>
        <v>2968.42</v>
      </c>
      <c r="O2303" s="14">
        <f>tblSprzedaz[[#This Row],[Przychód netto]]-tblSprzedaz[[#This Row],[Koszt całkowity netto]]</f>
        <v>736.57999999999993</v>
      </c>
      <c r="P2303" s="15">
        <f>IFERROR(tblSprzedaz[[#This Row],[Marża kwotowa]]/tblSprzedaz[[#This Row],[Przychód netto]],0)</f>
        <v>0.19880701754385963</v>
      </c>
      <c r="Q2303" s="16">
        <f>YEAR(tblSprzedaz[[#This Row],[Data]])</f>
        <v>2026</v>
      </c>
      <c r="R2303" s="16">
        <f>MONTH(tblSprzedaz[[#This Row],[Data]])</f>
        <v>9</v>
      </c>
      <c r="S2303" s="9" t="str">
        <f>YEAR(tblSprzedaz[[#This Row],[Data]])&amp;"-"&amp;RIGHT("0"&amp;MONTH(tblSprzedaz[[#This Row],[Data]]),2)</f>
        <v>2026-09</v>
      </c>
    </row>
    <row r="2304" spans="1:19" x14ac:dyDescent="0.25">
      <c r="A2304" s="7" t="s">
        <v>4775</v>
      </c>
      <c r="B2304" s="10">
        <v>46278</v>
      </c>
      <c r="C2304" s="7" t="s">
        <v>4776</v>
      </c>
      <c r="D2304" s="8" t="s">
        <v>120</v>
      </c>
      <c r="E2304" s="8" t="s">
        <v>64</v>
      </c>
      <c r="F2304" s="8" t="s">
        <v>33</v>
      </c>
      <c r="G2304" s="8" t="s">
        <v>32</v>
      </c>
      <c r="H2304" s="8" t="s">
        <v>43</v>
      </c>
      <c r="I2304" s="11">
        <v>12</v>
      </c>
      <c r="J2304" s="12">
        <v>768.2</v>
      </c>
      <c r="K2304" s="13">
        <v>0.05</v>
      </c>
      <c r="L2304" s="12">
        <v>533.21</v>
      </c>
      <c r="M2304" s="14">
        <f>ROUND(tblSprzedaz[[#This Row],[Ilość]]*tblSprzedaz[[#This Row],[Cena netto jednostkowa]]*(1-tblSprzedaz[[#This Row],[Rabat %]]),2)</f>
        <v>8757.48</v>
      </c>
      <c r="N2304" s="14">
        <f>ROUND(tblSprzedaz[[#This Row],[Ilość]]*tblSprzedaz[[#This Row],[Koszt jednostkowy netto]],2)</f>
        <v>6398.52</v>
      </c>
      <c r="O2304" s="14">
        <f>tblSprzedaz[[#This Row],[Przychód netto]]-tblSprzedaz[[#This Row],[Koszt całkowity netto]]</f>
        <v>2358.9599999999991</v>
      </c>
      <c r="P2304" s="15">
        <f>IFERROR(tblSprzedaz[[#This Row],[Marża kwotowa]]/tblSprzedaz[[#This Row],[Przychód netto]],0)</f>
        <v>0.26936515984050197</v>
      </c>
      <c r="Q2304" s="16">
        <f>YEAR(tblSprzedaz[[#This Row],[Data]])</f>
        <v>2026</v>
      </c>
      <c r="R2304" s="16">
        <f>MONTH(tblSprzedaz[[#This Row],[Data]])</f>
        <v>9</v>
      </c>
      <c r="S2304" s="9" t="str">
        <f>YEAR(tblSprzedaz[[#This Row],[Data]])&amp;"-"&amp;RIGHT("0"&amp;MONTH(tblSprzedaz[[#This Row],[Data]]),2)</f>
        <v>2026-09</v>
      </c>
    </row>
    <row r="2305" spans="1:19" x14ac:dyDescent="0.25">
      <c r="A2305" s="7" t="s">
        <v>4777</v>
      </c>
      <c r="B2305" s="10">
        <v>46279</v>
      </c>
      <c r="C2305" s="7" t="s">
        <v>4778</v>
      </c>
      <c r="D2305" s="8" t="s">
        <v>80</v>
      </c>
      <c r="E2305" s="8" t="s">
        <v>72</v>
      </c>
      <c r="F2305" s="8" t="s">
        <v>37</v>
      </c>
      <c r="G2305" s="8" t="s">
        <v>32</v>
      </c>
      <c r="H2305" s="8" t="s">
        <v>42</v>
      </c>
      <c r="I2305" s="11">
        <v>16</v>
      </c>
      <c r="J2305" s="12">
        <v>94.05</v>
      </c>
      <c r="K2305" s="13">
        <v>0.1</v>
      </c>
      <c r="L2305" s="12">
        <v>71.959999999999994</v>
      </c>
      <c r="M2305" s="14">
        <f>ROUND(tblSprzedaz[[#This Row],[Ilość]]*tblSprzedaz[[#This Row],[Cena netto jednostkowa]]*(1-tblSprzedaz[[#This Row],[Rabat %]]),2)</f>
        <v>1354.32</v>
      </c>
      <c r="N2305" s="14">
        <f>ROUND(tblSprzedaz[[#This Row],[Ilość]]*tblSprzedaz[[#This Row],[Koszt jednostkowy netto]],2)</f>
        <v>1151.3599999999999</v>
      </c>
      <c r="O2305" s="14">
        <f>tblSprzedaz[[#This Row],[Przychód netto]]-tblSprzedaz[[#This Row],[Koszt całkowity netto]]</f>
        <v>202.96000000000004</v>
      </c>
      <c r="P2305" s="15">
        <f>IFERROR(tblSprzedaz[[#This Row],[Marża kwotowa]]/tblSprzedaz[[#This Row],[Przychód netto]],0)</f>
        <v>0.14986118494890427</v>
      </c>
      <c r="Q2305" s="16">
        <f>YEAR(tblSprzedaz[[#This Row],[Data]])</f>
        <v>2026</v>
      </c>
      <c r="R2305" s="16">
        <f>MONTH(tblSprzedaz[[#This Row],[Data]])</f>
        <v>9</v>
      </c>
      <c r="S2305" s="9" t="str">
        <f>YEAR(tblSprzedaz[[#This Row],[Data]])&amp;"-"&amp;RIGHT("0"&amp;MONTH(tblSprzedaz[[#This Row],[Data]]),2)</f>
        <v>2026-09</v>
      </c>
    </row>
    <row r="2306" spans="1:19" x14ac:dyDescent="0.25">
      <c r="A2306" s="7" t="s">
        <v>4779</v>
      </c>
      <c r="B2306" s="10">
        <v>46279</v>
      </c>
      <c r="C2306" s="7" t="s">
        <v>4780</v>
      </c>
      <c r="D2306" s="8" t="s">
        <v>121</v>
      </c>
      <c r="E2306" s="8" t="s">
        <v>49</v>
      </c>
      <c r="F2306" s="8" t="s">
        <v>29</v>
      </c>
      <c r="G2306" s="8" t="s">
        <v>32</v>
      </c>
      <c r="H2306" s="8" t="s">
        <v>42</v>
      </c>
      <c r="I2306" s="11">
        <v>31</v>
      </c>
      <c r="J2306" s="12">
        <v>39.44</v>
      </c>
      <c r="K2306" s="13">
        <v>0.1</v>
      </c>
      <c r="L2306" s="12">
        <v>24.24</v>
      </c>
      <c r="M2306" s="14">
        <f>ROUND(tblSprzedaz[[#This Row],[Ilość]]*tblSprzedaz[[#This Row],[Cena netto jednostkowa]]*(1-tblSprzedaz[[#This Row],[Rabat %]]),2)</f>
        <v>1100.3800000000001</v>
      </c>
      <c r="N2306" s="14">
        <f>ROUND(tblSprzedaz[[#This Row],[Ilość]]*tblSprzedaz[[#This Row],[Koszt jednostkowy netto]],2)</f>
        <v>751.44</v>
      </c>
      <c r="O2306" s="14">
        <f>tblSprzedaz[[#This Row],[Przychód netto]]-tblSprzedaz[[#This Row],[Koszt całkowity netto]]</f>
        <v>348.94000000000005</v>
      </c>
      <c r="P2306" s="15">
        <f>IFERROR(tblSprzedaz[[#This Row],[Marża kwotowa]]/tblSprzedaz[[#This Row],[Przychód netto]],0)</f>
        <v>0.31710863519874954</v>
      </c>
      <c r="Q2306" s="16">
        <f>YEAR(tblSprzedaz[[#This Row],[Data]])</f>
        <v>2026</v>
      </c>
      <c r="R2306" s="16">
        <f>MONTH(tblSprzedaz[[#This Row],[Data]])</f>
        <v>9</v>
      </c>
      <c r="S2306" s="9" t="str">
        <f>YEAR(tblSprzedaz[[#This Row],[Data]])&amp;"-"&amp;RIGHT("0"&amp;MONTH(tblSprzedaz[[#This Row],[Data]]),2)</f>
        <v>2026-09</v>
      </c>
    </row>
    <row r="2307" spans="1:19" x14ac:dyDescent="0.25">
      <c r="A2307" s="7" t="s">
        <v>4781</v>
      </c>
      <c r="B2307" s="10">
        <v>46279</v>
      </c>
      <c r="C2307" s="7" t="s">
        <v>4782</v>
      </c>
      <c r="D2307" s="8" t="s">
        <v>129</v>
      </c>
      <c r="E2307" s="8" t="s">
        <v>53</v>
      </c>
      <c r="F2307" s="8" t="s">
        <v>29</v>
      </c>
      <c r="G2307" s="8" t="s">
        <v>36</v>
      </c>
      <c r="H2307" s="8" t="s">
        <v>46</v>
      </c>
      <c r="I2307" s="11">
        <v>12</v>
      </c>
      <c r="J2307" s="12">
        <v>27.88</v>
      </c>
      <c r="K2307" s="13">
        <v>0.05</v>
      </c>
      <c r="L2307" s="12">
        <v>16.29</v>
      </c>
      <c r="M2307" s="14">
        <f>ROUND(tblSprzedaz[[#This Row],[Ilość]]*tblSprzedaz[[#This Row],[Cena netto jednostkowa]]*(1-tblSprzedaz[[#This Row],[Rabat %]]),2)</f>
        <v>317.83</v>
      </c>
      <c r="N2307" s="14">
        <f>ROUND(tblSprzedaz[[#This Row],[Ilość]]*tblSprzedaz[[#This Row],[Koszt jednostkowy netto]],2)</f>
        <v>195.48</v>
      </c>
      <c r="O2307" s="14">
        <f>tblSprzedaz[[#This Row],[Przychód netto]]-tblSprzedaz[[#This Row],[Koszt całkowity netto]]</f>
        <v>122.35</v>
      </c>
      <c r="P2307" s="15">
        <f>IFERROR(tblSprzedaz[[#This Row],[Marża kwotowa]]/tblSprzedaz[[#This Row],[Przychód netto]],0)</f>
        <v>0.38495422080986691</v>
      </c>
      <c r="Q2307" s="16">
        <f>YEAR(tblSprzedaz[[#This Row],[Data]])</f>
        <v>2026</v>
      </c>
      <c r="R2307" s="16">
        <f>MONTH(tblSprzedaz[[#This Row],[Data]])</f>
        <v>9</v>
      </c>
      <c r="S2307" s="9" t="str">
        <f>YEAR(tblSprzedaz[[#This Row],[Data]])&amp;"-"&amp;RIGHT("0"&amp;MONTH(tblSprzedaz[[#This Row],[Data]]),2)</f>
        <v>2026-09</v>
      </c>
    </row>
    <row r="2308" spans="1:19" x14ac:dyDescent="0.25">
      <c r="A2308" s="7" t="s">
        <v>4783</v>
      </c>
      <c r="B2308" s="10">
        <v>46279</v>
      </c>
      <c r="C2308" s="7" t="s">
        <v>4784</v>
      </c>
      <c r="D2308" s="8" t="s">
        <v>90</v>
      </c>
      <c r="E2308" s="8" t="s">
        <v>69</v>
      </c>
      <c r="F2308" s="8" t="s">
        <v>35</v>
      </c>
      <c r="G2308" s="8" t="s">
        <v>32</v>
      </c>
      <c r="H2308" s="8" t="s">
        <v>42</v>
      </c>
      <c r="I2308" s="11">
        <v>2</v>
      </c>
      <c r="J2308" s="12">
        <v>102</v>
      </c>
      <c r="K2308" s="13">
        <v>0</v>
      </c>
      <c r="L2308" s="12">
        <v>73.209999999999994</v>
      </c>
      <c r="M2308" s="14">
        <f>ROUND(tblSprzedaz[[#This Row],[Ilość]]*tblSprzedaz[[#This Row],[Cena netto jednostkowa]]*(1-tblSprzedaz[[#This Row],[Rabat %]]),2)</f>
        <v>204</v>
      </c>
      <c r="N2308" s="14">
        <f>ROUND(tblSprzedaz[[#This Row],[Ilość]]*tblSprzedaz[[#This Row],[Koszt jednostkowy netto]],2)</f>
        <v>146.41999999999999</v>
      </c>
      <c r="O2308" s="14">
        <f>tblSprzedaz[[#This Row],[Przychód netto]]-tblSprzedaz[[#This Row],[Koszt całkowity netto]]</f>
        <v>57.580000000000013</v>
      </c>
      <c r="P2308" s="15">
        <f>IFERROR(tblSprzedaz[[#This Row],[Marża kwotowa]]/tblSprzedaz[[#This Row],[Przychód netto]],0)</f>
        <v>0.2822549019607844</v>
      </c>
      <c r="Q2308" s="16">
        <f>YEAR(tblSprzedaz[[#This Row],[Data]])</f>
        <v>2026</v>
      </c>
      <c r="R2308" s="16">
        <f>MONTH(tblSprzedaz[[#This Row],[Data]])</f>
        <v>9</v>
      </c>
      <c r="S2308" s="9" t="str">
        <f>YEAR(tblSprzedaz[[#This Row],[Data]])&amp;"-"&amp;RIGHT("0"&amp;MONTH(tblSprzedaz[[#This Row],[Data]]),2)</f>
        <v>2026-09</v>
      </c>
    </row>
    <row r="2309" spans="1:19" x14ac:dyDescent="0.25">
      <c r="A2309" s="7" t="s">
        <v>4785</v>
      </c>
      <c r="B2309" s="10">
        <v>46279</v>
      </c>
      <c r="C2309" s="7" t="s">
        <v>4786</v>
      </c>
      <c r="D2309" s="8" t="s">
        <v>127</v>
      </c>
      <c r="E2309" s="8" t="s">
        <v>48</v>
      </c>
      <c r="F2309" s="8" t="s">
        <v>29</v>
      </c>
      <c r="G2309" s="8" t="s">
        <v>34</v>
      </c>
      <c r="H2309" s="8" t="s">
        <v>45</v>
      </c>
      <c r="I2309" s="11">
        <v>12</v>
      </c>
      <c r="J2309" s="12">
        <v>33.659999999999997</v>
      </c>
      <c r="K2309" s="13">
        <v>0</v>
      </c>
      <c r="L2309" s="12">
        <v>20.2</v>
      </c>
      <c r="M2309" s="14">
        <f>ROUND(tblSprzedaz[[#This Row],[Ilość]]*tblSprzedaz[[#This Row],[Cena netto jednostkowa]]*(1-tblSprzedaz[[#This Row],[Rabat %]]),2)</f>
        <v>403.92</v>
      </c>
      <c r="N2309" s="14">
        <f>ROUND(tblSprzedaz[[#This Row],[Ilość]]*tblSprzedaz[[#This Row],[Koszt jednostkowy netto]],2)</f>
        <v>242.4</v>
      </c>
      <c r="O2309" s="14">
        <f>tblSprzedaz[[#This Row],[Przychód netto]]-tblSprzedaz[[#This Row],[Koszt całkowity netto]]</f>
        <v>161.52000000000001</v>
      </c>
      <c r="P2309" s="15">
        <f>IFERROR(tblSprzedaz[[#This Row],[Marża kwotowa]]/tblSprzedaz[[#This Row],[Przychód netto]],0)</f>
        <v>0.39988116458704692</v>
      </c>
      <c r="Q2309" s="16">
        <f>YEAR(tblSprzedaz[[#This Row],[Data]])</f>
        <v>2026</v>
      </c>
      <c r="R2309" s="16">
        <f>MONTH(tblSprzedaz[[#This Row],[Data]])</f>
        <v>9</v>
      </c>
      <c r="S2309" s="9" t="str">
        <f>YEAR(tblSprzedaz[[#This Row],[Data]])&amp;"-"&amp;RIGHT("0"&amp;MONTH(tblSprzedaz[[#This Row],[Data]]),2)</f>
        <v>2026-09</v>
      </c>
    </row>
    <row r="2310" spans="1:19" x14ac:dyDescent="0.25">
      <c r="A2310" s="7" t="s">
        <v>4787</v>
      </c>
      <c r="B2310" s="10">
        <v>46279</v>
      </c>
      <c r="C2310" s="7" t="s">
        <v>4788</v>
      </c>
      <c r="D2310" s="8" t="s">
        <v>109</v>
      </c>
      <c r="E2310" s="8" t="s">
        <v>77</v>
      </c>
      <c r="F2310" s="8" t="s">
        <v>37</v>
      </c>
      <c r="G2310" s="8" t="s">
        <v>34</v>
      </c>
      <c r="H2310" s="8" t="s">
        <v>44</v>
      </c>
      <c r="I2310" s="11">
        <v>10</v>
      </c>
      <c r="J2310" s="12">
        <v>77.900000000000006</v>
      </c>
      <c r="K2310" s="13">
        <v>0</v>
      </c>
      <c r="L2310" s="12">
        <v>58.82</v>
      </c>
      <c r="M2310" s="14">
        <f>ROUND(tblSprzedaz[[#This Row],[Ilość]]*tblSprzedaz[[#This Row],[Cena netto jednostkowa]]*(1-tblSprzedaz[[#This Row],[Rabat %]]),2)</f>
        <v>779</v>
      </c>
      <c r="N2310" s="14">
        <f>ROUND(tblSprzedaz[[#This Row],[Ilość]]*tblSprzedaz[[#This Row],[Koszt jednostkowy netto]],2)</f>
        <v>588.20000000000005</v>
      </c>
      <c r="O2310" s="14">
        <f>tblSprzedaz[[#This Row],[Przychód netto]]-tblSprzedaz[[#This Row],[Koszt całkowity netto]]</f>
        <v>190.79999999999995</v>
      </c>
      <c r="P2310" s="15">
        <f>IFERROR(tblSprzedaz[[#This Row],[Marża kwotowa]]/tblSprzedaz[[#This Row],[Przychód netto]],0)</f>
        <v>0.24492939666238761</v>
      </c>
      <c r="Q2310" s="16">
        <f>YEAR(tblSprzedaz[[#This Row],[Data]])</f>
        <v>2026</v>
      </c>
      <c r="R2310" s="16">
        <f>MONTH(tblSprzedaz[[#This Row],[Data]])</f>
        <v>9</v>
      </c>
      <c r="S2310" s="9" t="str">
        <f>YEAR(tblSprzedaz[[#This Row],[Data]])&amp;"-"&amp;RIGHT("0"&amp;MONTH(tblSprzedaz[[#This Row],[Data]]),2)</f>
        <v>2026-09</v>
      </c>
    </row>
    <row r="2311" spans="1:19" x14ac:dyDescent="0.25">
      <c r="A2311" s="7" t="s">
        <v>4789</v>
      </c>
      <c r="B2311" s="10">
        <v>46280</v>
      </c>
      <c r="C2311" s="7" t="s">
        <v>4790</v>
      </c>
      <c r="D2311" s="8" t="s">
        <v>113</v>
      </c>
      <c r="E2311" s="8" t="s">
        <v>50</v>
      </c>
      <c r="F2311" s="8" t="s">
        <v>29</v>
      </c>
      <c r="G2311" s="8" t="s">
        <v>30</v>
      </c>
      <c r="H2311" s="8" t="s">
        <v>40</v>
      </c>
      <c r="I2311" s="11">
        <v>20</v>
      </c>
      <c r="J2311" s="12">
        <v>45.22</v>
      </c>
      <c r="K2311" s="13">
        <v>0.15</v>
      </c>
      <c r="L2311" s="12">
        <v>27.76</v>
      </c>
      <c r="M2311" s="14">
        <f>ROUND(tblSprzedaz[[#This Row],[Ilość]]*tblSprzedaz[[#This Row],[Cena netto jednostkowa]]*(1-tblSprzedaz[[#This Row],[Rabat %]]),2)</f>
        <v>768.74</v>
      </c>
      <c r="N2311" s="14">
        <f>ROUND(tblSprzedaz[[#This Row],[Ilość]]*tblSprzedaz[[#This Row],[Koszt jednostkowy netto]],2)</f>
        <v>555.20000000000005</v>
      </c>
      <c r="O2311" s="14">
        <f>tblSprzedaz[[#This Row],[Przychód netto]]-tblSprzedaz[[#This Row],[Koszt całkowity netto]]</f>
        <v>213.53999999999996</v>
      </c>
      <c r="P2311" s="15">
        <f>IFERROR(tblSprzedaz[[#This Row],[Marża kwotowa]]/tblSprzedaz[[#This Row],[Przychód netto]],0)</f>
        <v>0.27777922314436604</v>
      </c>
      <c r="Q2311" s="16">
        <f>YEAR(tblSprzedaz[[#This Row],[Data]])</f>
        <v>2026</v>
      </c>
      <c r="R2311" s="16">
        <f>MONTH(tblSprzedaz[[#This Row],[Data]])</f>
        <v>9</v>
      </c>
      <c r="S2311" s="9" t="str">
        <f>YEAR(tblSprzedaz[[#This Row],[Data]])&amp;"-"&amp;RIGHT("0"&amp;MONTH(tblSprzedaz[[#This Row],[Data]]),2)</f>
        <v>2026-09</v>
      </c>
    </row>
    <row r="2312" spans="1:19" x14ac:dyDescent="0.25">
      <c r="A2312" s="7" t="s">
        <v>4791</v>
      </c>
      <c r="B2312" s="10">
        <v>46280</v>
      </c>
      <c r="C2312" s="7" t="s">
        <v>4792</v>
      </c>
      <c r="D2312" s="8" t="s">
        <v>78</v>
      </c>
      <c r="E2312" s="8" t="s">
        <v>61</v>
      </c>
      <c r="F2312" s="8" t="s">
        <v>33</v>
      </c>
      <c r="G2312" s="8" t="s">
        <v>32</v>
      </c>
      <c r="H2312" s="8" t="s">
        <v>42</v>
      </c>
      <c r="I2312" s="11">
        <v>15</v>
      </c>
      <c r="J2312" s="12">
        <v>533.6</v>
      </c>
      <c r="K2312" s="13">
        <v>0</v>
      </c>
      <c r="L2312" s="12">
        <v>374.11</v>
      </c>
      <c r="M2312" s="14">
        <f>ROUND(tblSprzedaz[[#This Row],[Ilość]]*tblSprzedaz[[#This Row],[Cena netto jednostkowa]]*(1-tblSprzedaz[[#This Row],[Rabat %]]),2)</f>
        <v>8004</v>
      </c>
      <c r="N2312" s="14">
        <f>ROUND(tblSprzedaz[[#This Row],[Ilość]]*tblSprzedaz[[#This Row],[Koszt jednostkowy netto]],2)</f>
        <v>5611.65</v>
      </c>
      <c r="O2312" s="14">
        <f>tblSprzedaz[[#This Row],[Przychód netto]]-tblSprzedaz[[#This Row],[Koszt całkowity netto]]</f>
        <v>2392.3500000000004</v>
      </c>
      <c r="P2312" s="15">
        <f>IFERROR(tblSprzedaz[[#This Row],[Marża kwotowa]]/tblSprzedaz[[#This Row],[Przychód netto]],0)</f>
        <v>0.29889430284857577</v>
      </c>
      <c r="Q2312" s="16">
        <f>YEAR(tblSprzedaz[[#This Row],[Data]])</f>
        <v>2026</v>
      </c>
      <c r="R2312" s="16">
        <f>MONTH(tblSprzedaz[[#This Row],[Data]])</f>
        <v>9</v>
      </c>
      <c r="S2312" s="9" t="str">
        <f>YEAR(tblSprzedaz[[#This Row],[Data]])&amp;"-"&amp;RIGHT("0"&amp;MONTH(tblSprzedaz[[#This Row],[Data]]),2)</f>
        <v>2026-09</v>
      </c>
    </row>
    <row r="2313" spans="1:19" x14ac:dyDescent="0.25">
      <c r="A2313" s="7" t="s">
        <v>4793</v>
      </c>
      <c r="B2313" s="10">
        <v>46280</v>
      </c>
      <c r="C2313" s="7" t="s">
        <v>4794</v>
      </c>
      <c r="D2313" s="8" t="s">
        <v>95</v>
      </c>
      <c r="E2313" s="8" t="s">
        <v>50</v>
      </c>
      <c r="F2313" s="8" t="s">
        <v>29</v>
      </c>
      <c r="G2313" s="8" t="s">
        <v>32</v>
      </c>
      <c r="H2313" s="8" t="s">
        <v>42</v>
      </c>
      <c r="I2313" s="11">
        <v>26</v>
      </c>
      <c r="J2313" s="12">
        <v>45.22</v>
      </c>
      <c r="K2313" s="13">
        <v>0.1</v>
      </c>
      <c r="L2313" s="12">
        <v>28.34</v>
      </c>
      <c r="M2313" s="14">
        <f>ROUND(tblSprzedaz[[#This Row],[Ilość]]*tblSprzedaz[[#This Row],[Cena netto jednostkowa]]*(1-tblSprzedaz[[#This Row],[Rabat %]]),2)</f>
        <v>1058.1500000000001</v>
      </c>
      <c r="N2313" s="14">
        <f>ROUND(tblSprzedaz[[#This Row],[Ilość]]*tblSprzedaz[[#This Row],[Koszt jednostkowy netto]],2)</f>
        <v>736.84</v>
      </c>
      <c r="O2313" s="14">
        <f>tblSprzedaz[[#This Row],[Przychód netto]]-tblSprzedaz[[#This Row],[Koszt całkowity netto]]</f>
        <v>321.31000000000006</v>
      </c>
      <c r="P2313" s="15">
        <f>IFERROR(tblSprzedaz[[#This Row],[Marża kwotowa]]/tblSprzedaz[[#This Row],[Przychód netto]],0)</f>
        <v>0.30365260123800975</v>
      </c>
      <c r="Q2313" s="16">
        <f>YEAR(tblSprzedaz[[#This Row],[Data]])</f>
        <v>2026</v>
      </c>
      <c r="R2313" s="16">
        <f>MONTH(tblSprzedaz[[#This Row],[Data]])</f>
        <v>9</v>
      </c>
      <c r="S2313" s="9" t="str">
        <f>YEAR(tblSprzedaz[[#This Row],[Data]])&amp;"-"&amp;RIGHT("0"&amp;MONTH(tblSprzedaz[[#This Row],[Data]]),2)</f>
        <v>2026-09</v>
      </c>
    </row>
    <row r="2314" spans="1:19" x14ac:dyDescent="0.25">
      <c r="A2314" s="7" t="s">
        <v>4795</v>
      </c>
      <c r="B2314" s="10">
        <v>46280</v>
      </c>
      <c r="C2314" s="7" t="s">
        <v>4796</v>
      </c>
      <c r="D2314" s="8" t="s">
        <v>92</v>
      </c>
      <c r="E2314" s="8" t="s">
        <v>64</v>
      </c>
      <c r="F2314" s="8" t="s">
        <v>33</v>
      </c>
      <c r="G2314" s="8" t="s">
        <v>30</v>
      </c>
      <c r="H2314" s="8" t="s">
        <v>40</v>
      </c>
      <c r="I2314" s="11">
        <v>25</v>
      </c>
      <c r="J2314" s="12">
        <v>768.2</v>
      </c>
      <c r="K2314" s="13">
        <v>0.1</v>
      </c>
      <c r="L2314" s="12">
        <v>492.25</v>
      </c>
      <c r="M2314" s="14">
        <f>ROUND(tblSprzedaz[[#This Row],[Ilość]]*tblSprzedaz[[#This Row],[Cena netto jednostkowa]]*(1-tblSprzedaz[[#This Row],[Rabat %]]),2)</f>
        <v>17284.5</v>
      </c>
      <c r="N2314" s="14">
        <f>ROUND(tblSprzedaz[[#This Row],[Ilość]]*tblSprzedaz[[#This Row],[Koszt jednostkowy netto]],2)</f>
        <v>12306.25</v>
      </c>
      <c r="O2314" s="14">
        <f>tblSprzedaz[[#This Row],[Przychód netto]]-tblSprzedaz[[#This Row],[Koszt całkowity netto]]</f>
        <v>4978.25</v>
      </c>
      <c r="P2314" s="15">
        <f>IFERROR(tblSprzedaz[[#This Row],[Marża kwotowa]]/tblSprzedaz[[#This Row],[Przychód netto]],0)</f>
        <v>0.2880181665654199</v>
      </c>
      <c r="Q2314" s="16">
        <f>YEAR(tblSprzedaz[[#This Row],[Data]])</f>
        <v>2026</v>
      </c>
      <c r="R2314" s="16">
        <f>MONTH(tblSprzedaz[[#This Row],[Data]])</f>
        <v>9</v>
      </c>
      <c r="S2314" s="9" t="str">
        <f>YEAR(tblSprzedaz[[#This Row],[Data]])&amp;"-"&amp;RIGHT("0"&amp;MONTH(tblSprzedaz[[#This Row],[Data]]),2)</f>
        <v>2026-09</v>
      </c>
    </row>
    <row r="2315" spans="1:19" x14ac:dyDescent="0.25">
      <c r="A2315" s="7" t="s">
        <v>4797</v>
      </c>
      <c r="B2315" s="10">
        <v>46280</v>
      </c>
      <c r="C2315" s="7" t="s">
        <v>4798</v>
      </c>
      <c r="D2315" s="8" t="s">
        <v>133</v>
      </c>
      <c r="E2315" s="8" t="s">
        <v>69</v>
      </c>
      <c r="F2315" s="8" t="s">
        <v>35</v>
      </c>
      <c r="G2315" s="8" t="s">
        <v>30</v>
      </c>
      <c r="H2315" s="8" t="s">
        <v>40</v>
      </c>
      <c r="I2315" s="11">
        <v>2</v>
      </c>
      <c r="J2315" s="12">
        <v>102</v>
      </c>
      <c r="K2315" s="13">
        <v>0.05</v>
      </c>
      <c r="L2315" s="12">
        <v>76.66</v>
      </c>
      <c r="M2315" s="14">
        <f>ROUND(tblSprzedaz[[#This Row],[Ilość]]*tblSprzedaz[[#This Row],[Cena netto jednostkowa]]*(1-tblSprzedaz[[#This Row],[Rabat %]]),2)</f>
        <v>193.8</v>
      </c>
      <c r="N2315" s="14">
        <f>ROUND(tblSprzedaz[[#This Row],[Ilość]]*tblSprzedaz[[#This Row],[Koszt jednostkowy netto]],2)</f>
        <v>153.32</v>
      </c>
      <c r="O2315" s="14">
        <f>tblSprzedaz[[#This Row],[Przychód netto]]-tblSprzedaz[[#This Row],[Koszt całkowity netto]]</f>
        <v>40.480000000000018</v>
      </c>
      <c r="P2315" s="15">
        <f>IFERROR(tblSprzedaz[[#This Row],[Marża kwotowa]]/tblSprzedaz[[#This Row],[Przychód netto]],0)</f>
        <v>0.2088751289989681</v>
      </c>
      <c r="Q2315" s="16">
        <f>YEAR(tblSprzedaz[[#This Row],[Data]])</f>
        <v>2026</v>
      </c>
      <c r="R2315" s="16">
        <f>MONTH(tblSprzedaz[[#This Row],[Data]])</f>
        <v>9</v>
      </c>
      <c r="S2315" s="9" t="str">
        <f>YEAR(tblSprzedaz[[#This Row],[Data]])&amp;"-"&amp;RIGHT("0"&amp;MONTH(tblSprzedaz[[#This Row],[Data]]),2)</f>
        <v>2026-09</v>
      </c>
    </row>
    <row r="2316" spans="1:19" x14ac:dyDescent="0.25">
      <c r="A2316" s="7" t="s">
        <v>4799</v>
      </c>
      <c r="B2316" s="10">
        <v>46280</v>
      </c>
      <c r="C2316" s="7" t="s">
        <v>4800</v>
      </c>
      <c r="D2316" s="8" t="s">
        <v>118</v>
      </c>
      <c r="E2316" s="8" t="s">
        <v>63</v>
      </c>
      <c r="F2316" s="8" t="s">
        <v>33</v>
      </c>
      <c r="G2316" s="8" t="s">
        <v>30</v>
      </c>
      <c r="H2316" s="8" t="s">
        <v>40</v>
      </c>
      <c r="I2316" s="11">
        <v>6</v>
      </c>
      <c r="J2316" s="12">
        <v>690</v>
      </c>
      <c r="K2316" s="13">
        <v>0</v>
      </c>
      <c r="L2316" s="12">
        <v>482.82</v>
      </c>
      <c r="M2316" s="14">
        <f>ROUND(tblSprzedaz[[#This Row],[Ilość]]*tblSprzedaz[[#This Row],[Cena netto jednostkowa]]*(1-tblSprzedaz[[#This Row],[Rabat %]]),2)</f>
        <v>4140</v>
      </c>
      <c r="N2316" s="14">
        <f>ROUND(tblSprzedaz[[#This Row],[Ilość]]*tblSprzedaz[[#This Row],[Koszt jednostkowy netto]],2)</f>
        <v>2896.92</v>
      </c>
      <c r="O2316" s="14">
        <f>tblSprzedaz[[#This Row],[Przychód netto]]-tblSprzedaz[[#This Row],[Koszt całkowity netto]]</f>
        <v>1243.08</v>
      </c>
      <c r="P2316" s="15">
        <f>IFERROR(tblSprzedaz[[#This Row],[Marża kwotowa]]/tblSprzedaz[[#This Row],[Przychód netto]],0)</f>
        <v>0.30026086956521736</v>
      </c>
      <c r="Q2316" s="16">
        <f>YEAR(tblSprzedaz[[#This Row],[Data]])</f>
        <v>2026</v>
      </c>
      <c r="R2316" s="16">
        <f>MONTH(tblSprzedaz[[#This Row],[Data]])</f>
        <v>9</v>
      </c>
      <c r="S2316" s="9" t="str">
        <f>YEAR(tblSprzedaz[[#This Row],[Data]])&amp;"-"&amp;RIGHT("0"&amp;MONTH(tblSprzedaz[[#This Row],[Data]]),2)</f>
        <v>2026-09</v>
      </c>
    </row>
    <row r="2317" spans="1:19" x14ac:dyDescent="0.25">
      <c r="A2317" s="7" t="s">
        <v>4801</v>
      </c>
      <c r="B2317" s="10">
        <v>46280</v>
      </c>
      <c r="C2317" s="7" t="s">
        <v>4802</v>
      </c>
      <c r="D2317" s="8" t="s">
        <v>101</v>
      </c>
      <c r="E2317" s="8" t="s">
        <v>77</v>
      </c>
      <c r="F2317" s="8" t="s">
        <v>37</v>
      </c>
      <c r="G2317" s="8" t="s">
        <v>32</v>
      </c>
      <c r="H2317" s="8" t="s">
        <v>43</v>
      </c>
      <c r="I2317" s="11">
        <v>39</v>
      </c>
      <c r="J2317" s="12">
        <v>77.900000000000006</v>
      </c>
      <c r="K2317" s="13">
        <v>0</v>
      </c>
      <c r="L2317" s="12">
        <v>60.33</v>
      </c>
      <c r="M2317" s="14">
        <f>ROUND(tblSprzedaz[[#This Row],[Ilość]]*tblSprzedaz[[#This Row],[Cena netto jednostkowa]]*(1-tblSprzedaz[[#This Row],[Rabat %]]),2)</f>
        <v>3038.1</v>
      </c>
      <c r="N2317" s="14">
        <f>ROUND(tblSprzedaz[[#This Row],[Ilość]]*tblSprzedaz[[#This Row],[Koszt jednostkowy netto]],2)</f>
        <v>2352.87</v>
      </c>
      <c r="O2317" s="14">
        <f>tblSprzedaz[[#This Row],[Przychód netto]]-tblSprzedaz[[#This Row],[Koszt całkowity netto]]</f>
        <v>685.23</v>
      </c>
      <c r="P2317" s="15">
        <f>IFERROR(tblSprzedaz[[#This Row],[Marża kwotowa]]/tblSprzedaz[[#This Row],[Przychód netto]],0)</f>
        <v>0.22554557124518615</v>
      </c>
      <c r="Q2317" s="16">
        <f>YEAR(tblSprzedaz[[#This Row],[Data]])</f>
        <v>2026</v>
      </c>
      <c r="R2317" s="16">
        <f>MONTH(tblSprzedaz[[#This Row],[Data]])</f>
        <v>9</v>
      </c>
      <c r="S2317" s="9" t="str">
        <f>YEAR(tblSprzedaz[[#This Row],[Data]])&amp;"-"&amp;RIGHT("0"&amp;MONTH(tblSprzedaz[[#This Row],[Data]]),2)</f>
        <v>2026-09</v>
      </c>
    </row>
    <row r="2318" spans="1:19" x14ac:dyDescent="0.25">
      <c r="A2318" s="7" t="s">
        <v>4803</v>
      </c>
      <c r="B2318" s="10">
        <v>46281</v>
      </c>
      <c r="C2318" s="7" t="s">
        <v>4804</v>
      </c>
      <c r="D2318" s="8" t="s">
        <v>137</v>
      </c>
      <c r="E2318" s="8" t="s">
        <v>63</v>
      </c>
      <c r="F2318" s="8" t="s">
        <v>33</v>
      </c>
      <c r="G2318" s="8" t="s">
        <v>28</v>
      </c>
      <c r="H2318" s="8" t="s">
        <v>39</v>
      </c>
      <c r="I2318" s="11">
        <v>23</v>
      </c>
      <c r="J2318" s="12">
        <v>690</v>
      </c>
      <c r="K2318" s="13">
        <v>0.1</v>
      </c>
      <c r="L2318" s="12">
        <v>481.42</v>
      </c>
      <c r="M2318" s="14">
        <f>ROUND(tblSprzedaz[[#This Row],[Ilość]]*tblSprzedaz[[#This Row],[Cena netto jednostkowa]]*(1-tblSprzedaz[[#This Row],[Rabat %]]),2)</f>
        <v>14283</v>
      </c>
      <c r="N2318" s="14">
        <f>ROUND(tblSprzedaz[[#This Row],[Ilość]]*tblSprzedaz[[#This Row],[Koszt jednostkowy netto]],2)</f>
        <v>11072.66</v>
      </c>
      <c r="O2318" s="14">
        <f>tblSprzedaz[[#This Row],[Przychód netto]]-tblSprzedaz[[#This Row],[Koszt całkowity netto]]</f>
        <v>3210.34</v>
      </c>
      <c r="P2318" s="15">
        <f>IFERROR(tblSprzedaz[[#This Row],[Marża kwotowa]]/tblSprzedaz[[#This Row],[Przychód netto]],0)</f>
        <v>0.22476650563607087</v>
      </c>
      <c r="Q2318" s="16">
        <f>YEAR(tblSprzedaz[[#This Row],[Data]])</f>
        <v>2026</v>
      </c>
      <c r="R2318" s="16">
        <f>MONTH(tblSprzedaz[[#This Row],[Data]])</f>
        <v>9</v>
      </c>
      <c r="S2318" s="9" t="str">
        <f>YEAR(tblSprzedaz[[#This Row],[Data]])&amp;"-"&amp;RIGHT("0"&amp;MONTH(tblSprzedaz[[#This Row],[Data]]),2)</f>
        <v>2026-09</v>
      </c>
    </row>
    <row r="2319" spans="1:19" x14ac:dyDescent="0.25">
      <c r="A2319" s="7" t="s">
        <v>4805</v>
      </c>
      <c r="B2319" s="10">
        <v>46281</v>
      </c>
      <c r="C2319" s="7" t="s">
        <v>4806</v>
      </c>
      <c r="D2319" s="8" t="s">
        <v>131</v>
      </c>
      <c r="E2319" s="8" t="s">
        <v>71</v>
      </c>
      <c r="F2319" s="8" t="s">
        <v>35</v>
      </c>
      <c r="G2319" s="8" t="s">
        <v>30</v>
      </c>
      <c r="H2319" s="8" t="s">
        <v>40</v>
      </c>
      <c r="I2319" s="11">
        <v>6</v>
      </c>
      <c r="J2319" s="12">
        <v>55.76</v>
      </c>
      <c r="K2319" s="13">
        <v>0</v>
      </c>
      <c r="L2319" s="12">
        <v>39.92</v>
      </c>
      <c r="M2319" s="14">
        <f>ROUND(tblSprzedaz[[#This Row],[Ilość]]*tblSprzedaz[[#This Row],[Cena netto jednostkowa]]*(1-tblSprzedaz[[#This Row],[Rabat %]]),2)</f>
        <v>334.56</v>
      </c>
      <c r="N2319" s="14">
        <f>ROUND(tblSprzedaz[[#This Row],[Ilość]]*tblSprzedaz[[#This Row],[Koszt jednostkowy netto]],2)</f>
        <v>239.52</v>
      </c>
      <c r="O2319" s="14">
        <f>tblSprzedaz[[#This Row],[Przychód netto]]-tblSprzedaz[[#This Row],[Koszt całkowity netto]]</f>
        <v>95.039999999999992</v>
      </c>
      <c r="P2319" s="15">
        <f>IFERROR(tblSprzedaz[[#This Row],[Marża kwotowa]]/tblSprzedaz[[#This Row],[Przychód netto]],0)</f>
        <v>0.28407460545193686</v>
      </c>
      <c r="Q2319" s="16">
        <f>YEAR(tblSprzedaz[[#This Row],[Data]])</f>
        <v>2026</v>
      </c>
      <c r="R2319" s="16">
        <f>MONTH(tblSprzedaz[[#This Row],[Data]])</f>
        <v>9</v>
      </c>
      <c r="S2319" s="9" t="str">
        <f>YEAR(tblSprzedaz[[#This Row],[Data]])&amp;"-"&amp;RIGHT("0"&amp;MONTH(tblSprzedaz[[#This Row],[Data]]),2)</f>
        <v>2026-09</v>
      </c>
    </row>
    <row r="2320" spans="1:19" x14ac:dyDescent="0.25">
      <c r="A2320" s="7" t="s">
        <v>4807</v>
      </c>
      <c r="B2320" s="10">
        <v>46281</v>
      </c>
      <c r="C2320" s="7" t="s">
        <v>4808</v>
      </c>
      <c r="D2320" s="8" t="s">
        <v>108</v>
      </c>
      <c r="E2320" s="8" t="s">
        <v>75</v>
      </c>
      <c r="F2320" s="8" t="s">
        <v>37</v>
      </c>
      <c r="G2320" s="8" t="s">
        <v>30</v>
      </c>
      <c r="H2320" s="8" t="s">
        <v>40</v>
      </c>
      <c r="I2320" s="11">
        <v>7</v>
      </c>
      <c r="J2320" s="12">
        <v>142.5</v>
      </c>
      <c r="K2320" s="13">
        <v>0</v>
      </c>
      <c r="L2320" s="12">
        <v>105.56</v>
      </c>
      <c r="M2320" s="14">
        <f>ROUND(tblSprzedaz[[#This Row],[Ilość]]*tblSprzedaz[[#This Row],[Cena netto jednostkowa]]*(1-tblSprzedaz[[#This Row],[Rabat %]]),2)</f>
        <v>997.5</v>
      </c>
      <c r="N2320" s="14">
        <f>ROUND(tblSprzedaz[[#This Row],[Ilość]]*tblSprzedaz[[#This Row],[Koszt jednostkowy netto]],2)</f>
        <v>738.92</v>
      </c>
      <c r="O2320" s="14">
        <f>tblSprzedaz[[#This Row],[Przychód netto]]-tblSprzedaz[[#This Row],[Koszt całkowity netto]]</f>
        <v>258.58000000000004</v>
      </c>
      <c r="P2320" s="15">
        <f>IFERROR(tblSprzedaz[[#This Row],[Marża kwotowa]]/tblSprzedaz[[#This Row],[Przychód netto]],0)</f>
        <v>0.25922807017543864</v>
      </c>
      <c r="Q2320" s="16">
        <f>YEAR(tblSprzedaz[[#This Row],[Data]])</f>
        <v>2026</v>
      </c>
      <c r="R2320" s="16">
        <f>MONTH(tblSprzedaz[[#This Row],[Data]])</f>
        <v>9</v>
      </c>
      <c r="S2320" s="9" t="str">
        <f>YEAR(tblSprzedaz[[#This Row],[Data]])&amp;"-"&amp;RIGHT("0"&amp;MONTH(tblSprzedaz[[#This Row],[Data]]),2)</f>
        <v>2026-09</v>
      </c>
    </row>
    <row r="2321" spans="1:19" x14ac:dyDescent="0.25">
      <c r="A2321" s="7" t="s">
        <v>4809</v>
      </c>
      <c r="B2321" s="10">
        <v>46281</v>
      </c>
      <c r="C2321" s="7" t="s">
        <v>4810</v>
      </c>
      <c r="D2321" s="8" t="s">
        <v>122</v>
      </c>
      <c r="E2321" s="8" t="s">
        <v>58</v>
      </c>
      <c r="F2321" s="8" t="s">
        <v>31</v>
      </c>
      <c r="G2321" s="8" t="s">
        <v>28</v>
      </c>
      <c r="H2321" s="8" t="s">
        <v>38</v>
      </c>
      <c r="I2321" s="11">
        <v>15</v>
      </c>
      <c r="J2321" s="12">
        <v>350.7</v>
      </c>
      <c r="K2321" s="13">
        <v>0</v>
      </c>
      <c r="L2321" s="12">
        <v>235.18</v>
      </c>
      <c r="M2321" s="14">
        <f>ROUND(tblSprzedaz[[#This Row],[Ilość]]*tblSprzedaz[[#This Row],[Cena netto jednostkowa]]*(1-tblSprzedaz[[#This Row],[Rabat %]]),2)</f>
        <v>5260.5</v>
      </c>
      <c r="N2321" s="14">
        <f>ROUND(tblSprzedaz[[#This Row],[Ilość]]*tblSprzedaz[[#This Row],[Koszt jednostkowy netto]],2)</f>
        <v>3527.7</v>
      </c>
      <c r="O2321" s="14">
        <f>tblSprzedaz[[#This Row],[Przychód netto]]-tblSprzedaz[[#This Row],[Koszt całkowity netto]]</f>
        <v>1732.8000000000002</v>
      </c>
      <c r="P2321" s="15">
        <f>IFERROR(tblSprzedaz[[#This Row],[Marża kwotowa]]/tblSprzedaz[[#This Row],[Przychód netto]],0)</f>
        <v>0.32939834616481328</v>
      </c>
      <c r="Q2321" s="16">
        <f>YEAR(tblSprzedaz[[#This Row],[Data]])</f>
        <v>2026</v>
      </c>
      <c r="R2321" s="16">
        <f>MONTH(tblSprzedaz[[#This Row],[Data]])</f>
        <v>9</v>
      </c>
      <c r="S2321" s="9" t="str">
        <f>YEAR(tblSprzedaz[[#This Row],[Data]])&amp;"-"&amp;RIGHT("0"&amp;MONTH(tblSprzedaz[[#This Row],[Data]]),2)</f>
        <v>2026-09</v>
      </c>
    </row>
    <row r="2322" spans="1:19" x14ac:dyDescent="0.25">
      <c r="A2322" s="7" t="s">
        <v>4811</v>
      </c>
      <c r="B2322" s="10">
        <v>46281</v>
      </c>
      <c r="C2322" s="7" t="s">
        <v>4812</v>
      </c>
      <c r="D2322" s="8" t="s">
        <v>114</v>
      </c>
      <c r="E2322" s="8" t="s">
        <v>54</v>
      </c>
      <c r="F2322" s="8" t="s">
        <v>31</v>
      </c>
      <c r="G2322" s="8" t="s">
        <v>28</v>
      </c>
      <c r="H2322" s="8" t="s">
        <v>38</v>
      </c>
      <c r="I2322" s="11">
        <v>26</v>
      </c>
      <c r="J2322" s="12">
        <v>207.9</v>
      </c>
      <c r="K2322" s="13">
        <v>0.05</v>
      </c>
      <c r="L2322" s="12">
        <v>124.14</v>
      </c>
      <c r="M2322" s="14">
        <f>ROUND(tblSprzedaz[[#This Row],[Ilość]]*tblSprzedaz[[#This Row],[Cena netto jednostkowa]]*(1-tblSprzedaz[[#This Row],[Rabat %]]),2)</f>
        <v>5135.13</v>
      </c>
      <c r="N2322" s="14">
        <f>ROUND(tblSprzedaz[[#This Row],[Ilość]]*tblSprzedaz[[#This Row],[Koszt jednostkowy netto]],2)</f>
        <v>3227.64</v>
      </c>
      <c r="O2322" s="14">
        <f>tblSprzedaz[[#This Row],[Przychód netto]]-tblSprzedaz[[#This Row],[Koszt całkowity netto]]</f>
        <v>1907.4900000000002</v>
      </c>
      <c r="P2322" s="15">
        <f>IFERROR(tblSprzedaz[[#This Row],[Marża kwotowa]]/tblSprzedaz[[#This Row],[Przychód netto]],0)</f>
        <v>0.37145895040631888</v>
      </c>
      <c r="Q2322" s="16">
        <f>YEAR(tblSprzedaz[[#This Row],[Data]])</f>
        <v>2026</v>
      </c>
      <c r="R2322" s="16">
        <f>MONTH(tblSprzedaz[[#This Row],[Data]])</f>
        <v>9</v>
      </c>
      <c r="S2322" s="9" t="str">
        <f>YEAR(tblSprzedaz[[#This Row],[Data]])&amp;"-"&amp;RIGHT("0"&amp;MONTH(tblSprzedaz[[#This Row],[Data]]),2)</f>
        <v>2026-09</v>
      </c>
    </row>
    <row r="2323" spans="1:19" x14ac:dyDescent="0.25">
      <c r="A2323" s="7" t="s">
        <v>4813</v>
      </c>
      <c r="B2323" s="10">
        <v>46281</v>
      </c>
      <c r="C2323" s="7" t="s">
        <v>4814</v>
      </c>
      <c r="D2323" s="8" t="s">
        <v>86</v>
      </c>
      <c r="E2323" s="8" t="s">
        <v>70</v>
      </c>
      <c r="F2323" s="8" t="s">
        <v>35</v>
      </c>
      <c r="G2323" s="8" t="s">
        <v>28</v>
      </c>
      <c r="H2323" s="8" t="s">
        <v>38</v>
      </c>
      <c r="I2323" s="11">
        <v>27</v>
      </c>
      <c r="J2323" s="12">
        <v>113.56</v>
      </c>
      <c r="K2323" s="13">
        <v>0.15</v>
      </c>
      <c r="L2323" s="12">
        <v>84.91</v>
      </c>
      <c r="M2323" s="14">
        <f>ROUND(tblSprzedaz[[#This Row],[Ilość]]*tblSprzedaz[[#This Row],[Cena netto jednostkowa]]*(1-tblSprzedaz[[#This Row],[Rabat %]]),2)</f>
        <v>2606.1999999999998</v>
      </c>
      <c r="N2323" s="14">
        <f>ROUND(tblSprzedaz[[#This Row],[Ilość]]*tblSprzedaz[[#This Row],[Koszt jednostkowy netto]],2)</f>
        <v>2292.5700000000002</v>
      </c>
      <c r="O2323" s="14">
        <f>tblSprzedaz[[#This Row],[Przychód netto]]-tblSprzedaz[[#This Row],[Koszt całkowity netto]]</f>
        <v>313.62999999999965</v>
      </c>
      <c r="P2323" s="15">
        <f>IFERROR(tblSprzedaz[[#This Row],[Marża kwotowa]]/tblSprzedaz[[#This Row],[Przychód netto]],0)</f>
        <v>0.12033995856035595</v>
      </c>
      <c r="Q2323" s="16">
        <f>YEAR(tblSprzedaz[[#This Row],[Data]])</f>
        <v>2026</v>
      </c>
      <c r="R2323" s="16">
        <f>MONTH(tblSprzedaz[[#This Row],[Data]])</f>
        <v>9</v>
      </c>
      <c r="S2323" s="9" t="str">
        <f>YEAR(tblSprzedaz[[#This Row],[Data]])&amp;"-"&amp;RIGHT("0"&amp;MONTH(tblSprzedaz[[#This Row],[Data]]),2)</f>
        <v>2026-09</v>
      </c>
    </row>
    <row r="2324" spans="1:19" x14ac:dyDescent="0.25">
      <c r="A2324" s="7" t="s">
        <v>4815</v>
      </c>
      <c r="B2324" s="10">
        <v>46282</v>
      </c>
      <c r="C2324" s="7" t="s">
        <v>4816</v>
      </c>
      <c r="D2324" s="8" t="s">
        <v>139</v>
      </c>
      <c r="E2324" s="8" t="s">
        <v>65</v>
      </c>
      <c r="F2324" s="8" t="s">
        <v>33</v>
      </c>
      <c r="G2324" s="8" t="s">
        <v>28</v>
      </c>
      <c r="H2324" s="8" t="s">
        <v>38</v>
      </c>
      <c r="I2324" s="11">
        <v>12</v>
      </c>
      <c r="J2324" s="12">
        <v>377.2</v>
      </c>
      <c r="K2324" s="13">
        <v>0.05</v>
      </c>
      <c r="L2324" s="12">
        <v>251.69</v>
      </c>
      <c r="M2324" s="14">
        <f>ROUND(tblSprzedaz[[#This Row],[Ilość]]*tblSprzedaz[[#This Row],[Cena netto jednostkowa]]*(1-tblSprzedaz[[#This Row],[Rabat %]]),2)</f>
        <v>4300.08</v>
      </c>
      <c r="N2324" s="14">
        <f>ROUND(tblSprzedaz[[#This Row],[Ilość]]*tblSprzedaz[[#This Row],[Koszt jednostkowy netto]],2)</f>
        <v>3020.28</v>
      </c>
      <c r="O2324" s="14">
        <f>tblSprzedaz[[#This Row],[Przychód netto]]-tblSprzedaz[[#This Row],[Koszt całkowity netto]]</f>
        <v>1279.7999999999997</v>
      </c>
      <c r="P2324" s="15">
        <f>IFERROR(tblSprzedaz[[#This Row],[Marża kwotowa]]/tblSprzedaz[[#This Row],[Przychód netto]],0)</f>
        <v>0.29762236981637546</v>
      </c>
      <c r="Q2324" s="16">
        <f>YEAR(tblSprzedaz[[#This Row],[Data]])</f>
        <v>2026</v>
      </c>
      <c r="R2324" s="16">
        <f>MONTH(tblSprzedaz[[#This Row],[Data]])</f>
        <v>9</v>
      </c>
      <c r="S2324" s="9" t="str">
        <f>YEAR(tblSprzedaz[[#This Row],[Data]])&amp;"-"&amp;RIGHT("0"&amp;MONTH(tblSprzedaz[[#This Row],[Data]]),2)</f>
        <v>2026-09</v>
      </c>
    </row>
    <row r="2325" spans="1:19" x14ac:dyDescent="0.25">
      <c r="A2325" s="7" t="s">
        <v>4817</v>
      </c>
      <c r="B2325" s="10">
        <v>46282</v>
      </c>
      <c r="C2325" s="7" t="s">
        <v>4818</v>
      </c>
      <c r="D2325" s="8" t="s">
        <v>151</v>
      </c>
      <c r="E2325" s="8" t="s">
        <v>70</v>
      </c>
      <c r="F2325" s="8" t="s">
        <v>35</v>
      </c>
      <c r="G2325" s="8" t="s">
        <v>36</v>
      </c>
      <c r="H2325" s="8" t="s">
        <v>47</v>
      </c>
      <c r="I2325" s="11">
        <v>4</v>
      </c>
      <c r="J2325" s="12">
        <v>113.56</v>
      </c>
      <c r="K2325" s="13">
        <v>0.15</v>
      </c>
      <c r="L2325" s="12">
        <v>82.46</v>
      </c>
      <c r="M2325" s="14">
        <f>ROUND(tblSprzedaz[[#This Row],[Ilość]]*tblSprzedaz[[#This Row],[Cena netto jednostkowa]]*(1-tblSprzedaz[[#This Row],[Rabat %]]),2)</f>
        <v>386.1</v>
      </c>
      <c r="N2325" s="14">
        <f>ROUND(tblSprzedaz[[#This Row],[Ilość]]*tblSprzedaz[[#This Row],[Koszt jednostkowy netto]],2)</f>
        <v>329.84</v>
      </c>
      <c r="O2325" s="14">
        <f>tblSprzedaz[[#This Row],[Przychód netto]]-tblSprzedaz[[#This Row],[Koszt całkowity netto]]</f>
        <v>56.260000000000048</v>
      </c>
      <c r="P2325" s="15">
        <f>IFERROR(tblSprzedaz[[#This Row],[Marża kwotowa]]/tblSprzedaz[[#This Row],[Przychód netto]],0)</f>
        <v>0.14571354571354583</v>
      </c>
      <c r="Q2325" s="16">
        <f>YEAR(tblSprzedaz[[#This Row],[Data]])</f>
        <v>2026</v>
      </c>
      <c r="R2325" s="16">
        <f>MONTH(tblSprzedaz[[#This Row],[Data]])</f>
        <v>9</v>
      </c>
      <c r="S2325" s="9" t="str">
        <f>YEAR(tblSprzedaz[[#This Row],[Data]])&amp;"-"&amp;RIGHT("0"&amp;MONTH(tblSprzedaz[[#This Row],[Data]]),2)</f>
        <v>2026-09</v>
      </c>
    </row>
    <row r="2326" spans="1:19" x14ac:dyDescent="0.25">
      <c r="A2326" s="7" t="s">
        <v>4819</v>
      </c>
      <c r="B2326" s="10">
        <v>46282</v>
      </c>
      <c r="C2326" s="7" t="s">
        <v>4820</v>
      </c>
      <c r="D2326" s="8" t="s">
        <v>101</v>
      </c>
      <c r="E2326" s="8" t="s">
        <v>49</v>
      </c>
      <c r="F2326" s="8" t="s">
        <v>29</v>
      </c>
      <c r="G2326" s="8" t="s">
        <v>36</v>
      </c>
      <c r="H2326" s="8" t="s">
        <v>46</v>
      </c>
      <c r="I2326" s="11">
        <v>4</v>
      </c>
      <c r="J2326" s="12">
        <v>39.44</v>
      </c>
      <c r="K2326" s="13">
        <v>0</v>
      </c>
      <c r="L2326" s="12">
        <v>24.2</v>
      </c>
      <c r="M2326" s="14">
        <f>ROUND(tblSprzedaz[[#This Row],[Ilość]]*tblSprzedaz[[#This Row],[Cena netto jednostkowa]]*(1-tblSprzedaz[[#This Row],[Rabat %]]),2)</f>
        <v>157.76</v>
      </c>
      <c r="N2326" s="14">
        <f>ROUND(tblSprzedaz[[#This Row],[Ilość]]*tblSprzedaz[[#This Row],[Koszt jednostkowy netto]],2)</f>
        <v>96.8</v>
      </c>
      <c r="O2326" s="14">
        <f>tblSprzedaz[[#This Row],[Przychód netto]]-tblSprzedaz[[#This Row],[Koszt całkowity netto]]</f>
        <v>60.959999999999994</v>
      </c>
      <c r="P2326" s="15">
        <f>IFERROR(tblSprzedaz[[#This Row],[Marża kwotowa]]/tblSprzedaz[[#This Row],[Przychód netto]],0)</f>
        <v>0.38640973630831643</v>
      </c>
      <c r="Q2326" s="16">
        <f>YEAR(tblSprzedaz[[#This Row],[Data]])</f>
        <v>2026</v>
      </c>
      <c r="R2326" s="16">
        <f>MONTH(tblSprzedaz[[#This Row],[Data]])</f>
        <v>9</v>
      </c>
      <c r="S2326" s="9" t="str">
        <f>YEAR(tblSprzedaz[[#This Row],[Data]])&amp;"-"&amp;RIGHT("0"&amp;MONTH(tblSprzedaz[[#This Row],[Data]]),2)</f>
        <v>2026-09</v>
      </c>
    </row>
    <row r="2327" spans="1:19" x14ac:dyDescent="0.25">
      <c r="A2327" s="7" t="s">
        <v>4821</v>
      </c>
      <c r="B2327" s="10">
        <v>46282</v>
      </c>
      <c r="C2327" s="7" t="s">
        <v>4822</v>
      </c>
      <c r="D2327" s="8" t="s">
        <v>87</v>
      </c>
      <c r="E2327" s="8" t="s">
        <v>63</v>
      </c>
      <c r="F2327" s="8" t="s">
        <v>33</v>
      </c>
      <c r="G2327" s="8" t="s">
        <v>28</v>
      </c>
      <c r="H2327" s="8" t="s">
        <v>39</v>
      </c>
      <c r="I2327" s="11">
        <v>6</v>
      </c>
      <c r="J2327" s="12">
        <v>690</v>
      </c>
      <c r="K2327" s="13">
        <v>0.05</v>
      </c>
      <c r="L2327" s="12">
        <v>452.52</v>
      </c>
      <c r="M2327" s="14">
        <f>ROUND(tblSprzedaz[[#This Row],[Ilość]]*tblSprzedaz[[#This Row],[Cena netto jednostkowa]]*(1-tblSprzedaz[[#This Row],[Rabat %]]),2)</f>
        <v>3933</v>
      </c>
      <c r="N2327" s="14">
        <f>ROUND(tblSprzedaz[[#This Row],[Ilość]]*tblSprzedaz[[#This Row],[Koszt jednostkowy netto]],2)</f>
        <v>2715.12</v>
      </c>
      <c r="O2327" s="14">
        <f>tblSprzedaz[[#This Row],[Przychód netto]]-tblSprzedaz[[#This Row],[Koszt całkowity netto]]</f>
        <v>1217.8800000000001</v>
      </c>
      <c r="P2327" s="15">
        <f>IFERROR(tblSprzedaz[[#This Row],[Marża kwotowa]]/tblSprzedaz[[#This Row],[Przychód netto]],0)</f>
        <v>0.30965675057208242</v>
      </c>
      <c r="Q2327" s="16">
        <f>YEAR(tblSprzedaz[[#This Row],[Data]])</f>
        <v>2026</v>
      </c>
      <c r="R2327" s="16">
        <f>MONTH(tblSprzedaz[[#This Row],[Data]])</f>
        <v>9</v>
      </c>
      <c r="S2327" s="9" t="str">
        <f>YEAR(tblSprzedaz[[#This Row],[Data]])&amp;"-"&amp;RIGHT("0"&amp;MONTH(tblSprzedaz[[#This Row],[Data]]),2)</f>
        <v>2026-09</v>
      </c>
    </row>
    <row r="2328" spans="1:19" x14ac:dyDescent="0.25">
      <c r="A2328" s="7" t="s">
        <v>4823</v>
      </c>
      <c r="B2328" s="10">
        <v>46282</v>
      </c>
      <c r="C2328" s="7" t="s">
        <v>4824</v>
      </c>
      <c r="D2328" s="8" t="s">
        <v>145</v>
      </c>
      <c r="E2328" s="8" t="s">
        <v>63</v>
      </c>
      <c r="F2328" s="8" t="s">
        <v>33</v>
      </c>
      <c r="G2328" s="8" t="s">
        <v>36</v>
      </c>
      <c r="H2328" s="8" t="s">
        <v>47</v>
      </c>
      <c r="I2328" s="11">
        <v>15</v>
      </c>
      <c r="J2328" s="12">
        <v>690</v>
      </c>
      <c r="K2328" s="13">
        <v>0.1</v>
      </c>
      <c r="L2328" s="12">
        <v>475.71</v>
      </c>
      <c r="M2328" s="14">
        <f>ROUND(tblSprzedaz[[#This Row],[Ilość]]*tblSprzedaz[[#This Row],[Cena netto jednostkowa]]*(1-tblSprzedaz[[#This Row],[Rabat %]]),2)</f>
        <v>9315</v>
      </c>
      <c r="N2328" s="14">
        <f>ROUND(tblSprzedaz[[#This Row],[Ilość]]*tblSprzedaz[[#This Row],[Koszt jednostkowy netto]],2)</f>
        <v>7135.65</v>
      </c>
      <c r="O2328" s="14">
        <f>tblSprzedaz[[#This Row],[Przychód netto]]-tblSprzedaz[[#This Row],[Koszt całkowity netto]]</f>
        <v>2179.3500000000004</v>
      </c>
      <c r="P2328" s="15">
        <f>IFERROR(tblSprzedaz[[#This Row],[Marża kwotowa]]/tblSprzedaz[[#This Row],[Przychód netto]],0)</f>
        <v>0.23396135265700488</v>
      </c>
      <c r="Q2328" s="16">
        <f>YEAR(tblSprzedaz[[#This Row],[Data]])</f>
        <v>2026</v>
      </c>
      <c r="R2328" s="16">
        <f>MONTH(tblSprzedaz[[#This Row],[Data]])</f>
        <v>9</v>
      </c>
      <c r="S2328" s="9" t="str">
        <f>YEAR(tblSprzedaz[[#This Row],[Data]])&amp;"-"&amp;RIGHT("0"&amp;MONTH(tblSprzedaz[[#This Row],[Data]]),2)</f>
        <v>2026-09</v>
      </c>
    </row>
    <row r="2329" spans="1:19" x14ac:dyDescent="0.25">
      <c r="A2329" s="7" t="s">
        <v>4825</v>
      </c>
      <c r="B2329" s="10">
        <v>46282</v>
      </c>
      <c r="C2329" s="7" t="s">
        <v>4826</v>
      </c>
      <c r="D2329" s="8" t="s">
        <v>91</v>
      </c>
      <c r="E2329" s="8" t="s">
        <v>62</v>
      </c>
      <c r="F2329" s="8" t="s">
        <v>33</v>
      </c>
      <c r="G2329" s="8" t="s">
        <v>30</v>
      </c>
      <c r="H2329" s="8" t="s">
        <v>41</v>
      </c>
      <c r="I2329" s="11">
        <v>26</v>
      </c>
      <c r="J2329" s="12">
        <v>611.79999999999995</v>
      </c>
      <c r="K2329" s="13">
        <v>0.05</v>
      </c>
      <c r="L2329" s="12">
        <v>404.99</v>
      </c>
      <c r="M2329" s="14">
        <f>ROUND(tblSprzedaz[[#This Row],[Ilość]]*tblSprzedaz[[#This Row],[Cena netto jednostkowa]]*(1-tblSprzedaz[[#This Row],[Rabat %]]),2)</f>
        <v>15111.46</v>
      </c>
      <c r="N2329" s="14">
        <f>ROUND(tblSprzedaz[[#This Row],[Ilość]]*tblSprzedaz[[#This Row],[Koszt jednostkowy netto]],2)</f>
        <v>10529.74</v>
      </c>
      <c r="O2329" s="14">
        <f>tblSprzedaz[[#This Row],[Przychód netto]]-tblSprzedaz[[#This Row],[Koszt całkowity netto]]</f>
        <v>4581.7199999999993</v>
      </c>
      <c r="P2329" s="15">
        <f>IFERROR(tblSprzedaz[[#This Row],[Marża kwotowa]]/tblSprzedaz[[#This Row],[Przychód netto]],0)</f>
        <v>0.30319505858467677</v>
      </c>
      <c r="Q2329" s="16">
        <f>YEAR(tblSprzedaz[[#This Row],[Data]])</f>
        <v>2026</v>
      </c>
      <c r="R2329" s="16">
        <f>MONTH(tblSprzedaz[[#This Row],[Data]])</f>
        <v>9</v>
      </c>
      <c r="S2329" s="9" t="str">
        <f>YEAR(tblSprzedaz[[#This Row],[Data]])&amp;"-"&amp;RIGHT("0"&amp;MONTH(tblSprzedaz[[#This Row],[Data]]),2)</f>
        <v>2026-09</v>
      </c>
    </row>
    <row r="2330" spans="1:19" x14ac:dyDescent="0.25">
      <c r="A2330" s="7" t="s">
        <v>4827</v>
      </c>
      <c r="B2330" s="10">
        <v>46282</v>
      </c>
      <c r="C2330" s="7" t="s">
        <v>4828</v>
      </c>
      <c r="D2330" s="8" t="s">
        <v>79</v>
      </c>
      <c r="E2330" s="8" t="s">
        <v>76</v>
      </c>
      <c r="F2330" s="8" t="s">
        <v>37</v>
      </c>
      <c r="G2330" s="8" t="s">
        <v>30</v>
      </c>
      <c r="H2330" s="8" t="s">
        <v>41</v>
      </c>
      <c r="I2330" s="11">
        <v>11</v>
      </c>
      <c r="J2330" s="12">
        <v>158.65</v>
      </c>
      <c r="K2330" s="13">
        <v>0</v>
      </c>
      <c r="L2330" s="12">
        <v>119.59</v>
      </c>
      <c r="M2330" s="14">
        <f>ROUND(tblSprzedaz[[#This Row],[Ilość]]*tblSprzedaz[[#This Row],[Cena netto jednostkowa]]*(1-tblSprzedaz[[#This Row],[Rabat %]]),2)</f>
        <v>1745.15</v>
      </c>
      <c r="N2330" s="14">
        <f>ROUND(tblSprzedaz[[#This Row],[Ilość]]*tblSprzedaz[[#This Row],[Koszt jednostkowy netto]],2)</f>
        <v>1315.49</v>
      </c>
      <c r="O2330" s="14">
        <f>tblSprzedaz[[#This Row],[Przychód netto]]-tblSprzedaz[[#This Row],[Koszt całkowity netto]]</f>
        <v>429.66000000000008</v>
      </c>
      <c r="P2330" s="15">
        <f>IFERROR(tblSprzedaz[[#This Row],[Marża kwotowa]]/tblSprzedaz[[#This Row],[Przychód netto]],0)</f>
        <v>0.24620233217774981</v>
      </c>
      <c r="Q2330" s="16">
        <f>YEAR(tblSprzedaz[[#This Row],[Data]])</f>
        <v>2026</v>
      </c>
      <c r="R2330" s="16">
        <f>MONTH(tblSprzedaz[[#This Row],[Data]])</f>
        <v>9</v>
      </c>
      <c r="S2330" s="9" t="str">
        <f>YEAR(tblSprzedaz[[#This Row],[Data]])&amp;"-"&amp;RIGHT("0"&amp;MONTH(tblSprzedaz[[#This Row],[Data]]),2)</f>
        <v>2026-09</v>
      </c>
    </row>
    <row r="2331" spans="1:19" x14ac:dyDescent="0.25">
      <c r="A2331" s="7" t="s">
        <v>4829</v>
      </c>
      <c r="B2331" s="10">
        <v>46283</v>
      </c>
      <c r="C2331" s="7" t="s">
        <v>4830</v>
      </c>
      <c r="D2331" s="8" t="s">
        <v>92</v>
      </c>
      <c r="E2331" s="8" t="s">
        <v>67</v>
      </c>
      <c r="F2331" s="8" t="s">
        <v>35</v>
      </c>
      <c r="G2331" s="8" t="s">
        <v>30</v>
      </c>
      <c r="H2331" s="8" t="s">
        <v>40</v>
      </c>
      <c r="I2331" s="11">
        <v>7</v>
      </c>
      <c r="J2331" s="12">
        <v>78.88</v>
      </c>
      <c r="K2331" s="13">
        <v>0</v>
      </c>
      <c r="L2331" s="12">
        <v>59.61</v>
      </c>
      <c r="M2331" s="14">
        <f>ROUND(tblSprzedaz[[#This Row],[Ilość]]*tblSprzedaz[[#This Row],[Cena netto jednostkowa]]*(1-tblSprzedaz[[#This Row],[Rabat %]]),2)</f>
        <v>552.16</v>
      </c>
      <c r="N2331" s="14">
        <f>ROUND(tblSprzedaz[[#This Row],[Ilość]]*tblSprzedaz[[#This Row],[Koszt jednostkowy netto]],2)</f>
        <v>417.27</v>
      </c>
      <c r="O2331" s="14">
        <f>tblSprzedaz[[#This Row],[Przychód netto]]-tblSprzedaz[[#This Row],[Koszt całkowity netto]]</f>
        <v>134.88999999999999</v>
      </c>
      <c r="P2331" s="15">
        <f>IFERROR(tblSprzedaz[[#This Row],[Marża kwotowa]]/tblSprzedaz[[#This Row],[Przychód netto]],0)</f>
        <v>0.24429513184584178</v>
      </c>
      <c r="Q2331" s="16">
        <f>YEAR(tblSprzedaz[[#This Row],[Data]])</f>
        <v>2026</v>
      </c>
      <c r="R2331" s="16">
        <f>MONTH(tblSprzedaz[[#This Row],[Data]])</f>
        <v>9</v>
      </c>
      <c r="S2331" s="9" t="str">
        <f>YEAR(tblSprzedaz[[#This Row],[Data]])&amp;"-"&amp;RIGHT("0"&amp;MONTH(tblSprzedaz[[#This Row],[Data]]),2)</f>
        <v>2026-09</v>
      </c>
    </row>
    <row r="2332" spans="1:19" x14ac:dyDescent="0.25">
      <c r="A2332" s="7" t="s">
        <v>4831</v>
      </c>
      <c r="B2332" s="10">
        <v>46283</v>
      </c>
      <c r="C2332" s="7" t="s">
        <v>4832</v>
      </c>
      <c r="D2332" s="8" t="s">
        <v>129</v>
      </c>
      <c r="E2332" s="8" t="s">
        <v>55</v>
      </c>
      <c r="F2332" s="8" t="s">
        <v>31</v>
      </c>
      <c r="G2332" s="8" t="s">
        <v>32</v>
      </c>
      <c r="H2332" s="8" t="s">
        <v>42</v>
      </c>
      <c r="I2332" s="11">
        <v>9</v>
      </c>
      <c r="J2332" s="12">
        <v>243.6</v>
      </c>
      <c r="K2332" s="13">
        <v>0</v>
      </c>
      <c r="L2332" s="12">
        <v>150.16</v>
      </c>
      <c r="M2332" s="14">
        <f>ROUND(tblSprzedaz[[#This Row],[Ilość]]*tblSprzedaz[[#This Row],[Cena netto jednostkowa]]*(1-tblSprzedaz[[#This Row],[Rabat %]]),2)</f>
        <v>2192.4</v>
      </c>
      <c r="N2332" s="14">
        <f>ROUND(tblSprzedaz[[#This Row],[Ilość]]*tblSprzedaz[[#This Row],[Koszt jednostkowy netto]],2)</f>
        <v>1351.44</v>
      </c>
      <c r="O2332" s="14">
        <f>tblSprzedaz[[#This Row],[Przychód netto]]-tblSprzedaz[[#This Row],[Koszt całkowity netto]]</f>
        <v>840.96</v>
      </c>
      <c r="P2332" s="15">
        <f>IFERROR(tblSprzedaz[[#This Row],[Marża kwotowa]]/tblSprzedaz[[#This Row],[Przychód netto]],0)</f>
        <v>0.38357963875205253</v>
      </c>
      <c r="Q2332" s="16">
        <f>YEAR(tblSprzedaz[[#This Row],[Data]])</f>
        <v>2026</v>
      </c>
      <c r="R2332" s="16">
        <f>MONTH(tblSprzedaz[[#This Row],[Data]])</f>
        <v>9</v>
      </c>
      <c r="S2332" s="9" t="str">
        <f>YEAR(tblSprzedaz[[#This Row],[Data]])&amp;"-"&amp;RIGHT("0"&amp;MONTH(tblSprzedaz[[#This Row],[Data]]),2)</f>
        <v>2026-09</v>
      </c>
    </row>
    <row r="2333" spans="1:19" x14ac:dyDescent="0.25">
      <c r="A2333" s="7" t="s">
        <v>4833</v>
      </c>
      <c r="B2333" s="10">
        <v>46283</v>
      </c>
      <c r="C2333" s="7" t="s">
        <v>4834</v>
      </c>
      <c r="D2333" s="8" t="s">
        <v>151</v>
      </c>
      <c r="E2333" s="8" t="s">
        <v>76</v>
      </c>
      <c r="F2333" s="8" t="s">
        <v>37</v>
      </c>
      <c r="G2333" s="8" t="s">
        <v>30</v>
      </c>
      <c r="H2333" s="8" t="s">
        <v>40</v>
      </c>
      <c r="I2333" s="11">
        <v>18</v>
      </c>
      <c r="J2333" s="12">
        <v>158.65</v>
      </c>
      <c r="K2333" s="13">
        <v>0</v>
      </c>
      <c r="L2333" s="12">
        <v>117.83</v>
      </c>
      <c r="M2333" s="14">
        <f>ROUND(tblSprzedaz[[#This Row],[Ilość]]*tblSprzedaz[[#This Row],[Cena netto jednostkowa]]*(1-tblSprzedaz[[#This Row],[Rabat %]]),2)</f>
        <v>2855.7</v>
      </c>
      <c r="N2333" s="14">
        <f>ROUND(tblSprzedaz[[#This Row],[Ilość]]*tblSprzedaz[[#This Row],[Koszt jednostkowy netto]],2)</f>
        <v>2120.94</v>
      </c>
      <c r="O2333" s="14">
        <f>tblSprzedaz[[#This Row],[Przychód netto]]-tblSprzedaz[[#This Row],[Koszt całkowity netto]]</f>
        <v>734.75999999999976</v>
      </c>
      <c r="P2333" s="15">
        <f>IFERROR(tblSprzedaz[[#This Row],[Marża kwotowa]]/tblSprzedaz[[#This Row],[Przychód netto]],0)</f>
        <v>0.25729593444689564</v>
      </c>
      <c r="Q2333" s="16">
        <f>YEAR(tblSprzedaz[[#This Row],[Data]])</f>
        <v>2026</v>
      </c>
      <c r="R2333" s="16">
        <f>MONTH(tblSprzedaz[[#This Row],[Data]])</f>
        <v>9</v>
      </c>
      <c r="S2333" s="9" t="str">
        <f>YEAR(tblSprzedaz[[#This Row],[Data]])&amp;"-"&amp;RIGHT("0"&amp;MONTH(tblSprzedaz[[#This Row],[Data]]),2)</f>
        <v>2026-09</v>
      </c>
    </row>
    <row r="2334" spans="1:19" x14ac:dyDescent="0.25">
      <c r="A2334" s="7" t="s">
        <v>4835</v>
      </c>
      <c r="B2334" s="10">
        <v>46283</v>
      </c>
      <c r="C2334" s="7" t="s">
        <v>4836</v>
      </c>
      <c r="D2334" s="8" t="s">
        <v>141</v>
      </c>
      <c r="E2334" s="8" t="s">
        <v>76</v>
      </c>
      <c r="F2334" s="8" t="s">
        <v>37</v>
      </c>
      <c r="G2334" s="8" t="s">
        <v>36</v>
      </c>
      <c r="H2334" s="8" t="s">
        <v>46</v>
      </c>
      <c r="I2334" s="11">
        <v>9</v>
      </c>
      <c r="J2334" s="12">
        <v>158.65</v>
      </c>
      <c r="K2334" s="13">
        <v>0</v>
      </c>
      <c r="L2334" s="12">
        <v>127.43</v>
      </c>
      <c r="M2334" s="14">
        <f>ROUND(tblSprzedaz[[#This Row],[Ilość]]*tblSprzedaz[[#This Row],[Cena netto jednostkowa]]*(1-tblSprzedaz[[#This Row],[Rabat %]]),2)</f>
        <v>1427.85</v>
      </c>
      <c r="N2334" s="14">
        <f>ROUND(tblSprzedaz[[#This Row],[Ilość]]*tblSprzedaz[[#This Row],[Koszt jednostkowy netto]],2)</f>
        <v>1146.8699999999999</v>
      </c>
      <c r="O2334" s="14">
        <f>tblSprzedaz[[#This Row],[Przychód netto]]-tblSprzedaz[[#This Row],[Koszt całkowity netto]]</f>
        <v>280.98</v>
      </c>
      <c r="P2334" s="15">
        <f>IFERROR(tblSprzedaz[[#This Row],[Marża kwotowa]]/tblSprzedaz[[#This Row],[Przychód netto]],0)</f>
        <v>0.19678537661519069</v>
      </c>
      <c r="Q2334" s="16">
        <f>YEAR(tblSprzedaz[[#This Row],[Data]])</f>
        <v>2026</v>
      </c>
      <c r="R2334" s="16">
        <f>MONTH(tblSprzedaz[[#This Row],[Data]])</f>
        <v>9</v>
      </c>
      <c r="S2334" s="9" t="str">
        <f>YEAR(tblSprzedaz[[#This Row],[Data]])&amp;"-"&amp;RIGHT("0"&amp;MONTH(tblSprzedaz[[#This Row],[Data]]),2)</f>
        <v>2026-09</v>
      </c>
    </row>
    <row r="2335" spans="1:19" x14ac:dyDescent="0.25">
      <c r="A2335" s="7" t="s">
        <v>4837</v>
      </c>
      <c r="B2335" s="10">
        <v>46284</v>
      </c>
      <c r="C2335" s="7" t="s">
        <v>4838</v>
      </c>
      <c r="D2335" s="8" t="s">
        <v>89</v>
      </c>
      <c r="E2335" s="8" t="s">
        <v>60</v>
      </c>
      <c r="F2335" s="8" t="s">
        <v>33</v>
      </c>
      <c r="G2335" s="8" t="s">
        <v>36</v>
      </c>
      <c r="H2335" s="8" t="s">
        <v>47</v>
      </c>
      <c r="I2335" s="11">
        <v>13</v>
      </c>
      <c r="J2335" s="12">
        <v>455.4</v>
      </c>
      <c r="K2335" s="13">
        <v>0.05</v>
      </c>
      <c r="L2335" s="12">
        <v>318.87</v>
      </c>
      <c r="M2335" s="14">
        <f>ROUND(tblSprzedaz[[#This Row],[Ilość]]*tblSprzedaz[[#This Row],[Cena netto jednostkowa]]*(1-tblSprzedaz[[#This Row],[Rabat %]]),2)</f>
        <v>5624.19</v>
      </c>
      <c r="N2335" s="14">
        <f>ROUND(tblSprzedaz[[#This Row],[Ilość]]*tblSprzedaz[[#This Row],[Koszt jednostkowy netto]],2)</f>
        <v>4145.3100000000004</v>
      </c>
      <c r="O2335" s="14">
        <f>tblSprzedaz[[#This Row],[Przychód netto]]-tblSprzedaz[[#This Row],[Koszt całkowity netto]]</f>
        <v>1478.8799999999992</v>
      </c>
      <c r="P2335" s="15">
        <f>IFERROR(tblSprzedaz[[#This Row],[Marża kwotowa]]/tblSprzedaz[[#This Row],[Przychód netto]],0)</f>
        <v>0.26294986478052829</v>
      </c>
      <c r="Q2335" s="16">
        <f>YEAR(tblSprzedaz[[#This Row],[Data]])</f>
        <v>2026</v>
      </c>
      <c r="R2335" s="16">
        <f>MONTH(tblSprzedaz[[#This Row],[Data]])</f>
        <v>9</v>
      </c>
      <c r="S2335" s="9" t="str">
        <f>YEAR(tblSprzedaz[[#This Row],[Data]])&amp;"-"&amp;RIGHT("0"&amp;MONTH(tblSprzedaz[[#This Row],[Data]]),2)</f>
        <v>2026-09</v>
      </c>
    </row>
    <row r="2336" spans="1:19" x14ac:dyDescent="0.25">
      <c r="A2336" s="7" t="s">
        <v>4839</v>
      </c>
      <c r="B2336" s="10">
        <v>46284</v>
      </c>
      <c r="C2336" s="7" t="s">
        <v>4840</v>
      </c>
      <c r="D2336" s="8" t="s">
        <v>134</v>
      </c>
      <c r="E2336" s="8" t="s">
        <v>76</v>
      </c>
      <c r="F2336" s="8" t="s">
        <v>37</v>
      </c>
      <c r="G2336" s="8" t="s">
        <v>36</v>
      </c>
      <c r="H2336" s="8" t="s">
        <v>47</v>
      </c>
      <c r="I2336" s="11">
        <v>9</v>
      </c>
      <c r="J2336" s="12">
        <v>158.65</v>
      </c>
      <c r="K2336" s="13">
        <v>0.1</v>
      </c>
      <c r="L2336" s="12">
        <v>121.07</v>
      </c>
      <c r="M2336" s="14">
        <f>ROUND(tblSprzedaz[[#This Row],[Ilość]]*tblSprzedaz[[#This Row],[Cena netto jednostkowa]]*(1-tblSprzedaz[[#This Row],[Rabat %]]),2)</f>
        <v>1285.07</v>
      </c>
      <c r="N2336" s="14">
        <f>ROUND(tblSprzedaz[[#This Row],[Ilość]]*tblSprzedaz[[#This Row],[Koszt jednostkowy netto]],2)</f>
        <v>1089.6300000000001</v>
      </c>
      <c r="O2336" s="14">
        <f>tblSprzedaz[[#This Row],[Przychód netto]]-tblSprzedaz[[#This Row],[Koszt całkowity netto]]</f>
        <v>195.43999999999983</v>
      </c>
      <c r="P2336" s="15">
        <f>IFERROR(tblSprzedaz[[#This Row],[Marża kwotowa]]/tblSprzedaz[[#This Row],[Przychód netto]],0)</f>
        <v>0.15208510042254494</v>
      </c>
      <c r="Q2336" s="16">
        <f>YEAR(tblSprzedaz[[#This Row],[Data]])</f>
        <v>2026</v>
      </c>
      <c r="R2336" s="16">
        <f>MONTH(tblSprzedaz[[#This Row],[Data]])</f>
        <v>9</v>
      </c>
      <c r="S2336" s="9" t="str">
        <f>YEAR(tblSprzedaz[[#This Row],[Data]])&amp;"-"&amp;RIGHT("0"&amp;MONTH(tblSprzedaz[[#This Row],[Data]]),2)</f>
        <v>2026-09</v>
      </c>
    </row>
    <row r="2337" spans="1:19" x14ac:dyDescent="0.25">
      <c r="A2337" s="7" t="s">
        <v>4841</v>
      </c>
      <c r="B2337" s="10">
        <v>46285</v>
      </c>
      <c r="C2337" s="7" t="s">
        <v>4842</v>
      </c>
      <c r="D2337" s="8" t="s">
        <v>122</v>
      </c>
      <c r="E2337" s="8" t="s">
        <v>50</v>
      </c>
      <c r="F2337" s="8" t="s">
        <v>29</v>
      </c>
      <c r="G2337" s="8" t="s">
        <v>30</v>
      </c>
      <c r="H2337" s="8" t="s">
        <v>41</v>
      </c>
      <c r="I2337" s="11">
        <v>29</v>
      </c>
      <c r="J2337" s="12">
        <v>45.22</v>
      </c>
      <c r="K2337" s="13">
        <v>0</v>
      </c>
      <c r="L2337" s="12">
        <v>25.78</v>
      </c>
      <c r="M2337" s="14">
        <f>ROUND(tblSprzedaz[[#This Row],[Ilość]]*tblSprzedaz[[#This Row],[Cena netto jednostkowa]]*(1-tblSprzedaz[[#This Row],[Rabat %]]),2)</f>
        <v>1311.38</v>
      </c>
      <c r="N2337" s="14">
        <f>ROUND(tblSprzedaz[[#This Row],[Ilość]]*tblSprzedaz[[#This Row],[Koszt jednostkowy netto]],2)</f>
        <v>747.62</v>
      </c>
      <c r="O2337" s="14">
        <f>tblSprzedaz[[#This Row],[Przychód netto]]-tblSprzedaz[[#This Row],[Koszt całkowity netto]]</f>
        <v>563.7600000000001</v>
      </c>
      <c r="P2337" s="15">
        <f>IFERROR(tblSprzedaz[[#This Row],[Marża kwotowa]]/tblSprzedaz[[#This Row],[Przychód netto]],0)</f>
        <v>0.42989827509951356</v>
      </c>
      <c r="Q2337" s="16">
        <f>YEAR(tblSprzedaz[[#This Row],[Data]])</f>
        <v>2026</v>
      </c>
      <c r="R2337" s="16">
        <f>MONTH(tblSprzedaz[[#This Row],[Data]])</f>
        <v>9</v>
      </c>
      <c r="S2337" s="9" t="str">
        <f>YEAR(tblSprzedaz[[#This Row],[Data]])&amp;"-"&amp;RIGHT("0"&amp;MONTH(tblSprzedaz[[#This Row],[Data]]),2)</f>
        <v>2026-09</v>
      </c>
    </row>
    <row r="2338" spans="1:19" x14ac:dyDescent="0.25">
      <c r="A2338" s="7" t="s">
        <v>4843</v>
      </c>
      <c r="B2338" s="10">
        <v>46286</v>
      </c>
      <c r="C2338" s="7" t="s">
        <v>4844</v>
      </c>
      <c r="D2338" s="8" t="s">
        <v>145</v>
      </c>
      <c r="E2338" s="8" t="s">
        <v>68</v>
      </c>
      <c r="F2338" s="8" t="s">
        <v>35</v>
      </c>
      <c r="G2338" s="8" t="s">
        <v>36</v>
      </c>
      <c r="H2338" s="8" t="s">
        <v>47</v>
      </c>
      <c r="I2338" s="11">
        <v>17</v>
      </c>
      <c r="J2338" s="12">
        <v>90.44</v>
      </c>
      <c r="K2338" s="13">
        <v>0</v>
      </c>
      <c r="L2338" s="12">
        <v>67.02</v>
      </c>
      <c r="M2338" s="14">
        <f>ROUND(tblSprzedaz[[#This Row],[Ilość]]*tblSprzedaz[[#This Row],[Cena netto jednostkowa]]*(1-tblSprzedaz[[#This Row],[Rabat %]]),2)</f>
        <v>1537.48</v>
      </c>
      <c r="N2338" s="14">
        <f>ROUND(tblSprzedaz[[#This Row],[Ilość]]*tblSprzedaz[[#This Row],[Koszt jednostkowy netto]],2)</f>
        <v>1139.3399999999999</v>
      </c>
      <c r="O2338" s="14">
        <f>tblSprzedaz[[#This Row],[Przychód netto]]-tblSprzedaz[[#This Row],[Koszt całkowity netto]]</f>
        <v>398.1400000000001</v>
      </c>
      <c r="P2338" s="15">
        <f>IFERROR(tblSprzedaz[[#This Row],[Marża kwotowa]]/tblSprzedaz[[#This Row],[Przychód netto]],0)</f>
        <v>0.25895621406457325</v>
      </c>
      <c r="Q2338" s="16">
        <f>YEAR(tblSprzedaz[[#This Row],[Data]])</f>
        <v>2026</v>
      </c>
      <c r="R2338" s="16">
        <f>MONTH(tblSprzedaz[[#This Row],[Data]])</f>
        <v>9</v>
      </c>
      <c r="S2338" s="9" t="str">
        <f>YEAR(tblSprzedaz[[#This Row],[Data]])&amp;"-"&amp;RIGHT("0"&amp;MONTH(tblSprzedaz[[#This Row],[Data]]),2)</f>
        <v>2026-09</v>
      </c>
    </row>
    <row r="2339" spans="1:19" x14ac:dyDescent="0.25">
      <c r="A2339" s="7" t="s">
        <v>4845</v>
      </c>
      <c r="B2339" s="10">
        <v>46286</v>
      </c>
      <c r="C2339" s="7" t="s">
        <v>4846</v>
      </c>
      <c r="D2339" s="8" t="s">
        <v>128</v>
      </c>
      <c r="E2339" s="8" t="s">
        <v>74</v>
      </c>
      <c r="F2339" s="8" t="s">
        <v>37</v>
      </c>
      <c r="G2339" s="8" t="s">
        <v>30</v>
      </c>
      <c r="H2339" s="8" t="s">
        <v>40</v>
      </c>
      <c r="I2339" s="11">
        <v>4</v>
      </c>
      <c r="J2339" s="12">
        <v>126.35</v>
      </c>
      <c r="K2339" s="13">
        <v>0.05</v>
      </c>
      <c r="L2339" s="12">
        <v>95.45</v>
      </c>
      <c r="M2339" s="14">
        <f>ROUND(tblSprzedaz[[#This Row],[Ilość]]*tblSprzedaz[[#This Row],[Cena netto jednostkowa]]*(1-tblSprzedaz[[#This Row],[Rabat %]]),2)</f>
        <v>480.13</v>
      </c>
      <c r="N2339" s="14">
        <f>ROUND(tblSprzedaz[[#This Row],[Ilość]]*tblSprzedaz[[#This Row],[Koszt jednostkowy netto]],2)</f>
        <v>381.8</v>
      </c>
      <c r="O2339" s="14">
        <f>tblSprzedaz[[#This Row],[Przychód netto]]-tblSprzedaz[[#This Row],[Koszt całkowity netto]]</f>
        <v>98.329999999999984</v>
      </c>
      <c r="P2339" s="15">
        <f>IFERROR(tblSprzedaz[[#This Row],[Marża kwotowa]]/tblSprzedaz[[#This Row],[Przychód netto]],0)</f>
        <v>0.20479870035198797</v>
      </c>
      <c r="Q2339" s="16">
        <f>YEAR(tblSprzedaz[[#This Row],[Data]])</f>
        <v>2026</v>
      </c>
      <c r="R2339" s="16">
        <f>MONTH(tblSprzedaz[[#This Row],[Data]])</f>
        <v>9</v>
      </c>
      <c r="S2339" s="9" t="str">
        <f>YEAR(tblSprzedaz[[#This Row],[Data]])&amp;"-"&amp;RIGHT("0"&amp;MONTH(tblSprzedaz[[#This Row],[Data]]),2)</f>
        <v>2026-09</v>
      </c>
    </row>
    <row r="2340" spans="1:19" x14ac:dyDescent="0.25">
      <c r="A2340" s="7" t="s">
        <v>4847</v>
      </c>
      <c r="B2340" s="10">
        <v>46286</v>
      </c>
      <c r="C2340" s="7" t="s">
        <v>4848</v>
      </c>
      <c r="D2340" s="8" t="s">
        <v>127</v>
      </c>
      <c r="E2340" s="8" t="s">
        <v>76</v>
      </c>
      <c r="F2340" s="8" t="s">
        <v>37</v>
      </c>
      <c r="G2340" s="8" t="s">
        <v>36</v>
      </c>
      <c r="H2340" s="8" t="s">
        <v>46</v>
      </c>
      <c r="I2340" s="11">
        <v>27</v>
      </c>
      <c r="J2340" s="12">
        <v>158.65</v>
      </c>
      <c r="K2340" s="13">
        <v>0.05</v>
      </c>
      <c r="L2340" s="12">
        <v>117.18</v>
      </c>
      <c r="M2340" s="14">
        <f>ROUND(tblSprzedaz[[#This Row],[Ilość]]*tblSprzedaz[[#This Row],[Cena netto jednostkowa]]*(1-tblSprzedaz[[#This Row],[Rabat %]]),2)</f>
        <v>4069.37</v>
      </c>
      <c r="N2340" s="14">
        <f>ROUND(tblSprzedaz[[#This Row],[Ilość]]*tblSprzedaz[[#This Row],[Koszt jednostkowy netto]],2)</f>
        <v>3163.86</v>
      </c>
      <c r="O2340" s="14">
        <f>tblSprzedaz[[#This Row],[Przychód netto]]-tblSprzedaz[[#This Row],[Koszt całkowity netto]]</f>
        <v>905.50999999999976</v>
      </c>
      <c r="P2340" s="15">
        <f>IFERROR(tblSprzedaz[[#This Row],[Marża kwotowa]]/tblSprzedaz[[#This Row],[Przychód netto]],0)</f>
        <v>0.22251847337548558</v>
      </c>
      <c r="Q2340" s="16">
        <f>YEAR(tblSprzedaz[[#This Row],[Data]])</f>
        <v>2026</v>
      </c>
      <c r="R2340" s="16">
        <f>MONTH(tblSprzedaz[[#This Row],[Data]])</f>
        <v>9</v>
      </c>
      <c r="S2340" s="9" t="str">
        <f>YEAR(tblSprzedaz[[#This Row],[Data]])&amp;"-"&amp;RIGHT("0"&amp;MONTH(tblSprzedaz[[#This Row],[Data]]),2)</f>
        <v>2026-09</v>
      </c>
    </row>
    <row r="2341" spans="1:19" x14ac:dyDescent="0.25">
      <c r="A2341" s="7" t="s">
        <v>4849</v>
      </c>
      <c r="B2341" s="10">
        <v>46286</v>
      </c>
      <c r="C2341" s="7" t="s">
        <v>4850</v>
      </c>
      <c r="D2341" s="8" t="s">
        <v>131</v>
      </c>
      <c r="E2341" s="8" t="s">
        <v>60</v>
      </c>
      <c r="F2341" s="8" t="s">
        <v>33</v>
      </c>
      <c r="G2341" s="8" t="s">
        <v>32</v>
      </c>
      <c r="H2341" s="8" t="s">
        <v>42</v>
      </c>
      <c r="I2341" s="11">
        <v>23</v>
      </c>
      <c r="J2341" s="12">
        <v>455.4</v>
      </c>
      <c r="K2341" s="13">
        <v>0.1</v>
      </c>
      <c r="L2341" s="12">
        <v>321.41000000000003</v>
      </c>
      <c r="M2341" s="14">
        <f>ROUND(tblSprzedaz[[#This Row],[Ilość]]*tblSprzedaz[[#This Row],[Cena netto jednostkowa]]*(1-tblSprzedaz[[#This Row],[Rabat %]]),2)</f>
        <v>9426.7800000000007</v>
      </c>
      <c r="N2341" s="14">
        <f>ROUND(tblSprzedaz[[#This Row],[Ilość]]*tblSprzedaz[[#This Row],[Koszt jednostkowy netto]],2)</f>
        <v>7392.43</v>
      </c>
      <c r="O2341" s="14">
        <f>tblSprzedaz[[#This Row],[Przychód netto]]-tblSprzedaz[[#This Row],[Koszt całkowity netto]]</f>
        <v>2034.3500000000004</v>
      </c>
      <c r="P2341" s="15">
        <f>IFERROR(tblSprzedaz[[#This Row],[Marża kwotowa]]/tblSprzedaz[[#This Row],[Przychód netto]],0)</f>
        <v>0.21580539696481729</v>
      </c>
      <c r="Q2341" s="16">
        <f>YEAR(tblSprzedaz[[#This Row],[Data]])</f>
        <v>2026</v>
      </c>
      <c r="R2341" s="16">
        <f>MONTH(tblSprzedaz[[#This Row],[Data]])</f>
        <v>9</v>
      </c>
      <c r="S2341" s="9" t="str">
        <f>YEAR(tblSprzedaz[[#This Row],[Data]])&amp;"-"&amp;RIGHT("0"&amp;MONTH(tblSprzedaz[[#This Row],[Data]]),2)</f>
        <v>2026-09</v>
      </c>
    </row>
    <row r="2342" spans="1:19" x14ac:dyDescent="0.25">
      <c r="A2342" s="7" t="s">
        <v>4851</v>
      </c>
      <c r="B2342" s="10">
        <v>46286</v>
      </c>
      <c r="C2342" s="7" t="s">
        <v>4852</v>
      </c>
      <c r="D2342" s="8" t="s">
        <v>126</v>
      </c>
      <c r="E2342" s="8" t="s">
        <v>67</v>
      </c>
      <c r="F2342" s="8" t="s">
        <v>35</v>
      </c>
      <c r="G2342" s="8" t="s">
        <v>30</v>
      </c>
      <c r="H2342" s="8" t="s">
        <v>41</v>
      </c>
      <c r="I2342" s="11">
        <v>31</v>
      </c>
      <c r="J2342" s="12">
        <v>78.88</v>
      </c>
      <c r="K2342" s="13">
        <v>0.05</v>
      </c>
      <c r="L2342" s="12">
        <v>54.67</v>
      </c>
      <c r="M2342" s="14">
        <f>ROUND(tblSprzedaz[[#This Row],[Ilość]]*tblSprzedaz[[#This Row],[Cena netto jednostkowa]]*(1-tblSprzedaz[[#This Row],[Rabat %]]),2)</f>
        <v>2323.02</v>
      </c>
      <c r="N2342" s="14">
        <f>ROUND(tblSprzedaz[[#This Row],[Ilość]]*tblSprzedaz[[#This Row],[Koszt jednostkowy netto]],2)</f>
        <v>1694.77</v>
      </c>
      <c r="O2342" s="14">
        <f>tblSprzedaz[[#This Row],[Przychód netto]]-tblSprzedaz[[#This Row],[Koszt całkowity netto]]</f>
        <v>628.25</v>
      </c>
      <c r="P2342" s="15">
        <f>IFERROR(tblSprzedaz[[#This Row],[Marża kwotowa]]/tblSprzedaz[[#This Row],[Przychód netto]],0)</f>
        <v>0.27044536852889772</v>
      </c>
      <c r="Q2342" s="16">
        <f>YEAR(tblSprzedaz[[#This Row],[Data]])</f>
        <v>2026</v>
      </c>
      <c r="R2342" s="16">
        <f>MONTH(tblSprzedaz[[#This Row],[Data]])</f>
        <v>9</v>
      </c>
      <c r="S2342" s="9" t="str">
        <f>YEAR(tblSprzedaz[[#This Row],[Data]])&amp;"-"&amp;RIGHT("0"&amp;MONTH(tblSprzedaz[[#This Row],[Data]]),2)</f>
        <v>2026-09</v>
      </c>
    </row>
    <row r="2343" spans="1:19" x14ac:dyDescent="0.25">
      <c r="A2343" s="7" t="s">
        <v>4853</v>
      </c>
      <c r="B2343" s="10">
        <v>46286</v>
      </c>
      <c r="C2343" s="7" t="s">
        <v>4854</v>
      </c>
      <c r="D2343" s="8" t="s">
        <v>101</v>
      </c>
      <c r="E2343" s="8" t="s">
        <v>52</v>
      </c>
      <c r="F2343" s="8" t="s">
        <v>29</v>
      </c>
      <c r="G2343" s="8" t="s">
        <v>34</v>
      </c>
      <c r="H2343" s="8" t="s">
        <v>45</v>
      </c>
      <c r="I2343" s="11">
        <v>10</v>
      </c>
      <c r="J2343" s="12">
        <v>56.78</v>
      </c>
      <c r="K2343" s="13">
        <v>0</v>
      </c>
      <c r="L2343" s="12">
        <v>35.51</v>
      </c>
      <c r="M2343" s="14">
        <f>ROUND(tblSprzedaz[[#This Row],[Ilość]]*tblSprzedaz[[#This Row],[Cena netto jednostkowa]]*(1-tblSprzedaz[[#This Row],[Rabat %]]),2)</f>
        <v>567.79999999999995</v>
      </c>
      <c r="N2343" s="14">
        <f>ROUND(tblSprzedaz[[#This Row],[Ilość]]*tblSprzedaz[[#This Row],[Koszt jednostkowy netto]],2)</f>
        <v>355.1</v>
      </c>
      <c r="O2343" s="14">
        <f>tblSprzedaz[[#This Row],[Przychód netto]]-tblSprzedaz[[#This Row],[Koszt całkowity netto]]</f>
        <v>212.69999999999993</v>
      </c>
      <c r="P2343" s="15">
        <f>IFERROR(tblSprzedaz[[#This Row],[Marża kwotowa]]/tblSprzedaz[[#This Row],[Przychód netto]],0)</f>
        <v>0.37460373370905237</v>
      </c>
      <c r="Q2343" s="16">
        <f>YEAR(tblSprzedaz[[#This Row],[Data]])</f>
        <v>2026</v>
      </c>
      <c r="R2343" s="16">
        <f>MONTH(tblSprzedaz[[#This Row],[Data]])</f>
        <v>9</v>
      </c>
      <c r="S2343" s="9" t="str">
        <f>YEAR(tblSprzedaz[[#This Row],[Data]])&amp;"-"&amp;RIGHT("0"&amp;MONTH(tblSprzedaz[[#This Row],[Data]]),2)</f>
        <v>2026-09</v>
      </c>
    </row>
    <row r="2344" spans="1:19" x14ac:dyDescent="0.25">
      <c r="A2344" s="7" t="s">
        <v>4855</v>
      </c>
      <c r="B2344" s="10">
        <v>46287</v>
      </c>
      <c r="C2344" s="7" t="s">
        <v>4856</v>
      </c>
      <c r="D2344" s="8" t="s">
        <v>146</v>
      </c>
      <c r="E2344" s="8" t="s">
        <v>65</v>
      </c>
      <c r="F2344" s="8" t="s">
        <v>33</v>
      </c>
      <c r="G2344" s="8" t="s">
        <v>28</v>
      </c>
      <c r="H2344" s="8" t="s">
        <v>38</v>
      </c>
      <c r="I2344" s="11">
        <v>6</v>
      </c>
      <c r="J2344" s="12">
        <v>377.2</v>
      </c>
      <c r="K2344" s="13">
        <v>0.15</v>
      </c>
      <c r="L2344" s="12">
        <v>255.92</v>
      </c>
      <c r="M2344" s="14">
        <f>ROUND(tblSprzedaz[[#This Row],[Ilość]]*tblSprzedaz[[#This Row],[Cena netto jednostkowa]]*(1-tblSprzedaz[[#This Row],[Rabat %]]),2)</f>
        <v>1923.72</v>
      </c>
      <c r="N2344" s="14">
        <f>ROUND(tblSprzedaz[[#This Row],[Ilość]]*tblSprzedaz[[#This Row],[Koszt jednostkowy netto]],2)</f>
        <v>1535.52</v>
      </c>
      <c r="O2344" s="14">
        <f>tblSprzedaz[[#This Row],[Przychód netto]]-tblSprzedaz[[#This Row],[Koszt całkowity netto]]</f>
        <v>388.20000000000005</v>
      </c>
      <c r="P2344" s="15">
        <f>IFERROR(tblSprzedaz[[#This Row],[Marża kwotowa]]/tblSprzedaz[[#This Row],[Przychód netto]],0)</f>
        <v>0.20179651924396483</v>
      </c>
      <c r="Q2344" s="16">
        <f>YEAR(tblSprzedaz[[#This Row],[Data]])</f>
        <v>2026</v>
      </c>
      <c r="R2344" s="16">
        <f>MONTH(tblSprzedaz[[#This Row],[Data]])</f>
        <v>9</v>
      </c>
      <c r="S2344" s="9" t="str">
        <f>YEAR(tblSprzedaz[[#This Row],[Data]])&amp;"-"&amp;RIGHT("0"&amp;MONTH(tblSprzedaz[[#This Row],[Data]]),2)</f>
        <v>2026-09</v>
      </c>
    </row>
    <row r="2345" spans="1:19" x14ac:dyDescent="0.25">
      <c r="A2345" s="7" t="s">
        <v>4857</v>
      </c>
      <c r="B2345" s="10">
        <v>46287</v>
      </c>
      <c r="C2345" s="7" t="s">
        <v>4858</v>
      </c>
      <c r="D2345" s="8" t="s">
        <v>136</v>
      </c>
      <c r="E2345" s="8" t="s">
        <v>61</v>
      </c>
      <c r="F2345" s="8" t="s">
        <v>33</v>
      </c>
      <c r="G2345" s="8" t="s">
        <v>36</v>
      </c>
      <c r="H2345" s="8" t="s">
        <v>46</v>
      </c>
      <c r="I2345" s="11">
        <v>7</v>
      </c>
      <c r="J2345" s="12">
        <v>533.6</v>
      </c>
      <c r="K2345" s="13">
        <v>0.1</v>
      </c>
      <c r="L2345" s="12">
        <v>381.22</v>
      </c>
      <c r="M2345" s="14">
        <f>ROUND(tblSprzedaz[[#This Row],[Ilość]]*tblSprzedaz[[#This Row],[Cena netto jednostkowa]]*(1-tblSprzedaz[[#This Row],[Rabat %]]),2)</f>
        <v>3361.68</v>
      </c>
      <c r="N2345" s="14">
        <f>ROUND(tblSprzedaz[[#This Row],[Ilość]]*tblSprzedaz[[#This Row],[Koszt jednostkowy netto]],2)</f>
        <v>2668.54</v>
      </c>
      <c r="O2345" s="14">
        <f>tblSprzedaz[[#This Row],[Przychód netto]]-tblSprzedaz[[#This Row],[Koszt całkowity netto]]</f>
        <v>693.13999999999987</v>
      </c>
      <c r="P2345" s="15">
        <f>IFERROR(tblSprzedaz[[#This Row],[Marża kwotowa]]/tblSprzedaz[[#This Row],[Przychód netto]],0)</f>
        <v>0.20618857238047639</v>
      </c>
      <c r="Q2345" s="16">
        <f>YEAR(tblSprzedaz[[#This Row],[Data]])</f>
        <v>2026</v>
      </c>
      <c r="R2345" s="16">
        <f>MONTH(tblSprzedaz[[#This Row],[Data]])</f>
        <v>9</v>
      </c>
      <c r="S2345" s="9" t="str">
        <f>YEAR(tblSprzedaz[[#This Row],[Data]])&amp;"-"&amp;RIGHT("0"&amp;MONTH(tblSprzedaz[[#This Row],[Data]]),2)</f>
        <v>2026-09</v>
      </c>
    </row>
    <row r="2346" spans="1:19" x14ac:dyDescent="0.25">
      <c r="A2346" s="7" t="s">
        <v>4859</v>
      </c>
      <c r="B2346" s="10">
        <v>46287</v>
      </c>
      <c r="C2346" s="7" t="s">
        <v>4860</v>
      </c>
      <c r="D2346" s="8" t="s">
        <v>82</v>
      </c>
      <c r="E2346" s="8" t="s">
        <v>55</v>
      </c>
      <c r="F2346" s="8" t="s">
        <v>31</v>
      </c>
      <c r="G2346" s="8" t="s">
        <v>34</v>
      </c>
      <c r="H2346" s="8" t="s">
        <v>44</v>
      </c>
      <c r="I2346" s="11">
        <v>10</v>
      </c>
      <c r="J2346" s="12">
        <v>243.6</v>
      </c>
      <c r="K2346" s="13">
        <v>0</v>
      </c>
      <c r="L2346" s="12">
        <v>163.9</v>
      </c>
      <c r="M2346" s="14">
        <f>ROUND(tblSprzedaz[[#This Row],[Ilość]]*tblSprzedaz[[#This Row],[Cena netto jednostkowa]]*(1-tblSprzedaz[[#This Row],[Rabat %]]),2)</f>
        <v>2436</v>
      </c>
      <c r="N2346" s="14">
        <f>ROUND(tblSprzedaz[[#This Row],[Ilość]]*tblSprzedaz[[#This Row],[Koszt jednostkowy netto]],2)</f>
        <v>1639</v>
      </c>
      <c r="O2346" s="14">
        <f>tblSprzedaz[[#This Row],[Przychód netto]]-tblSprzedaz[[#This Row],[Koszt całkowity netto]]</f>
        <v>797</v>
      </c>
      <c r="P2346" s="15">
        <f>IFERROR(tblSprzedaz[[#This Row],[Marża kwotowa]]/tblSprzedaz[[#This Row],[Przychód netto]],0)</f>
        <v>0.32717569786535305</v>
      </c>
      <c r="Q2346" s="16">
        <f>YEAR(tblSprzedaz[[#This Row],[Data]])</f>
        <v>2026</v>
      </c>
      <c r="R2346" s="16">
        <f>MONTH(tblSprzedaz[[#This Row],[Data]])</f>
        <v>9</v>
      </c>
      <c r="S2346" s="9" t="str">
        <f>YEAR(tblSprzedaz[[#This Row],[Data]])&amp;"-"&amp;RIGHT("0"&amp;MONTH(tblSprzedaz[[#This Row],[Data]]),2)</f>
        <v>2026-09</v>
      </c>
    </row>
    <row r="2347" spans="1:19" x14ac:dyDescent="0.25">
      <c r="A2347" s="7" t="s">
        <v>4861</v>
      </c>
      <c r="B2347" s="10">
        <v>46287</v>
      </c>
      <c r="C2347" s="7" t="s">
        <v>4862</v>
      </c>
      <c r="D2347" s="8" t="s">
        <v>91</v>
      </c>
      <c r="E2347" s="8" t="s">
        <v>48</v>
      </c>
      <c r="F2347" s="8" t="s">
        <v>29</v>
      </c>
      <c r="G2347" s="8" t="s">
        <v>34</v>
      </c>
      <c r="H2347" s="8" t="s">
        <v>45</v>
      </c>
      <c r="I2347" s="11">
        <v>1</v>
      </c>
      <c r="J2347" s="12">
        <v>33.659999999999997</v>
      </c>
      <c r="K2347" s="13">
        <v>0</v>
      </c>
      <c r="L2347" s="12">
        <v>19.36</v>
      </c>
      <c r="M2347" s="14">
        <f>ROUND(tblSprzedaz[[#This Row],[Ilość]]*tblSprzedaz[[#This Row],[Cena netto jednostkowa]]*(1-tblSprzedaz[[#This Row],[Rabat %]]),2)</f>
        <v>33.659999999999997</v>
      </c>
      <c r="N2347" s="14">
        <f>ROUND(tblSprzedaz[[#This Row],[Ilość]]*tblSprzedaz[[#This Row],[Koszt jednostkowy netto]],2)</f>
        <v>19.36</v>
      </c>
      <c r="O2347" s="14">
        <f>tblSprzedaz[[#This Row],[Przychód netto]]-tblSprzedaz[[#This Row],[Koszt całkowity netto]]</f>
        <v>14.299999999999997</v>
      </c>
      <c r="P2347" s="15">
        <f>IFERROR(tblSprzedaz[[#This Row],[Marża kwotowa]]/tblSprzedaz[[#This Row],[Przychód netto]],0)</f>
        <v>0.42483660130718948</v>
      </c>
      <c r="Q2347" s="16">
        <f>YEAR(tblSprzedaz[[#This Row],[Data]])</f>
        <v>2026</v>
      </c>
      <c r="R2347" s="16">
        <f>MONTH(tblSprzedaz[[#This Row],[Data]])</f>
        <v>9</v>
      </c>
      <c r="S2347" s="9" t="str">
        <f>YEAR(tblSprzedaz[[#This Row],[Data]])&amp;"-"&amp;RIGHT("0"&amp;MONTH(tblSprzedaz[[#This Row],[Data]]),2)</f>
        <v>2026-09</v>
      </c>
    </row>
    <row r="2348" spans="1:19" x14ac:dyDescent="0.25">
      <c r="A2348" s="7" t="s">
        <v>4863</v>
      </c>
      <c r="B2348" s="10">
        <v>46287</v>
      </c>
      <c r="C2348" s="7" t="s">
        <v>4864</v>
      </c>
      <c r="D2348" s="8" t="s">
        <v>92</v>
      </c>
      <c r="E2348" s="8" t="s">
        <v>67</v>
      </c>
      <c r="F2348" s="8" t="s">
        <v>35</v>
      </c>
      <c r="G2348" s="8" t="s">
        <v>34</v>
      </c>
      <c r="H2348" s="8" t="s">
        <v>45</v>
      </c>
      <c r="I2348" s="11">
        <v>2</v>
      </c>
      <c r="J2348" s="12">
        <v>78.88</v>
      </c>
      <c r="K2348" s="13">
        <v>0.15</v>
      </c>
      <c r="L2348" s="12">
        <v>57.35</v>
      </c>
      <c r="M2348" s="14">
        <f>ROUND(tblSprzedaz[[#This Row],[Ilość]]*tblSprzedaz[[#This Row],[Cena netto jednostkowa]]*(1-tblSprzedaz[[#This Row],[Rabat %]]),2)</f>
        <v>134.1</v>
      </c>
      <c r="N2348" s="14">
        <f>ROUND(tblSprzedaz[[#This Row],[Ilość]]*tblSprzedaz[[#This Row],[Koszt jednostkowy netto]],2)</f>
        <v>114.7</v>
      </c>
      <c r="O2348" s="14">
        <f>tblSprzedaz[[#This Row],[Przychód netto]]-tblSprzedaz[[#This Row],[Koszt całkowity netto]]</f>
        <v>19.399999999999991</v>
      </c>
      <c r="P2348" s="15">
        <f>IFERROR(tblSprzedaz[[#This Row],[Marża kwotowa]]/tblSprzedaz[[#This Row],[Przychód netto]],0)</f>
        <v>0.14466815809097683</v>
      </c>
      <c r="Q2348" s="16">
        <f>YEAR(tblSprzedaz[[#This Row],[Data]])</f>
        <v>2026</v>
      </c>
      <c r="R2348" s="16">
        <f>MONTH(tblSprzedaz[[#This Row],[Data]])</f>
        <v>9</v>
      </c>
      <c r="S2348" s="9" t="str">
        <f>YEAR(tblSprzedaz[[#This Row],[Data]])&amp;"-"&amp;RIGHT("0"&amp;MONTH(tblSprzedaz[[#This Row],[Data]]),2)</f>
        <v>2026-09</v>
      </c>
    </row>
    <row r="2349" spans="1:19" x14ac:dyDescent="0.25">
      <c r="A2349" s="7" t="s">
        <v>4865</v>
      </c>
      <c r="B2349" s="10">
        <v>46287</v>
      </c>
      <c r="C2349" s="7" t="s">
        <v>4866</v>
      </c>
      <c r="D2349" s="8" t="s">
        <v>129</v>
      </c>
      <c r="E2349" s="8" t="s">
        <v>58</v>
      </c>
      <c r="F2349" s="8" t="s">
        <v>31</v>
      </c>
      <c r="G2349" s="8" t="s">
        <v>36</v>
      </c>
      <c r="H2349" s="8" t="s">
        <v>47</v>
      </c>
      <c r="I2349" s="11">
        <v>7</v>
      </c>
      <c r="J2349" s="12">
        <v>350.7</v>
      </c>
      <c r="K2349" s="13">
        <v>0.05</v>
      </c>
      <c r="L2349" s="12">
        <v>233.69</v>
      </c>
      <c r="M2349" s="14">
        <f>ROUND(tblSprzedaz[[#This Row],[Ilość]]*tblSprzedaz[[#This Row],[Cena netto jednostkowa]]*(1-tblSprzedaz[[#This Row],[Rabat %]]),2)</f>
        <v>2332.16</v>
      </c>
      <c r="N2349" s="14">
        <f>ROUND(tblSprzedaz[[#This Row],[Ilość]]*tblSprzedaz[[#This Row],[Koszt jednostkowy netto]],2)</f>
        <v>1635.83</v>
      </c>
      <c r="O2349" s="14">
        <f>tblSprzedaz[[#This Row],[Przychód netto]]-tblSprzedaz[[#This Row],[Koszt całkowity netto]]</f>
        <v>696.32999999999993</v>
      </c>
      <c r="P2349" s="15">
        <f>IFERROR(tblSprzedaz[[#This Row],[Marża kwotowa]]/tblSprzedaz[[#This Row],[Przychód netto]],0)</f>
        <v>0.29857728457738747</v>
      </c>
      <c r="Q2349" s="16">
        <f>YEAR(tblSprzedaz[[#This Row],[Data]])</f>
        <v>2026</v>
      </c>
      <c r="R2349" s="16">
        <f>MONTH(tblSprzedaz[[#This Row],[Data]])</f>
        <v>9</v>
      </c>
      <c r="S2349" s="9" t="str">
        <f>YEAR(tblSprzedaz[[#This Row],[Data]])&amp;"-"&amp;RIGHT("0"&amp;MONTH(tblSprzedaz[[#This Row],[Data]]),2)</f>
        <v>2026-09</v>
      </c>
    </row>
    <row r="2350" spans="1:19" x14ac:dyDescent="0.25">
      <c r="A2350" s="7" t="s">
        <v>4867</v>
      </c>
      <c r="B2350" s="10">
        <v>46287</v>
      </c>
      <c r="C2350" s="7" t="s">
        <v>4868</v>
      </c>
      <c r="D2350" s="8" t="s">
        <v>124</v>
      </c>
      <c r="E2350" s="8" t="s">
        <v>71</v>
      </c>
      <c r="F2350" s="8" t="s">
        <v>35</v>
      </c>
      <c r="G2350" s="8" t="s">
        <v>28</v>
      </c>
      <c r="H2350" s="8" t="s">
        <v>38</v>
      </c>
      <c r="I2350" s="11">
        <v>4</v>
      </c>
      <c r="J2350" s="12">
        <v>55.76</v>
      </c>
      <c r="K2350" s="13">
        <v>0</v>
      </c>
      <c r="L2350" s="12">
        <v>41.05</v>
      </c>
      <c r="M2350" s="14">
        <f>ROUND(tblSprzedaz[[#This Row],[Ilość]]*tblSprzedaz[[#This Row],[Cena netto jednostkowa]]*(1-tblSprzedaz[[#This Row],[Rabat %]]),2)</f>
        <v>223.04</v>
      </c>
      <c r="N2350" s="14">
        <f>ROUND(tblSprzedaz[[#This Row],[Ilość]]*tblSprzedaz[[#This Row],[Koszt jednostkowy netto]],2)</f>
        <v>164.2</v>
      </c>
      <c r="O2350" s="14">
        <f>tblSprzedaz[[#This Row],[Przychód netto]]-tblSprzedaz[[#This Row],[Koszt całkowity netto]]</f>
        <v>58.84</v>
      </c>
      <c r="P2350" s="15">
        <f>IFERROR(tblSprzedaz[[#This Row],[Marża kwotowa]]/tblSprzedaz[[#This Row],[Przychód netto]],0)</f>
        <v>0.2638091822094692</v>
      </c>
      <c r="Q2350" s="16">
        <f>YEAR(tblSprzedaz[[#This Row],[Data]])</f>
        <v>2026</v>
      </c>
      <c r="R2350" s="16">
        <f>MONTH(tblSprzedaz[[#This Row],[Data]])</f>
        <v>9</v>
      </c>
      <c r="S2350" s="9" t="str">
        <f>YEAR(tblSprzedaz[[#This Row],[Data]])&amp;"-"&amp;RIGHT("0"&amp;MONTH(tblSprzedaz[[#This Row],[Data]]),2)</f>
        <v>2026-09</v>
      </c>
    </row>
    <row r="2351" spans="1:19" x14ac:dyDescent="0.25">
      <c r="A2351" s="7" t="s">
        <v>4869</v>
      </c>
      <c r="B2351" s="10">
        <v>46287</v>
      </c>
      <c r="C2351" s="7" t="s">
        <v>4870</v>
      </c>
      <c r="D2351" s="8" t="s">
        <v>140</v>
      </c>
      <c r="E2351" s="8" t="s">
        <v>52</v>
      </c>
      <c r="F2351" s="8" t="s">
        <v>29</v>
      </c>
      <c r="G2351" s="8" t="s">
        <v>36</v>
      </c>
      <c r="H2351" s="8" t="s">
        <v>46</v>
      </c>
      <c r="I2351" s="11">
        <v>12</v>
      </c>
      <c r="J2351" s="12">
        <v>56.78</v>
      </c>
      <c r="K2351" s="13">
        <v>0</v>
      </c>
      <c r="L2351" s="12">
        <v>32.880000000000003</v>
      </c>
      <c r="M2351" s="14">
        <f>ROUND(tblSprzedaz[[#This Row],[Ilość]]*tblSprzedaz[[#This Row],[Cena netto jednostkowa]]*(1-tblSprzedaz[[#This Row],[Rabat %]]),2)</f>
        <v>681.36</v>
      </c>
      <c r="N2351" s="14">
        <f>ROUND(tblSprzedaz[[#This Row],[Ilość]]*tblSprzedaz[[#This Row],[Koszt jednostkowy netto]],2)</f>
        <v>394.56</v>
      </c>
      <c r="O2351" s="14">
        <f>tblSprzedaz[[#This Row],[Przychód netto]]-tblSprzedaz[[#This Row],[Koszt całkowity netto]]</f>
        <v>286.8</v>
      </c>
      <c r="P2351" s="15">
        <f>IFERROR(tblSprzedaz[[#This Row],[Marża kwotowa]]/tblSprzedaz[[#This Row],[Przychód netto]],0)</f>
        <v>0.4209228601620289</v>
      </c>
      <c r="Q2351" s="16">
        <f>YEAR(tblSprzedaz[[#This Row],[Data]])</f>
        <v>2026</v>
      </c>
      <c r="R2351" s="16">
        <f>MONTH(tblSprzedaz[[#This Row],[Data]])</f>
        <v>9</v>
      </c>
      <c r="S2351" s="9" t="str">
        <f>YEAR(tblSprzedaz[[#This Row],[Data]])&amp;"-"&amp;RIGHT("0"&amp;MONTH(tblSprzedaz[[#This Row],[Data]]),2)</f>
        <v>2026-09</v>
      </c>
    </row>
    <row r="2352" spans="1:19" x14ac:dyDescent="0.25">
      <c r="A2352" s="7" t="s">
        <v>4871</v>
      </c>
      <c r="B2352" s="10">
        <v>46288</v>
      </c>
      <c r="C2352" s="7" t="s">
        <v>4872</v>
      </c>
      <c r="D2352" s="8" t="s">
        <v>140</v>
      </c>
      <c r="E2352" s="8" t="s">
        <v>50</v>
      </c>
      <c r="F2352" s="8" t="s">
        <v>29</v>
      </c>
      <c r="G2352" s="8" t="s">
        <v>36</v>
      </c>
      <c r="H2352" s="8" t="s">
        <v>47</v>
      </c>
      <c r="I2352" s="11">
        <v>26</v>
      </c>
      <c r="J2352" s="12">
        <v>45.22</v>
      </c>
      <c r="K2352" s="13">
        <v>0.15</v>
      </c>
      <c r="L2352" s="12">
        <v>26.65</v>
      </c>
      <c r="M2352" s="14">
        <f>ROUND(tblSprzedaz[[#This Row],[Ilość]]*tblSprzedaz[[#This Row],[Cena netto jednostkowa]]*(1-tblSprzedaz[[#This Row],[Rabat %]]),2)</f>
        <v>999.36</v>
      </c>
      <c r="N2352" s="14">
        <f>ROUND(tblSprzedaz[[#This Row],[Ilość]]*tblSprzedaz[[#This Row],[Koszt jednostkowy netto]],2)</f>
        <v>692.9</v>
      </c>
      <c r="O2352" s="14">
        <f>tblSprzedaz[[#This Row],[Przychód netto]]-tblSprzedaz[[#This Row],[Koszt całkowity netto]]</f>
        <v>306.46000000000004</v>
      </c>
      <c r="P2352" s="15">
        <f>IFERROR(tblSprzedaz[[#This Row],[Marża kwotowa]]/tblSprzedaz[[#This Row],[Przychód netto]],0)</f>
        <v>0.30665626000640411</v>
      </c>
      <c r="Q2352" s="16">
        <f>YEAR(tblSprzedaz[[#This Row],[Data]])</f>
        <v>2026</v>
      </c>
      <c r="R2352" s="16">
        <f>MONTH(tblSprzedaz[[#This Row],[Data]])</f>
        <v>9</v>
      </c>
      <c r="S2352" s="9" t="str">
        <f>YEAR(tblSprzedaz[[#This Row],[Data]])&amp;"-"&amp;RIGHT("0"&amp;MONTH(tblSprzedaz[[#This Row],[Data]]),2)</f>
        <v>2026-09</v>
      </c>
    </row>
    <row r="2353" spans="1:19" x14ac:dyDescent="0.25">
      <c r="A2353" s="7" t="s">
        <v>4873</v>
      </c>
      <c r="B2353" s="10">
        <v>46288</v>
      </c>
      <c r="C2353" s="7" t="s">
        <v>4874</v>
      </c>
      <c r="D2353" s="8" t="s">
        <v>144</v>
      </c>
      <c r="E2353" s="8" t="s">
        <v>48</v>
      </c>
      <c r="F2353" s="8" t="s">
        <v>29</v>
      </c>
      <c r="G2353" s="8" t="s">
        <v>28</v>
      </c>
      <c r="H2353" s="8" t="s">
        <v>39</v>
      </c>
      <c r="I2353" s="11">
        <v>26</v>
      </c>
      <c r="J2353" s="12">
        <v>33.659999999999997</v>
      </c>
      <c r="K2353" s="13">
        <v>0.05</v>
      </c>
      <c r="L2353" s="12">
        <v>18.559999999999999</v>
      </c>
      <c r="M2353" s="14">
        <f>ROUND(tblSprzedaz[[#This Row],[Ilość]]*tblSprzedaz[[#This Row],[Cena netto jednostkowa]]*(1-tblSprzedaz[[#This Row],[Rabat %]]),2)</f>
        <v>831.4</v>
      </c>
      <c r="N2353" s="14">
        <f>ROUND(tblSprzedaz[[#This Row],[Ilość]]*tblSprzedaz[[#This Row],[Koszt jednostkowy netto]],2)</f>
        <v>482.56</v>
      </c>
      <c r="O2353" s="14">
        <f>tblSprzedaz[[#This Row],[Przychód netto]]-tblSprzedaz[[#This Row],[Koszt całkowity netto]]</f>
        <v>348.84</v>
      </c>
      <c r="P2353" s="15">
        <f>IFERROR(tblSprzedaz[[#This Row],[Marża kwotowa]]/tblSprzedaz[[#This Row],[Przychód netto]],0)</f>
        <v>0.41958142891508299</v>
      </c>
      <c r="Q2353" s="16">
        <f>YEAR(tblSprzedaz[[#This Row],[Data]])</f>
        <v>2026</v>
      </c>
      <c r="R2353" s="16">
        <f>MONTH(tblSprzedaz[[#This Row],[Data]])</f>
        <v>9</v>
      </c>
      <c r="S2353" s="9" t="str">
        <f>YEAR(tblSprzedaz[[#This Row],[Data]])&amp;"-"&amp;RIGHT("0"&amp;MONTH(tblSprzedaz[[#This Row],[Data]]),2)</f>
        <v>2026-09</v>
      </c>
    </row>
    <row r="2354" spans="1:19" x14ac:dyDescent="0.25">
      <c r="A2354" s="7" t="s">
        <v>4875</v>
      </c>
      <c r="B2354" s="10">
        <v>46288</v>
      </c>
      <c r="C2354" s="7" t="s">
        <v>4876</v>
      </c>
      <c r="D2354" s="8" t="s">
        <v>146</v>
      </c>
      <c r="E2354" s="8" t="s">
        <v>54</v>
      </c>
      <c r="F2354" s="8" t="s">
        <v>31</v>
      </c>
      <c r="G2354" s="8" t="s">
        <v>36</v>
      </c>
      <c r="H2354" s="8" t="s">
        <v>47</v>
      </c>
      <c r="I2354" s="11">
        <v>12</v>
      </c>
      <c r="J2354" s="12">
        <v>207.9</v>
      </c>
      <c r="K2354" s="13">
        <v>0.1</v>
      </c>
      <c r="L2354" s="12">
        <v>135.75</v>
      </c>
      <c r="M2354" s="14">
        <f>ROUND(tblSprzedaz[[#This Row],[Ilość]]*tblSprzedaz[[#This Row],[Cena netto jednostkowa]]*(1-tblSprzedaz[[#This Row],[Rabat %]]),2)</f>
        <v>2245.3200000000002</v>
      </c>
      <c r="N2354" s="14">
        <f>ROUND(tblSprzedaz[[#This Row],[Ilość]]*tblSprzedaz[[#This Row],[Koszt jednostkowy netto]],2)</f>
        <v>1629</v>
      </c>
      <c r="O2354" s="14">
        <f>tblSprzedaz[[#This Row],[Przychód netto]]-tblSprzedaz[[#This Row],[Koszt całkowity netto]]</f>
        <v>616.32000000000016</v>
      </c>
      <c r="P2354" s="15">
        <f>IFERROR(tblSprzedaz[[#This Row],[Marża kwotowa]]/tblSprzedaz[[#This Row],[Przychód netto]],0)</f>
        <v>0.27449094115760786</v>
      </c>
      <c r="Q2354" s="16">
        <f>YEAR(tblSprzedaz[[#This Row],[Data]])</f>
        <v>2026</v>
      </c>
      <c r="R2354" s="16">
        <f>MONTH(tblSprzedaz[[#This Row],[Data]])</f>
        <v>9</v>
      </c>
      <c r="S2354" s="9" t="str">
        <f>YEAR(tblSprzedaz[[#This Row],[Data]])&amp;"-"&amp;RIGHT("0"&amp;MONTH(tblSprzedaz[[#This Row],[Data]]),2)</f>
        <v>2026-09</v>
      </c>
    </row>
    <row r="2355" spans="1:19" x14ac:dyDescent="0.25">
      <c r="A2355" s="7" t="s">
        <v>4877</v>
      </c>
      <c r="B2355" s="10">
        <v>46288</v>
      </c>
      <c r="C2355" s="7" t="s">
        <v>4878</v>
      </c>
      <c r="D2355" s="8" t="s">
        <v>139</v>
      </c>
      <c r="E2355" s="8" t="s">
        <v>64</v>
      </c>
      <c r="F2355" s="8" t="s">
        <v>33</v>
      </c>
      <c r="G2355" s="8" t="s">
        <v>30</v>
      </c>
      <c r="H2355" s="8" t="s">
        <v>41</v>
      </c>
      <c r="I2355" s="11">
        <v>18</v>
      </c>
      <c r="J2355" s="12">
        <v>768.2</v>
      </c>
      <c r="K2355" s="13">
        <v>0.1</v>
      </c>
      <c r="L2355" s="12">
        <v>504.18</v>
      </c>
      <c r="M2355" s="14">
        <f>ROUND(tblSprzedaz[[#This Row],[Ilość]]*tblSprzedaz[[#This Row],[Cena netto jednostkowa]]*(1-tblSprzedaz[[#This Row],[Rabat %]]),2)</f>
        <v>12444.84</v>
      </c>
      <c r="N2355" s="14">
        <f>ROUND(tblSprzedaz[[#This Row],[Ilość]]*tblSprzedaz[[#This Row],[Koszt jednostkowy netto]],2)</f>
        <v>9075.24</v>
      </c>
      <c r="O2355" s="14">
        <f>tblSprzedaz[[#This Row],[Przychód netto]]-tblSprzedaz[[#This Row],[Koszt całkowity netto]]</f>
        <v>3369.6000000000004</v>
      </c>
      <c r="P2355" s="15">
        <f>IFERROR(tblSprzedaz[[#This Row],[Marża kwotowa]]/tblSprzedaz[[#This Row],[Przychód netto]],0)</f>
        <v>0.27076282218172354</v>
      </c>
      <c r="Q2355" s="16">
        <f>YEAR(tblSprzedaz[[#This Row],[Data]])</f>
        <v>2026</v>
      </c>
      <c r="R2355" s="16">
        <f>MONTH(tblSprzedaz[[#This Row],[Data]])</f>
        <v>9</v>
      </c>
      <c r="S2355" s="9" t="str">
        <f>YEAR(tblSprzedaz[[#This Row],[Data]])&amp;"-"&amp;RIGHT("0"&amp;MONTH(tblSprzedaz[[#This Row],[Data]]),2)</f>
        <v>2026-09</v>
      </c>
    </row>
    <row r="2356" spans="1:19" x14ac:dyDescent="0.25">
      <c r="A2356" s="7" t="s">
        <v>4879</v>
      </c>
      <c r="B2356" s="10">
        <v>46288</v>
      </c>
      <c r="C2356" s="7" t="s">
        <v>4880</v>
      </c>
      <c r="D2356" s="8" t="s">
        <v>135</v>
      </c>
      <c r="E2356" s="8" t="s">
        <v>66</v>
      </c>
      <c r="F2356" s="8" t="s">
        <v>35</v>
      </c>
      <c r="G2356" s="8" t="s">
        <v>28</v>
      </c>
      <c r="H2356" s="8" t="s">
        <v>38</v>
      </c>
      <c r="I2356" s="11">
        <v>25</v>
      </c>
      <c r="J2356" s="12">
        <v>67.319999999999993</v>
      </c>
      <c r="K2356" s="13">
        <v>0.1</v>
      </c>
      <c r="L2356" s="12">
        <v>49.34</v>
      </c>
      <c r="M2356" s="14">
        <f>ROUND(tblSprzedaz[[#This Row],[Ilość]]*tblSprzedaz[[#This Row],[Cena netto jednostkowa]]*(1-tblSprzedaz[[#This Row],[Rabat %]]),2)</f>
        <v>1514.7</v>
      </c>
      <c r="N2356" s="14">
        <f>ROUND(tblSprzedaz[[#This Row],[Ilość]]*tblSprzedaz[[#This Row],[Koszt jednostkowy netto]],2)</f>
        <v>1233.5</v>
      </c>
      <c r="O2356" s="14">
        <f>tblSprzedaz[[#This Row],[Przychód netto]]-tblSprzedaz[[#This Row],[Koszt całkowity netto]]</f>
        <v>281.20000000000005</v>
      </c>
      <c r="P2356" s="15">
        <f>IFERROR(tblSprzedaz[[#This Row],[Marża kwotowa]]/tblSprzedaz[[#This Row],[Przychód netto]],0)</f>
        <v>0.18564732290222488</v>
      </c>
      <c r="Q2356" s="16">
        <f>YEAR(tblSprzedaz[[#This Row],[Data]])</f>
        <v>2026</v>
      </c>
      <c r="R2356" s="16">
        <f>MONTH(tblSprzedaz[[#This Row],[Data]])</f>
        <v>9</v>
      </c>
      <c r="S2356" s="9" t="str">
        <f>YEAR(tblSprzedaz[[#This Row],[Data]])&amp;"-"&amp;RIGHT("0"&amp;MONTH(tblSprzedaz[[#This Row],[Data]]),2)</f>
        <v>2026-09</v>
      </c>
    </row>
    <row r="2357" spans="1:19" x14ac:dyDescent="0.25">
      <c r="A2357" s="7" t="s">
        <v>4881</v>
      </c>
      <c r="B2357" s="10">
        <v>46288</v>
      </c>
      <c r="C2357" s="7" t="s">
        <v>4882</v>
      </c>
      <c r="D2357" s="8" t="s">
        <v>105</v>
      </c>
      <c r="E2357" s="8" t="s">
        <v>72</v>
      </c>
      <c r="F2357" s="8" t="s">
        <v>37</v>
      </c>
      <c r="G2357" s="8" t="s">
        <v>36</v>
      </c>
      <c r="H2357" s="8" t="s">
        <v>47</v>
      </c>
      <c r="I2357" s="11">
        <v>30</v>
      </c>
      <c r="J2357" s="12">
        <v>94.05</v>
      </c>
      <c r="K2357" s="13">
        <v>0</v>
      </c>
      <c r="L2357" s="12">
        <v>72.459999999999994</v>
      </c>
      <c r="M2357" s="14">
        <f>ROUND(tblSprzedaz[[#This Row],[Ilość]]*tblSprzedaz[[#This Row],[Cena netto jednostkowa]]*(1-tblSprzedaz[[#This Row],[Rabat %]]),2)</f>
        <v>2821.5</v>
      </c>
      <c r="N2357" s="14">
        <f>ROUND(tblSprzedaz[[#This Row],[Ilość]]*tblSprzedaz[[#This Row],[Koszt jednostkowy netto]],2)</f>
        <v>2173.8000000000002</v>
      </c>
      <c r="O2357" s="14">
        <f>tblSprzedaz[[#This Row],[Przychód netto]]-tblSprzedaz[[#This Row],[Koszt całkowity netto]]</f>
        <v>647.69999999999982</v>
      </c>
      <c r="P2357" s="15">
        <f>IFERROR(tblSprzedaz[[#This Row],[Marża kwotowa]]/tblSprzedaz[[#This Row],[Przychód netto]],0)</f>
        <v>0.22955874534821896</v>
      </c>
      <c r="Q2357" s="16">
        <f>YEAR(tblSprzedaz[[#This Row],[Data]])</f>
        <v>2026</v>
      </c>
      <c r="R2357" s="16">
        <f>MONTH(tblSprzedaz[[#This Row],[Data]])</f>
        <v>9</v>
      </c>
      <c r="S2357" s="9" t="str">
        <f>YEAR(tblSprzedaz[[#This Row],[Data]])&amp;"-"&amp;RIGHT("0"&amp;MONTH(tblSprzedaz[[#This Row],[Data]]),2)</f>
        <v>2026-09</v>
      </c>
    </row>
    <row r="2358" spans="1:19" x14ac:dyDescent="0.25">
      <c r="A2358" s="7" t="s">
        <v>4883</v>
      </c>
      <c r="B2358" s="10">
        <v>46289</v>
      </c>
      <c r="C2358" s="7" t="s">
        <v>4884</v>
      </c>
      <c r="D2358" s="8" t="s">
        <v>107</v>
      </c>
      <c r="E2358" s="8" t="s">
        <v>58</v>
      </c>
      <c r="F2358" s="8" t="s">
        <v>31</v>
      </c>
      <c r="G2358" s="8" t="s">
        <v>30</v>
      </c>
      <c r="H2358" s="8" t="s">
        <v>40</v>
      </c>
      <c r="I2358" s="11">
        <v>26</v>
      </c>
      <c r="J2358" s="12">
        <v>350.7</v>
      </c>
      <c r="K2358" s="13">
        <v>0.15</v>
      </c>
      <c r="L2358" s="12">
        <v>214.63</v>
      </c>
      <c r="M2358" s="14">
        <f>ROUND(tblSprzedaz[[#This Row],[Ilość]]*tblSprzedaz[[#This Row],[Cena netto jednostkowa]]*(1-tblSprzedaz[[#This Row],[Rabat %]]),2)</f>
        <v>7750.47</v>
      </c>
      <c r="N2358" s="14">
        <f>ROUND(tblSprzedaz[[#This Row],[Ilość]]*tblSprzedaz[[#This Row],[Koszt jednostkowy netto]],2)</f>
        <v>5580.38</v>
      </c>
      <c r="O2358" s="14">
        <f>tblSprzedaz[[#This Row],[Przychód netto]]-tblSprzedaz[[#This Row],[Koszt całkowity netto]]</f>
        <v>2170.09</v>
      </c>
      <c r="P2358" s="15">
        <f>IFERROR(tblSprzedaz[[#This Row],[Marża kwotowa]]/tblSprzedaz[[#This Row],[Przychód netto]],0)</f>
        <v>0.27999463258357238</v>
      </c>
      <c r="Q2358" s="16">
        <f>YEAR(tblSprzedaz[[#This Row],[Data]])</f>
        <v>2026</v>
      </c>
      <c r="R2358" s="16">
        <f>MONTH(tblSprzedaz[[#This Row],[Data]])</f>
        <v>9</v>
      </c>
      <c r="S2358" s="9" t="str">
        <f>YEAR(tblSprzedaz[[#This Row],[Data]])&amp;"-"&amp;RIGHT("0"&amp;MONTH(tblSprzedaz[[#This Row],[Data]]),2)</f>
        <v>2026-09</v>
      </c>
    </row>
    <row r="2359" spans="1:19" x14ac:dyDescent="0.25">
      <c r="A2359" s="7" t="s">
        <v>4885</v>
      </c>
      <c r="B2359" s="10">
        <v>46289</v>
      </c>
      <c r="C2359" s="7" t="s">
        <v>4886</v>
      </c>
      <c r="D2359" s="8" t="s">
        <v>88</v>
      </c>
      <c r="E2359" s="8" t="s">
        <v>77</v>
      </c>
      <c r="F2359" s="8" t="s">
        <v>37</v>
      </c>
      <c r="G2359" s="8" t="s">
        <v>34</v>
      </c>
      <c r="H2359" s="8" t="s">
        <v>44</v>
      </c>
      <c r="I2359" s="11">
        <v>5</v>
      </c>
      <c r="J2359" s="12">
        <v>77.900000000000006</v>
      </c>
      <c r="K2359" s="13">
        <v>0.05</v>
      </c>
      <c r="L2359" s="12">
        <v>58.72</v>
      </c>
      <c r="M2359" s="14">
        <f>ROUND(tblSprzedaz[[#This Row],[Ilość]]*tblSprzedaz[[#This Row],[Cena netto jednostkowa]]*(1-tblSprzedaz[[#This Row],[Rabat %]]),2)</f>
        <v>370.03</v>
      </c>
      <c r="N2359" s="14">
        <f>ROUND(tblSprzedaz[[#This Row],[Ilość]]*tblSprzedaz[[#This Row],[Koszt jednostkowy netto]],2)</f>
        <v>293.60000000000002</v>
      </c>
      <c r="O2359" s="14">
        <f>tblSprzedaz[[#This Row],[Przychód netto]]-tblSprzedaz[[#This Row],[Koszt całkowity netto]]</f>
        <v>76.42999999999995</v>
      </c>
      <c r="P2359" s="15">
        <f>IFERROR(tblSprzedaz[[#This Row],[Marża kwotowa]]/tblSprzedaz[[#This Row],[Przychód netto]],0)</f>
        <v>0.20655082020376714</v>
      </c>
      <c r="Q2359" s="16">
        <f>YEAR(tblSprzedaz[[#This Row],[Data]])</f>
        <v>2026</v>
      </c>
      <c r="R2359" s="16">
        <f>MONTH(tblSprzedaz[[#This Row],[Data]])</f>
        <v>9</v>
      </c>
      <c r="S2359" s="9" t="str">
        <f>YEAR(tblSprzedaz[[#This Row],[Data]])&amp;"-"&amp;RIGHT("0"&amp;MONTH(tblSprzedaz[[#This Row],[Data]]),2)</f>
        <v>2026-09</v>
      </c>
    </row>
    <row r="2360" spans="1:19" x14ac:dyDescent="0.25">
      <c r="A2360" s="7" t="s">
        <v>4887</v>
      </c>
      <c r="B2360" s="10">
        <v>46289</v>
      </c>
      <c r="C2360" s="7" t="s">
        <v>4888</v>
      </c>
      <c r="D2360" s="8" t="s">
        <v>95</v>
      </c>
      <c r="E2360" s="8" t="s">
        <v>74</v>
      </c>
      <c r="F2360" s="8" t="s">
        <v>37</v>
      </c>
      <c r="G2360" s="8" t="s">
        <v>30</v>
      </c>
      <c r="H2360" s="8" t="s">
        <v>41</v>
      </c>
      <c r="I2360" s="11">
        <v>31</v>
      </c>
      <c r="J2360" s="12">
        <v>126.35</v>
      </c>
      <c r="K2360" s="13">
        <v>0.05</v>
      </c>
      <c r="L2360" s="12">
        <v>98.71</v>
      </c>
      <c r="M2360" s="14">
        <f>ROUND(tblSprzedaz[[#This Row],[Ilość]]*tblSprzedaz[[#This Row],[Cena netto jednostkowa]]*(1-tblSprzedaz[[#This Row],[Rabat %]]),2)</f>
        <v>3721.01</v>
      </c>
      <c r="N2360" s="14">
        <f>ROUND(tblSprzedaz[[#This Row],[Ilość]]*tblSprzedaz[[#This Row],[Koszt jednostkowy netto]],2)</f>
        <v>3060.01</v>
      </c>
      <c r="O2360" s="14">
        <f>tblSprzedaz[[#This Row],[Przychód netto]]-tblSprzedaz[[#This Row],[Koszt całkowity netto]]</f>
        <v>661</v>
      </c>
      <c r="P2360" s="15">
        <f>IFERROR(tblSprzedaz[[#This Row],[Marża kwotowa]]/tblSprzedaz[[#This Row],[Przychód netto]],0)</f>
        <v>0.17763994184374671</v>
      </c>
      <c r="Q2360" s="16">
        <f>YEAR(tblSprzedaz[[#This Row],[Data]])</f>
        <v>2026</v>
      </c>
      <c r="R2360" s="16">
        <f>MONTH(tblSprzedaz[[#This Row],[Data]])</f>
        <v>9</v>
      </c>
      <c r="S2360" s="9" t="str">
        <f>YEAR(tblSprzedaz[[#This Row],[Data]])&amp;"-"&amp;RIGHT("0"&amp;MONTH(tblSprzedaz[[#This Row],[Data]]),2)</f>
        <v>2026-09</v>
      </c>
    </row>
    <row r="2361" spans="1:19" x14ac:dyDescent="0.25">
      <c r="A2361" s="7" t="s">
        <v>4889</v>
      </c>
      <c r="B2361" s="10">
        <v>46289</v>
      </c>
      <c r="C2361" s="7" t="s">
        <v>4890</v>
      </c>
      <c r="D2361" s="8" t="s">
        <v>108</v>
      </c>
      <c r="E2361" s="8" t="s">
        <v>60</v>
      </c>
      <c r="F2361" s="8" t="s">
        <v>33</v>
      </c>
      <c r="G2361" s="8" t="s">
        <v>36</v>
      </c>
      <c r="H2361" s="8" t="s">
        <v>46</v>
      </c>
      <c r="I2361" s="11">
        <v>24</v>
      </c>
      <c r="J2361" s="12">
        <v>455.4</v>
      </c>
      <c r="K2361" s="13">
        <v>0.05</v>
      </c>
      <c r="L2361" s="12">
        <v>321.79000000000002</v>
      </c>
      <c r="M2361" s="14">
        <f>ROUND(tblSprzedaz[[#This Row],[Ilość]]*tblSprzedaz[[#This Row],[Cena netto jednostkowa]]*(1-tblSprzedaz[[#This Row],[Rabat %]]),2)</f>
        <v>10383.120000000001</v>
      </c>
      <c r="N2361" s="14">
        <f>ROUND(tblSprzedaz[[#This Row],[Ilość]]*tblSprzedaz[[#This Row],[Koszt jednostkowy netto]],2)</f>
        <v>7722.96</v>
      </c>
      <c r="O2361" s="14">
        <f>tblSprzedaz[[#This Row],[Przychód netto]]-tblSprzedaz[[#This Row],[Koszt całkowity netto]]</f>
        <v>2660.1600000000008</v>
      </c>
      <c r="P2361" s="15">
        <f>IFERROR(tblSprzedaz[[#This Row],[Marża kwotowa]]/tblSprzedaz[[#This Row],[Przychód netto]],0)</f>
        <v>0.25620044842012812</v>
      </c>
      <c r="Q2361" s="16">
        <f>YEAR(tblSprzedaz[[#This Row],[Data]])</f>
        <v>2026</v>
      </c>
      <c r="R2361" s="16">
        <f>MONTH(tblSprzedaz[[#This Row],[Data]])</f>
        <v>9</v>
      </c>
      <c r="S2361" s="9" t="str">
        <f>YEAR(tblSprzedaz[[#This Row],[Data]])&amp;"-"&amp;RIGHT("0"&amp;MONTH(tblSprzedaz[[#This Row],[Data]]),2)</f>
        <v>2026-09</v>
      </c>
    </row>
    <row r="2362" spans="1:19" x14ac:dyDescent="0.25">
      <c r="A2362" s="7" t="s">
        <v>4891</v>
      </c>
      <c r="B2362" s="10">
        <v>46289</v>
      </c>
      <c r="C2362" s="7" t="s">
        <v>4892</v>
      </c>
      <c r="D2362" s="8" t="s">
        <v>133</v>
      </c>
      <c r="E2362" s="8" t="s">
        <v>50</v>
      </c>
      <c r="F2362" s="8" t="s">
        <v>29</v>
      </c>
      <c r="G2362" s="8" t="s">
        <v>30</v>
      </c>
      <c r="H2362" s="8" t="s">
        <v>40</v>
      </c>
      <c r="I2362" s="11">
        <v>23</v>
      </c>
      <c r="J2362" s="12">
        <v>45.22</v>
      </c>
      <c r="K2362" s="13">
        <v>0.1</v>
      </c>
      <c r="L2362" s="12">
        <v>25.88</v>
      </c>
      <c r="M2362" s="14">
        <f>ROUND(tblSprzedaz[[#This Row],[Ilość]]*tblSprzedaz[[#This Row],[Cena netto jednostkowa]]*(1-tblSprzedaz[[#This Row],[Rabat %]]),2)</f>
        <v>936.05</v>
      </c>
      <c r="N2362" s="14">
        <f>ROUND(tblSprzedaz[[#This Row],[Ilość]]*tblSprzedaz[[#This Row],[Koszt jednostkowy netto]],2)</f>
        <v>595.24</v>
      </c>
      <c r="O2362" s="14">
        <f>tblSprzedaz[[#This Row],[Przychód netto]]-tblSprzedaz[[#This Row],[Koszt całkowity netto]]</f>
        <v>340.80999999999995</v>
      </c>
      <c r="P2362" s="15">
        <f>IFERROR(tblSprzedaz[[#This Row],[Marża kwotowa]]/tblSprzedaz[[#This Row],[Przychód netto]],0)</f>
        <v>0.36409379840820466</v>
      </c>
      <c r="Q2362" s="16">
        <f>YEAR(tblSprzedaz[[#This Row],[Data]])</f>
        <v>2026</v>
      </c>
      <c r="R2362" s="16">
        <f>MONTH(tblSprzedaz[[#This Row],[Data]])</f>
        <v>9</v>
      </c>
      <c r="S2362" s="9" t="str">
        <f>YEAR(tblSprzedaz[[#This Row],[Data]])&amp;"-"&amp;RIGHT("0"&amp;MONTH(tblSprzedaz[[#This Row],[Data]]),2)</f>
        <v>2026-09</v>
      </c>
    </row>
    <row r="2363" spans="1:19" x14ac:dyDescent="0.25">
      <c r="A2363" s="7" t="s">
        <v>4893</v>
      </c>
      <c r="B2363" s="10">
        <v>46289</v>
      </c>
      <c r="C2363" s="7" t="s">
        <v>4894</v>
      </c>
      <c r="D2363" s="8" t="s">
        <v>117</v>
      </c>
      <c r="E2363" s="8" t="s">
        <v>71</v>
      </c>
      <c r="F2363" s="8" t="s">
        <v>35</v>
      </c>
      <c r="G2363" s="8" t="s">
        <v>30</v>
      </c>
      <c r="H2363" s="8" t="s">
        <v>41</v>
      </c>
      <c r="I2363" s="11">
        <v>6</v>
      </c>
      <c r="J2363" s="12">
        <v>55.76</v>
      </c>
      <c r="K2363" s="13">
        <v>0</v>
      </c>
      <c r="L2363" s="12">
        <v>40.07</v>
      </c>
      <c r="M2363" s="14">
        <f>ROUND(tblSprzedaz[[#This Row],[Ilość]]*tblSprzedaz[[#This Row],[Cena netto jednostkowa]]*(1-tblSprzedaz[[#This Row],[Rabat %]]),2)</f>
        <v>334.56</v>
      </c>
      <c r="N2363" s="14">
        <f>ROUND(tblSprzedaz[[#This Row],[Ilość]]*tblSprzedaz[[#This Row],[Koszt jednostkowy netto]],2)</f>
        <v>240.42</v>
      </c>
      <c r="O2363" s="14">
        <f>tblSprzedaz[[#This Row],[Przychód netto]]-tblSprzedaz[[#This Row],[Koszt całkowity netto]]</f>
        <v>94.140000000000015</v>
      </c>
      <c r="P2363" s="15">
        <f>IFERROR(tblSprzedaz[[#This Row],[Marża kwotowa]]/tblSprzedaz[[#This Row],[Przychód netto]],0)</f>
        <v>0.28138450502152085</v>
      </c>
      <c r="Q2363" s="16">
        <f>YEAR(tblSprzedaz[[#This Row],[Data]])</f>
        <v>2026</v>
      </c>
      <c r="R2363" s="16">
        <f>MONTH(tblSprzedaz[[#This Row],[Data]])</f>
        <v>9</v>
      </c>
      <c r="S2363" s="9" t="str">
        <f>YEAR(tblSprzedaz[[#This Row],[Data]])&amp;"-"&amp;RIGHT("0"&amp;MONTH(tblSprzedaz[[#This Row],[Data]]),2)</f>
        <v>2026-09</v>
      </c>
    </row>
    <row r="2364" spans="1:19" x14ac:dyDescent="0.25">
      <c r="A2364" s="7" t="s">
        <v>4895</v>
      </c>
      <c r="B2364" s="10">
        <v>46289</v>
      </c>
      <c r="C2364" s="7" t="s">
        <v>4896</v>
      </c>
      <c r="D2364" s="8" t="s">
        <v>130</v>
      </c>
      <c r="E2364" s="8" t="s">
        <v>70</v>
      </c>
      <c r="F2364" s="8" t="s">
        <v>35</v>
      </c>
      <c r="G2364" s="8" t="s">
        <v>30</v>
      </c>
      <c r="H2364" s="8" t="s">
        <v>40</v>
      </c>
      <c r="I2364" s="11">
        <v>18</v>
      </c>
      <c r="J2364" s="12">
        <v>113.56</v>
      </c>
      <c r="K2364" s="13">
        <v>0.05</v>
      </c>
      <c r="L2364" s="12">
        <v>82.23</v>
      </c>
      <c r="M2364" s="14">
        <f>ROUND(tblSprzedaz[[#This Row],[Ilość]]*tblSprzedaz[[#This Row],[Cena netto jednostkowa]]*(1-tblSprzedaz[[#This Row],[Rabat %]]),2)</f>
        <v>1941.88</v>
      </c>
      <c r="N2364" s="14">
        <f>ROUND(tblSprzedaz[[#This Row],[Ilość]]*tblSprzedaz[[#This Row],[Koszt jednostkowy netto]],2)</f>
        <v>1480.14</v>
      </c>
      <c r="O2364" s="14">
        <f>tblSprzedaz[[#This Row],[Przychód netto]]-tblSprzedaz[[#This Row],[Koszt całkowity netto]]</f>
        <v>461.74</v>
      </c>
      <c r="P2364" s="15">
        <f>IFERROR(tblSprzedaz[[#This Row],[Marża kwotowa]]/tblSprzedaz[[#This Row],[Przychód netto]],0)</f>
        <v>0.2377798834119513</v>
      </c>
      <c r="Q2364" s="16">
        <f>YEAR(tblSprzedaz[[#This Row],[Data]])</f>
        <v>2026</v>
      </c>
      <c r="R2364" s="16">
        <f>MONTH(tblSprzedaz[[#This Row],[Data]])</f>
        <v>9</v>
      </c>
      <c r="S2364" s="9" t="str">
        <f>YEAR(tblSprzedaz[[#This Row],[Data]])&amp;"-"&amp;RIGHT("0"&amp;MONTH(tblSprzedaz[[#This Row],[Data]]),2)</f>
        <v>2026-09</v>
      </c>
    </row>
    <row r="2365" spans="1:19" x14ac:dyDescent="0.25">
      <c r="A2365" s="7" t="s">
        <v>4897</v>
      </c>
      <c r="B2365" s="10">
        <v>46290</v>
      </c>
      <c r="C2365" s="7" t="s">
        <v>4898</v>
      </c>
      <c r="D2365" s="8" t="s">
        <v>106</v>
      </c>
      <c r="E2365" s="8" t="s">
        <v>62</v>
      </c>
      <c r="F2365" s="8" t="s">
        <v>33</v>
      </c>
      <c r="G2365" s="8" t="s">
        <v>36</v>
      </c>
      <c r="H2365" s="8" t="s">
        <v>47</v>
      </c>
      <c r="I2365" s="11">
        <v>23</v>
      </c>
      <c r="J2365" s="12">
        <v>611.79999999999995</v>
      </c>
      <c r="K2365" s="13">
        <v>0.1</v>
      </c>
      <c r="L2365" s="12">
        <v>396.77</v>
      </c>
      <c r="M2365" s="14">
        <f>ROUND(tblSprzedaz[[#This Row],[Ilość]]*tblSprzedaz[[#This Row],[Cena netto jednostkowa]]*(1-tblSprzedaz[[#This Row],[Rabat %]]),2)</f>
        <v>12664.26</v>
      </c>
      <c r="N2365" s="14">
        <f>ROUND(tblSprzedaz[[#This Row],[Ilość]]*tblSprzedaz[[#This Row],[Koszt jednostkowy netto]],2)</f>
        <v>9125.7099999999991</v>
      </c>
      <c r="O2365" s="14">
        <f>tblSprzedaz[[#This Row],[Przychód netto]]-tblSprzedaz[[#This Row],[Koszt całkowity netto]]</f>
        <v>3538.5500000000011</v>
      </c>
      <c r="P2365" s="15">
        <f>IFERROR(tblSprzedaz[[#This Row],[Marża kwotowa]]/tblSprzedaz[[#This Row],[Przychód netto]],0)</f>
        <v>0.27941229886309987</v>
      </c>
      <c r="Q2365" s="16">
        <f>YEAR(tblSprzedaz[[#This Row],[Data]])</f>
        <v>2026</v>
      </c>
      <c r="R2365" s="16">
        <f>MONTH(tblSprzedaz[[#This Row],[Data]])</f>
        <v>9</v>
      </c>
      <c r="S2365" s="9" t="str">
        <f>YEAR(tblSprzedaz[[#This Row],[Data]])&amp;"-"&amp;RIGHT("0"&amp;MONTH(tblSprzedaz[[#This Row],[Data]]),2)</f>
        <v>2026-09</v>
      </c>
    </row>
    <row r="2366" spans="1:19" x14ac:dyDescent="0.25">
      <c r="A2366" s="7" t="s">
        <v>4899</v>
      </c>
      <c r="B2366" s="10">
        <v>46290</v>
      </c>
      <c r="C2366" s="7" t="s">
        <v>4900</v>
      </c>
      <c r="D2366" s="8" t="s">
        <v>143</v>
      </c>
      <c r="E2366" s="8" t="s">
        <v>60</v>
      </c>
      <c r="F2366" s="8" t="s">
        <v>33</v>
      </c>
      <c r="G2366" s="8" t="s">
        <v>34</v>
      </c>
      <c r="H2366" s="8" t="s">
        <v>44</v>
      </c>
      <c r="I2366" s="11">
        <v>4</v>
      </c>
      <c r="J2366" s="12">
        <v>455.4</v>
      </c>
      <c r="K2366" s="13">
        <v>0.15</v>
      </c>
      <c r="L2366" s="12">
        <v>317.27</v>
      </c>
      <c r="M2366" s="14">
        <f>ROUND(tblSprzedaz[[#This Row],[Ilość]]*tblSprzedaz[[#This Row],[Cena netto jednostkowa]]*(1-tblSprzedaz[[#This Row],[Rabat %]]),2)</f>
        <v>1548.36</v>
      </c>
      <c r="N2366" s="14">
        <f>ROUND(tblSprzedaz[[#This Row],[Ilość]]*tblSprzedaz[[#This Row],[Koszt jednostkowy netto]],2)</f>
        <v>1269.08</v>
      </c>
      <c r="O2366" s="14">
        <f>tblSprzedaz[[#This Row],[Przychód netto]]-tblSprzedaz[[#This Row],[Koszt całkowity netto]]</f>
        <v>279.27999999999997</v>
      </c>
      <c r="P2366" s="15">
        <f>IFERROR(tblSprzedaz[[#This Row],[Marża kwotowa]]/tblSprzedaz[[#This Row],[Przychód netto]],0)</f>
        <v>0.18037148983440543</v>
      </c>
      <c r="Q2366" s="16">
        <f>YEAR(tblSprzedaz[[#This Row],[Data]])</f>
        <v>2026</v>
      </c>
      <c r="R2366" s="16">
        <f>MONTH(tblSprzedaz[[#This Row],[Data]])</f>
        <v>9</v>
      </c>
      <c r="S2366" s="9" t="str">
        <f>YEAR(tblSprzedaz[[#This Row],[Data]])&amp;"-"&amp;RIGHT("0"&amp;MONTH(tblSprzedaz[[#This Row],[Data]]),2)</f>
        <v>2026-09</v>
      </c>
    </row>
    <row r="2367" spans="1:19" x14ac:dyDescent="0.25">
      <c r="A2367" s="7" t="s">
        <v>4901</v>
      </c>
      <c r="B2367" s="10">
        <v>46290</v>
      </c>
      <c r="C2367" s="7" t="s">
        <v>4902</v>
      </c>
      <c r="D2367" s="8" t="s">
        <v>90</v>
      </c>
      <c r="E2367" s="8" t="s">
        <v>72</v>
      </c>
      <c r="F2367" s="8" t="s">
        <v>37</v>
      </c>
      <c r="G2367" s="8" t="s">
        <v>34</v>
      </c>
      <c r="H2367" s="8" t="s">
        <v>45</v>
      </c>
      <c r="I2367" s="11">
        <v>9</v>
      </c>
      <c r="J2367" s="12">
        <v>94.05</v>
      </c>
      <c r="K2367" s="13">
        <v>0</v>
      </c>
      <c r="L2367" s="12">
        <v>74.739999999999995</v>
      </c>
      <c r="M2367" s="14">
        <f>ROUND(tblSprzedaz[[#This Row],[Ilość]]*tblSprzedaz[[#This Row],[Cena netto jednostkowa]]*(1-tblSprzedaz[[#This Row],[Rabat %]]),2)</f>
        <v>846.45</v>
      </c>
      <c r="N2367" s="14">
        <f>ROUND(tblSprzedaz[[#This Row],[Ilość]]*tblSprzedaz[[#This Row],[Koszt jednostkowy netto]],2)</f>
        <v>672.66</v>
      </c>
      <c r="O2367" s="14">
        <f>tblSprzedaz[[#This Row],[Przychód netto]]-tblSprzedaz[[#This Row],[Koszt całkowity netto]]</f>
        <v>173.79000000000008</v>
      </c>
      <c r="P2367" s="15">
        <f>IFERROR(tblSprzedaz[[#This Row],[Marża kwotowa]]/tblSprzedaz[[#This Row],[Przychód netto]],0)</f>
        <v>0.20531632110579487</v>
      </c>
      <c r="Q2367" s="16">
        <f>YEAR(tblSprzedaz[[#This Row],[Data]])</f>
        <v>2026</v>
      </c>
      <c r="R2367" s="16">
        <f>MONTH(tblSprzedaz[[#This Row],[Data]])</f>
        <v>9</v>
      </c>
      <c r="S2367" s="9" t="str">
        <f>YEAR(tblSprzedaz[[#This Row],[Data]])&amp;"-"&amp;RIGHT("0"&amp;MONTH(tblSprzedaz[[#This Row],[Data]]),2)</f>
        <v>2026-09</v>
      </c>
    </row>
    <row r="2368" spans="1:19" x14ac:dyDescent="0.25">
      <c r="A2368" s="7" t="s">
        <v>4903</v>
      </c>
      <c r="B2368" s="10">
        <v>46290</v>
      </c>
      <c r="C2368" s="7" t="s">
        <v>4904</v>
      </c>
      <c r="D2368" s="8" t="s">
        <v>79</v>
      </c>
      <c r="E2368" s="8" t="s">
        <v>74</v>
      </c>
      <c r="F2368" s="8" t="s">
        <v>37</v>
      </c>
      <c r="G2368" s="8" t="s">
        <v>30</v>
      </c>
      <c r="H2368" s="8" t="s">
        <v>40</v>
      </c>
      <c r="I2368" s="11">
        <v>14</v>
      </c>
      <c r="J2368" s="12">
        <v>126.35</v>
      </c>
      <c r="K2368" s="13">
        <v>0</v>
      </c>
      <c r="L2368" s="12">
        <v>94.27</v>
      </c>
      <c r="M2368" s="14">
        <f>ROUND(tblSprzedaz[[#This Row],[Ilość]]*tblSprzedaz[[#This Row],[Cena netto jednostkowa]]*(1-tblSprzedaz[[#This Row],[Rabat %]]),2)</f>
        <v>1768.9</v>
      </c>
      <c r="N2368" s="14">
        <f>ROUND(tblSprzedaz[[#This Row],[Ilość]]*tblSprzedaz[[#This Row],[Koszt jednostkowy netto]],2)</f>
        <v>1319.78</v>
      </c>
      <c r="O2368" s="14">
        <f>tblSprzedaz[[#This Row],[Przychód netto]]-tblSprzedaz[[#This Row],[Koszt całkowity netto]]</f>
        <v>449.12000000000012</v>
      </c>
      <c r="P2368" s="15">
        <f>IFERROR(tblSprzedaz[[#This Row],[Marża kwotowa]]/tblSprzedaz[[#This Row],[Przychód netto]],0)</f>
        <v>0.2538979026513653</v>
      </c>
      <c r="Q2368" s="16">
        <f>YEAR(tblSprzedaz[[#This Row],[Data]])</f>
        <v>2026</v>
      </c>
      <c r="R2368" s="16">
        <f>MONTH(tblSprzedaz[[#This Row],[Data]])</f>
        <v>9</v>
      </c>
      <c r="S2368" s="9" t="str">
        <f>YEAR(tblSprzedaz[[#This Row],[Data]])&amp;"-"&amp;RIGHT("0"&amp;MONTH(tblSprzedaz[[#This Row],[Data]]),2)</f>
        <v>2026-09</v>
      </c>
    </row>
    <row r="2369" spans="1:19" x14ac:dyDescent="0.25">
      <c r="A2369" s="7" t="s">
        <v>4905</v>
      </c>
      <c r="B2369" s="10">
        <v>46290</v>
      </c>
      <c r="C2369" s="7" t="s">
        <v>4906</v>
      </c>
      <c r="D2369" s="8" t="s">
        <v>118</v>
      </c>
      <c r="E2369" s="8" t="s">
        <v>77</v>
      </c>
      <c r="F2369" s="8" t="s">
        <v>37</v>
      </c>
      <c r="G2369" s="8" t="s">
        <v>36</v>
      </c>
      <c r="H2369" s="8" t="s">
        <v>46</v>
      </c>
      <c r="I2369" s="11">
        <v>9</v>
      </c>
      <c r="J2369" s="12">
        <v>77.900000000000006</v>
      </c>
      <c r="K2369" s="13">
        <v>0.15</v>
      </c>
      <c r="L2369" s="12">
        <v>61.97</v>
      </c>
      <c r="M2369" s="14">
        <f>ROUND(tblSprzedaz[[#This Row],[Ilość]]*tblSprzedaz[[#This Row],[Cena netto jednostkowa]]*(1-tblSprzedaz[[#This Row],[Rabat %]]),2)</f>
        <v>595.94000000000005</v>
      </c>
      <c r="N2369" s="14">
        <f>ROUND(tblSprzedaz[[#This Row],[Ilość]]*tblSprzedaz[[#This Row],[Koszt jednostkowy netto]],2)</f>
        <v>557.73</v>
      </c>
      <c r="O2369" s="14">
        <f>tblSprzedaz[[#This Row],[Przychód netto]]-tblSprzedaz[[#This Row],[Koszt całkowity netto]]</f>
        <v>38.210000000000036</v>
      </c>
      <c r="P2369" s="15">
        <f>IFERROR(tblSprzedaz[[#This Row],[Marża kwotowa]]/tblSprzedaz[[#This Row],[Przychód netto]],0)</f>
        <v>6.4117193006007378E-2</v>
      </c>
      <c r="Q2369" s="16">
        <f>YEAR(tblSprzedaz[[#This Row],[Data]])</f>
        <v>2026</v>
      </c>
      <c r="R2369" s="16">
        <f>MONTH(tblSprzedaz[[#This Row],[Data]])</f>
        <v>9</v>
      </c>
      <c r="S2369" s="9" t="str">
        <f>YEAR(tblSprzedaz[[#This Row],[Data]])&amp;"-"&amp;RIGHT("0"&amp;MONTH(tblSprzedaz[[#This Row],[Data]]),2)</f>
        <v>2026-09</v>
      </c>
    </row>
    <row r="2370" spans="1:19" x14ac:dyDescent="0.25">
      <c r="A2370" s="7" t="s">
        <v>4907</v>
      </c>
      <c r="B2370" s="10">
        <v>46290</v>
      </c>
      <c r="C2370" s="7" t="s">
        <v>4908</v>
      </c>
      <c r="D2370" s="8" t="s">
        <v>82</v>
      </c>
      <c r="E2370" s="8" t="s">
        <v>63</v>
      </c>
      <c r="F2370" s="8" t="s">
        <v>33</v>
      </c>
      <c r="G2370" s="8" t="s">
        <v>36</v>
      </c>
      <c r="H2370" s="8" t="s">
        <v>47</v>
      </c>
      <c r="I2370" s="11">
        <v>30</v>
      </c>
      <c r="J2370" s="12">
        <v>690</v>
      </c>
      <c r="K2370" s="13">
        <v>0.1</v>
      </c>
      <c r="L2370" s="12">
        <v>474.43</v>
      </c>
      <c r="M2370" s="14">
        <f>ROUND(tblSprzedaz[[#This Row],[Ilość]]*tblSprzedaz[[#This Row],[Cena netto jednostkowa]]*(1-tblSprzedaz[[#This Row],[Rabat %]]),2)</f>
        <v>18630</v>
      </c>
      <c r="N2370" s="14">
        <f>ROUND(tblSprzedaz[[#This Row],[Ilość]]*tblSprzedaz[[#This Row],[Koszt jednostkowy netto]],2)</f>
        <v>14232.9</v>
      </c>
      <c r="O2370" s="14">
        <f>tblSprzedaz[[#This Row],[Przychód netto]]-tblSprzedaz[[#This Row],[Koszt całkowity netto]]</f>
        <v>4397.1000000000004</v>
      </c>
      <c r="P2370" s="15">
        <f>IFERROR(tblSprzedaz[[#This Row],[Marża kwotowa]]/tblSprzedaz[[#This Row],[Przychód netto]],0)</f>
        <v>0.23602254428341388</v>
      </c>
      <c r="Q2370" s="16">
        <f>YEAR(tblSprzedaz[[#This Row],[Data]])</f>
        <v>2026</v>
      </c>
      <c r="R2370" s="16">
        <f>MONTH(tblSprzedaz[[#This Row],[Data]])</f>
        <v>9</v>
      </c>
      <c r="S2370" s="9" t="str">
        <f>YEAR(tblSprzedaz[[#This Row],[Data]])&amp;"-"&amp;RIGHT("0"&amp;MONTH(tblSprzedaz[[#This Row],[Data]]),2)</f>
        <v>2026-09</v>
      </c>
    </row>
    <row r="2371" spans="1:19" x14ac:dyDescent="0.25">
      <c r="A2371" s="7" t="s">
        <v>4909</v>
      </c>
      <c r="B2371" s="10">
        <v>46290</v>
      </c>
      <c r="C2371" s="7" t="s">
        <v>4910</v>
      </c>
      <c r="D2371" s="8" t="s">
        <v>83</v>
      </c>
      <c r="E2371" s="8" t="s">
        <v>56</v>
      </c>
      <c r="F2371" s="8" t="s">
        <v>31</v>
      </c>
      <c r="G2371" s="8" t="s">
        <v>30</v>
      </c>
      <c r="H2371" s="8" t="s">
        <v>40</v>
      </c>
      <c r="I2371" s="11">
        <v>31</v>
      </c>
      <c r="J2371" s="12">
        <v>279.3</v>
      </c>
      <c r="K2371" s="13">
        <v>0.15</v>
      </c>
      <c r="L2371" s="12">
        <v>185.28</v>
      </c>
      <c r="M2371" s="14">
        <f>ROUND(tblSprzedaz[[#This Row],[Ilość]]*tblSprzedaz[[#This Row],[Cena netto jednostkowa]]*(1-tblSprzedaz[[#This Row],[Rabat %]]),2)</f>
        <v>7359.56</v>
      </c>
      <c r="N2371" s="14">
        <f>ROUND(tblSprzedaz[[#This Row],[Ilość]]*tblSprzedaz[[#This Row],[Koszt jednostkowy netto]],2)</f>
        <v>5743.68</v>
      </c>
      <c r="O2371" s="14">
        <f>tblSprzedaz[[#This Row],[Przychód netto]]-tblSprzedaz[[#This Row],[Koszt całkowity netto]]</f>
        <v>1615.88</v>
      </c>
      <c r="P2371" s="15">
        <f>IFERROR(tblSprzedaz[[#This Row],[Marża kwotowa]]/tblSprzedaz[[#This Row],[Przychód netto]],0)</f>
        <v>0.21956203903494231</v>
      </c>
      <c r="Q2371" s="16">
        <f>YEAR(tblSprzedaz[[#This Row],[Data]])</f>
        <v>2026</v>
      </c>
      <c r="R2371" s="16">
        <f>MONTH(tblSprzedaz[[#This Row],[Data]])</f>
        <v>9</v>
      </c>
      <c r="S2371" s="9" t="str">
        <f>YEAR(tblSprzedaz[[#This Row],[Data]])&amp;"-"&amp;RIGHT("0"&amp;MONTH(tblSprzedaz[[#This Row],[Data]]),2)</f>
        <v>2026-09</v>
      </c>
    </row>
    <row r="2372" spans="1:19" x14ac:dyDescent="0.25">
      <c r="A2372" s="7" t="s">
        <v>4911</v>
      </c>
      <c r="B2372" s="10">
        <v>46291</v>
      </c>
      <c r="C2372" s="7" t="s">
        <v>4912</v>
      </c>
      <c r="D2372" s="8" t="s">
        <v>126</v>
      </c>
      <c r="E2372" s="8" t="s">
        <v>66</v>
      </c>
      <c r="F2372" s="8" t="s">
        <v>35</v>
      </c>
      <c r="G2372" s="8" t="s">
        <v>34</v>
      </c>
      <c r="H2372" s="8" t="s">
        <v>44</v>
      </c>
      <c r="I2372" s="11">
        <v>10</v>
      </c>
      <c r="J2372" s="12">
        <v>67.319999999999993</v>
      </c>
      <c r="K2372" s="13">
        <v>0</v>
      </c>
      <c r="L2372" s="12">
        <v>47.49</v>
      </c>
      <c r="M2372" s="14">
        <f>ROUND(tblSprzedaz[[#This Row],[Ilość]]*tblSprzedaz[[#This Row],[Cena netto jednostkowa]]*(1-tblSprzedaz[[#This Row],[Rabat %]]),2)</f>
        <v>673.2</v>
      </c>
      <c r="N2372" s="14">
        <f>ROUND(tblSprzedaz[[#This Row],[Ilość]]*tblSprzedaz[[#This Row],[Koszt jednostkowy netto]],2)</f>
        <v>474.9</v>
      </c>
      <c r="O2372" s="14">
        <f>tblSprzedaz[[#This Row],[Przychód netto]]-tblSprzedaz[[#This Row],[Koszt całkowity netto]]</f>
        <v>198.30000000000007</v>
      </c>
      <c r="P2372" s="15">
        <f>IFERROR(tblSprzedaz[[#This Row],[Marża kwotowa]]/tblSprzedaz[[#This Row],[Przychód netto]],0)</f>
        <v>0.29456327985739761</v>
      </c>
      <c r="Q2372" s="16">
        <f>YEAR(tblSprzedaz[[#This Row],[Data]])</f>
        <v>2026</v>
      </c>
      <c r="R2372" s="16">
        <f>MONTH(tblSprzedaz[[#This Row],[Data]])</f>
        <v>9</v>
      </c>
      <c r="S2372" s="9" t="str">
        <f>YEAR(tblSprzedaz[[#This Row],[Data]])&amp;"-"&amp;RIGHT("0"&amp;MONTH(tblSprzedaz[[#This Row],[Data]]),2)</f>
        <v>2026-09</v>
      </c>
    </row>
    <row r="2373" spans="1:19" x14ac:dyDescent="0.25">
      <c r="A2373" s="7" t="s">
        <v>4913</v>
      </c>
      <c r="B2373" s="10">
        <v>46292</v>
      </c>
      <c r="C2373" s="7" t="s">
        <v>4914</v>
      </c>
      <c r="D2373" s="8" t="s">
        <v>106</v>
      </c>
      <c r="E2373" s="8" t="s">
        <v>57</v>
      </c>
      <c r="F2373" s="8" t="s">
        <v>31</v>
      </c>
      <c r="G2373" s="8" t="s">
        <v>36</v>
      </c>
      <c r="H2373" s="8" t="s">
        <v>47</v>
      </c>
      <c r="I2373" s="11">
        <v>13</v>
      </c>
      <c r="J2373" s="12">
        <v>315</v>
      </c>
      <c r="K2373" s="13">
        <v>0.15</v>
      </c>
      <c r="L2373" s="12">
        <v>205.25</v>
      </c>
      <c r="M2373" s="14">
        <f>ROUND(tblSprzedaz[[#This Row],[Ilość]]*tblSprzedaz[[#This Row],[Cena netto jednostkowa]]*(1-tblSprzedaz[[#This Row],[Rabat %]]),2)</f>
        <v>3480.75</v>
      </c>
      <c r="N2373" s="14">
        <f>ROUND(tblSprzedaz[[#This Row],[Ilość]]*tblSprzedaz[[#This Row],[Koszt jednostkowy netto]],2)</f>
        <v>2668.25</v>
      </c>
      <c r="O2373" s="14">
        <f>tblSprzedaz[[#This Row],[Przychód netto]]-tblSprzedaz[[#This Row],[Koszt całkowity netto]]</f>
        <v>812.5</v>
      </c>
      <c r="P2373" s="15">
        <f>IFERROR(tblSprzedaz[[#This Row],[Marża kwotowa]]/tblSprzedaz[[#This Row],[Przychód netto]],0)</f>
        <v>0.23342670401493931</v>
      </c>
      <c r="Q2373" s="16">
        <f>YEAR(tblSprzedaz[[#This Row],[Data]])</f>
        <v>2026</v>
      </c>
      <c r="R2373" s="16">
        <f>MONTH(tblSprzedaz[[#This Row],[Data]])</f>
        <v>9</v>
      </c>
      <c r="S2373" s="9" t="str">
        <f>YEAR(tblSprzedaz[[#This Row],[Data]])&amp;"-"&amp;RIGHT("0"&amp;MONTH(tblSprzedaz[[#This Row],[Data]]),2)</f>
        <v>2026-09</v>
      </c>
    </row>
    <row r="2374" spans="1:19" x14ac:dyDescent="0.25">
      <c r="A2374" s="7" t="s">
        <v>4915</v>
      </c>
      <c r="B2374" s="10">
        <v>46292</v>
      </c>
      <c r="C2374" s="7" t="s">
        <v>4916</v>
      </c>
      <c r="D2374" s="8" t="s">
        <v>99</v>
      </c>
      <c r="E2374" s="8" t="s">
        <v>63</v>
      </c>
      <c r="F2374" s="8" t="s">
        <v>33</v>
      </c>
      <c r="G2374" s="8" t="s">
        <v>36</v>
      </c>
      <c r="H2374" s="8" t="s">
        <v>46</v>
      </c>
      <c r="I2374" s="11">
        <v>22</v>
      </c>
      <c r="J2374" s="12">
        <v>690</v>
      </c>
      <c r="K2374" s="13">
        <v>0.15</v>
      </c>
      <c r="L2374" s="12">
        <v>492.09</v>
      </c>
      <c r="M2374" s="14">
        <f>ROUND(tblSprzedaz[[#This Row],[Ilość]]*tblSprzedaz[[#This Row],[Cena netto jednostkowa]]*(1-tblSprzedaz[[#This Row],[Rabat %]]),2)</f>
        <v>12903</v>
      </c>
      <c r="N2374" s="14">
        <f>ROUND(tblSprzedaz[[#This Row],[Ilość]]*tblSprzedaz[[#This Row],[Koszt jednostkowy netto]],2)</f>
        <v>10825.98</v>
      </c>
      <c r="O2374" s="14">
        <f>tblSprzedaz[[#This Row],[Przychód netto]]-tblSprzedaz[[#This Row],[Koszt całkowity netto]]</f>
        <v>2077.0200000000004</v>
      </c>
      <c r="P2374" s="15">
        <f>IFERROR(tblSprzedaz[[#This Row],[Marża kwotowa]]/tblSprzedaz[[#This Row],[Przychód netto]],0)</f>
        <v>0.16097186700767266</v>
      </c>
      <c r="Q2374" s="16">
        <f>YEAR(tblSprzedaz[[#This Row],[Data]])</f>
        <v>2026</v>
      </c>
      <c r="R2374" s="16">
        <f>MONTH(tblSprzedaz[[#This Row],[Data]])</f>
        <v>9</v>
      </c>
      <c r="S2374" s="9" t="str">
        <f>YEAR(tblSprzedaz[[#This Row],[Data]])&amp;"-"&amp;RIGHT("0"&amp;MONTH(tblSprzedaz[[#This Row],[Data]]),2)</f>
        <v>2026-09</v>
      </c>
    </row>
    <row r="2375" spans="1:19" x14ac:dyDescent="0.25">
      <c r="A2375" s="7" t="s">
        <v>4917</v>
      </c>
      <c r="B2375" s="10">
        <v>46293</v>
      </c>
      <c r="C2375" s="7" t="s">
        <v>4918</v>
      </c>
      <c r="D2375" s="8" t="s">
        <v>91</v>
      </c>
      <c r="E2375" s="8" t="s">
        <v>64</v>
      </c>
      <c r="F2375" s="8" t="s">
        <v>33</v>
      </c>
      <c r="G2375" s="8" t="s">
        <v>36</v>
      </c>
      <c r="H2375" s="8" t="s">
        <v>46</v>
      </c>
      <c r="I2375" s="11">
        <v>9</v>
      </c>
      <c r="J2375" s="12">
        <v>768.2</v>
      </c>
      <c r="K2375" s="13">
        <v>0.15</v>
      </c>
      <c r="L2375" s="12">
        <v>508.11</v>
      </c>
      <c r="M2375" s="14">
        <f>ROUND(tblSprzedaz[[#This Row],[Ilość]]*tblSprzedaz[[#This Row],[Cena netto jednostkowa]]*(1-tblSprzedaz[[#This Row],[Rabat %]]),2)</f>
        <v>5876.73</v>
      </c>
      <c r="N2375" s="14">
        <f>ROUND(tblSprzedaz[[#This Row],[Ilość]]*tblSprzedaz[[#This Row],[Koszt jednostkowy netto]],2)</f>
        <v>4572.99</v>
      </c>
      <c r="O2375" s="14">
        <f>tblSprzedaz[[#This Row],[Przychód netto]]-tblSprzedaz[[#This Row],[Koszt całkowity netto]]</f>
        <v>1303.7399999999998</v>
      </c>
      <c r="P2375" s="15">
        <f>IFERROR(tblSprzedaz[[#This Row],[Marża kwotowa]]/tblSprzedaz[[#This Row],[Przychód netto]],0)</f>
        <v>0.22184786437355467</v>
      </c>
      <c r="Q2375" s="16">
        <f>YEAR(tblSprzedaz[[#This Row],[Data]])</f>
        <v>2026</v>
      </c>
      <c r="R2375" s="16">
        <f>MONTH(tblSprzedaz[[#This Row],[Data]])</f>
        <v>9</v>
      </c>
      <c r="S2375" s="9" t="str">
        <f>YEAR(tblSprzedaz[[#This Row],[Data]])&amp;"-"&amp;RIGHT("0"&amp;MONTH(tblSprzedaz[[#This Row],[Data]]),2)</f>
        <v>2026-09</v>
      </c>
    </row>
    <row r="2376" spans="1:19" x14ac:dyDescent="0.25">
      <c r="A2376" s="7" t="s">
        <v>4919</v>
      </c>
      <c r="B2376" s="10">
        <v>46293</v>
      </c>
      <c r="C2376" s="7" t="s">
        <v>4920</v>
      </c>
      <c r="D2376" s="8" t="s">
        <v>116</v>
      </c>
      <c r="E2376" s="8" t="s">
        <v>71</v>
      </c>
      <c r="F2376" s="8" t="s">
        <v>35</v>
      </c>
      <c r="G2376" s="8" t="s">
        <v>28</v>
      </c>
      <c r="H2376" s="8" t="s">
        <v>39</v>
      </c>
      <c r="I2376" s="11">
        <v>15</v>
      </c>
      <c r="J2376" s="12">
        <v>55.76</v>
      </c>
      <c r="K2376" s="13">
        <v>0</v>
      </c>
      <c r="L2376" s="12">
        <v>40.159999999999997</v>
      </c>
      <c r="M2376" s="14">
        <f>ROUND(tblSprzedaz[[#This Row],[Ilość]]*tblSprzedaz[[#This Row],[Cena netto jednostkowa]]*(1-tblSprzedaz[[#This Row],[Rabat %]]),2)</f>
        <v>836.4</v>
      </c>
      <c r="N2376" s="14">
        <f>ROUND(tblSprzedaz[[#This Row],[Ilość]]*tblSprzedaz[[#This Row],[Koszt jednostkowy netto]],2)</f>
        <v>602.4</v>
      </c>
      <c r="O2376" s="14">
        <f>tblSprzedaz[[#This Row],[Przychód netto]]-tblSprzedaz[[#This Row],[Koszt całkowity netto]]</f>
        <v>234</v>
      </c>
      <c r="P2376" s="15">
        <f>IFERROR(tblSprzedaz[[#This Row],[Marża kwotowa]]/tblSprzedaz[[#This Row],[Przychód netto]],0)</f>
        <v>0.27977044476327118</v>
      </c>
      <c r="Q2376" s="16">
        <f>YEAR(tblSprzedaz[[#This Row],[Data]])</f>
        <v>2026</v>
      </c>
      <c r="R2376" s="16">
        <f>MONTH(tblSprzedaz[[#This Row],[Data]])</f>
        <v>9</v>
      </c>
      <c r="S2376" s="9" t="str">
        <f>YEAR(tblSprzedaz[[#This Row],[Data]])&amp;"-"&amp;RIGHT("0"&amp;MONTH(tblSprzedaz[[#This Row],[Data]]),2)</f>
        <v>2026-09</v>
      </c>
    </row>
    <row r="2377" spans="1:19" x14ac:dyDescent="0.25">
      <c r="A2377" s="7" t="s">
        <v>4921</v>
      </c>
      <c r="B2377" s="10">
        <v>46293</v>
      </c>
      <c r="C2377" s="7" t="s">
        <v>4922</v>
      </c>
      <c r="D2377" s="8" t="s">
        <v>111</v>
      </c>
      <c r="E2377" s="8" t="s">
        <v>49</v>
      </c>
      <c r="F2377" s="8" t="s">
        <v>29</v>
      </c>
      <c r="G2377" s="8" t="s">
        <v>28</v>
      </c>
      <c r="H2377" s="8" t="s">
        <v>38</v>
      </c>
      <c r="I2377" s="11">
        <v>27</v>
      </c>
      <c r="J2377" s="12">
        <v>39.44</v>
      </c>
      <c r="K2377" s="13">
        <v>0.1</v>
      </c>
      <c r="L2377" s="12">
        <v>24.52</v>
      </c>
      <c r="M2377" s="14">
        <f>ROUND(tblSprzedaz[[#This Row],[Ilość]]*tblSprzedaz[[#This Row],[Cena netto jednostkowa]]*(1-tblSprzedaz[[#This Row],[Rabat %]]),2)</f>
        <v>958.39</v>
      </c>
      <c r="N2377" s="14">
        <f>ROUND(tblSprzedaz[[#This Row],[Ilość]]*tblSprzedaz[[#This Row],[Koszt jednostkowy netto]],2)</f>
        <v>662.04</v>
      </c>
      <c r="O2377" s="14">
        <f>tblSprzedaz[[#This Row],[Przychód netto]]-tblSprzedaz[[#This Row],[Koszt całkowity netto]]</f>
        <v>296.35000000000002</v>
      </c>
      <c r="P2377" s="15">
        <f>IFERROR(tblSprzedaz[[#This Row],[Marża kwotowa]]/tblSprzedaz[[#This Row],[Przychód netto]],0)</f>
        <v>0.30921649850269728</v>
      </c>
      <c r="Q2377" s="16">
        <f>YEAR(tblSprzedaz[[#This Row],[Data]])</f>
        <v>2026</v>
      </c>
      <c r="R2377" s="16">
        <f>MONTH(tblSprzedaz[[#This Row],[Data]])</f>
        <v>9</v>
      </c>
      <c r="S2377" s="9" t="str">
        <f>YEAR(tblSprzedaz[[#This Row],[Data]])&amp;"-"&amp;RIGHT("0"&amp;MONTH(tblSprzedaz[[#This Row],[Data]]),2)</f>
        <v>2026-09</v>
      </c>
    </row>
    <row r="2378" spans="1:19" x14ac:dyDescent="0.25">
      <c r="A2378" s="7" t="s">
        <v>4923</v>
      </c>
      <c r="B2378" s="10">
        <v>46293</v>
      </c>
      <c r="C2378" s="7" t="s">
        <v>4924</v>
      </c>
      <c r="D2378" s="8" t="s">
        <v>82</v>
      </c>
      <c r="E2378" s="8" t="s">
        <v>59</v>
      </c>
      <c r="F2378" s="8" t="s">
        <v>31</v>
      </c>
      <c r="G2378" s="8" t="s">
        <v>32</v>
      </c>
      <c r="H2378" s="8" t="s">
        <v>42</v>
      </c>
      <c r="I2378" s="11">
        <v>3</v>
      </c>
      <c r="J2378" s="12">
        <v>172.2</v>
      </c>
      <c r="K2378" s="13">
        <v>0.1</v>
      </c>
      <c r="L2378" s="12">
        <v>112.4</v>
      </c>
      <c r="M2378" s="14">
        <f>ROUND(tblSprzedaz[[#This Row],[Ilość]]*tblSprzedaz[[#This Row],[Cena netto jednostkowa]]*(1-tblSprzedaz[[#This Row],[Rabat %]]),2)</f>
        <v>464.94</v>
      </c>
      <c r="N2378" s="14">
        <f>ROUND(tblSprzedaz[[#This Row],[Ilość]]*tblSprzedaz[[#This Row],[Koszt jednostkowy netto]],2)</f>
        <v>337.2</v>
      </c>
      <c r="O2378" s="14">
        <f>tblSprzedaz[[#This Row],[Przychód netto]]-tblSprzedaz[[#This Row],[Koszt całkowity netto]]</f>
        <v>127.74000000000001</v>
      </c>
      <c r="P2378" s="15">
        <f>IFERROR(tblSprzedaz[[#This Row],[Marża kwotowa]]/tblSprzedaz[[#This Row],[Przychód netto]],0)</f>
        <v>0.274745128403665</v>
      </c>
      <c r="Q2378" s="16">
        <f>YEAR(tblSprzedaz[[#This Row],[Data]])</f>
        <v>2026</v>
      </c>
      <c r="R2378" s="16">
        <f>MONTH(tblSprzedaz[[#This Row],[Data]])</f>
        <v>9</v>
      </c>
      <c r="S2378" s="9" t="str">
        <f>YEAR(tblSprzedaz[[#This Row],[Data]])&amp;"-"&amp;RIGHT("0"&amp;MONTH(tblSprzedaz[[#This Row],[Data]]),2)</f>
        <v>2026-09</v>
      </c>
    </row>
    <row r="2379" spans="1:19" x14ac:dyDescent="0.25">
      <c r="A2379" s="7" t="s">
        <v>4925</v>
      </c>
      <c r="B2379" s="10">
        <v>46293</v>
      </c>
      <c r="C2379" s="7" t="s">
        <v>4926</v>
      </c>
      <c r="D2379" s="8" t="s">
        <v>93</v>
      </c>
      <c r="E2379" s="8" t="s">
        <v>75</v>
      </c>
      <c r="F2379" s="8" t="s">
        <v>37</v>
      </c>
      <c r="G2379" s="8" t="s">
        <v>36</v>
      </c>
      <c r="H2379" s="8" t="s">
        <v>47</v>
      </c>
      <c r="I2379" s="11">
        <v>3</v>
      </c>
      <c r="J2379" s="12">
        <v>142.5</v>
      </c>
      <c r="K2379" s="13">
        <v>0</v>
      </c>
      <c r="L2379" s="12">
        <v>110.33</v>
      </c>
      <c r="M2379" s="14">
        <f>ROUND(tblSprzedaz[[#This Row],[Ilość]]*tblSprzedaz[[#This Row],[Cena netto jednostkowa]]*(1-tblSprzedaz[[#This Row],[Rabat %]]),2)</f>
        <v>427.5</v>
      </c>
      <c r="N2379" s="14">
        <f>ROUND(tblSprzedaz[[#This Row],[Ilość]]*tblSprzedaz[[#This Row],[Koszt jednostkowy netto]],2)</f>
        <v>330.99</v>
      </c>
      <c r="O2379" s="14">
        <f>tblSprzedaz[[#This Row],[Przychód netto]]-tblSprzedaz[[#This Row],[Koszt całkowity netto]]</f>
        <v>96.509999999999991</v>
      </c>
      <c r="P2379" s="15">
        <f>IFERROR(tblSprzedaz[[#This Row],[Marża kwotowa]]/tblSprzedaz[[#This Row],[Przychód netto]],0)</f>
        <v>0.22575438596491226</v>
      </c>
      <c r="Q2379" s="16">
        <f>YEAR(tblSprzedaz[[#This Row],[Data]])</f>
        <v>2026</v>
      </c>
      <c r="R2379" s="16">
        <f>MONTH(tblSprzedaz[[#This Row],[Data]])</f>
        <v>9</v>
      </c>
      <c r="S2379" s="9" t="str">
        <f>YEAR(tblSprzedaz[[#This Row],[Data]])&amp;"-"&amp;RIGHT("0"&amp;MONTH(tblSprzedaz[[#This Row],[Data]]),2)</f>
        <v>2026-09</v>
      </c>
    </row>
    <row r="2380" spans="1:19" x14ac:dyDescent="0.25">
      <c r="A2380" s="7" t="s">
        <v>4927</v>
      </c>
      <c r="B2380" s="10">
        <v>46293</v>
      </c>
      <c r="C2380" s="7" t="s">
        <v>4928</v>
      </c>
      <c r="D2380" s="8" t="s">
        <v>119</v>
      </c>
      <c r="E2380" s="8" t="s">
        <v>65</v>
      </c>
      <c r="F2380" s="8" t="s">
        <v>33</v>
      </c>
      <c r="G2380" s="8" t="s">
        <v>28</v>
      </c>
      <c r="H2380" s="8" t="s">
        <v>38</v>
      </c>
      <c r="I2380" s="11">
        <v>7</v>
      </c>
      <c r="J2380" s="12">
        <v>377.2</v>
      </c>
      <c r="K2380" s="13">
        <v>0</v>
      </c>
      <c r="L2380" s="12">
        <v>251.13</v>
      </c>
      <c r="M2380" s="14">
        <f>ROUND(tblSprzedaz[[#This Row],[Ilość]]*tblSprzedaz[[#This Row],[Cena netto jednostkowa]]*(1-tblSprzedaz[[#This Row],[Rabat %]]),2)</f>
        <v>2640.4</v>
      </c>
      <c r="N2380" s="14">
        <f>ROUND(tblSprzedaz[[#This Row],[Ilość]]*tblSprzedaz[[#This Row],[Koszt jednostkowy netto]],2)</f>
        <v>1757.91</v>
      </c>
      <c r="O2380" s="14">
        <f>tblSprzedaz[[#This Row],[Przychód netto]]-tblSprzedaz[[#This Row],[Koszt całkowity netto]]</f>
        <v>882.49</v>
      </c>
      <c r="P2380" s="15">
        <f>IFERROR(tblSprzedaz[[#This Row],[Marża kwotowa]]/tblSprzedaz[[#This Row],[Przychód netto]],0)</f>
        <v>0.33422587486744432</v>
      </c>
      <c r="Q2380" s="16">
        <f>YEAR(tblSprzedaz[[#This Row],[Data]])</f>
        <v>2026</v>
      </c>
      <c r="R2380" s="16">
        <f>MONTH(tblSprzedaz[[#This Row],[Data]])</f>
        <v>9</v>
      </c>
      <c r="S2380" s="9" t="str">
        <f>YEAR(tblSprzedaz[[#This Row],[Data]])&amp;"-"&amp;RIGHT("0"&amp;MONTH(tblSprzedaz[[#This Row],[Data]]),2)</f>
        <v>2026-09</v>
      </c>
    </row>
    <row r="2381" spans="1:19" x14ac:dyDescent="0.25">
      <c r="A2381" s="7" t="s">
        <v>4929</v>
      </c>
      <c r="B2381" s="10">
        <v>46294</v>
      </c>
      <c r="C2381" s="7" t="s">
        <v>4930</v>
      </c>
      <c r="D2381" s="8" t="s">
        <v>79</v>
      </c>
      <c r="E2381" s="8" t="s">
        <v>68</v>
      </c>
      <c r="F2381" s="8" t="s">
        <v>35</v>
      </c>
      <c r="G2381" s="8" t="s">
        <v>30</v>
      </c>
      <c r="H2381" s="8" t="s">
        <v>40</v>
      </c>
      <c r="I2381" s="11">
        <v>11</v>
      </c>
      <c r="J2381" s="12">
        <v>90.44</v>
      </c>
      <c r="K2381" s="13">
        <v>0.15</v>
      </c>
      <c r="L2381" s="12">
        <v>66.72</v>
      </c>
      <c r="M2381" s="14">
        <f>ROUND(tblSprzedaz[[#This Row],[Ilość]]*tblSprzedaz[[#This Row],[Cena netto jednostkowa]]*(1-tblSprzedaz[[#This Row],[Rabat %]]),2)</f>
        <v>845.61</v>
      </c>
      <c r="N2381" s="14">
        <f>ROUND(tblSprzedaz[[#This Row],[Ilość]]*tblSprzedaz[[#This Row],[Koszt jednostkowy netto]],2)</f>
        <v>733.92</v>
      </c>
      <c r="O2381" s="14">
        <f>tblSprzedaz[[#This Row],[Przychód netto]]-tblSprzedaz[[#This Row],[Koszt całkowity netto]]</f>
        <v>111.69000000000005</v>
      </c>
      <c r="P2381" s="15">
        <f>IFERROR(tblSprzedaz[[#This Row],[Marża kwotowa]]/tblSprzedaz[[#This Row],[Przychód netto]],0)</f>
        <v>0.13208216553730448</v>
      </c>
      <c r="Q2381" s="16">
        <f>YEAR(tblSprzedaz[[#This Row],[Data]])</f>
        <v>2026</v>
      </c>
      <c r="R2381" s="16">
        <f>MONTH(tblSprzedaz[[#This Row],[Data]])</f>
        <v>9</v>
      </c>
      <c r="S2381" s="9" t="str">
        <f>YEAR(tblSprzedaz[[#This Row],[Data]])&amp;"-"&amp;RIGHT("0"&amp;MONTH(tblSprzedaz[[#This Row],[Data]]),2)</f>
        <v>2026-09</v>
      </c>
    </row>
    <row r="2382" spans="1:19" x14ac:dyDescent="0.25">
      <c r="A2382" s="7" t="s">
        <v>4931</v>
      </c>
      <c r="B2382" s="10">
        <v>46294</v>
      </c>
      <c r="C2382" s="7" t="s">
        <v>4932</v>
      </c>
      <c r="D2382" s="8" t="s">
        <v>97</v>
      </c>
      <c r="E2382" s="8" t="s">
        <v>63</v>
      </c>
      <c r="F2382" s="8" t="s">
        <v>33</v>
      </c>
      <c r="G2382" s="8" t="s">
        <v>34</v>
      </c>
      <c r="H2382" s="8" t="s">
        <v>44</v>
      </c>
      <c r="I2382" s="11">
        <v>1</v>
      </c>
      <c r="J2382" s="12">
        <v>690</v>
      </c>
      <c r="K2382" s="13">
        <v>0.1</v>
      </c>
      <c r="L2382" s="12">
        <v>462.2</v>
      </c>
      <c r="M2382" s="14">
        <f>ROUND(tblSprzedaz[[#This Row],[Ilość]]*tblSprzedaz[[#This Row],[Cena netto jednostkowa]]*(1-tblSprzedaz[[#This Row],[Rabat %]]),2)</f>
        <v>621</v>
      </c>
      <c r="N2382" s="14">
        <f>ROUND(tblSprzedaz[[#This Row],[Ilość]]*tblSprzedaz[[#This Row],[Koszt jednostkowy netto]],2)</f>
        <v>462.2</v>
      </c>
      <c r="O2382" s="14">
        <f>tblSprzedaz[[#This Row],[Przychód netto]]-tblSprzedaz[[#This Row],[Koszt całkowity netto]]</f>
        <v>158.80000000000001</v>
      </c>
      <c r="P2382" s="15">
        <f>IFERROR(tblSprzedaz[[#This Row],[Marża kwotowa]]/tblSprzedaz[[#This Row],[Przychód netto]],0)</f>
        <v>0.25571658615136877</v>
      </c>
      <c r="Q2382" s="16">
        <f>YEAR(tblSprzedaz[[#This Row],[Data]])</f>
        <v>2026</v>
      </c>
      <c r="R2382" s="16">
        <f>MONTH(tblSprzedaz[[#This Row],[Data]])</f>
        <v>9</v>
      </c>
      <c r="S2382" s="9" t="str">
        <f>YEAR(tblSprzedaz[[#This Row],[Data]])&amp;"-"&amp;RIGHT("0"&amp;MONTH(tblSprzedaz[[#This Row],[Data]]),2)</f>
        <v>2026-09</v>
      </c>
    </row>
    <row r="2383" spans="1:19" x14ac:dyDescent="0.25">
      <c r="A2383" s="7" t="s">
        <v>4933</v>
      </c>
      <c r="B2383" s="10">
        <v>46294</v>
      </c>
      <c r="C2383" s="7" t="s">
        <v>4934</v>
      </c>
      <c r="D2383" s="8" t="s">
        <v>141</v>
      </c>
      <c r="E2383" s="8" t="s">
        <v>75</v>
      </c>
      <c r="F2383" s="8" t="s">
        <v>37</v>
      </c>
      <c r="G2383" s="8" t="s">
        <v>32</v>
      </c>
      <c r="H2383" s="8" t="s">
        <v>43</v>
      </c>
      <c r="I2383" s="11">
        <v>20</v>
      </c>
      <c r="J2383" s="12">
        <v>142.5</v>
      </c>
      <c r="K2383" s="13">
        <v>0.1</v>
      </c>
      <c r="L2383" s="12">
        <v>109.13</v>
      </c>
      <c r="M2383" s="14">
        <f>ROUND(tblSprzedaz[[#This Row],[Ilość]]*tblSprzedaz[[#This Row],[Cena netto jednostkowa]]*(1-tblSprzedaz[[#This Row],[Rabat %]]),2)</f>
        <v>2565</v>
      </c>
      <c r="N2383" s="14">
        <f>ROUND(tblSprzedaz[[#This Row],[Ilość]]*tblSprzedaz[[#This Row],[Koszt jednostkowy netto]],2)</f>
        <v>2182.6</v>
      </c>
      <c r="O2383" s="14">
        <f>tblSprzedaz[[#This Row],[Przychód netto]]-tblSprzedaz[[#This Row],[Koszt całkowity netto]]</f>
        <v>382.40000000000009</v>
      </c>
      <c r="P2383" s="15">
        <f>IFERROR(tblSprzedaz[[#This Row],[Marża kwotowa]]/tblSprzedaz[[#This Row],[Przychód netto]],0)</f>
        <v>0.14908382066276807</v>
      </c>
      <c r="Q2383" s="16">
        <f>YEAR(tblSprzedaz[[#This Row],[Data]])</f>
        <v>2026</v>
      </c>
      <c r="R2383" s="16">
        <f>MONTH(tblSprzedaz[[#This Row],[Data]])</f>
        <v>9</v>
      </c>
      <c r="S2383" s="9" t="str">
        <f>YEAR(tblSprzedaz[[#This Row],[Data]])&amp;"-"&amp;RIGHT("0"&amp;MONTH(tblSprzedaz[[#This Row],[Data]]),2)</f>
        <v>2026-09</v>
      </c>
    </row>
    <row r="2384" spans="1:19" x14ac:dyDescent="0.25">
      <c r="A2384" s="7" t="s">
        <v>4935</v>
      </c>
      <c r="B2384" s="10">
        <v>46294</v>
      </c>
      <c r="C2384" s="7" t="s">
        <v>4936</v>
      </c>
      <c r="D2384" s="8" t="s">
        <v>79</v>
      </c>
      <c r="E2384" s="8" t="s">
        <v>71</v>
      </c>
      <c r="F2384" s="8" t="s">
        <v>35</v>
      </c>
      <c r="G2384" s="8" t="s">
        <v>34</v>
      </c>
      <c r="H2384" s="8" t="s">
        <v>45</v>
      </c>
      <c r="I2384" s="11">
        <v>12</v>
      </c>
      <c r="J2384" s="12">
        <v>55.76</v>
      </c>
      <c r="K2384" s="13">
        <v>0.15</v>
      </c>
      <c r="L2384" s="12">
        <v>41.97</v>
      </c>
      <c r="M2384" s="14">
        <f>ROUND(tblSprzedaz[[#This Row],[Ilość]]*tblSprzedaz[[#This Row],[Cena netto jednostkowa]]*(1-tblSprzedaz[[#This Row],[Rabat %]]),2)</f>
        <v>568.75</v>
      </c>
      <c r="N2384" s="14">
        <f>ROUND(tblSprzedaz[[#This Row],[Ilość]]*tblSprzedaz[[#This Row],[Koszt jednostkowy netto]],2)</f>
        <v>503.64</v>
      </c>
      <c r="O2384" s="14">
        <f>tblSprzedaz[[#This Row],[Przychód netto]]-tblSprzedaz[[#This Row],[Koszt całkowity netto]]</f>
        <v>65.110000000000014</v>
      </c>
      <c r="P2384" s="15">
        <f>IFERROR(tblSprzedaz[[#This Row],[Marża kwotowa]]/tblSprzedaz[[#This Row],[Przychód netto]],0)</f>
        <v>0.1144791208791209</v>
      </c>
      <c r="Q2384" s="16">
        <f>YEAR(tblSprzedaz[[#This Row],[Data]])</f>
        <v>2026</v>
      </c>
      <c r="R2384" s="16">
        <f>MONTH(tblSprzedaz[[#This Row],[Data]])</f>
        <v>9</v>
      </c>
      <c r="S2384" s="9" t="str">
        <f>YEAR(tblSprzedaz[[#This Row],[Data]])&amp;"-"&amp;RIGHT("0"&amp;MONTH(tblSprzedaz[[#This Row],[Data]]),2)</f>
        <v>2026-09</v>
      </c>
    </row>
    <row r="2385" spans="1:19" x14ac:dyDescent="0.25">
      <c r="A2385" s="7" t="s">
        <v>4937</v>
      </c>
      <c r="B2385" s="10">
        <v>46294</v>
      </c>
      <c r="C2385" s="7" t="s">
        <v>4938</v>
      </c>
      <c r="D2385" s="8" t="s">
        <v>108</v>
      </c>
      <c r="E2385" s="8" t="s">
        <v>76</v>
      </c>
      <c r="F2385" s="8" t="s">
        <v>37</v>
      </c>
      <c r="G2385" s="8" t="s">
        <v>30</v>
      </c>
      <c r="H2385" s="8" t="s">
        <v>40</v>
      </c>
      <c r="I2385" s="11">
        <v>20</v>
      </c>
      <c r="J2385" s="12">
        <v>158.65</v>
      </c>
      <c r="K2385" s="13">
        <v>0.15</v>
      </c>
      <c r="L2385" s="12">
        <v>124.24</v>
      </c>
      <c r="M2385" s="14">
        <f>ROUND(tblSprzedaz[[#This Row],[Ilość]]*tblSprzedaz[[#This Row],[Cena netto jednostkowa]]*(1-tblSprzedaz[[#This Row],[Rabat %]]),2)</f>
        <v>2697.05</v>
      </c>
      <c r="N2385" s="14">
        <f>ROUND(tblSprzedaz[[#This Row],[Ilość]]*tblSprzedaz[[#This Row],[Koszt jednostkowy netto]],2)</f>
        <v>2484.8000000000002</v>
      </c>
      <c r="O2385" s="14">
        <f>tblSprzedaz[[#This Row],[Przychód netto]]-tblSprzedaz[[#This Row],[Koszt całkowity netto]]</f>
        <v>212.25</v>
      </c>
      <c r="P2385" s="15">
        <f>IFERROR(tblSprzedaz[[#This Row],[Marża kwotowa]]/tblSprzedaz[[#This Row],[Przychód netto]],0)</f>
        <v>7.8697094974138404E-2</v>
      </c>
      <c r="Q2385" s="16">
        <f>YEAR(tblSprzedaz[[#This Row],[Data]])</f>
        <v>2026</v>
      </c>
      <c r="R2385" s="16">
        <f>MONTH(tblSprzedaz[[#This Row],[Data]])</f>
        <v>9</v>
      </c>
      <c r="S2385" s="9" t="str">
        <f>YEAR(tblSprzedaz[[#This Row],[Data]])&amp;"-"&amp;RIGHT("0"&amp;MONTH(tblSprzedaz[[#This Row],[Data]]),2)</f>
        <v>2026-09</v>
      </c>
    </row>
    <row r="2386" spans="1:19" x14ac:dyDescent="0.25">
      <c r="A2386" s="7" t="s">
        <v>4939</v>
      </c>
      <c r="B2386" s="10">
        <v>46294</v>
      </c>
      <c r="C2386" s="7" t="s">
        <v>4940</v>
      </c>
      <c r="D2386" s="8" t="s">
        <v>129</v>
      </c>
      <c r="E2386" s="8" t="s">
        <v>73</v>
      </c>
      <c r="F2386" s="8" t="s">
        <v>37</v>
      </c>
      <c r="G2386" s="8" t="s">
        <v>34</v>
      </c>
      <c r="H2386" s="8" t="s">
        <v>44</v>
      </c>
      <c r="I2386" s="11">
        <v>6</v>
      </c>
      <c r="J2386" s="12">
        <v>110.2</v>
      </c>
      <c r="K2386" s="13">
        <v>0</v>
      </c>
      <c r="L2386" s="12">
        <v>89.22</v>
      </c>
      <c r="M2386" s="14">
        <f>ROUND(tblSprzedaz[[#This Row],[Ilość]]*tblSprzedaz[[#This Row],[Cena netto jednostkowa]]*(1-tblSprzedaz[[#This Row],[Rabat %]]),2)</f>
        <v>661.2</v>
      </c>
      <c r="N2386" s="14">
        <f>ROUND(tblSprzedaz[[#This Row],[Ilość]]*tblSprzedaz[[#This Row],[Koszt jednostkowy netto]],2)</f>
        <v>535.32000000000005</v>
      </c>
      <c r="O2386" s="14">
        <f>tblSprzedaz[[#This Row],[Przychód netto]]-tblSprzedaz[[#This Row],[Koszt całkowity netto]]</f>
        <v>125.88</v>
      </c>
      <c r="P2386" s="15">
        <f>IFERROR(tblSprzedaz[[#This Row],[Marża kwotowa]]/tblSprzedaz[[#This Row],[Przychód netto]],0)</f>
        <v>0.19038112522686024</v>
      </c>
      <c r="Q2386" s="16">
        <f>YEAR(tblSprzedaz[[#This Row],[Data]])</f>
        <v>2026</v>
      </c>
      <c r="R2386" s="16">
        <f>MONTH(tblSprzedaz[[#This Row],[Data]])</f>
        <v>9</v>
      </c>
      <c r="S2386" s="9" t="str">
        <f>YEAR(tblSprzedaz[[#This Row],[Data]])&amp;"-"&amp;RIGHT("0"&amp;MONTH(tblSprzedaz[[#This Row],[Data]]),2)</f>
        <v>2026-09</v>
      </c>
    </row>
    <row r="2387" spans="1:19" x14ac:dyDescent="0.25">
      <c r="A2387" s="7" t="s">
        <v>4941</v>
      </c>
      <c r="B2387" s="10">
        <v>46294</v>
      </c>
      <c r="C2387" s="7" t="s">
        <v>4942</v>
      </c>
      <c r="D2387" s="8" t="s">
        <v>148</v>
      </c>
      <c r="E2387" s="8" t="s">
        <v>58</v>
      </c>
      <c r="F2387" s="8" t="s">
        <v>31</v>
      </c>
      <c r="G2387" s="8" t="s">
        <v>28</v>
      </c>
      <c r="H2387" s="8" t="s">
        <v>38</v>
      </c>
      <c r="I2387" s="11">
        <v>4</v>
      </c>
      <c r="J2387" s="12">
        <v>350.7</v>
      </c>
      <c r="K2387" s="13">
        <v>0</v>
      </c>
      <c r="L2387" s="12">
        <v>232.02</v>
      </c>
      <c r="M2387" s="14">
        <f>ROUND(tblSprzedaz[[#This Row],[Ilość]]*tblSprzedaz[[#This Row],[Cena netto jednostkowa]]*(1-tblSprzedaz[[#This Row],[Rabat %]]),2)</f>
        <v>1402.8</v>
      </c>
      <c r="N2387" s="14">
        <f>ROUND(tblSprzedaz[[#This Row],[Ilość]]*tblSprzedaz[[#This Row],[Koszt jednostkowy netto]],2)</f>
        <v>928.08</v>
      </c>
      <c r="O2387" s="14">
        <f>tblSprzedaz[[#This Row],[Przychód netto]]-tblSprzedaz[[#This Row],[Koszt całkowity netto]]</f>
        <v>474.71999999999991</v>
      </c>
      <c r="P2387" s="15">
        <f>IFERROR(tblSprzedaz[[#This Row],[Marża kwotowa]]/tblSprzedaz[[#This Row],[Przychód netto]],0)</f>
        <v>0.33840889649272876</v>
      </c>
      <c r="Q2387" s="16">
        <f>YEAR(tblSprzedaz[[#This Row],[Data]])</f>
        <v>2026</v>
      </c>
      <c r="R2387" s="16">
        <f>MONTH(tblSprzedaz[[#This Row],[Data]])</f>
        <v>9</v>
      </c>
      <c r="S2387" s="9" t="str">
        <f>YEAR(tblSprzedaz[[#This Row],[Data]])&amp;"-"&amp;RIGHT("0"&amp;MONTH(tblSprzedaz[[#This Row],[Data]]),2)</f>
        <v>2026-09</v>
      </c>
    </row>
    <row r="2388" spans="1:19" x14ac:dyDescent="0.25">
      <c r="A2388" s="7" t="s">
        <v>4943</v>
      </c>
      <c r="B2388" s="10">
        <v>46294</v>
      </c>
      <c r="C2388" s="7" t="s">
        <v>4944</v>
      </c>
      <c r="D2388" s="8" t="s">
        <v>80</v>
      </c>
      <c r="E2388" s="8" t="s">
        <v>71</v>
      </c>
      <c r="F2388" s="8" t="s">
        <v>35</v>
      </c>
      <c r="G2388" s="8" t="s">
        <v>34</v>
      </c>
      <c r="H2388" s="8" t="s">
        <v>45</v>
      </c>
      <c r="I2388" s="11">
        <v>11</v>
      </c>
      <c r="J2388" s="12">
        <v>55.76</v>
      </c>
      <c r="K2388" s="13">
        <v>0.15</v>
      </c>
      <c r="L2388" s="12">
        <v>38.21</v>
      </c>
      <c r="M2388" s="14">
        <f>ROUND(tblSprzedaz[[#This Row],[Ilość]]*tblSprzedaz[[#This Row],[Cena netto jednostkowa]]*(1-tblSprzedaz[[#This Row],[Rabat %]]),2)</f>
        <v>521.36</v>
      </c>
      <c r="N2388" s="14">
        <f>ROUND(tblSprzedaz[[#This Row],[Ilość]]*tblSprzedaz[[#This Row],[Koszt jednostkowy netto]],2)</f>
        <v>420.31</v>
      </c>
      <c r="O2388" s="14">
        <f>tblSprzedaz[[#This Row],[Przychód netto]]-tblSprzedaz[[#This Row],[Koszt całkowity netto]]</f>
        <v>101.05000000000001</v>
      </c>
      <c r="P2388" s="15">
        <f>IFERROR(tblSprzedaz[[#This Row],[Marża kwotowa]]/tblSprzedaz[[#This Row],[Przychód netto]],0)</f>
        <v>0.19382000920669021</v>
      </c>
      <c r="Q2388" s="16">
        <f>YEAR(tblSprzedaz[[#This Row],[Data]])</f>
        <v>2026</v>
      </c>
      <c r="R2388" s="16">
        <f>MONTH(tblSprzedaz[[#This Row],[Data]])</f>
        <v>9</v>
      </c>
      <c r="S2388" s="9" t="str">
        <f>YEAR(tblSprzedaz[[#This Row],[Data]])&amp;"-"&amp;RIGHT("0"&amp;MONTH(tblSprzedaz[[#This Row],[Data]]),2)</f>
        <v>2026-09</v>
      </c>
    </row>
    <row r="2389" spans="1:19" x14ac:dyDescent="0.25">
      <c r="A2389" s="7" t="s">
        <v>4945</v>
      </c>
      <c r="B2389" s="10">
        <v>46295</v>
      </c>
      <c r="C2389" s="7" t="s">
        <v>4946</v>
      </c>
      <c r="D2389" s="8" t="s">
        <v>141</v>
      </c>
      <c r="E2389" s="8" t="s">
        <v>51</v>
      </c>
      <c r="F2389" s="8" t="s">
        <v>29</v>
      </c>
      <c r="G2389" s="8" t="s">
        <v>32</v>
      </c>
      <c r="H2389" s="8" t="s">
        <v>42</v>
      </c>
      <c r="I2389" s="11">
        <v>2</v>
      </c>
      <c r="J2389" s="12">
        <v>51</v>
      </c>
      <c r="K2389" s="13">
        <v>0</v>
      </c>
      <c r="L2389" s="12">
        <v>31.08</v>
      </c>
      <c r="M2389" s="14">
        <f>ROUND(tblSprzedaz[[#This Row],[Ilość]]*tblSprzedaz[[#This Row],[Cena netto jednostkowa]]*(1-tblSprzedaz[[#This Row],[Rabat %]]),2)</f>
        <v>102</v>
      </c>
      <c r="N2389" s="14">
        <f>ROUND(tblSprzedaz[[#This Row],[Ilość]]*tblSprzedaz[[#This Row],[Koszt jednostkowy netto]],2)</f>
        <v>62.16</v>
      </c>
      <c r="O2389" s="14">
        <f>tblSprzedaz[[#This Row],[Przychód netto]]-tblSprzedaz[[#This Row],[Koszt całkowity netto]]</f>
        <v>39.840000000000003</v>
      </c>
      <c r="P2389" s="15">
        <f>IFERROR(tblSprzedaz[[#This Row],[Marża kwotowa]]/tblSprzedaz[[#This Row],[Przychód netto]],0)</f>
        <v>0.39058823529411768</v>
      </c>
      <c r="Q2389" s="16">
        <f>YEAR(tblSprzedaz[[#This Row],[Data]])</f>
        <v>2026</v>
      </c>
      <c r="R2389" s="16">
        <f>MONTH(tblSprzedaz[[#This Row],[Data]])</f>
        <v>9</v>
      </c>
      <c r="S2389" s="9" t="str">
        <f>YEAR(tblSprzedaz[[#This Row],[Data]])&amp;"-"&amp;RIGHT("0"&amp;MONTH(tblSprzedaz[[#This Row],[Data]]),2)</f>
        <v>2026-09</v>
      </c>
    </row>
    <row r="2390" spans="1:19" x14ac:dyDescent="0.25">
      <c r="A2390" s="7" t="s">
        <v>4947</v>
      </c>
      <c r="B2390" s="10">
        <v>46295</v>
      </c>
      <c r="C2390" s="7" t="s">
        <v>4948</v>
      </c>
      <c r="D2390" s="8" t="s">
        <v>80</v>
      </c>
      <c r="E2390" s="8" t="s">
        <v>73</v>
      </c>
      <c r="F2390" s="8" t="s">
        <v>37</v>
      </c>
      <c r="G2390" s="8" t="s">
        <v>28</v>
      </c>
      <c r="H2390" s="8" t="s">
        <v>38</v>
      </c>
      <c r="I2390" s="11">
        <v>24</v>
      </c>
      <c r="J2390" s="12">
        <v>110.2</v>
      </c>
      <c r="K2390" s="13">
        <v>0.15</v>
      </c>
      <c r="L2390" s="12">
        <v>83.92</v>
      </c>
      <c r="M2390" s="14">
        <f>ROUND(tblSprzedaz[[#This Row],[Ilość]]*tblSprzedaz[[#This Row],[Cena netto jednostkowa]]*(1-tblSprzedaz[[#This Row],[Rabat %]]),2)</f>
        <v>2248.08</v>
      </c>
      <c r="N2390" s="14">
        <f>ROUND(tblSprzedaz[[#This Row],[Ilość]]*tblSprzedaz[[#This Row],[Koszt jednostkowy netto]],2)</f>
        <v>2014.08</v>
      </c>
      <c r="O2390" s="14">
        <f>tblSprzedaz[[#This Row],[Przychód netto]]-tblSprzedaz[[#This Row],[Koszt całkowity netto]]</f>
        <v>234</v>
      </c>
      <c r="P2390" s="15">
        <f>IFERROR(tblSprzedaz[[#This Row],[Marża kwotowa]]/tblSprzedaz[[#This Row],[Przychód netto]],0)</f>
        <v>0.1040888224618341</v>
      </c>
      <c r="Q2390" s="16">
        <f>YEAR(tblSprzedaz[[#This Row],[Data]])</f>
        <v>2026</v>
      </c>
      <c r="R2390" s="16">
        <f>MONTH(tblSprzedaz[[#This Row],[Data]])</f>
        <v>9</v>
      </c>
      <c r="S2390" s="9" t="str">
        <f>YEAR(tblSprzedaz[[#This Row],[Data]])&amp;"-"&amp;RIGHT("0"&amp;MONTH(tblSprzedaz[[#This Row],[Data]]),2)</f>
        <v>2026-09</v>
      </c>
    </row>
    <row r="2391" spans="1:19" x14ac:dyDescent="0.25">
      <c r="A2391" s="7" t="s">
        <v>4949</v>
      </c>
      <c r="B2391" s="10">
        <v>46295</v>
      </c>
      <c r="C2391" s="7" t="s">
        <v>4950</v>
      </c>
      <c r="D2391" s="8" t="s">
        <v>138</v>
      </c>
      <c r="E2391" s="8" t="s">
        <v>65</v>
      </c>
      <c r="F2391" s="8" t="s">
        <v>33</v>
      </c>
      <c r="G2391" s="8" t="s">
        <v>36</v>
      </c>
      <c r="H2391" s="8" t="s">
        <v>46</v>
      </c>
      <c r="I2391" s="11">
        <v>7</v>
      </c>
      <c r="J2391" s="12">
        <v>377.2</v>
      </c>
      <c r="K2391" s="13">
        <v>0</v>
      </c>
      <c r="L2391" s="12">
        <v>247</v>
      </c>
      <c r="M2391" s="14">
        <f>ROUND(tblSprzedaz[[#This Row],[Ilość]]*tblSprzedaz[[#This Row],[Cena netto jednostkowa]]*(1-tblSprzedaz[[#This Row],[Rabat %]]),2)</f>
        <v>2640.4</v>
      </c>
      <c r="N2391" s="14">
        <f>ROUND(tblSprzedaz[[#This Row],[Ilość]]*tblSprzedaz[[#This Row],[Koszt jednostkowy netto]],2)</f>
        <v>1729</v>
      </c>
      <c r="O2391" s="14">
        <f>tblSprzedaz[[#This Row],[Przychód netto]]-tblSprzedaz[[#This Row],[Koszt całkowity netto]]</f>
        <v>911.40000000000009</v>
      </c>
      <c r="P2391" s="15">
        <f>IFERROR(tblSprzedaz[[#This Row],[Marża kwotowa]]/tblSprzedaz[[#This Row],[Przychód netto]],0)</f>
        <v>0.34517497348886533</v>
      </c>
      <c r="Q2391" s="16">
        <f>YEAR(tblSprzedaz[[#This Row],[Data]])</f>
        <v>2026</v>
      </c>
      <c r="R2391" s="16">
        <f>MONTH(tblSprzedaz[[#This Row],[Data]])</f>
        <v>9</v>
      </c>
      <c r="S2391" s="9" t="str">
        <f>YEAR(tblSprzedaz[[#This Row],[Data]])&amp;"-"&amp;RIGHT("0"&amp;MONTH(tblSprzedaz[[#This Row],[Data]]),2)</f>
        <v>2026-09</v>
      </c>
    </row>
    <row r="2392" spans="1:19" x14ac:dyDescent="0.25">
      <c r="A2392" s="7" t="s">
        <v>4951</v>
      </c>
      <c r="B2392" s="10">
        <v>46295</v>
      </c>
      <c r="C2392" s="7" t="s">
        <v>4952</v>
      </c>
      <c r="D2392" s="8" t="s">
        <v>90</v>
      </c>
      <c r="E2392" s="8" t="s">
        <v>64</v>
      </c>
      <c r="F2392" s="8" t="s">
        <v>33</v>
      </c>
      <c r="G2392" s="8" t="s">
        <v>30</v>
      </c>
      <c r="H2392" s="8" t="s">
        <v>40</v>
      </c>
      <c r="I2392" s="11">
        <v>25</v>
      </c>
      <c r="J2392" s="12">
        <v>768.2</v>
      </c>
      <c r="K2392" s="13">
        <v>0.15</v>
      </c>
      <c r="L2392" s="12">
        <v>545.76</v>
      </c>
      <c r="M2392" s="14">
        <f>ROUND(tblSprzedaz[[#This Row],[Ilość]]*tblSprzedaz[[#This Row],[Cena netto jednostkowa]]*(1-tblSprzedaz[[#This Row],[Rabat %]]),2)</f>
        <v>16324.25</v>
      </c>
      <c r="N2392" s="14">
        <f>ROUND(tblSprzedaz[[#This Row],[Ilość]]*tblSprzedaz[[#This Row],[Koszt jednostkowy netto]],2)</f>
        <v>13644</v>
      </c>
      <c r="O2392" s="14">
        <f>tblSprzedaz[[#This Row],[Przychód netto]]-tblSprzedaz[[#This Row],[Koszt całkowity netto]]</f>
        <v>2680.25</v>
      </c>
      <c r="P2392" s="15">
        <f>IFERROR(tblSprzedaz[[#This Row],[Marża kwotowa]]/tblSprzedaz[[#This Row],[Przychód netto]],0)</f>
        <v>0.16418824754582906</v>
      </c>
      <c r="Q2392" s="16">
        <f>YEAR(tblSprzedaz[[#This Row],[Data]])</f>
        <v>2026</v>
      </c>
      <c r="R2392" s="16">
        <f>MONTH(tblSprzedaz[[#This Row],[Data]])</f>
        <v>9</v>
      </c>
      <c r="S2392" s="9" t="str">
        <f>YEAR(tblSprzedaz[[#This Row],[Data]])&amp;"-"&amp;RIGHT("0"&amp;MONTH(tblSprzedaz[[#This Row],[Data]]),2)</f>
        <v>2026-09</v>
      </c>
    </row>
    <row r="2393" spans="1:19" x14ac:dyDescent="0.25">
      <c r="A2393" s="7" t="s">
        <v>4953</v>
      </c>
      <c r="B2393" s="10">
        <v>46295</v>
      </c>
      <c r="C2393" s="7" t="s">
        <v>4954</v>
      </c>
      <c r="D2393" s="8" t="s">
        <v>133</v>
      </c>
      <c r="E2393" s="8" t="s">
        <v>53</v>
      </c>
      <c r="F2393" s="8" t="s">
        <v>29</v>
      </c>
      <c r="G2393" s="8" t="s">
        <v>34</v>
      </c>
      <c r="H2393" s="8" t="s">
        <v>44</v>
      </c>
      <c r="I2393" s="11">
        <v>11</v>
      </c>
      <c r="J2393" s="12">
        <v>27.88</v>
      </c>
      <c r="K2393" s="13">
        <v>0</v>
      </c>
      <c r="L2393" s="12">
        <v>16.059999999999999</v>
      </c>
      <c r="M2393" s="14">
        <f>ROUND(tblSprzedaz[[#This Row],[Ilość]]*tblSprzedaz[[#This Row],[Cena netto jednostkowa]]*(1-tblSprzedaz[[#This Row],[Rabat %]]),2)</f>
        <v>306.68</v>
      </c>
      <c r="N2393" s="14">
        <f>ROUND(tblSprzedaz[[#This Row],[Ilość]]*tblSprzedaz[[#This Row],[Koszt jednostkowy netto]],2)</f>
        <v>176.66</v>
      </c>
      <c r="O2393" s="14">
        <f>tblSprzedaz[[#This Row],[Przychód netto]]-tblSprzedaz[[#This Row],[Koszt całkowity netto]]</f>
        <v>130.02000000000001</v>
      </c>
      <c r="P2393" s="15">
        <f>IFERROR(tblSprzedaz[[#This Row],[Marża kwotowa]]/tblSprzedaz[[#This Row],[Przychód netto]],0)</f>
        <v>0.4239598278335725</v>
      </c>
      <c r="Q2393" s="16">
        <f>YEAR(tblSprzedaz[[#This Row],[Data]])</f>
        <v>2026</v>
      </c>
      <c r="R2393" s="16">
        <f>MONTH(tblSprzedaz[[#This Row],[Data]])</f>
        <v>9</v>
      </c>
      <c r="S2393" s="9" t="str">
        <f>YEAR(tblSprzedaz[[#This Row],[Data]])&amp;"-"&amp;RIGHT("0"&amp;MONTH(tblSprzedaz[[#This Row],[Data]]),2)</f>
        <v>2026-09</v>
      </c>
    </row>
    <row r="2394" spans="1:19" x14ac:dyDescent="0.25">
      <c r="A2394" s="7" t="s">
        <v>4955</v>
      </c>
      <c r="B2394" s="10">
        <v>46295</v>
      </c>
      <c r="C2394" s="7" t="s">
        <v>4956</v>
      </c>
      <c r="D2394" s="8" t="s">
        <v>84</v>
      </c>
      <c r="E2394" s="8" t="s">
        <v>71</v>
      </c>
      <c r="F2394" s="8" t="s">
        <v>35</v>
      </c>
      <c r="G2394" s="8" t="s">
        <v>34</v>
      </c>
      <c r="H2394" s="8" t="s">
        <v>44</v>
      </c>
      <c r="I2394" s="11">
        <v>4</v>
      </c>
      <c r="J2394" s="12">
        <v>55.76</v>
      </c>
      <c r="K2394" s="13">
        <v>0.15</v>
      </c>
      <c r="L2394" s="12">
        <v>38.380000000000003</v>
      </c>
      <c r="M2394" s="14">
        <f>ROUND(tblSprzedaz[[#This Row],[Ilość]]*tblSprzedaz[[#This Row],[Cena netto jednostkowa]]*(1-tblSprzedaz[[#This Row],[Rabat %]]),2)</f>
        <v>189.58</v>
      </c>
      <c r="N2394" s="14">
        <f>ROUND(tblSprzedaz[[#This Row],[Ilość]]*tblSprzedaz[[#This Row],[Koszt jednostkowy netto]],2)</f>
        <v>153.52000000000001</v>
      </c>
      <c r="O2394" s="14">
        <f>tblSprzedaz[[#This Row],[Przychód netto]]-tblSprzedaz[[#This Row],[Koszt całkowity netto]]</f>
        <v>36.06</v>
      </c>
      <c r="P2394" s="15">
        <f>IFERROR(tblSprzedaz[[#This Row],[Marża kwotowa]]/tblSprzedaz[[#This Row],[Przychód netto]],0)</f>
        <v>0.19020993775714737</v>
      </c>
      <c r="Q2394" s="16">
        <f>YEAR(tblSprzedaz[[#This Row],[Data]])</f>
        <v>2026</v>
      </c>
      <c r="R2394" s="16">
        <f>MONTH(tblSprzedaz[[#This Row],[Data]])</f>
        <v>9</v>
      </c>
      <c r="S2394" s="9" t="str">
        <f>YEAR(tblSprzedaz[[#This Row],[Data]])&amp;"-"&amp;RIGHT("0"&amp;MONTH(tblSprzedaz[[#This Row],[Data]]),2)</f>
        <v>2026-09</v>
      </c>
    </row>
    <row r="2395" spans="1:19" x14ac:dyDescent="0.25">
      <c r="A2395" s="7" t="s">
        <v>4957</v>
      </c>
      <c r="B2395" s="10">
        <v>46295</v>
      </c>
      <c r="C2395" s="7" t="s">
        <v>4958</v>
      </c>
      <c r="D2395" s="8" t="s">
        <v>90</v>
      </c>
      <c r="E2395" s="8" t="s">
        <v>67</v>
      </c>
      <c r="F2395" s="8" t="s">
        <v>35</v>
      </c>
      <c r="G2395" s="8" t="s">
        <v>34</v>
      </c>
      <c r="H2395" s="8" t="s">
        <v>45</v>
      </c>
      <c r="I2395" s="11">
        <v>10</v>
      </c>
      <c r="J2395" s="12">
        <v>78.88</v>
      </c>
      <c r="K2395" s="13">
        <v>0.1</v>
      </c>
      <c r="L2395" s="12">
        <v>55.39</v>
      </c>
      <c r="M2395" s="14">
        <f>ROUND(tblSprzedaz[[#This Row],[Ilość]]*tblSprzedaz[[#This Row],[Cena netto jednostkowa]]*(1-tblSprzedaz[[#This Row],[Rabat %]]),2)</f>
        <v>709.92</v>
      </c>
      <c r="N2395" s="14">
        <f>ROUND(tblSprzedaz[[#This Row],[Ilość]]*tblSprzedaz[[#This Row],[Koszt jednostkowy netto]],2)</f>
        <v>553.9</v>
      </c>
      <c r="O2395" s="14">
        <f>tblSprzedaz[[#This Row],[Przychód netto]]-tblSprzedaz[[#This Row],[Koszt całkowity netto]]</f>
        <v>156.01999999999998</v>
      </c>
      <c r="P2395" s="15">
        <f>IFERROR(tblSprzedaz[[#This Row],[Marża kwotowa]]/tblSprzedaz[[#This Row],[Przychód netto]],0)</f>
        <v>0.21977124183006536</v>
      </c>
      <c r="Q2395" s="16">
        <f>YEAR(tblSprzedaz[[#This Row],[Data]])</f>
        <v>2026</v>
      </c>
      <c r="R2395" s="16">
        <f>MONTH(tblSprzedaz[[#This Row],[Data]])</f>
        <v>9</v>
      </c>
      <c r="S2395" s="9" t="str">
        <f>YEAR(tblSprzedaz[[#This Row],[Data]])&amp;"-"&amp;RIGHT("0"&amp;MONTH(tblSprzedaz[[#This Row],[Data]]),2)</f>
        <v>2026-09</v>
      </c>
    </row>
    <row r="2396" spans="1:19" x14ac:dyDescent="0.25">
      <c r="A2396" s="7" t="s">
        <v>4959</v>
      </c>
      <c r="B2396" s="10">
        <v>46296</v>
      </c>
      <c r="C2396" s="7" t="s">
        <v>4960</v>
      </c>
      <c r="D2396" s="8" t="s">
        <v>144</v>
      </c>
      <c r="E2396" s="8" t="s">
        <v>77</v>
      </c>
      <c r="F2396" s="8" t="s">
        <v>37</v>
      </c>
      <c r="G2396" s="8" t="s">
        <v>34</v>
      </c>
      <c r="H2396" s="8" t="s">
        <v>45</v>
      </c>
      <c r="I2396" s="11">
        <v>14</v>
      </c>
      <c r="J2396" s="12">
        <v>77.900000000000006</v>
      </c>
      <c r="K2396" s="13">
        <v>0</v>
      </c>
      <c r="L2396" s="12">
        <v>58.65</v>
      </c>
      <c r="M2396" s="14">
        <f>ROUND(tblSprzedaz[[#This Row],[Ilość]]*tblSprzedaz[[#This Row],[Cena netto jednostkowa]]*(1-tblSprzedaz[[#This Row],[Rabat %]]),2)</f>
        <v>1090.5999999999999</v>
      </c>
      <c r="N2396" s="14">
        <f>ROUND(tblSprzedaz[[#This Row],[Ilość]]*tblSprzedaz[[#This Row],[Koszt jednostkowy netto]],2)</f>
        <v>821.1</v>
      </c>
      <c r="O2396" s="14">
        <f>tblSprzedaz[[#This Row],[Przychód netto]]-tblSprzedaz[[#This Row],[Koszt całkowity netto]]</f>
        <v>269.49999999999989</v>
      </c>
      <c r="P2396" s="15">
        <f>IFERROR(tblSprzedaz[[#This Row],[Marża kwotowa]]/tblSprzedaz[[#This Row],[Przychód netto]],0)</f>
        <v>0.24711168164313213</v>
      </c>
      <c r="Q2396" s="16">
        <f>YEAR(tblSprzedaz[[#This Row],[Data]])</f>
        <v>2026</v>
      </c>
      <c r="R2396" s="16">
        <f>MONTH(tblSprzedaz[[#This Row],[Data]])</f>
        <v>10</v>
      </c>
      <c r="S2396" s="9" t="str">
        <f>YEAR(tblSprzedaz[[#This Row],[Data]])&amp;"-"&amp;RIGHT("0"&amp;MONTH(tblSprzedaz[[#This Row],[Data]]),2)</f>
        <v>2026-10</v>
      </c>
    </row>
    <row r="2397" spans="1:19" x14ac:dyDescent="0.25">
      <c r="A2397" s="7" t="s">
        <v>4961</v>
      </c>
      <c r="B2397" s="10">
        <v>46296</v>
      </c>
      <c r="C2397" s="7" t="s">
        <v>4962</v>
      </c>
      <c r="D2397" s="8" t="s">
        <v>143</v>
      </c>
      <c r="E2397" s="8" t="s">
        <v>52</v>
      </c>
      <c r="F2397" s="8" t="s">
        <v>29</v>
      </c>
      <c r="G2397" s="8" t="s">
        <v>32</v>
      </c>
      <c r="H2397" s="8" t="s">
        <v>43</v>
      </c>
      <c r="I2397" s="11">
        <v>23</v>
      </c>
      <c r="J2397" s="12">
        <v>56.78</v>
      </c>
      <c r="K2397" s="13">
        <v>0</v>
      </c>
      <c r="L2397" s="12">
        <v>33.43</v>
      </c>
      <c r="M2397" s="14">
        <f>ROUND(tblSprzedaz[[#This Row],[Ilość]]*tblSprzedaz[[#This Row],[Cena netto jednostkowa]]*(1-tblSprzedaz[[#This Row],[Rabat %]]),2)</f>
        <v>1305.94</v>
      </c>
      <c r="N2397" s="14">
        <f>ROUND(tblSprzedaz[[#This Row],[Ilość]]*tblSprzedaz[[#This Row],[Koszt jednostkowy netto]],2)</f>
        <v>768.89</v>
      </c>
      <c r="O2397" s="14">
        <f>tblSprzedaz[[#This Row],[Przychód netto]]-tblSprzedaz[[#This Row],[Koszt całkowity netto]]</f>
        <v>537.05000000000007</v>
      </c>
      <c r="P2397" s="15">
        <f>IFERROR(tblSprzedaz[[#This Row],[Marża kwotowa]]/tblSprzedaz[[#This Row],[Przychód netto]],0)</f>
        <v>0.41123635082775628</v>
      </c>
      <c r="Q2397" s="16">
        <f>YEAR(tblSprzedaz[[#This Row],[Data]])</f>
        <v>2026</v>
      </c>
      <c r="R2397" s="16">
        <f>MONTH(tblSprzedaz[[#This Row],[Data]])</f>
        <v>10</v>
      </c>
      <c r="S2397" s="9" t="str">
        <f>YEAR(tblSprzedaz[[#This Row],[Data]])&amp;"-"&amp;RIGHT("0"&amp;MONTH(tblSprzedaz[[#This Row],[Data]]),2)</f>
        <v>2026-10</v>
      </c>
    </row>
    <row r="2398" spans="1:19" x14ac:dyDescent="0.25">
      <c r="A2398" s="7" t="s">
        <v>4963</v>
      </c>
      <c r="B2398" s="10">
        <v>46296</v>
      </c>
      <c r="C2398" s="7" t="s">
        <v>4964</v>
      </c>
      <c r="D2398" s="8" t="s">
        <v>111</v>
      </c>
      <c r="E2398" s="8" t="s">
        <v>72</v>
      </c>
      <c r="F2398" s="8" t="s">
        <v>37</v>
      </c>
      <c r="G2398" s="8" t="s">
        <v>36</v>
      </c>
      <c r="H2398" s="8" t="s">
        <v>46</v>
      </c>
      <c r="I2398" s="11">
        <v>31</v>
      </c>
      <c r="J2398" s="12">
        <v>94.05</v>
      </c>
      <c r="K2398" s="13">
        <v>0</v>
      </c>
      <c r="L2398" s="12">
        <v>70.900000000000006</v>
      </c>
      <c r="M2398" s="14">
        <f>ROUND(tblSprzedaz[[#This Row],[Ilość]]*tblSprzedaz[[#This Row],[Cena netto jednostkowa]]*(1-tblSprzedaz[[#This Row],[Rabat %]]),2)</f>
        <v>2915.55</v>
      </c>
      <c r="N2398" s="14">
        <f>ROUND(tblSprzedaz[[#This Row],[Ilość]]*tblSprzedaz[[#This Row],[Koszt jednostkowy netto]],2)</f>
        <v>2197.9</v>
      </c>
      <c r="O2398" s="14">
        <f>tblSprzedaz[[#This Row],[Przychód netto]]-tblSprzedaz[[#This Row],[Koszt całkowity netto]]</f>
        <v>717.65000000000009</v>
      </c>
      <c r="P2398" s="15">
        <f>IFERROR(tblSprzedaz[[#This Row],[Marża kwotowa]]/tblSprzedaz[[#This Row],[Przychód netto]],0)</f>
        <v>0.24614566719829881</v>
      </c>
      <c r="Q2398" s="16">
        <f>YEAR(tblSprzedaz[[#This Row],[Data]])</f>
        <v>2026</v>
      </c>
      <c r="R2398" s="16">
        <f>MONTH(tblSprzedaz[[#This Row],[Data]])</f>
        <v>10</v>
      </c>
      <c r="S2398" s="9" t="str">
        <f>YEAR(tblSprzedaz[[#This Row],[Data]])&amp;"-"&amp;RIGHT("0"&amp;MONTH(tblSprzedaz[[#This Row],[Data]]),2)</f>
        <v>2026-10</v>
      </c>
    </row>
    <row r="2399" spans="1:19" x14ac:dyDescent="0.25">
      <c r="A2399" s="7" t="s">
        <v>4965</v>
      </c>
      <c r="B2399" s="10">
        <v>46296</v>
      </c>
      <c r="C2399" s="7" t="s">
        <v>4966</v>
      </c>
      <c r="D2399" s="8" t="s">
        <v>95</v>
      </c>
      <c r="E2399" s="8" t="s">
        <v>73</v>
      </c>
      <c r="F2399" s="8" t="s">
        <v>37</v>
      </c>
      <c r="G2399" s="8" t="s">
        <v>28</v>
      </c>
      <c r="H2399" s="8" t="s">
        <v>38</v>
      </c>
      <c r="I2399" s="11">
        <v>21</v>
      </c>
      <c r="J2399" s="12">
        <v>110.2</v>
      </c>
      <c r="K2399" s="13">
        <v>0.15</v>
      </c>
      <c r="L2399" s="12">
        <v>81.319999999999993</v>
      </c>
      <c r="M2399" s="14">
        <f>ROUND(tblSprzedaz[[#This Row],[Ilość]]*tblSprzedaz[[#This Row],[Cena netto jednostkowa]]*(1-tblSprzedaz[[#This Row],[Rabat %]]),2)</f>
        <v>1967.07</v>
      </c>
      <c r="N2399" s="14">
        <f>ROUND(tblSprzedaz[[#This Row],[Ilość]]*tblSprzedaz[[#This Row],[Koszt jednostkowy netto]],2)</f>
        <v>1707.72</v>
      </c>
      <c r="O2399" s="14">
        <f>tblSprzedaz[[#This Row],[Przychód netto]]-tblSprzedaz[[#This Row],[Koszt całkowity netto]]</f>
        <v>259.34999999999991</v>
      </c>
      <c r="P2399" s="15">
        <f>IFERROR(tblSprzedaz[[#This Row],[Marża kwotowa]]/tblSprzedaz[[#This Row],[Przychód netto]],0)</f>
        <v>0.13184584178498981</v>
      </c>
      <c r="Q2399" s="16">
        <f>YEAR(tblSprzedaz[[#This Row],[Data]])</f>
        <v>2026</v>
      </c>
      <c r="R2399" s="16">
        <f>MONTH(tblSprzedaz[[#This Row],[Data]])</f>
        <v>10</v>
      </c>
      <c r="S2399" s="9" t="str">
        <f>YEAR(tblSprzedaz[[#This Row],[Data]])&amp;"-"&amp;RIGHT("0"&amp;MONTH(tblSprzedaz[[#This Row],[Data]]),2)</f>
        <v>2026-10</v>
      </c>
    </row>
    <row r="2400" spans="1:19" x14ac:dyDescent="0.25">
      <c r="A2400" s="7" t="s">
        <v>4967</v>
      </c>
      <c r="B2400" s="10">
        <v>46296</v>
      </c>
      <c r="C2400" s="7" t="s">
        <v>4968</v>
      </c>
      <c r="D2400" s="8" t="s">
        <v>112</v>
      </c>
      <c r="E2400" s="8" t="s">
        <v>54</v>
      </c>
      <c r="F2400" s="8" t="s">
        <v>31</v>
      </c>
      <c r="G2400" s="8" t="s">
        <v>34</v>
      </c>
      <c r="H2400" s="8" t="s">
        <v>45</v>
      </c>
      <c r="I2400" s="11">
        <v>11</v>
      </c>
      <c r="J2400" s="12">
        <v>207.9</v>
      </c>
      <c r="K2400" s="13">
        <v>0</v>
      </c>
      <c r="L2400" s="12">
        <v>138.86000000000001</v>
      </c>
      <c r="M2400" s="14">
        <f>ROUND(tblSprzedaz[[#This Row],[Ilość]]*tblSprzedaz[[#This Row],[Cena netto jednostkowa]]*(1-tblSprzedaz[[#This Row],[Rabat %]]),2)</f>
        <v>2286.9</v>
      </c>
      <c r="N2400" s="14">
        <f>ROUND(tblSprzedaz[[#This Row],[Ilość]]*tblSprzedaz[[#This Row],[Koszt jednostkowy netto]],2)</f>
        <v>1527.46</v>
      </c>
      <c r="O2400" s="14">
        <f>tblSprzedaz[[#This Row],[Przychód netto]]-tblSprzedaz[[#This Row],[Koszt całkowity netto]]</f>
        <v>759.44</v>
      </c>
      <c r="P2400" s="15">
        <f>IFERROR(tblSprzedaz[[#This Row],[Marża kwotowa]]/tblSprzedaz[[#This Row],[Przychód netto]],0)</f>
        <v>0.33208273208273209</v>
      </c>
      <c r="Q2400" s="16">
        <f>YEAR(tblSprzedaz[[#This Row],[Data]])</f>
        <v>2026</v>
      </c>
      <c r="R2400" s="16">
        <f>MONTH(tblSprzedaz[[#This Row],[Data]])</f>
        <v>10</v>
      </c>
      <c r="S2400" s="9" t="str">
        <f>YEAR(tblSprzedaz[[#This Row],[Data]])&amp;"-"&amp;RIGHT("0"&amp;MONTH(tblSprzedaz[[#This Row],[Data]]),2)</f>
        <v>2026-10</v>
      </c>
    </row>
    <row r="2401" spans="1:19" x14ac:dyDescent="0.25">
      <c r="A2401" s="7" t="s">
        <v>4969</v>
      </c>
      <c r="B2401" s="10">
        <v>46296</v>
      </c>
      <c r="C2401" s="7" t="s">
        <v>4970</v>
      </c>
      <c r="D2401" s="8" t="s">
        <v>147</v>
      </c>
      <c r="E2401" s="8" t="s">
        <v>76</v>
      </c>
      <c r="F2401" s="8" t="s">
        <v>37</v>
      </c>
      <c r="G2401" s="8" t="s">
        <v>36</v>
      </c>
      <c r="H2401" s="8" t="s">
        <v>46</v>
      </c>
      <c r="I2401" s="11">
        <v>5</v>
      </c>
      <c r="J2401" s="12">
        <v>158.65</v>
      </c>
      <c r="K2401" s="13">
        <v>0.1</v>
      </c>
      <c r="L2401" s="12">
        <v>115.97</v>
      </c>
      <c r="M2401" s="14">
        <f>ROUND(tblSprzedaz[[#This Row],[Ilość]]*tblSprzedaz[[#This Row],[Cena netto jednostkowa]]*(1-tblSprzedaz[[#This Row],[Rabat %]]),2)</f>
        <v>713.93</v>
      </c>
      <c r="N2401" s="14">
        <f>ROUND(tblSprzedaz[[#This Row],[Ilość]]*tblSprzedaz[[#This Row],[Koszt jednostkowy netto]],2)</f>
        <v>579.85</v>
      </c>
      <c r="O2401" s="14">
        <f>tblSprzedaz[[#This Row],[Przychód netto]]-tblSprzedaz[[#This Row],[Koszt całkowity netto]]</f>
        <v>134.07999999999993</v>
      </c>
      <c r="P2401" s="15">
        <f>IFERROR(tblSprzedaz[[#This Row],[Marża kwotowa]]/tblSprzedaz[[#This Row],[Przychód netto]],0)</f>
        <v>0.18780552715252186</v>
      </c>
      <c r="Q2401" s="16">
        <f>YEAR(tblSprzedaz[[#This Row],[Data]])</f>
        <v>2026</v>
      </c>
      <c r="R2401" s="16">
        <f>MONTH(tblSprzedaz[[#This Row],[Data]])</f>
        <v>10</v>
      </c>
      <c r="S2401" s="9" t="str">
        <f>YEAR(tblSprzedaz[[#This Row],[Data]])&amp;"-"&amp;RIGHT("0"&amp;MONTH(tblSprzedaz[[#This Row],[Data]]),2)</f>
        <v>2026-10</v>
      </c>
    </row>
    <row r="2402" spans="1:19" x14ac:dyDescent="0.25">
      <c r="A2402" s="7" t="s">
        <v>4971</v>
      </c>
      <c r="B2402" s="10">
        <v>46296</v>
      </c>
      <c r="C2402" s="7" t="s">
        <v>4972</v>
      </c>
      <c r="D2402" s="8" t="s">
        <v>102</v>
      </c>
      <c r="E2402" s="8" t="s">
        <v>52</v>
      </c>
      <c r="F2402" s="8" t="s">
        <v>29</v>
      </c>
      <c r="G2402" s="8" t="s">
        <v>32</v>
      </c>
      <c r="H2402" s="8" t="s">
        <v>43</v>
      </c>
      <c r="I2402" s="11">
        <v>11</v>
      </c>
      <c r="J2402" s="12">
        <v>56.78</v>
      </c>
      <c r="K2402" s="13">
        <v>0</v>
      </c>
      <c r="L2402" s="12">
        <v>33.64</v>
      </c>
      <c r="M2402" s="14">
        <f>ROUND(tblSprzedaz[[#This Row],[Ilość]]*tblSprzedaz[[#This Row],[Cena netto jednostkowa]]*(1-tblSprzedaz[[#This Row],[Rabat %]]),2)</f>
        <v>624.58000000000004</v>
      </c>
      <c r="N2402" s="14">
        <f>ROUND(tblSprzedaz[[#This Row],[Ilość]]*tblSprzedaz[[#This Row],[Koszt jednostkowy netto]],2)</f>
        <v>370.04</v>
      </c>
      <c r="O2402" s="14">
        <f>tblSprzedaz[[#This Row],[Przychód netto]]-tblSprzedaz[[#This Row],[Koszt całkowity netto]]</f>
        <v>254.54000000000002</v>
      </c>
      <c r="P2402" s="15">
        <f>IFERROR(tblSprzedaz[[#This Row],[Marża kwotowa]]/tblSprzedaz[[#This Row],[Przychód netto]],0)</f>
        <v>0.40753786544557946</v>
      </c>
      <c r="Q2402" s="16">
        <f>YEAR(tblSprzedaz[[#This Row],[Data]])</f>
        <v>2026</v>
      </c>
      <c r="R2402" s="16">
        <f>MONTH(tblSprzedaz[[#This Row],[Data]])</f>
        <v>10</v>
      </c>
      <c r="S2402" s="9" t="str">
        <f>YEAR(tblSprzedaz[[#This Row],[Data]])&amp;"-"&amp;RIGHT("0"&amp;MONTH(tblSprzedaz[[#This Row],[Data]]),2)</f>
        <v>2026-10</v>
      </c>
    </row>
    <row r="2403" spans="1:19" x14ac:dyDescent="0.25">
      <c r="A2403" s="7" t="s">
        <v>4973</v>
      </c>
      <c r="B2403" s="10">
        <v>46297</v>
      </c>
      <c r="C2403" s="7" t="s">
        <v>4974</v>
      </c>
      <c r="D2403" s="8" t="s">
        <v>92</v>
      </c>
      <c r="E2403" s="8" t="s">
        <v>49</v>
      </c>
      <c r="F2403" s="8" t="s">
        <v>29</v>
      </c>
      <c r="G2403" s="8" t="s">
        <v>30</v>
      </c>
      <c r="H2403" s="8" t="s">
        <v>41</v>
      </c>
      <c r="I2403" s="11">
        <v>31</v>
      </c>
      <c r="J2403" s="12">
        <v>39.44</v>
      </c>
      <c r="K2403" s="13">
        <v>0.05</v>
      </c>
      <c r="L2403" s="12">
        <v>23.26</v>
      </c>
      <c r="M2403" s="14">
        <f>ROUND(tblSprzedaz[[#This Row],[Ilość]]*tblSprzedaz[[#This Row],[Cena netto jednostkowa]]*(1-tblSprzedaz[[#This Row],[Rabat %]]),2)</f>
        <v>1161.51</v>
      </c>
      <c r="N2403" s="14">
        <f>ROUND(tblSprzedaz[[#This Row],[Ilość]]*tblSprzedaz[[#This Row],[Koszt jednostkowy netto]],2)</f>
        <v>721.06</v>
      </c>
      <c r="O2403" s="14">
        <f>tblSprzedaz[[#This Row],[Przychód netto]]-tblSprzedaz[[#This Row],[Koszt całkowity netto]]</f>
        <v>440.45000000000005</v>
      </c>
      <c r="P2403" s="15">
        <f>IFERROR(tblSprzedaz[[#This Row],[Marża kwotowa]]/tblSprzedaz[[#This Row],[Przychód netto]],0)</f>
        <v>0.37920465600812742</v>
      </c>
      <c r="Q2403" s="16">
        <f>YEAR(tblSprzedaz[[#This Row],[Data]])</f>
        <v>2026</v>
      </c>
      <c r="R2403" s="16">
        <f>MONTH(tblSprzedaz[[#This Row],[Data]])</f>
        <v>10</v>
      </c>
      <c r="S2403" s="9" t="str">
        <f>YEAR(tblSprzedaz[[#This Row],[Data]])&amp;"-"&amp;RIGHT("0"&amp;MONTH(tblSprzedaz[[#This Row],[Data]]),2)</f>
        <v>2026-10</v>
      </c>
    </row>
    <row r="2404" spans="1:19" x14ac:dyDescent="0.25">
      <c r="A2404" s="7" t="s">
        <v>4975</v>
      </c>
      <c r="B2404" s="10">
        <v>46297</v>
      </c>
      <c r="C2404" s="7" t="s">
        <v>4976</v>
      </c>
      <c r="D2404" s="8" t="s">
        <v>101</v>
      </c>
      <c r="E2404" s="8" t="s">
        <v>53</v>
      </c>
      <c r="F2404" s="8" t="s">
        <v>29</v>
      </c>
      <c r="G2404" s="8" t="s">
        <v>30</v>
      </c>
      <c r="H2404" s="8" t="s">
        <v>40</v>
      </c>
      <c r="I2404" s="11">
        <v>29</v>
      </c>
      <c r="J2404" s="12">
        <v>27.88</v>
      </c>
      <c r="K2404" s="13">
        <v>0</v>
      </c>
      <c r="L2404" s="12">
        <v>16.98</v>
      </c>
      <c r="M2404" s="14">
        <f>ROUND(tblSprzedaz[[#This Row],[Ilość]]*tblSprzedaz[[#This Row],[Cena netto jednostkowa]]*(1-tblSprzedaz[[#This Row],[Rabat %]]),2)</f>
        <v>808.52</v>
      </c>
      <c r="N2404" s="14">
        <f>ROUND(tblSprzedaz[[#This Row],[Ilość]]*tblSprzedaz[[#This Row],[Koszt jednostkowy netto]],2)</f>
        <v>492.42</v>
      </c>
      <c r="O2404" s="14">
        <f>tblSprzedaz[[#This Row],[Przychód netto]]-tblSprzedaz[[#This Row],[Koszt całkowity netto]]</f>
        <v>316.09999999999997</v>
      </c>
      <c r="P2404" s="15">
        <f>IFERROR(tblSprzedaz[[#This Row],[Marża kwotowa]]/tblSprzedaz[[#This Row],[Przychód netto]],0)</f>
        <v>0.39096126255380198</v>
      </c>
      <c r="Q2404" s="16">
        <f>YEAR(tblSprzedaz[[#This Row],[Data]])</f>
        <v>2026</v>
      </c>
      <c r="R2404" s="16">
        <f>MONTH(tblSprzedaz[[#This Row],[Data]])</f>
        <v>10</v>
      </c>
      <c r="S2404" s="9" t="str">
        <f>YEAR(tblSprzedaz[[#This Row],[Data]])&amp;"-"&amp;RIGHT("0"&amp;MONTH(tblSprzedaz[[#This Row],[Data]]),2)</f>
        <v>2026-10</v>
      </c>
    </row>
    <row r="2405" spans="1:19" x14ac:dyDescent="0.25">
      <c r="A2405" s="7" t="s">
        <v>4977</v>
      </c>
      <c r="B2405" s="10">
        <v>46297</v>
      </c>
      <c r="C2405" s="7" t="s">
        <v>4978</v>
      </c>
      <c r="D2405" s="8" t="s">
        <v>135</v>
      </c>
      <c r="E2405" s="8" t="s">
        <v>70</v>
      </c>
      <c r="F2405" s="8" t="s">
        <v>35</v>
      </c>
      <c r="G2405" s="8" t="s">
        <v>32</v>
      </c>
      <c r="H2405" s="8" t="s">
        <v>42</v>
      </c>
      <c r="I2405" s="11">
        <v>7</v>
      </c>
      <c r="J2405" s="12">
        <v>113.56</v>
      </c>
      <c r="K2405" s="13">
        <v>0</v>
      </c>
      <c r="L2405" s="12">
        <v>80.45</v>
      </c>
      <c r="M2405" s="14">
        <f>ROUND(tblSprzedaz[[#This Row],[Ilość]]*tblSprzedaz[[#This Row],[Cena netto jednostkowa]]*(1-tblSprzedaz[[#This Row],[Rabat %]]),2)</f>
        <v>794.92</v>
      </c>
      <c r="N2405" s="14">
        <f>ROUND(tblSprzedaz[[#This Row],[Ilość]]*tblSprzedaz[[#This Row],[Koszt jednostkowy netto]],2)</f>
        <v>563.15</v>
      </c>
      <c r="O2405" s="14">
        <f>tblSprzedaz[[#This Row],[Przychód netto]]-tblSprzedaz[[#This Row],[Koszt całkowity netto]]</f>
        <v>231.76999999999998</v>
      </c>
      <c r="P2405" s="15">
        <f>IFERROR(tblSprzedaz[[#This Row],[Marża kwotowa]]/tblSprzedaz[[#This Row],[Przychód netto]],0)</f>
        <v>0.29156393096160621</v>
      </c>
      <c r="Q2405" s="16">
        <f>YEAR(tblSprzedaz[[#This Row],[Data]])</f>
        <v>2026</v>
      </c>
      <c r="R2405" s="16">
        <f>MONTH(tblSprzedaz[[#This Row],[Data]])</f>
        <v>10</v>
      </c>
      <c r="S2405" s="9" t="str">
        <f>YEAR(tblSprzedaz[[#This Row],[Data]])&amp;"-"&amp;RIGHT("0"&amp;MONTH(tblSprzedaz[[#This Row],[Data]]),2)</f>
        <v>2026-10</v>
      </c>
    </row>
    <row r="2406" spans="1:19" x14ac:dyDescent="0.25">
      <c r="A2406" s="7" t="s">
        <v>4979</v>
      </c>
      <c r="B2406" s="10">
        <v>46297</v>
      </c>
      <c r="C2406" s="7" t="s">
        <v>4980</v>
      </c>
      <c r="D2406" s="8" t="s">
        <v>82</v>
      </c>
      <c r="E2406" s="8" t="s">
        <v>59</v>
      </c>
      <c r="F2406" s="8" t="s">
        <v>31</v>
      </c>
      <c r="G2406" s="8" t="s">
        <v>30</v>
      </c>
      <c r="H2406" s="8" t="s">
        <v>41</v>
      </c>
      <c r="I2406" s="11">
        <v>23</v>
      </c>
      <c r="J2406" s="12">
        <v>172.2</v>
      </c>
      <c r="K2406" s="13">
        <v>0</v>
      </c>
      <c r="L2406" s="12">
        <v>107.29</v>
      </c>
      <c r="M2406" s="14">
        <f>ROUND(tblSprzedaz[[#This Row],[Ilość]]*tblSprzedaz[[#This Row],[Cena netto jednostkowa]]*(1-tblSprzedaz[[#This Row],[Rabat %]]),2)</f>
        <v>3960.6</v>
      </c>
      <c r="N2406" s="14">
        <f>ROUND(tblSprzedaz[[#This Row],[Ilość]]*tblSprzedaz[[#This Row],[Koszt jednostkowy netto]],2)</f>
        <v>2467.67</v>
      </c>
      <c r="O2406" s="14">
        <f>tblSprzedaz[[#This Row],[Przychód netto]]-tblSprzedaz[[#This Row],[Koszt całkowity netto]]</f>
        <v>1492.9299999999998</v>
      </c>
      <c r="P2406" s="15">
        <f>IFERROR(tblSprzedaz[[#This Row],[Marża kwotowa]]/tblSprzedaz[[#This Row],[Przychód netto]],0)</f>
        <v>0.37694541231126594</v>
      </c>
      <c r="Q2406" s="16">
        <f>YEAR(tblSprzedaz[[#This Row],[Data]])</f>
        <v>2026</v>
      </c>
      <c r="R2406" s="16">
        <f>MONTH(tblSprzedaz[[#This Row],[Data]])</f>
        <v>10</v>
      </c>
      <c r="S2406" s="9" t="str">
        <f>YEAR(tblSprzedaz[[#This Row],[Data]])&amp;"-"&amp;RIGHT("0"&amp;MONTH(tblSprzedaz[[#This Row],[Data]]),2)</f>
        <v>2026-10</v>
      </c>
    </row>
    <row r="2407" spans="1:19" x14ac:dyDescent="0.25">
      <c r="A2407" s="7" t="s">
        <v>4981</v>
      </c>
      <c r="B2407" s="10">
        <v>46297</v>
      </c>
      <c r="C2407" s="7" t="s">
        <v>4982</v>
      </c>
      <c r="D2407" s="8" t="s">
        <v>142</v>
      </c>
      <c r="E2407" s="8" t="s">
        <v>62</v>
      </c>
      <c r="F2407" s="8" t="s">
        <v>33</v>
      </c>
      <c r="G2407" s="8" t="s">
        <v>34</v>
      </c>
      <c r="H2407" s="8" t="s">
        <v>45</v>
      </c>
      <c r="I2407" s="11">
        <v>6</v>
      </c>
      <c r="J2407" s="12">
        <v>611.79999999999995</v>
      </c>
      <c r="K2407" s="13">
        <v>0.1</v>
      </c>
      <c r="L2407" s="12">
        <v>407.32</v>
      </c>
      <c r="M2407" s="14">
        <f>ROUND(tblSprzedaz[[#This Row],[Ilość]]*tblSprzedaz[[#This Row],[Cena netto jednostkowa]]*(1-tblSprzedaz[[#This Row],[Rabat %]]),2)</f>
        <v>3303.72</v>
      </c>
      <c r="N2407" s="14">
        <f>ROUND(tblSprzedaz[[#This Row],[Ilość]]*tblSprzedaz[[#This Row],[Koszt jednostkowy netto]],2)</f>
        <v>2443.92</v>
      </c>
      <c r="O2407" s="14">
        <f>tblSprzedaz[[#This Row],[Przychód netto]]-tblSprzedaz[[#This Row],[Koszt całkowity netto]]</f>
        <v>859.79999999999973</v>
      </c>
      <c r="P2407" s="15">
        <f>IFERROR(tblSprzedaz[[#This Row],[Marża kwotowa]]/tblSprzedaz[[#This Row],[Przychód netto]],0)</f>
        <v>0.26025207947404738</v>
      </c>
      <c r="Q2407" s="16">
        <f>YEAR(tblSprzedaz[[#This Row],[Data]])</f>
        <v>2026</v>
      </c>
      <c r="R2407" s="16">
        <f>MONTH(tblSprzedaz[[#This Row],[Data]])</f>
        <v>10</v>
      </c>
      <c r="S2407" s="9" t="str">
        <f>YEAR(tblSprzedaz[[#This Row],[Data]])&amp;"-"&amp;RIGHT("0"&amp;MONTH(tblSprzedaz[[#This Row],[Data]]),2)</f>
        <v>2026-10</v>
      </c>
    </row>
    <row r="2408" spans="1:19" x14ac:dyDescent="0.25">
      <c r="A2408" s="7" t="s">
        <v>4983</v>
      </c>
      <c r="B2408" s="10">
        <v>46297</v>
      </c>
      <c r="C2408" s="7" t="s">
        <v>4984</v>
      </c>
      <c r="D2408" s="8" t="s">
        <v>88</v>
      </c>
      <c r="E2408" s="8" t="s">
        <v>63</v>
      </c>
      <c r="F2408" s="8" t="s">
        <v>33</v>
      </c>
      <c r="G2408" s="8" t="s">
        <v>34</v>
      </c>
      <c r="H2408" s="8" t="s">
        <v>45</v>
      </c>
      <c r="I2408" s="11">
        <v>9</v>
      </c>
      <c r="J2408" s="12">
        <v>690</v>
      </c>
      <c r="K2408" s="13">
        <v>0</v>
      </c>
      <c r="L2408" s="12">
        <v>496.34</v>
      </c>
      <c r="M2408" s="14">
        <f>ROUND(tblSprzedaz[[#This Row],[Ilość]]*tblSprzedaz[[#This Row],[Cena netto jednostkowa]]*(1-tblSprzedaz[[#This Row],[Rabat %]]),2)</f>
        <v>6210</v>
      </c>
      <c r="N2408" s="14">
        <f>ROUND(tblSprzedaz[[#This Row],[Ilość]]*tblSprzedaz[[#This Row],[Koszt jednostkowy netto]],2)</f>
        <v>4467.0600000000004</v>
      </c>
      <c r="O2408" s="14">
        <f>tblSprzedaz[[#This Row],[Przychód netto]]-tblSprzedaz[[#This Row],[Koszt całkowity netto]]</f>
        <v>1742.9399999999996</v>
      </c>
      <c r="P2408" s="15">
        <f>IFERROR(tblSprzedaz[[#This Row],[Marża kwotowa]]/tblSprzedaz[[#This Row],[Przychód netto]],0)</f>
        <v>0.28066666666666662</v>
      </c>
      <c r="Q2408" s="16">
        <f>YEAR(tblSprzedaz[[#This Row],[Data]])</f>
        <v>2026</v>
      </c>
      <c r="R2408" s="16">
        <f>MONTH(tblSprzedaz[[#This Row],[Data]])</f>
        <v>10</v>
      </c>
      <c r="S2408" s="9" t="str">
        <f>YEAR(tblSprzedaz[[#This Row],[Data]])&amp;"-"&amp;RIGHT("0"&amp;MONTH(tblSprzedaz[[#This Row],[Data]]),2)</f>
        <v>2026-10</v>
      </c>
    </row>
    <row r="2409" spans="1:19" x14ac:dyDescent="0.25">
      <c r="A2409" s="7" t="s">
        <v>4985</v>
      </c>
      <c r="B2409" s="10">
        <v>46298</v>
      </c>
      <c r="C2409" s="7" t="s">
        <v>4986</v>
      </c>
      <c r="D2409" s="8" t="s">
        <v>83</v>
      </c>
      <c r="E2409" s="8" t="s">
        <v>50</v>
      </c>
      <c r="F2409" s="8" t="s">
        <v>29</v>
      </c>
      <c r="G2409" s="8" t="s">
        <v>28</v>
      </c>
      <c r="H2409" s="8" t="s">
        <v>38</v>
      </c>
      <c r="I2409" s="11">
        <v>30</v>
      </c>
      <c r="J2409" s="12">
        <v>45.22</v>
      </c>
      <c r="K2409" s="13">
        <v>0.05</v>
      </c>
      <c r="L2409" s="12">
        <v>27.86</v>
      </c>
      <c r="M2409" s="14">
        <f>ROUND(tblSprzedaz[[#This Row],[Ilość]]*tblSprzedaz[[#This Row],[Cena netto jednostkowa]]*(1-tblSprzedaz[[#This Row],[Rabat %]]),2)</f>
        <v>1288.77</v>
      </c>
      <c r="N2409" s="14">
        <f>ROUND(tblSprzedaz[[#This Row],[Ilość]]*tblSprzedaz[[#This Row],[Koszt jednostkowy netto]],2)</f>
        <v>835.8</v>
      </c>
      <c r="O2409" s="14">
        <f>tblSprzedaz[[#This Row],[Przychód netto]]-tblSprzedaz[[#This Row],[Koszt całkowity netto]]</f>
        <v>452.97</v>
      </c>
      <c r="P2409" s="15">
        <f>IFERROR(tblSprzedaz[[#This Row],[Marża kwotowa]]/tblSprzedaz[[#This Row],[Przychód netto]],0)</f>
        <v>0.35147466188691545</v>
      </c>
      <c r="Q2409" s="16">
        <f>YEAR(tblSprzedaz[[#This Row],[Data]])</f>
        <v>2026</v>
      </c>
      <c r="R2409" s="16">
        <f>MONTH(tblSprzedaz[[#This Row],[Data]])</f>
        <v>10</v>
      </c>
      <c r="S2409" s="9" t="str">
        <f>YEAR(tblSprzedaz[[#This Row],[Data]])&amp;"-"&amp;RIGHT("0"&amp;MONTH(tblSprzedaz[[#This Row],[Data]]),2)</f>
        <v>2026-10</v>
      </c>
    </row>
    <row r="2410" spans="1:19" x14ac:dyDescent="0.25">
      <c r="A2410" s="7" t="s">
        <v>4987</v>
      </c>
      <c r="B2410" s="10">
        <v>46299</v>
      </c>
      <c r="C2410" s="7" t="s">
        <v>4988</v>
      </c>
      <c r="D2410" s="8" t="s">
        <v>89</v>
      </c>
      <c r="E2410" s="8" t="s">
        <v>64</v>
      </c>
      <c r="F2410" s="8" t="s">
        <v>33</v>
      </c>
      <c r="G2410" s="8" t="s">
        <v>34</v>
      </c>
      <c r="H2410" s="8" t="s">
        <v>44</v>
      </c>
      <c r="I2410" s="11">
        <v>4</v>
      </c>
      <c r="J2410" s="12">
        <v>768.2</v>
      </c>
      <c r="K2410" s="13">
        <v>0</v>
      </c>
      <c r="L2410" s="12">
        <v>533.13</v>
      </c>
      <c r="M2410" s="14">
        <f>ROUND(tblSprzedaz[[#This Row],[Ilość]]*tblSprzedaz[[#This Row],[Cena netto jednostkowa]]*(1-tblSprzedaz[[#This Row],[Rabat %]]),2)</f>
        <v>3072.8</v>
      </c>
      <c r="N2410" s="14">
        <f>ROUND(tblSprzedaz[[#This Row],[Ilość]]*tblSprzedaz[[#This Row],[Koszt jednostkowy netto]],2)</f>
        <v>2132.52</v>
      </c>
      <c r="O2410" s="14">
        <f>tblSprzedaz[[#This Row],[Przychód netto]]-tblSprzedaz[[#This Row],[Koszt całkowity netto]]</f>
        <v>940.2800000000002</v>
      </c>
      <c r="P2410" s="15">
        <f>IFERROR(tblSprzedaz[[#This Row],[Marża kwotowa]]/tblSprzedaz[[#This Row],[Przychód netto]],0)</f>
        <v>0.30600104139546996</v>
      </c>
      <c r="Q2410" s="16">
        <f>YEAR(tblSprzedaz[[#This Row],[Data]])</f>
        <v>2026</v>
      </c>
      <c r="R2410" s="16">
        <f>MONTH(tblSprzedaz[[#This Row],[Data]])</f>
        <v>10</v>
      </c>
      <c r="S2410" s="9" t="str">
        <f>YEAR(tblSprzedaz[[#This Row],[Data]])&amp;"-"&amp;RIGHT("0"&amp;MONTH(tblSprzedaz[[#This Row],[Data]]),2)</f>
        <v>2026-10</v>
      </c>
    </row>
    <row r="2411" spans="1:19" x14ac:dyDescent="0.25">
      <c r="A2411" s="7" t="s">
        <v>4989</v>
      </c>
      <c r="B2411" s="10">
        <v>46300</v>
      </c>
      <c r="C2411" s="7" t="s">
        <v>4990</v>
      </c>
      <c r="D2411" s="8" t="s">
        <v>130</v>
      </c>
      <c r="E2411" s="8" t="s">
        <v>55</v>
      </c>
      <c r="F2411" s="8" t="s">
        <v>31</v>
      </c>
      <c r="G2411" s="8" t="s">
        <v>36</v>
      </c>
      <c r="H2411" s="8" t="s">
        <v>46</v>
      </c>
      <c r="I2411" s="11">
        <v>5</v>
      </c>
      <c r="J2411" s="12">
        <v>243.6</v>
      </c>
      <c r="K2411" s="13">
        <v>0</v>
      </c>
      <c r="L2411" s="12">
        <v>163.89</v>
      </c>
      <c r="M2411" s="14">
        <f>ROUND(tblSprzedaz[[#This Row],[Ilość]]*tblSprzedaz[[#This Row],[Cena netto jednostkowa]]*(1-tblSprzedaz[[#This Row],[Rabat %]]),2)</f>
        <v>1218</v>
      </c>
      <c r="N2411" s="14">
        <f>ROUND(tblSprzedaz[[#This Row],[Ilość]]*tblSprzedaz[[#This Row],[Koszt jednostkowy netto]],2)</f>
        <v>819.45</v>
      </c>
      <c r="O2411" s="14">
        <f>tblSprzedaz[[#This Row],[Przychód netto]]-tblSprzedaz[[#This Row],[Koszt całkowity netto]]</f>
        <v>398.54999999999995</v>
      </c>
      <c r="P2411" s="15">
        <f>IFERROR(tblSprzedaz[[#This Row],[Marża kwotowa]]/tblSprzedaz[[#This Row],[Przychód netto]],0)</f>
        <v>0.32721674876847284</v>
      </c>
      <c r="Q2411" s="16">
        <f>YEAR(tblSprzedaz[[#This Row],[Data]])</f>
        <v>2026</v>
      </c>
      <c r="R2411" s="16">
        <f>MONTH(tblSprzedaz[[#This Row],[Data]])</f>
        <v>10</v>
      </c>
      <c r="S2411" s="9" t="str">
        <f>YEAR(tblSprzedaz[[#This Row],[Data]])&amp;"-"&amp;RIGHT("0"&amp;MONTH(tblSprzedaz[[#This Row],[Data]]),2)</f>
        <v>2026-10</v>
      </c>
    </row>
    <row r="2412" spans="1:19" x14ac:dyDescent="0.25">
      <c r="A2412" s="7" t="s">
        <v>4991</v>
      </c>
      <c r="B2412" s="10">
        <v>46300</v>
      </c>
      <c r="C2412" s="7" t="s">
        <v>4992</v>
      </c>
      <c r="D2412" s="8" t="s">
        <v>109</v>
      </c>
      <c r="E2412" s="8" t="s">
        <v>51</v>
      </c>
      <c r="F2412" s="8" t="s">
        <v>29</v>
      </c>
      <c r="G2412" s="8" t="s">
        <v>30</v>
      </c>
      <c r="H2412" s="8" t="s">
        <v>40</v>
      </c>
      <c r="I2412" s="11">
        <v>14</v>
      </c>
      <c r="J2412" s="12">
        <v>51</v>
      </c>
      <c r="K2412" s="13">
        <v>0.1</v>
      </c>
      <c r="L2412" s="12">
        <v>28.47</v>
      </c>
      <c r="M2412" s="14">
        <f>ROUND(tblSprzedaz[[#This Row],[Ilość]]*tblSprzedaz[[#This Row],[Cena netto jednostkowa]]*(1-tblSprzedaz[[#This Row],[Rabat %]]),2)</f>
        <v>642.6</v>
      </c>
      <c r="N2412" s="14">
        <f>ROUND(tblSprzedaz[[#This Row],[Ilość]]*tblSprzedaz[[#This Row],[Koszt jednostkowy netto]],2)</f>
        <v>398.58</v>
      </c>
      <c r="O2412" s="14">
        <f>tblSprzedaz[[#This Row],[Przychód netto]]-tblSprzedaz[[#This Row],[Koszt całkowity netto]]</f>
        <v>244.02000000000004</v>
      </c>
      <c r="P2412" s="15">
        <f>IFERROR(tblSprzedaz[[#This Row],[Marża kwotowa]]/tblSprzedaz[[#This Row],[Przychód netto]],0)</f>
        <v>0.37973856209150331</v>
      </c>
      <c r="Q2412" s="16">
        <f>YEAR(tblSprzedaz[[#This Row],[Data]])</f>
        <v>2026</v>
      </c>
      <c r="R2412" s="16">
        <f>MONTH(tblSprzedaz[[#This Row],[Data]])</f>
        <v>10</v>
      </c>
      <c r="S2412" s="9" t="str">
        <f>YEAR(tblSprzedaz[[#This Row],[Data]])&amp;"-"&amp;RIGHT("0"&amp;MONTH(tblSprzedaz[[#This Row],[Data]]),2)</f>
        <v>2026-10</v>
      </c>
    </row>
    <row r="2413" spans="1:19" x14ac:dyDescent="0.25">
      <c r="A2413" s="7" t="s">
        <v>4993</v>
      </c>
      <c r="B2413" s="10">
        <v>46300</v>
      </c>
      <c r="C2413" s="7" t="s">
        <v>4994</v>
      </c>
      <c r="D2413" s="8" t="s">
        <v>145</v>
      </c>
      <c r="E2413" s="8" t="s">
        <v>55</v>
      </c>
      <c r="F2413" s="8" t="s">
        <v>31</v>
      </c>
      <c r="G2413" s="8" t="s">
        <v>28</v>
      </c>
      <c r="H2413" s="8" t="s">
        <v>38</v>
      </c>
      <c r="I2413" s="11">
        <v>17</v>
      </c>
      <c r="J2413" s="12">
        <v>243.6</v>
      </c>
      <c r="K2413" s="13">
        <v>0</v>
      </c>
      <c r="L2413" s="12">
        <v>148.38999999999999</v>
      </c>
      <c r="M2413" s="14">
        <f>ROUND(tblSprzedaz[[#This Row],[Ilość]]*tblSprzedaz[[#This Row],[Cena netto jednostkowa]]*(1-tblSprzedaz[[#This Row],[Rabat %]]),2)</f>
        <v>4141.2</v>
      </c>
      <c r="N2413" s="14">
        <f>ROUND(tblSprzedaz[[#This Row],[Ilość]]*tblSprzedaz[[#This Row],[Koszt jednostkowy netto]],2)</f>
        <v>2522.63</v>
      </c>
      <c r="O2413" s="14">
        <f>tblSprzedaz[[#This Row],[Przychód netto]]-tblSprzedaz[[#This Row],[Koszt całkowity netto]]</f>
        <v>1618.5699999999997</v>
      </c>
      <c r="P2413" s="15">
        <f>IFERROR(tblSprzedaz[[#This Row],[Marża kwotowa]]/tblSprzedaz[[#This Row],[Przychód netto]],0)</f>
        <v>0.39084564860426924</v>
      </c>
      <c r="Q2413" s="16">
        <f>YEAR(tblSprzedaz[[#This Row],[Data]])</f>
        <v>2026</v>
      </c>
      <c r="R2413" s="16">
        <f>MONTH(tblSprzedaz[[#This Row],[Data]])</f>
        <v>10</v>
      </c>
      <c r="S2413" s="9" t="str">
        <f>YEAR(tblSprzedaz[[#This Row],[Data]])&amp;"-"&amp;RIGHT("0"&amp;MONTH(tblSprzedaz[[#This Row],[Data]]),2)</f>
        <v>2026-10</v>
      </c>
    </row>
    <row r="2414" spans="1:19" x14ac:dyDescent="0.25">
      <c r="A2414" s="7" t="s">
        <v>4995</v>
      </c>
      <c r="B2414" s="10">
        <v>46300</v>
      </c>
      <c r="C2414" s="7" t="s">
        <v>4996</v>
      </c>
      <c r="D2414" s="8" t="s">
        <v>80</v>
      </c>
      <c r="E2414" s="8" t="s">
        <v>49</v>
      </c>
      <c r="F2414" s="8" t="s">
        <v>29</v>
      </c>
      <c r="G2414" s="8" t="s">
        <v>32</v>
      </c>
      <c r="H2414" s="8" t="s">
        <v>42</v>
      </c>
      <c r="I2414" s="11">
        <v>5</v>
      </c>
      <c r="J2414" s="12">
        <v>39.44</v>
      </c>
      <c r="K2414" s="13">
        <v>0</v>
      </c>
      <c r="L2414" s="12">
        <v>22.22</v>
      </c>
      <c r="M2414" s="14">
        <f>ROUND(tblSprzedaz[[#This Row],[Ilość]]*tblSprzedaz[[#This Row],[Cena netto jednostkowa]]*(1-tblSprzedaz[[#This Row],[Rabat %]]),2)</f>
        <v>197.2</v>
      </c>
      <c r="N2414" s="14">
        <f>ROUND(tblSprzedaz[[#This Row],[Ilość]]*tblSprzedaz[[#This Row],[Koszt jednostkowy netto]],2)</f>
        <v>111.1</v>
      </c>
      <c r="O2414" s="14">
        <f>tblSprzedaz[[#This Row],[Przychód netto]]-tblSprzedaz[[#This Row],[Koszt całkowity netto]]</f>
        <v>86.1</v>
      </c>
      <c r="P2414" s="15">
        <f>IFERROR(tblSprzedaz[[#This Row],[Marża kwotowa]]/tblSprzedaz[[#This Row],[Przychód netto]],0)</f>
        <v>0.43661257606490872</v>
      </c>
      <c r="Q2414" s="16">
        <f>YEAR(tblSprzedaz[[#This Row],[Data]])</f>
        <v>2026</v>
      </c>
      <c r="R2414" s="16">
        <f>MONTH(tblSprzedaz[[#This Row],[Data]])</f>
        <v>10</v>
      </c>
      <c r="S2414" s="9" t="str">
        <f>YEAR(tblSprzedaz[[#This Row],[Data]])&amp;"-"&amp;RIGHT("0"&amp;MONTH(tblSprzedaz[[#This Row],[Data]]),2)</f>
        <v>2026-10</v>
      </c>
    </row>
    <row r="2415" spans="1:19" x14ac:dyDescent="0.25">
      <c r="A2415" s="7" t="s">
        <v>4997</v>
      </c>
      <c r="B2415" s="10">
        <v>46300</v>
      </c>
      <c r="C2415" s="7" t="s">
        <v>4998</v>
      </c>
      <c r="D2415" s="8" t="s">
        <v>81</v>
      </c>
      <c r="E2415" s="8" t="s">
        <v>76</v>
      </c>
      <c r="F2415" s="8" t="s">
        <v>37</v>
      </c>
      <c r="G2415" s="8" t="s">
        <v>28</v>
      </c>
      <c r="H2415" s="8" t="s">
        <v>39</v>
      </c>
      <c r="I2415" s="11">
        <v>17</v>
      </c>
      <c r="J2415" s="12">
        <v>158.65</v>
      </c>
      <c r="K2415" s="13">
        <v>0.05</v>
      </c>
      <c r="L2415" s="12">
        <v>121.49</v>
      </c>
      <c r="M2415" s="14">
        <f>ROUND(tblSprzedaz[[#This Row],[Ilość]]*tblSprzedaz[[#This Row],[Cena netto jednostkowa]]*(1-tblSprzedaz[[#This Row],[Rabat %]]),2)</f>
        <v>2562.1999999999998</v>
      </c>
      <c r="N2415" s="14">
        <f>ROUND(tblSprzedaz[[#This Row],[Ilość]]*tblSprzedaz[[#This Row],[Koszt jednostkowy netto]],2)</f>
        <v>2065.33</v>
      </c>
      <c r="O2415" s="14">
        <f>tblSprzedaz[[#This Row],[Przychód netto]]-tblSprzedaz[[#This Row],[Koszt całkowity netto]]</f>
        <v>496.86999999999989</v>
      </c>
      <c r="P2415" s="15">
        <f>IFERROR(tblSprzedaz[[#This Row],[Marża kwotowa]]/tblSprzedaz[[#This Row],[Przychód netto]],0)</f>
        <v>0.1939231910077277</v>
      </c>
      <c r="Q2415" s="16">
        <f>YEAR(tblSprzedaz[[#This Row],[Data]])</f>
        <v>2026</v>
      </c>
      <c r="R2415" s="16">
        <f>MONTH(tblSprzedaz[[#This Row],[Data]])</f>
        <v>10</v>
      </c>
      <c r="S2415" s="9" t="str">
        <f>YEAR(tblSprzedaz[[#This Row],[Data]])&amp;"-"&amp;RIGHT("0"&amp;MONTH(tblSprzedaz[[#This Row],[Data]]),2)</f>
        <v>2026-10</v>
      </c>
    </row>
    <row r="2416" spans="1:19" x14ac:dyDescent="0.25">
      <c r="A2416" s="7" t="s">
        <v>4999</v>
      </c>
      <c r="B2416" s="10">
        <v>46301</v>
      </c>
      <c r="C2416" s="7" t="s">
        <v>5000</v>
      </c>
      <c r="D2416" s="8" t="s">
        <v>129</v>
      </c>
      <c r="E2416" s="8" t="s">
        <v>57</v>
      </c>
      <c r="F2416" s="8" t="s">
        <v>31</v>
      </c>
      <c r="G2416" s="8" t="s">
        <v>28</v>
      </c>
      <c r="H2416" s="8" t="s">
        <v>39</v>
      </c>
      <c r="I2416" s="11">
        <v>6</v>
      </c>
      <c r="J2416" s="12">
        <v>315</v>
      </c>
      <c r="K2416" s="13">
        <v>0.1</v>
      </c>
      <c r="L2416" s="12">
        <v>187.95</v>
      </c>
      <c r="M2416" s="14">
        <f>ROUND(tblSprzedaz[[#This Row],[Ilość]]*tblSprzedaz[[#This Row],[Cena netto jednostkowa]]*(1-tblSprzedaz[[#This Row],[Rabat %]]),2)</f>
        <v>1701</v>
      </c>
      <c r="N2416" s="14">
        <f>ROUND(tblSprzedaz[[#This Row],[Ilość]]*tblSprzedaz[[#This Row],[Koszt jednostkowy netto]],2)</f>
        <v>1127.7</v>
      </c>
      <c r="O2416" s="14">
        <f>tblSprzedaz[[#This Row],[Przychód netto]]-tblSprzedaz[[#This Row],[Koszt całkowity netto]]</f>
        <v>573.29999999999995</v>
      </c>
      <c r="P2416" s="15">
        <f>IFERROR(tblSprzedaz[[#This Row],[Marża kwotowa]]/tblSprzedaz[[#This Row],[Przychód netto]],0)</f>
        <v>0.33703703703703702</v>
      </c>
      <c r="Q2416" s="16">
        <f>YEAR(tblSprzedaz[[#This Row],[Data]])</f>
        <v>2026</v>
      </c>
      <c r="R2416" s="16">
        <f>MONTH(tblSprzedaz[[#This Row],[Data]])</f>
        <v>10</v>
      </c>
      <c r="S2416" s="9" t="str">
        <f>YEAR(tblSprzedaz[[#This Row],[Data]])&amp;"-"&amp;RIGHT("0"&amp;MONTH(tblSprzedaz[[#This Row],[Data]]),2)</f>
        <v>2026-10</v>
      </c>
    </row>
    <row r="2417" spans="1:19" x14ac:dyDescent="0.25">
      <c r="A2417" s="7" t="s">
        <v>5001</v>
      </c>
      <c r="B2417" s="10">
        <v>46301</v>
      </c>
      <c r="C2417" s="7" t="s">
        <v>5002</v>
      </c>
      <c r="D2417" s="8" t="s">
        <v>112</v>
      </c>
      <c r="E2417" s="8" t="s">
        <v>64</v>
      </c>
      <c r="F2417" s="8" t="s">
        <v>33</v>
      </c>
      <c r="G2417" s="8" t="s">
        <v>32</v>
      </c>
      <c r="H2417" s="8" t="s">
        <v>43</v>
      </c>
      <c r="I2417" s="11">
        <v>26</v>
      </c>
      <c r="J2417" s="12">
        <v>768.2</v>
      </c>
      <c r="K2417" s="13">
        <v>0</v>
      </c>
      <c r="L2417" s="12">
        <v>537.42999999999995</v>
      </c>
      <c r="M2417" s="14">
        <f>ROUND(tblSprzedaz[[#This Row],[Ilość]]*tblSprzedaz[[#This Row],[Cena netto jednostkowa]]*(1-tblSprzedaz[[#This Row],[Rabat %]]),2)</f>
        <v>19973.2</v>
      </c>
      <c r="N2417" s="14">
        <f>ROUND(tblSprzedaz[[#This Row],[Ilość]]*tblSprzedaz[[#This Row],[Koszt jednostkowy netto]],2)</f>
        <v>13973.18</v>
      </c>
      <c r="O2417" s="14">
        <f>tblSprzedaz[[#This Row],[Przychód netto]]-tblSprzedaz[[#This Row],[Koszt całkowity netto]]</f>
        <v>6000.02</v>
      </c>
      <c r="P2417" s="15">
        <f>IFERROR(tblSprzedaz[[#This Row],[Marża kwotowa]]/tblSprzedaz[[#This Row],[Przychód netto]],0)</f>
        <v>0.3004035407445978</v>
      </c>
      <c r="Q2417" s="16">
        <f>YEAR(tblSprzedaz[[#This Row],[Data]])</f>
        <v>2026</v>
      </c>
      <c r="R2417" s="16">
        <f>MONTH(tblSprzedaz[[#This Row],[Data]])</f>
        <v>10</v>
      </c>
      <c r="S2417" s="9" t="str">
        <f>YEAR(tblSprzedaz[[#This Row],[Data]])&amp;"-"&amp;RIGHT("0"&amp;MONTH(tblSprzedaz[[#This Row],[Data]]),2)</f>
        <v>2026-10</v>
      </c>
    </row>
    <row r="2418" spans="1:19" x14ac:dyDescent="0.25">
      <c r="A2418" s="7" t="s">
        <v>5003</v>
      </c>
      <c r="B2418" s="10">
        <v>46301</v>
      </c>
      <c r="C2418" s="7" t="s">
        <v>5004</v>
      </c>
      <c r="D2418" s="8" t="s">
        <v>139</v>
      </c>
      <c r="E2418" s="8" t="s">
        <v>69</v>
      </c>
      <c r="F2418" s="8" t="s">
        <v>35</v>
      </c>
      <c r="G2418" s="8" t="s">
        <v>32</v>
      </c>
      <c r="H2418" s="8" t="s">
        <v>43</v>
      </c>
      <c r="I2418" s="11">
        <v>33</v>
      </c>
      <c r="J2418" s="12">
        <v>102</v>
      </c>
      <c r="K2418" s="13">
        <v>0.05</v>
      </c>
      <c r="L2418" s="12">
        <v>76.87</v>
      </c>
      <c r="M2418" s="14">
        <f>ROUND(tblSprzedaz[[#This Row],[Ilość]]*tblSprzedaz[[#This Row],[Cena netto jednostkowa]]*(1-tblSprzedaz[[#This Row],[Rabat %]]),2)</f>
        <v>3197.7</v>
      </c>
      <c r="N2418" s="14">
        <f>ROUND(tblSprzedaz[[#This Row],[Ilość]]*tblSprzedaz[[#This Row],[Koszt jednostkowy netto]],2)</f>
        <v>2536.71</v>
      </c>
      <c r="O2418" s="14">
        <f>tblSprzedaz[[#This Row],[Przychód netto]]-tblSprzedaz[[#This Row],[Koszt całkowity netto]]</f>
        <v>660.98999999999978</v>
      </c>
      <c r="P2418" s="15">
        <f>IFERROR(tblSprzedaz[[#This Row],[Marża kwotowa]]/tblSprzedaz[[#This Row],[Przychód netto]],0)</f>
        <v>0.20670794633642925</v>
      </c>
      <c r="Q2418" s="16">
        <f>YEAR(tblSprzedaz[[#This Row],[Data]])</f>
        <v>2026</v>
      </c>
      <c r="R2418" s="16">
        <f>MONTH(tblSprzedaz[[#This Row],[Data]])</f>
        <v>10</v>
      </c>
      <c r="S2418" s="9" t="str">
        <f>YEAR(tblSprzedaz[[#This Row],[Data]])&amp;"-"&amp;RIGHT("0"&amp;MONTH(tblSprzedaz[[#This Row],[Data]]),2)</f>
        <v>2026-10</v>
      </c>
    </row>
    <row r="2419" spans="1:19" x14ac:dyDescent="0.25">
      <c r="A2419" s="7" t="s">
        <v>5005</v>
      </c>
      <c r="B2419" s="10">
        <v>46302</v>
      </c>
      <c r="C2419" s="7" t="s">
        <v>5006</v>
      </c>
      <c r="D2419" s="8" t="s">
        <v>147</v>
      </c>
      <c r="E2419" s="8" t="s">
        <v>77</v>
      </c>
      <c r="F2419" s="8" t="s">
        <v>37</v>
      </c>
      <c r="G2419" s="8" t="s">
        <v>34</v>
      </c>
      <c r="H2419" s="8" t="s">
        <v>44</v>
      </c>
      <c r="I2419" s="11">
        <v>10</v>
      </c>
      <c r="J2419" s="12">
        <v>77.900000000000006</v>
      </c>
      <c r="K2419" s="13">
        <v>0.05</v>
      </c>
      <c r="L2419" s="12">
        <v>58.86</v>
      </c>
      <c r="M2419" s="14">
        <f>ROUND(tblSprzedaz[[#This Row],[Ilość]]*tblSprzedaz[[#This Row],[Cena netto jednostkowa]]*(1-tblSprzedaz[[#This Row],[Rabat %]]),2)</f>
        <v>740.05</v>
      </c>
      <c r="N2419" s="14">
        <f>ROUND(tblSprzedaz[[#This Row],[Ilość]]*tblSprzedaz[[#This Row],[Koszt jednostkowy netto]],2)</f>
        <v>588.6</v>
      </c>
      <c r="O2419" s="14">
        <f>tblSprzedaz[[#This Row],[Przychód netto]]-tblSprzedaz[[#This Row],[Koszt całkowity netto]]</f>
        <v>151.44999999999993</v>
      </c>
      <c r="P2419" s="15">
        <f>IFERROR(tblSprzedaz[[#This Row],[Marża kwotowa]]/tblSprzedaz[[#This Row],[Przychód netto]],0)</f>
        <v>0.20464833457198831</v>
      </c>
      <c r="Q2419" s="16">
        <f>YEAR(tblSprzedaz[[#This Row],[Data]])</f>
        <v>2026</v>
      </c>
      <c r="R2419" s="16">
        <f>MONTH(tblSprzedaz[[#This Row],[Data]])</f>
        <v>10</v>
      </c>
      <c r="S2419" s="9" t="str">
        <f>YEAR(tblSprzedaz[[#This Row],[Data]])&amp;"-"&amp;RIGHT("0"&amp;MONTH(tblSprzedaz[[#This Row],[Data]]),2)</f>
        <v>2026-10</v>
      </c>
    </row>
    <row r="2420" spans="1:19" x14ac:dyDescent="0.25">
      <c r="A2420" s="7" t="s">
        <v>5007</v>
      </c>
      <c r="B2420" s="10">
        <v>46302</v>
      </c>
      <c r="C2420" s="7" t="s">
        <v>5008</v>
      </c>
      <c r="D2420" s="8" t="s">
        <v>128</v>
      </c>
      <c r="E2420" s="8" t="s">
        <v>66</v>
      </c>
      <c r="F2420" s="8" t="s">
        <v>35</v>
      </c>
      <c r="G2420" s="8" t="s">
        <v>28</v>
      </c>
      <c r="H2420" s="8" t="s">
        <v>38</v>
      </c>
      <c r="I2420" s="11">
        <v>9</v>
      </c>
      <c r="J2420" s="12">
        <v>67.319999999999993</v>
      </c>
      <c r="K2420" s="13">
        <v>0.15</v>
      </c>
      <c r="L2420" s="12">
        <v>50.04</v>
      </c>
      <c r="M2420" s="14">
        <f>ROUND(tblSprzedaz[[#This Row],[Ilość]]*tblSprzedaz[[#This Row],[Cena netto jednostkowa]]*(1-tblSprzedaz[[#This Row],[Rabat %]]),2)</f>
        <v>515</v>
      </c>
      <c r="N2420" s="14">
        <f>ROUND(tblSprzedaz[[#This Row],[Ilość]]*tblSprzedaz[[#This Row],[Koszt jednostkowy netto]],2)</f>
        <v>450.36</v>
      </c>
      <c r="O2420" s="14">
        <f>tblSprzedaz[[#This Row],[Przychód netto]]-tblSprzedaz[[#This Row],[Koszt całkowity netto]]</f>
        <v>64.639999999999986</v>
      </c>
      <c r="P2420" s="15">
        <f>IFERROR(tblSprzedaz[[#This Row],[Marża kwotowa]]/tblSprzedaz[[#This Row],[Przychód netto]],0)</f>
        <v>0.1255145631067961</v>
      </c>
      <c r="Q2420" s="16">
        <f>YEAR(tblSprzedaz[[#This Row],[Data]])</f>
        <v>2026</v>
      </c>
      <c r="R2420" s="16">
        <f>MONTH(tblSprzedaz[[#This Row],[Data]])</f>
        <v>10</v>
      </c>
      <c r="S2420" s="9" t="str">
        <f>YEAR(tblSprzedaz[[#This Row],[Data]])&amp;"-"&amp;RIGHT("0"&amp;MONTH(tblSprzedaz[[#This Row],[Data]]),2)</f>
        <v>2026-10</v>
      </c>
    </row>
    <row r="2421" spans="1:19" x14ac:dyDescent="0.25">
      <c r="A2421" s="7" t="s">
        <v>5009</v>
      </c>
      <c r="B2421" s="10">
        <v>46302</v>
      </c>
      <c r="C2421" s="7" t="s">
        <v>5010</v>
      </c>
      <c r="D2421" s="8" t="s">
        <v>149</v>
      </c>
      <c r="E2421" s="8" t="s">
        <v>69</v>
      </c>
      <c r="F2421" s="8" t="s">
        <v>35</v>
      </c>
      <c r="G2421" s="8" t="s">
        <v>36</v>
      </c>
      <c r="H2421" s="8" t="s">
        <v>46</v>
      </c>
      <c r="I2421" s="11">
        <v>23</v>
      </c>
      <c r="J2421" s="12">
        <v>102</v>
      </c>
      <c r="K2421" s="13">
        <v>0.05</v>
      </c>
      <c r="L2421" s="12">
        <v>74.17</v>
      </c>
      <c r="M2421" s="14">
        <f>ROUND(tblSprzedaz[[#This Row],[Ilość]]*tblSprzedaz[[#This Row],[Cena netto jednostkowa]]*(1-tblSprzedaz[[#This Row],[Rabat %]]),2)</f>
        <v>2228.6999999999998</v>
      </c>
      <c r="N2421" s="14">
        <f>ROUND(tblSprzedaz[[#This Row],[Ilość]]*tblSprzedaz[[#This Row],[Koszt jednostkowy netto]],2)</f>
        <v>1705.91</v>
      </c>
      <c r="O2421" s="14">
        <f>tblSprzedaz[[#This Row],[Przychód netto]]-tblSprzedaz[[#This Row],[Koszt całkowity netto]]</f>
        <v>522.78999999999974</v>
      </c>
      <c r="P2421" s="15">
        <f>IFERROR(tblSprzedaz[[#This Row],[Marża kwotowa]]/tblSprzedaz[[#This Row],[Przychód netto]],0)</f>
        <v>0.23457172342621249</v>
      </c>
      <c r="Q2421" s="16">
        <f>YEAR(tblSprzedaz[[#This Row],[Data]])</f>
        <v>2026</v>
      </c>
      <c r="R2421" s="16">
        <f>MONTH(tblSprzedaz[[#This Row],[Data]])</f>
        <v>10</v>
      </c>
      <c r="S2421" s="9" t="str">
        <f>YEAR(tblSprzedaz[[#This Row],[Data]])&amp;"-"&amp;RIGHT("0"&amp;MONTH(tblSprzedaz[[#This Row],[Data]]),2)</f>
        <v>2026-10</v>
      </c>
    </row>
    <row r="2422" spans="1:19" x14ac:dyDescent="0.25">
      <c r="A2422" s="7" t="s">
        <v>5011</v>
      </c>
      <c r="B2422" s="10">
        <v>46302</v>
      </c>
      <c r="C2422" s="7" t="s">
        <v>5012</v>
      </c>
      <c r="D2422" s="8" t="s">
        <v>125</v>
      </c>
      <c r="E2422" s="8" t="s">
        <v>48</v>
      </c>
      <c r="F2422" s="8" t="s">
        <v>29</v>
      </c>
      <c r="G2422" s="8" t="s">
        <v>34</v>
      </c>
      <c r="H2422" s="8" t="s">
        <v>45</v>
      </c>
      <c r="I2422" s="11">
        <v>5</v>
      </c>
      <c r="J2422" s="12">
        <v>33.659999999999997</v>
      </c>
      <c r="K2422" s="13">
        <v>0</v>
      </c>
      <c r="L2422" s="12">
        <v>19.37</v>
      </c>
      <c r="M2422" s="14">
        <f>ROUND(tblSprzedaz[[#This Row],[Ilość]]*tblSprzedaz[[#This Row],[Cena netto jednostkowa]]*(1-tblSprzedaz[[#This Row],[Rabat %]]),2)</f>
        <v>168.3</v>
      </c>
      <c r="N2422" s="14">
        <f>ROUND(tblSprzedaz[[#This Row],[Ilość]]*tblSprzedaz[[#This Row],[Koszt jednostkowy netto]],2)</f>
        <v>96.85</v>
      </c>
      <c r="O2422" s="14">
        <f>tblSprzedaz[[#This Row],[Przychód netto]]-tblSprzedaz[[#This Row],[Koszt całkowity netto]]</f>
        <v>71.450000000000017</v>
      </c>
      <c r="P2422" s="15">
        <f>IFERROR(tblSprzedaz[[#This Row],[Marża kwotowa]]/tblSprzedaz[[#This Row],[Przychód netto]],0)</f>
        <v>0.42453951277480695</v>
      </c>
      <c r="Q2422" s="16">
        <f>YEAR(tblSprzedaz[[#This Row],[Data]])</f>
        <v>2026</v>
      </c>
      <c r="R2422" s="16">
        <f>MONTH(tblSprzedaz[[#This Row],[Data]])</f>
        <v>10</v>
      </c>
      <c r="S2422" s="9" t="str">
        <f>YEAR(tblSprzedaz[[#This Row],[Data]])&amp;"-"&amp;RIGHT("0"&amp;MONTH(tblSprzedaz[[#This Row],[Data]]),2)</f>
        <v>2026-10</v>
      </c>
    </row>
    <row r="2423" spans="1:19" x14ac:dyDescent="0.25">
      <c r="A2423" s="7" t="s">
        <v>5013</v>
      </c>
      <c r="B2423" s="10">
        <v>46302</v>
      </c>
      <c r="C2423" s="7" t="s">
        <v>5014</v>
      </c>
      <c r="D2423" s="8" t="s">
        <v>114</v>
      </c>
      <c r="E2423" s="8" t="s">
        <v>68</v>
      </c>
      <c r="F2423" s="8" t="s">
        <v>35</v>
      </c>
      <c r="G2423" s="8" t="s">
        <v>34</v>
      </c>
      <c r="H2423" s="8" t="s">
        <v>44</v>
      </c>
      <c r="I2423" s="11">
        <v>8</v>
      </c>
      <c r="J2423" s="12">
        <v>90.44</v>
      </c>
      <c r="K2423" s="13">
        <v>0.15</v>
      </c>
      <c r="L2423" s="12">
        <v>63.8</v>
      </c>
      <c r="M2423" s="14">
        <f>ROUND(tblSprzedaz[[#This Row],[Ilość]]*tblSprzedaz[[#This Row],[Cena netto jednostkowa]]*(1-tblSprzedaz[[#This Row],[Rabat %]]),2)</f>
        <v>614.99</v>
      </c>
      <c r="N2423" s="14">
        <f>ROUND(tblSprzedaz[[#This Row],[Ilość]]*tblSprzedaz[[#This Row],[Koszt jednostkowy netto]],2)</f>
        <v>510.4</v>
      </c>
      <c r="O2423" s="14">
        <f>tblSprzedaz[[#This Row],[Przychód netto]]-tblSprzedaz[[#This Row],[Koszt całkowity netto]]</f>
        <v>104.59000000000003</v>
      </c>
      <c r="P2423" s="15">
        <f>IFERROR(tblSprzedaz[[#This Row],[Marża kwotowa]]/tblSprzedaz[[#This Row],[Przychód netto]],0)</f>
        <v>0.1700678059805851</v>
      </c>
      <c r="Q2423" s="16">
        <f>YEAR(tblSprzedaz[[#This Row],[Data]])</f>
        <v>2026</v>
      </c>
      <c r="R2423" s="16">
        <f>MONTH(tblSprzedaz[[#This Row],[Data]])</f>
        <v>10</v>
      </c>
      <c r="S2423" s="9" t="str">
        <f>YEAR(tblSprzedaz[[#This Row],[Data]])&amp;"-"&amp;RIGHT("0"&amp;MONTH(tblSprzedaz[[#This Row],[Data]]),2)</f>
        <v>2026-10</v>
      </c>
    </row>
    <row r="2424" spans="1:19" x14ac:dyDescent="0.25">
      <c r="A2424" s="7" t="s">
        <v>5015</v>
      </c>
      <c r="B2424" s="10">
        <v>46302</v>
      </c>
      <c r="C2424" s="7" t="s">
        <v>5016</v>
      </c>
      <c r="D2424" s="8" t="s">
        <v>140</v>
      </c>
      <c r="E2424" s="8" t="s">
        <v>48</v>
      </c>
      <c r="F2424" s="8" t="s">
        <v>29</v>
      </c>
      <c r="G2424" s="8" t="s">
        <v>32</v>
      </c>
      <c r="H2424" s="8" t="s">
        <v>42</v>
      </c>
      <c r="I2424" s="11">
        <v>34</v>
      </c>
      <c r="J2424" s="12">
        <v>33.659999999999997</v>
      </c>
      <c r="K2424" s="13">
        <v>0</v>
      </c>
      <c r="L2424" s="12">
        <v>20.25</v>
      </c>
      <c r="M2424" s="14">
        <f>ROUND(tblSprzedaz[[#This Row],[Ilość]]*tblSprzedaz[[#This Row],[Cena netto jednostkowa]]*(1-tblSprzedaz[[#This Row],[Rabat %]]),2)</f>
        <v>1144.44</v>
      </c>
      <c r="N2424" s="14">
        <f>ROUND(tblSprzedaz[[#This Row],[Ilość]]*tblSprzedaz[[#This Row],[Koszt jednostkowy netto]],2)</f>
        <v>688.5</v>
      </c>
      <c r="O2424" s="14">
        <f>tblSprzedaz[[#This Row],[Przychód netto]]-tblSprzedaz[[#This Row],[Koszt całkowity netto]]</f>
        <v>455.94000000000005</v>
      </c>
      <c r="P2424" s="15">
        <f>IFERROR(tblSprzedaz[[#This Row],[Marża kwotowa]]/tblSprzedaz[[#This Row],[Przychód netto]],0)</f>
        <v>0.39839572192513373</v>
      </c>
      <c r="Q2424" s="16">
        <f>YEAR(tblSprzedaz[[#This Row],[Data]])</f>
        <v>2026</v>
      </c>
      <c r="R2424" s="16">
        <f>MONTH(tblSprzedaz[[#This Row],[Data]])</f>
        <v>10</v>
      </c>
      <c r="S2424" s="9" t="str">
        <f>YEAR(tblSprzedaz[[#This Row],[Data]])&amp;"-"&amp;RIGHT("0"&amp;MONTH(tblSprzedaz[[#This Row],[Data]]),2)</f>
        <v>2026-10</v>
      </c>
    </row>
    <row r="2425" spans="1:19" x14ac:dyDescent="0.25">
      <c r="A2425" s="7" t="s">
        <v>5017</v>
      </c>
      <c r="B2425" s="10">
        <v>46302</v>
      </c>
      <c r="C2425" s="7" t="s">
        <v>5018</v>
      </c>
      <c r="D2425" s="8" t="s">
        <v>78</v>
      </c>
      <c r="E2425" s="8" t="s">
        <v>61</v>
      </c>
      <c r="F2425" s="8" t="s">
        <v>33</v>
      </c>
      <c r="G2425" s="8" t="s">
        <v>34</v>
      </c>
      <c r="H2425" s="8" t="s">
        <v>44</v>
      </c>
      <c r="I2425" s="11">
        <v>14</v>
      </c>
      <c r="J2425" s="12">
        <v>533.6</v>
      </c>
      <c r="K2425" s="13">
        <v>0.1</v>
      </c>
      <c r="L2425" s="12">
        <v>346.58</v>
      </c>
      <c r="M2425" s="14">
        <f>ROUND(tblSprzedaz[[#This Row],[Ilość]]*tblSprzedaz[[#This Row],[Cena netto jednostkowa]]*(1-tblSprzedaz[[#This Row],[Rabat %]]),2)</f>
        <v>6723.36</v>
      </c>
      <c r="N2425" s="14">
        <f>ROUND(tblSprzedaz[[#This Row],[Ilość]]*tblSprzedaz[[#This Row],[Koszt jednostkowy netto]],2)</f>
        <v>4852.12</v>
      </c>
      <c r="O2425" s="14">
        <f>tblSprzedaz[[#This Row],[Przychód netto]]-tblSprzedaz[[#This Row],[Koszt całkowity netto]]</f>
        <v>1871.2399999999998</v>
      </c>
      <c r="P2425" s="15">
        <f>IFERROR(tblSprzedaz[[#This Row],[Marża kwotowa]]/tblSprzedaz[[#This Row],[Przychód netto]],0)</f>
        <v>0.27831917374646009</v>
      </c>
      <c r="Q2425" s="16">
        <f>YEAR(tblSprzedaz[[#This Row],[Data]])</f>
        <v>2026</v>
      </c>
      <c r="R2425" s="16">
        <f>MONTH(tblSprzedaz[[#This Row],[Data]])</f>
        <v>10</v>
      </c>
      <c r="S2425" s="9" t="str">
        <f>YEAR(tblSprzedaz[[#This Row],[Data]])&amp;"-"&amp;RIGHT("0"&amp;MONTH(tblSprzedaz[[#This Row],[Data]]),2)</f>
        <v>2026-10</v>
      </c>
    </row>
    <row r="2426" spans="1:19" x14ac:dyDescent="0.25">
      <c r="A2426" s="7" t="s">
        <v>5019</v>
      </c>
      <c r="B2426" s="10">
        <v>46303</v>
      </c>
      <c r="C2426" s="7" t="s">
        <v>5020</v>
      </c>
      <c r="D2426" s="8" t="s">
        <v>80</v>
      </c>
      <c r="E2426" s="8" t="s">
        <v>71</v>
      </c>
      <c r="F2426" s="8" t="s">
        <v>35</v>
      </c>
      <c r="G2426" s="8" t="s">
        <v>32</v>
      </c>
      <c r="H2426" s="8" t="s">
        <v>42</v>
      </c>
      <c r="I2426" s="11">
        <v>34</v>
      </c>
      <c r="J2426" s="12">
        <v>55.76</v>
      </c>
      <c r="K2426" s="13">
        <v>0</v>
      </c>
      <c r="L2426" s="12">
        <v>39.200000000000003</v>
      </c>
      <c r="M2426" s="14">
        <f>ROUND(tblSprzedaz[[#This Row],[Ilość]]*tblSprzedaz[[#This Row],[Cena netto jednostkowa]]*(1-tblSprzedaz[[#This Row],[Rabat %]]),2)</f>
        <v>1895.84</v>
      </c>
      <c r="N2426" s="14">
        <f>ROUND(tblSprzedaz[[#This Row],[Ilość]]*tblSprzedaz[[#This Row],[Koszt jednostkowy netto]],2)</f>
        <v>1332.8</v>
      </c>
      <c r="O2426" s="14">
        <f>tblSprzedaz[[#This Row],[Przychód netto]]-tblSprzedaz[[#This Row],[Koszt całkowity netto]]</f>
        <v>563.04</v>
      </c>
      <c r="P2426" s="15">
        <f>IFERROR(tblSprzedaz[[#This Row],[Marża kwotowa]]/tblSprzedaz[[#This Row],[Przychód netto]],0)</f>
        <v>0.29698708751793401</v>
      </c>
      <c r="Q2426" s="16">
        <f>YEAR(tblSprzedaz[[#This Row],[Data]])</f>
        <v>2026</v>
      </c>
      <c r="R2426" s="16">
        <f>MONTH(tblSprzedaz[[#This Row],[Data]])</f>
        <v>10</v>
      </c>
      <c r="S2426" s="9" t="str">
        <f>YEAR(tblSprzedaz[[#This Row],[Data]])&amp;"-"&amp;RIGHT("0"&amp;MONTH(tblSprzedaz[[#This Row],[Data]]),2)</f>
        <v>2026-10</v>
      </c>
    </row>
    <row r="2427" spans="1:19" x14ac:dyDescent="0.25">
      <c r="A2427" s="7" t="s">
        <v>5021</v>
      </c>
      <c r="B2427" s="10">
        <v>46303</v>
      </c>
      <c r="C2427" s="7" t="s">
        <v>5022</v>
      </c>
      <c r="D2427" s="8" t="s">
        <v>98</v>
      </c>
      <c r="E2427" s="8" t="s">
        <v>65</v>
      </c>
      <c r="F2427" s="8" t="s">
        <v>33</v>
      </c>
      <c r="G2427" s="8" t="s">
        <v>36</v>
      </c>
      <c r="H2427" s="8" t="s">
        <v>46</v>
      </c>
      <c r="I2427" s="11">
        <v>32</v>
      </c>
      <c r="J2427" s="12">
        <v>377.2</v>
      </c>
      <c r="K2427" s="13">
        <v>0.15</v>
      </c>
      <c r="L2427" s="12">
        <v>253.03</v>
      </c>
      <c r="M2427" s="14">
        <f>ROUND(tblSprzedaz[[#This Row],[Ilość]]*tblSprzedaz[[#This Row],[Cena netto jednostkowa]]*(1-tblSprzedaz[[#This Row],[Rabat %]]),2)</f>
        <v>10259.84</v>
      </c>
      <c r="N2427" s="14">
        <f>ROUND(tblSprzedaz[[#This Row],[Ilość]]*tblSprzedaz[[#This Row],[Koszt jednostkowy netto]],2)</f>
        <v>8096.96</v>
      </c>
      <c r="O2427" s="14">
        <f>tblSprzedaz[[#This Row],[Przychód netto]]-tblSprzedaz[[#This Row],[Koszt całkowity netto]]</f>
        <v>2162.88</v>
      </c>
      <c r="P2427" s="15">
        <f>IFERROR(tblSprzedaz[[#This Row],[Marża kwotowa]]/tblSprzedaz[[#This Row],[Przychód netto]],0)</f>
        <v>0.21081030503399664</v>
      </c>
      <c r="Q2427" s="16">
        <f>YEAR(tblSprzedaz[[#This Row],[Data]])</f>
        <v>2026</v>
      </c>
      <c r="R2427" s="16">
        <f>MONTH(tblSprzedaz[[#This Row],[Data]])</f>
        <v>10</v>
      </c>
      <c r="S2427" s="9" t="str">
        <f>YEAR(tblSprzedaz[[#This Row],[Data]])&amp;"-"&amp;RIGHT("0"&amp;MONTH(tblSprzedaz[[#This Row],[Data]]),2)</f>
        <v>2026-10</v>
      </c>
    </row>
    <row r="2428" spans="1:19" x14ac:dyDescent="0.25">
      <c r="A2428" s="7" t="s">
        <v>5023</v>
      </c>
      <c r="B2428" s="10">
        <v>46303</v>
      </c>
      <c r="C2428" s="7" t="s">
        <v>5024</v>
      </c>
      <c r="D2428" s="8" t="s">
        <v>147</v>
      </c>
      <c r="E2428" s="8" t="s">
        <v>64</v>
      </c>
      <c r="F2428" s="8" t="s">
        <v>33</v>
      </c>
      <c r="G2428" s="8" t="s">
        <v>32</v>
      </c>
      <c r="H2428" s="8" t="s">
        <v>42</v>
      </c>
      <c r="I2428" s="11">
        <v>15</v>
      </c>
      <c r="J2428" s="12">
        <v>768.2</v>
      </c>
      <c r="K2428" s="13">
        <v>0</v>
      </c>
      <c r="L2428" s="12">
        <v>548.70000000000005</v>
      </c>
      <c r="M2428" s="14">
        <f>ROUND(tblSprzedaz[[#This Row],[Ilość]]*tblSprzedaz[[#This Row],[Cena netto jednostkowa]]*(1-tblSprzedaz[[#This Row],[Rabat %]]),2)</f>
        <v>11523</v>
      </c>
      <c r="N2428" s="14">
        <f>ROUND(tblSprzedaz[[#This Row],[Ilość]]*tblSprzedaz[[#This Row],[Koszt jednostkowy netto]],2)</f>
        <v>8230.5</v>
      </c>
      <c r="O2428" s="14">
        <f>tblSprzedaz[[#This Row],[Przychód netto]]-tblSprzedaz[[#This Row],[Koszt całkowity netto]]</f>
        <v>3292.5</v>
      </c>
      <c r="P2428" s="15">
        <f>IFERROR(tblSprzedaz[[#This Row],[Marża kwotowa]]/tblSprzedaz[[#This Row],[Przychód netto]],0)</f>
        <v>0.28573288206196301</v>
      </c>
      <c r="Q2428" s="16">
        <f>YEAR(tblSprzedaz[[#This Row],[Data]])</f>
        <v>2026</v>
      </c>
      <c r="R2428" s="16">
        <f>MONTH(tblSprzedaz[[#This Row],[Data]])</f>
        <v>10</v>
      </c>
      <c r="S2428" s="9" t="str">
        <f>YEAR(tblSprzedaz[[#This Row],[Data]])&amp;"-"&amp;RIGHT("0"&amp;MONTH(tblSprzedaz[[#This Row],[Data]]),2)</f>
        <v>2026-10</v>
      </c>
    </row>
    <row r="2429" spans="1:19" x14ac:dyDescent="0.25">
      <c r="A2429" s="7" t="s">
        <v>5025</v>
      </c>
      <c r="B2429" s="10">
        <v>46303</v>
      </c>
      <c r="C2429" s="7" t="s">
        <v>5026</v>
      </c>
      <c r="D2429" s="8" t="s">
        <v>144</v>
      </c>
      <c r="E2429" s="8" t="s">
        <v>62</v>
      </c>
      <c r="F2429" s="8" t="s">
        <v>33</v>
      </c>
      <c r="G2429" s="8" t="s">
        <v>30</v>
      </c>
      <c r="H2429" s="8" t="s">
        <v>41</v>
      </c>
      <c r="I2429" s="11">
        <v>5</v>
      </c>
      <c r="J2429" s="12">
        <v>611.79999999999995</v>
      </c>
      <c r="K2429" s="13">
        <v>0</v>
      </c>
      <c r="L2429" s="12">
        <v>435.44</v>
      </c>
      <c r="M2429" s="14">
        <f>ROUND(tblSprzedaz[[#This Row],[Ilość]]*tblSprzedaz[[#This Row],[Cena netto jednostkowa]]*(1-tblSprzedaz[[#This Row],[Rabat %]]),2)</f>
        <v>3059</v>
      </c>
      <c r="N2429" s="14">
        <f>ROUND(tblSprzedaz[[#This Row],[Ilość]]*tblSprzedaz[[#This Row],[Koszt jednostkowy netto]],2)</f>
        <v>2177.1999999999998</v>
      </c>
      <c r="O2429" s="14">
        <f>tblSprzedaz[[#This Row],[Przychód netto]]-tblSprzedaz[[#This Row],[Koszt całkowity netto]]</f>
        <v>881.80000000000018</v>
      </c>
      <c r="P2429" s="15">
        <f>IFERROR(tblSprzedaz[[#This Row],[Marża kwotowa]]/tblSprzedaz[[#This Row],[Przychód netto]],0)</f>
        <v>0.28826413860738809</v>
      </c>
      <c r="Q2429" s="16">
        <f>YEAR(tblSprzedaz[[#This Row],[Data]])</f>
        <v>2026</v>
      </c>
      <c r="R2429" s="16">
        <f>MONTH(tblSprzedaz[[#This Row],[Data]])</f>
        <v>10</v>
      </c>
      <c r="S2429" s="9" t="str">
        <f>YEAR(tblSprzedaz[[#This Row],[Data]])&amp;"-"&amp;RIGHT("0"&amp;MONTH(tblSprzedaz[[#This Row],[Data]]),2)</f>
        <v>2026-10</v>
      </c>
    </row>
    <row r="2430" spans="1:19" x14ac:dyDescent="0.25">
      <c r="A2430" s="7" t="s">
        <v>5027</v>
      </c>
      <c r="B2430" s="10">
        <v>46303</v>
      </c>
      <c r="C2430" s="7" t="s">
        <v>5028</v>
      </c>
      <c r="D2430" s="8" t="s">
        <v>82</v>
      </c>
      <c r="E2430" s="8" t="s">
        <v>73</v>
      </c>
      <c r="F2430" s="8" t="s">
        <v>37</v>
      </c>
      <c r="G2430" s="8" t="s">
        <v>32</v>
      </c>
      <c r="H2430" s="8" t="s">
        <v>42</v>
      </c>
      <c r="I2430" s="11">
        <v>3</v>
      </c>
      <c r="J2430" s="12">
        <v>110.2</v>
      </c>
      <c r="K2430" s="13">
        <v>0.1</v>
      </c>
      <c r="L2430" s="12">
        <v>86.79</v>
      </c>
      <c r="M2430" s="14">
        <f>ROUND(tblSprzedaz[[#This Row],[Ilość]]*tblSprzedaz[[#This Row],[Cena netto jednostkowa]]*(1-tblSprzedaz[[#This Row],[Rabat %]]),2)</f>
        <v>297.54000000000002</v>
      </c>
      <c r="N2430" s="14">
        <f>ROUND(tblSprzedaz[[#This Row],[Ilość]]*tblSprzedaz[[#This Row],[Koszt jednostkowy netto]],2)</f>
        <v>260.37</v>
      </c>
      <c r="O2430" s="14">
        <f>tblSprzedaz[[#This Row],[Przychód netto]]-tblSprzedaz[[#This Row],[Koszt całkowity netto]]</f>
        <v>37.170000000000016</v>
      </c>
      <c r="P2430" s="15">
        <f>IFERROR(tblSprzedaz[[#This Row],[Marża kwotowa]]/tblSprzedaz[[#This Row],[Przychód netto]],0)</f>
        <v>0.12492437991530556</v>
      </c>
      <c r="Q2430" s="16">
        <f>YEAR(tblSprzedaz[[#This Row],[Data]])</f>
        <v>2026</v>
      </c>
      <c r="R2430" s="16">
        <f>MONTH(tblSprzedaz[[#This Row],[Data]])</f>
        <v>10</v>
      </c>
      <c r="S2430" s="9" t="str">
        <f>YEAR(tblSprzedaz[[#This Row],[Data]])&amp;"-"&amp;RIGHT("0"&amp;MONTH(tblSprzedaz[[#This Row],[Data]]),2)</f>
        <v>2026-10</v>
      </c>
    </row>
    <row r="2431" spans="1:19" x14ac:dyDescent="0.25">
      <c r="A2431" s="7" t="s">
        <v>5029</v>
      </c>
      <c r="B2431" s="10">
        <v>46303</v>
      </c>
      <c r="C2431" s="7" t="s">
        <v>5030</v>
      </c>
      <c r="D2431" s="8" t="s">
        <v>94</v>
      </c>
      <c r="E2431" s="8" t="s">
        <v>63</v>
      </c>
      <c r="F2431" s="8" t="s">
        <v>33</v>
      </c>
      <c r="G2431" s="8" t="s">
        <v>28</v>
      </c>
      <c r="H2431" s="8" t="s">
        <v>39</v>
      </c>
      <c r="I2431" s="11">
        <v>26</v>
      </c>
      <c r="J2431" s="12">
        <v>690</v>
      </c>
      <c r="K2431" s="13">
        <v>0.05</v>
      </c>
      <c r="L2431" s="12">
        <v>490.67</v>
      </c>
      <c r="M2431" s="14">
        <f>ROUND(tblSprzedaz[[#This Row],[Ilość]]*tblSprzedaz[[#This Row],[Cena netto jednostkowa]]*(1-tblSprzedaz[[#This Row],[Rabat %]]),2)</f>
        <v>17043</v>
      </c>
      <c r="N2431" s="14">
        <f>ROUND(tblSprzedaz[[#This Row],[Ilość]]*tblSprzedaz[[#This Row],[Koszt jednostkowy netto]],2)</f>
        <v>12757.42</v>
      </c>
      <c r="O2431" s="14">
        <f>tblSprzedaz[[#This Row],[Przychód netto]]-tblSprzedaz[[#This Row],[Koszt całkowity netto]]</f>
        <v>4285.58</v>
      </c>
      <c r="P2431" s="15">
        <f>IFERROR(tblSprzedaz[[#This Row],[Marża kwotowa]]/tblSprzedaz[[#This Row],[Przychód netto]],0)</f>
        <v>0.25145690312738367</v>
      </c>
      <c r="Q2431" s="16">
        <f>YEAR(tblSprzedaz[[#This Row],[Data]])</f>
        <v>2026</v>
      </c>
      <c r="R2431" s="16">
        <f>MONTH(tblSprzedaz[[#This Row],[Data]])</f>
        <v>10</v>
      </c>
      <c r="S2431" s="9" t="str">
        <f>YEAR(tblSprzedaz[[#This Row],[Data]])&amp;"-"&amp;RIGHT("0"&amp;MONTH(tblSprzedaz[[#This Row],[Data]]),2)</f>
        <v>2026-10</v>
      </c>
    </row>
    <row r="2432" spans="1:19" x14ac:dyDescent="0.25">
      <c r="A2432" s="7" t="s">
        <v>5031</v>
      </c>
      <c r="B2432" s="10">
        <v>46303</v>
      </c>
      <c r="C2432" s="7" t="s">
        <v>5032</v>
      </c>
      <c r="D2432" s="8" t="s">
        <v>117</v>
      </c>
      <c r="E2432" s="8" t="s">
        <v>49</v>
      </c>
      <c r="F2432" s="8" t="s">
        <v>29</v>
      </c>
      <c r="G2432" s="8" t="s">
        <v>34</v>
      </c>
      <c r="H2432" s="8" t="s">
        <v>44</v>
      </c>
      <c r="I2432" s="11">
        <v>10</v>
      </c>
      <c r="J2432" s="12">
        <v>39.44</v>
      </c>
      <c r="K2432" s="13">
        <v>0</v>
      </c>
      <c r="L2432" s="12">
        <v>24.12</v>
      </c>
      <c r="M2432" s="14">
        <f>ROUND(tblSprzedaz[[#This Row],[Ilość]]*tblSprzedaz[[#This Row],[Cena netto jednostkowa]]*(1-tblSprzedaz[[#This Row],[Rabat %]]),2)</f>
        <v>394.4</v>
      </c>
      <c r="N2432" s="14">
        <f>ROUND(tblSprzedaz[[#This Row],[Ilość]]*tblSprzedaz[[#This Row],[Koszt jednostkowy netto]],2)</f>
        <v>241.2</v>
      </c>
      <c r="O2432" s="14">
        <f>tblSprzedaz[[#This Row],[Przychód netto]]-tblSprzedaz[[#This Row],[Koszt całkowity netto]]</f>
        <v>153.19999999999999</v>
      </c>
      <c r="P2432" s="15">
        <f>IFERROR(tblSprzedaz[[#This Row],[Marża kwotowa]]/tblSprzedaz[[#This Row],[Przychód netto]],0)</f>
        <v>0.38843813387423937</v>
      </c>
      <c r="Q2432" s="16">
        <f>YEAR(tblSprzedaz[[#This Row],[Data]])</f>
        <v>2026</v>
      </c>
      <c r="R2432" s="16">
        <f>MONTH(tblSprzedaz[[#This Row],[Data]])</f>
        <v>10</v>
      </c>
      <c r="S2432" s="9" t="str">
        <f>YEAR(tblSprzedaz[[#This Row],[Data]])&amp;"-"&amp;RIGHT("0"&amp;MONTH(tblSprzedaz[[#This Row],[Data]]),2)</f>
        <v>2026-10</v>
      </c>
    </row>
    <row r="2433" spans="1:19" x14ac:dyDescent="0.25">
      <c r="A2433" s="7" t="s">
        <v>5033</v>
      </c>
      <c r="B2433" s="10">
        <v>46304</v>
      </c>
      <c r="C2433" s="7" t="s">
        <v>5034</v>
      </c>
      <c r="D2433" s="8" t="s">
        <v>125</v>
      </c>
      <c r="E2433" s="8" t="s">
        <v>50</v>
      </c>
      <c r="F2433" s="8" t="s">
        <v>29</v>
      </c>
      <c r="G2433" s="8" t="s">
        <v>32</v>
      </c>
      <c r="H2433" s="8" t="s">
        <v>42</v>
      </c>
      <c r="I2433" s="11">
        <v>39</v>
      </c>
      <c r="J2433" s="12">
        <v>45.22</v>
      </c>
      <c r="K2433" s="13">
        <v>0.1</v>
      </c>
      <c r="L2433" s="12">
        <v>25.68</v>
      </c>
      <c r="M2433" s="14">
        <f>ROUND(tblSprzedaz[[#This Row],[Ilość]]*tblSprzedaz[[#This Row],[Cena netto jednostkowa]]*(1-tblSprzedaz[[#This Row],[Rabat %]]),2)</f>
        <v>1587.22</v>
      </c>
      <c r="N2433" s="14">
        <f>ROUND(tblSprzedaz[[#This Row],[Ilość]]*tblSprzedaz[[#This Row],[Koszt jednostkowy netto]],2)</f>
        <v>1001.52</v>
      </c>
      <c r="O2433" s="14">
        <f>tblSprzedaz[[#This Row],[Przychód netto]]-tblSprzedaz[[#This Row],[Koszt całkowity netto]]</f>
        <v>585.70000000000005</v>
      </c>
      <c r="P2433" s="15">
        <f>IFERROR(tblSprzedaz[[#This Row],[Marża kwotowa]]/tblSprzedaz[[#This Row],[Przychód netto]],0)</f>
        <v>0.3690099671123096</v>
      </c>
      <c r="Q2433" s="16">
        <f>YEAR(tblSprzedaz[[#This Row],[Data]])</f>
        <v>2026</v>
      </c>
      <c r="R2433" s="16">
        <f>MONTH(tblSprzedaz[[#This Row],[Data]])</f>
        <v>10</v>
      </c>
      <c r="S2433" s="9" t="str">
        <f>YEAR(tblSprzedaz[[#This Row],[Data]])&amp;"-"&amp;RIGHT("0"&amp;MONTH(tblSprzedaz[[#This Row],[Data]]),2)</f>
        <v>2026-10</v>
      </c>
    </row>
    <row r="2434" spans="1:19" x14ac:dyDescent="0.25">
      <c r="A2434" s="7" t="s">
        <v>5035</v>
      </c>
      <c r="B2434" s="10">
        <v>46304</v>
      </c>
      <c r="C2434" s="7" t="s">
        <v>5036</v>
      </c>
      <c r="D2434" s="8" t="s">
        <v>144</v>
      </c>
      <c r="E2434" s="8" t="s">
        <v>58</v>
      </c>
      <c r="F2434" s="8" t="s">
        <v>31</v>
      </c>
      <c r="G2434" s="8" t="s">
        <v>36</v>
      </c>
      <c r="H2434" s="8" t="s">
        <v>47</v>
      </c>
      <c r="I2434" s="11">
        <v>26</v>
      </c>
      <c r="J2434" s="12">
        <v>350.7</v>
      </c>
      <c r="K2434" s="13">
        <v>0.05</v>
      </c>
      <c r="L2434" s="12">
        <v>222.57</v>
      </c>
      <c r="M2434" s="14">
        <f>ROUND(tblSprzedaz[[#This Row],[Ilość]]*tblSprzedaz[[#This Row],[Cena netto jednostkowa]]*(1-tblSprzedaz[[#This Row],[Rabat %]]),2)</f>
        <v>8662.2900000000009</v>
      </c>
      <c r="N2434" s="14">
        <f>ROUND(tblSprzedaz[[#This Row],[Ilość]]*tblSprzedaz[[#This Row],[Koszt jednostkowy netto]],2)</f>
        <v>5786.82</v>
      </c>
      <c r="O2434" s="14">
        <f>tblSprzedaz[[#This Row],[Przychód netto]]-tblSprzedaz[[#This Row],[Koszt całkowity netto]]</f>
        <v>2875.4700000000012</v>
      </c>
      <c r="P2434" s="15">
        <f>IFERROR(tblSprzedaz[[#This Row],[Marża kwotowa]]/tblSprzedaz[[#This Row],[Przychód netto]],0)</f>
        <v>0.33195263608122111</v>
      </c>
      <c r="Q2434" s="16">
        <f>YEAR(tblSprzedaz[[#This Row],[Data]])</f>
        <v>2026</v>
      </c>
      <c r="R2434" s="16">
        <f>MONTH(tblSprzedaz[[#This Row],[Data]])</f>
        <v>10</v>
      </c>
      <c r="S2434" s="9" t="str">
        <f>YEAR(tblSprzedaz[[#This Row],[Data]])&amp;"-"&amp;RIGHT("0"&amp;MONTH(tblSprzedaz[[#This Row],[Data]]),2)</f>
        <v>2026-10</v>
      </c>
    </row>
    <row r="2435" spans="1:19" x14ac:dyDescent="0.25">
      <c r="A2435" s="7" t="s">
        <v>5037</v>
      </c>
      <c r="B2435" s="10">
        <v>46304</v>
      </c>
      <c r="C2435" s="7" t="s">
        <v>5038</v>
      </c>
      <c r="D2435" s="8" t="s">
        <v>137</v>
      </c>
      <c r="E2435" s="8" t="s">
        <v>75</v>
      </c>
      <c r="F2435" s="8" t="s">
        <v>37</v>
      </c>
      <c r="G2435" s="8" t="s">
        <v>34</v>
      </c>
      <c r="H2435" s="8" t="s">
        <v>45</v>
      </c>
      <c r="I2435" s="11">
        <v>5</v>
      </c>
      <c r="J2435" s="12">
        <v>142.5</v>
      </c>
      <c r="K2435" s="13">
        <v>0.1</v>
      </c>
      <c r="L2435" s="12">
        <v>105.21</v>
      </c>
      <c r="M2435" s="14">
        <f>ROUND(tblSprzedaz[[#This Row],[Ilość]]*tblSprzedaz[[#This Row],[Cena netto jednostkowa]]*(1-tblSprzedaz[[#This Row],[Rabat %]]),2)</f>
        <v>641.25</v>
      </c>
      <c r="N2435" s="14">
        <f>ROUND(tblSprzedaz[[#This Row],[Ilość]]*tblSprzedaz[[#This Row],[Koszt jednostkowy netto]],2)</f>
        <v>526.04999999999995</v>
      </c>
      <c r="O2435" s="14">
        <f>tblSprzedaz[[#This Row],[Przychód netto]]-tblSprzedaz[[#This Row],[Koszt całkowity netto]]</f>
        <v>115.20000000000005</v>
      </c>
      <c r="P2435" s="15">
        <f>IFERROR(tblSprzedaz[[#This Row],[Marża kwotowa]]/tblSprzedaz[[#This Row],[Przychód netto]],0)</f>
        <v>0.17964912280701761</v>
      </c>
      <c r="Q2435" s="16">
        <f>YEAR(tblSprzedaz[[#This Row],[Data]])</f>
        <v>2026</v>
      </c>
      <c r="R2435" s="16">
        <f>MONTH(tblSprzedaz[[#This Row],[Data]])</f>
        <v>10</v>
      </c>
      <c r="S2435" s="9" t="str">
        <f>YEAR(tblSprzedaz[[#This Row],[Data]])&amp;"-"&amp;RIGHT("0"&amp;MONTH(tblSprzedaz[[#This Row],[Data]]),2)</f>
        <v>2026-10</v>
      </c>
    </row>
    <row r="2436" spans="1:19" x14ac:dyDescent="0.25">
      <c r="A2436" s="7" t="s">
        <v>5039</v>
      </c>
      <c r="B2436" s="10">
        <v>46304</v>
      </c>
      <c r="C2436" s="7" t="s">
        <v>5040</v>
      </c>
      <c r="D2436" s="8" t="s">
        <v>121</v>
      </c>
      <c r="E2436" s="8" t="s">
        <v>50</v>
      </c>
      <c r="F2436" s="8" t="s">
        <v>29</v>
      </c>
      <c r="G2436" s="8" t="s">
        <v>30</v>
      </c>
      <c r="H2436" s="8" t="s">
        <v>41</v>
      </c>
      <c r="I2436" s="11">
        <v>15</v>
      </c>
      <c r="J2436" s="12">
        <v>45.22</v>
      </c>
      <c r="K2436" s="13">
        <v>0.1</v>
      </c>
      <c r="L2436" s="12">
        <v>25.52</v>
      </c>
      <c r="M2436" s="14">
        <f>ROUND(tblSprzedaz[[#This Row],[Ilość]]*tblSprzedaz[[#This Row],[Cena netto jednostkowa]]*(1-tblSprzedaz[[#This Row],[Rabat %]]),2)</f>
        <v>610.47</v>
      </c>
      <c r="N2436" s="14">
        <f>ROUND(tblSprzedaz[[#This Row],[Ilość]]*tblSprzedaz[[#This Row],[Koszt jednostkowy netto]],2)</f>
        <v>382.8</v>
      </c>
      <c r="O2436" s="14">
        <f>tblSprzedaz[[#This Row],[Przychód netto]]-tblSprzedaz[[#This Row],[Koszt całkowity netto]]</f>
        <v>227.67000000000002</v>
      </c>
      <c r="P2436" s="15">
        <f>IFERROR(tblSprzedaz[[#This Row],[Marża kwotowa]]/tblSprzedaz[[#This Row],[Przychód netto]],0)</f>
        <v>0.37294215931986829</v>
      </c>
      <c r="Q2436" s="16">
        <f>YEAR(tblSprzedaz[[#This Row],[Data]])</f>
        <v>2026</v>
      </c>
      <c r="R2436" s="16">
        <f>MONTH(tblSprzedaz[[#This Row],[Data]])</f>
        <v>10</v>
      </c>
      <c r="S2436" s="9" t="str">
        <f>YEAR(tblSprzedaz[[#This Row],[Data]])&amp;"-"&amp;RIGHT("0"&amp;MONTH(tblSprzedaz[[#This Row],[Data]]),2)</f>
        <v>2026-10</v>
      </c>
    </row>
    <row r="2437" spans="1:19" x14ac:dyDescent="0.25">
      <c r="A2437" s="7" t="s">
        <v>5041</v>
      </c>
      <c r="B2437" s="10">
        <v>46304</v>
      </c>
      <c r="C2437" s="7" t="s">
        <v>5042</v>
      </c>
      <c r="D2437" s="8" t="s">
        <v>136</v>
      </c>
      <c r="E2437" s="8" t="s">
        <v>52</v>
      </c>
      <c r="F2437" s="8" t="s">
        <v>29</v>
      </c>
      <c r="G2437" s="8" t="s">
        <v>32</v>
      </c>
      <c r="H2437" s="8" t="s">
        <v>43</v>
      </c>
      <c r="I2437" s="11">
        <v>20</v>
      </c>
      <c r="J2437" s="12">
        <v>56.78</v>
      </c>
      <c r="K2437" s="13">
        <v>0.15</v>
      </c>
      <c r="L2437" s="12">
        <v>35.15</v>
      </c>
      <c r="M2437" s="14">
        <f>ROUND(tblSprzedaz[[#This Row],[Ilość]]*tblSprzedaz[[#This Row],[Cena netto jednostkowa]]*(1-tblSprzedaz[[#This Row],[Rabat %]]),2)</f>
        <v>965.26</v>
      </c>
      <c r="N2437" s="14">
        <f>ROUND(tblSprzedaz[[#This Row],[Ilość]]*tblSprzedaz[[#This Row],[Koszt jednostkowy netto]],2)</f>
        <v>703</v>
      </c>
      <c r="O2437" s="14">
        <f>tblSprzedaz[[#This Row],[Przychód netto]]-tblSprzedaz[[#This Row],[Koszt całkowity netto]]</f>
        <v>262.26</v>
      </c>
      <c r="P2437" s="15">
        <f>IFERROR(tblSprzedaz[[#This Row],[Marża kwotowa]]/tblSprzedaz[[#This Row],[Przychód netto]],0)</f>
        <v>0.27169881689907383</v>
      </c>
      <c r="Q2437" s="16">
        <f>YEAR(tblSprzedaz[[#This Row],[Data]])</f>
        <v>2026</v>
      </c>
      <c r="R2437" s="16">
        <f>MONTH(tblSprzedaz[[#This Row],[Data]])</f>
        <v>10</v>
      </c>
      <c r="S2437" s="9" t="str">
        <f>YEAR(tblSprzedaz[[#This Row],[Data]])&amp;"-"&amp;RIGHT("0"&amp;MONTH(tblSprzedaz[[#This Row],[Data]]),2)</f>
        <v>2026-10</v>
      </c>
    </row>
    <row r="2438" spans="1:19" x14ac:dyDescent="0.25">
      <c r="A2438" s="7" t="s">
        <v>5043</v>
      </c>
      <c r="B2438" s="10">
        <v>46304</v>
      </c>
      <c r="C2438" s="7" t="s">
        <v>5044</v>
      </c>
      <c r="D2438" s="8" t="s">
        <v>112</v>
      </c>
      <c r="E2438" s="8" t="s">
        <v>58</v>
      </c>
      <c r="F2438" s="8" t="s">
        <v>31</v>
      </c>
      <c r="G2438" s="8" t="s">
        <v>34</v>
      </c>
      <c r="H2438" s="8" t="s">
        <v>45</v>
      </c>
      <c r="I2438" s="11">
        <v>14</v>
      </c>
      <c r="J2438" s="12">
        <v>350.7</v>
      </c>
      <c r="K2438" s="13">
        <v>0.15</v>
      </c>
      <c r="L2438" s="12">
        <v>217.18</v>
      </c>
      <c r="M2438" s="14">
        <f>ROUND(tblSprzedaz[[#This Row],[Ilość]]*tblSprzedaz[[#This Row],[Cena netto jednostkowa]]*(1-tblSprzedaz[[#This Row],[Rabat %]]),2)</f>
        <v>4173.33</v>
      </c>
      <c r="N2438" s="14">
        <f>ROUND(tblSprzedaz[[#This Row],[Ilość]]*tblSprzedaz[[#This Row],[Koszt jednostkowy netto]],2)</f>
        <v>3040.52</v>
      </c>
      <c r="O2438" s="14">
        <f>tblSprzedaz[[#This Row],[Przychód netto]]-tblSprzedaz[[#This Row],[Koszt całkowity netto]]</f>
        <v>1132.81</v>
      </c>
      <c r="P2438" s="15">
        <f>IFERROR(tblSprzedaz[[#This Row],[Marża kwotowa]]/tblSprzedaz[[#This Row],[Przychód netto]],0)</f>
        <v>0.27144031265200691</v>
      </c>
      <c r="Q2438" s="16">
        <f>YEAR(tblSprzedaz[[#This Row],[Data]])</f>
        <v>2026</v>
      </c>
      <c r="R2438" s="16">
        <f>MONTH(tblSprzedaz[[#This Row],[Data]])</f>
        <v>10</v>
      </c>
      <c r="S2438" s="9" t="str">
        <f>YEAR(tblSprzedaz[[#This Row],[Data]])&amp;"-"&amp;RIGHT("0"&amp;MONTH(tblSprzedaz[[#This Row],[Data]]),2)</f>
        <v>2026-10</v>
      </c>
    </row>
    <row r="2439" spans="1:19" x14ac:dyDescent="0.25">
      <c r="A2439" s="7" t="s">
        <v>5045</v>
      </c>
      <c r="B2439" s="10">
        <v>46304</v>
      </c>
      <c r="C2439" s="7" t="s">
        <v>5046</v>
      </c>
      <c r="D2439" s="8" t="s">
        <v>124</v>
      </c>
      <c r="E2439" s="8" t="s">
        <v>65</v>
      </c>
      <c r="F2439" s="8" t="s">
        <v>33</v>
      </c>
      <c r="G2439" s="8" t="s">
        <v>34</v>
      </c>
      <c r="H2439" s="8" t="s">
        <v>44</v>
      </c>
      <c r="I2439" s="11">
        <v>12</v>
      </c>
      <c r="J2439" s="12">
        <v>377.2</v>
      </c>
      <c r="K2439" s="13">
        <v>0.1</v>
      </c>
      <c r="L2439" s="12">
        <v>246.6</v>
      </c>
      <c r="M2439" s="14">
        <f>ROUND(tblSprzedaz[[#This Row],[Ilość]]*tblSprzedaz[[#This Row],[Cena netto jednostkowa]]*(1-tblSprzedaz[[#This Row],[Rabat %]]),2)</f>
        <v>4073.76</v>
      </c>
      <c r="N2439" s="14">
        <f>ROUND(tblSprzedaz[[#This Row],[Ilość]]*tblSprzedaz[[#This Row],[Koszt jednostkowy netto]],2)</f>
        <v>2959.2</v>
      </c>
      <c r="O2439" s="14">
        <f>tblSprzedaz[[#This Row],[Przychód netto]]-tblSprzedaz[[#This Row],[Koszt całkowity netto]]</f>
        <v>1114.5600000000004</v>
      </c>
      <c r="P2439" s="15">
        <f>IFERROR(tblSprzedaz[[#This Row],[Marża kwotowa]]/tblSprzedaz[[#This Row],[Przychód netto]],0)</f>
        <v>0.27359490986214219</v>
      </c>
      <c r="Q2439" s="16">
        <f>YEAR(tblSprzedaz[[#This Row],[Data]])</f>
        <v>2026</v>
      </c>
      <c r="R2439" s="16">
        <f>MONTH(tblSprzedaz[[#This Row],[Data]])</f>
        <v>10</v>
      </c>
      <c r="S2439" s="9" t="str">
        <f>YEAR(tblSprzedaz[[#This Row],[Data]])&amp;"-"&amp;RIGHT("0"&amp;MONTH(tblSprzedaz[[#This Row],[Data]]),2)</f>
        <v>2026-10</v>
      </c>
    </row>
    <row r="2440" spans="1:19" x14ac:dyDescent="0.25">
      <c r="A2440" s="7" t="s">
        <v>5047</v>
      </c>
      <c r="B2440" s="10">
        <v>46304</v>
      </c>
      <c r="C2440" s="7" t="s">
        <v>5048</v>
      </c>
      <c r="D2440" s="8" t="s">
        <v>101</v>
      </c>
      <c r="E2440" s="8" t="s">
        <v>70</v>
      </c>
      <c r="F2440" s="8" t="s">
        <v>35</v>
      </c>
      <c r="G2440" s="8" t="s">
        <v>34</v>
      </c>
      <c r="H2440" s="8" t="s">
        <v>45</v>
      </c>
      <c r="I2440" s="11">
        <v>2</v>
      </c>
      <c r="J2440" s="12">
        <v>113.56</v>
      </c>
      <c r="K2440" s="13">
        <v>0.1</v>
      </c>
      <c r="L2440" s="12">
        <v>85.3</v>
      </c>
      <c r="M2440" s="14">
        <f>ROUND(tblSprzedaz[[#This Row],[Ilość]]*tblSprzedaz[[#This Row],[Cena netto jednostkowa]]*(1-tblSprzedaz[[#This Row],[Rabat %]]),2)</f>
        <v>204.41</v>
      </c>
      <c r="N2440" s="14">
        <f>ROUND(tblSprzedaz[[#This Row],[Ilość]]*tblSprzedaz[[#This Row],[Koszt jednostkowy netto]],2)</f>
        <v>170.6</v>
      </c>
      <c r="O2440" s="14">
        <f>tblSprzedaz[[#This Row],[Przychód netto]]-tblSprzedaz[[#This Row],[Koszt całkowity netto]]</f>
        <v>33.81</v>
      </c>
      <c r="P2440" s="15">
        <f>IFERROR(tblSprzedaz[[#This Row],[Marża kwotowa]]/tblSprzedaz[[#This Row],[Przychód netto]],0)</f>
        <v>0.16540286678733918</v>
      </c>
      <c r="Q2440" s="16">
        <f>YEAR(tblSprzedaz[[#This Row],[Data]])</f>
        <v>2026</v>
      </c>
      <c r="R2440" s="16">
        <f>MONTH(tblSprzedaz[[#This Row],[Data]])</f>
        <v>10</v>
      </c>
      <c r="S2440" s="9" t="str">
        <f>YEAR(tblSprzedaz[[#This Row],[Data]])&amp;"-"&amp;RIGHT("0"&amp;MONTH(tblSprzedaz[[#This Row],[Data]]),2)</f>
        <v>2026-10</v>
      </c>
    </row>
  </sheetData>
  <dataValidations count="10">
    <dataValidation type="list" showInputMessage="1" showErrorMessage="1" errorTitle="Wybierz pozycję z listy" error="Wartość musi występować w słowniku." sqref="D6:D2440" xr:uid="{CB4B2B72-DA32-499A-B8F3-77EEA526241B}">
      <formula1>lstKlienci</formula1>
    </dataValidation>
    <dataValidation type="list" showInputMessage="1" showErrorMessage="1" errorTitle="Wybierz pozycję z listy" error="Wartość musi występować w słowniku." sqref="E6:E2440" xr:uid="{3EE6751A-07C8-4A11-A216-AAE0EA1E533E}">
      <formula1>lstProdukty</formula1>
    </dataValidation>
    <dataValidation type="list" showInputMessage="1" showErrorMessage="1" errorTitle="Wybierz pozycję z listy" error="Wartość musi występować w słowniku." sqref="F6:F2440" xr:uid="{A68086FA-CEBD-435D-9FF7-291F8387C421}">
      <formula1>lstKategorie</formula1>
    </dataValidation>
    <dataValidation type="list" showInputMessage="1" showErrorMessage="1" errorTitle="Wybierz pozycję z listy" error="Wartość musi występować w słowniku." sqref="G6:G2440" xr:uid="{5559E719-5D47-4329-A6E8-3E9B8395F8BD}">
      <formula1>lstRegiony</formula1>
    </dataValidation>
    <dataValidation type="list" showInputMessage="1" showErrorMessage="1" errorTitle="Wybierz pozycję z listy" error="Wartość musi występować w słowniku." sqref="H6:H2440" xr:uid="{628514A3-85C8-4FFD-BD0C-06F638813B83}">
      <formula1>lstHandlowcy</formula1>
    </dataValidation>
    <dataValidation type="date" showInputMessage="1" showErrorMessage="1" errorTitle="Nieprawidłowa wartość" error="Sprawdź zakres wartości. Rabat wpisuj jako procent, np. 10%." sqref="B6:B2440" xr:uid="{1D184529-55AE-489A-B837-0765B54DB5D0}">
      <formula1>36526</formula1>
      <formula2>73415</formula2>
    </dataValidation>
    <dataValidation type="whole" showInputMessage="1" showErrorMessage="1" errorTitle="Nieprawidłowa wartość" error="Sprawdź zakres wartości. Rabat wpisuj jako procent, np. 10%." sqref="I6:I2440" xr:uid="{593D6898-44DD-4DB0-955D-EDADE44471D8}">
      <formula1>1</formula1>
      <formula2>1000000</formula2>
    </dataValidation>
    <dataValidation type="decimal" showInputMessage="1" showErrorMessage="1" errorTitle="Nieprawidłowa wartość" error="Sprawdź zakres wartości. Rabat wpisuj jako procent, np. 10%." sqref="J6:J2440" xr:uid="{21FD2626-3BF6-4BA0-A4F2-E7FF93BC3FC3}">
      <formula1>0</formula1>
      <formula2>1000000000</formula2>
    </dataValidation>
    <dataValidation type="decimal" showInputMessage="1" showErrorMessage="1" errorTitle="Nieprawidłowa wartość" error="Sprawdź zakres wartości. Rabat wpisuj jako procent, np. 10%." sqref="K6:K2440" xr:uid="{E68A6E3C-A1D4-468B-B412-27DF1AE9EF79}">
      <formula1>0</formula1>
      <formula2>1</formula2>
    </dataValidation>
    <dataValidation type="decimal" showInputMessage="1" showErrorMessage="1" errorTitle="Nieprawidłowa wartość" error="Sprawdź zakres wartości. Rabat wpisuj jako procent, np. 10%." sqref="L6:L2440" xr:uid="{B38FE983-EBE8-486A-BA62-B59DAAC8FEAE}">
      <formula1>0</formula1>
      <formula2>1000000000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3B7E-04B1-4A81-AF3C-59BD77EA237D}">
  <sheetPr codeName="Arkusz4">
    <tabColor rgb="FF107C41"/>
  </sheetPr>
  <dimension ref="A1:E125"/>
  <sheetViews>
    <sheetView zoomScale="115" zoomScaleNormal="115" workbookViewId="0"/>
  </sheetViews>
  <sheetFormatPr defaultRowHeight="15" x14ac:dyDescent="0.25"/>
  <cols>
    <col min="1" max="5" width="24.69921875" style="1" customWidth="1"/>
    <col min="6" max="16384" width="8.796875" style="1"/>
  </cols>
  <sheetData>
    <row r="1" spans="1:5" ht="28.5" x14ac:dyDescent="0.45">
      <c r="A1" s="2" t="s">
        <v>1</v>
      </c>
    </row>
    <row r="3" spans="1:5" x14ac:dyDescent="0.25">
      <c r="A3" s="1" t="s">
        <v>5052</v>
      </c>
    </row>
    <row r="5" spans="1:5" x14ac:dyDescent="0.25">
      <c r="A5" s="1" t="s">
        <v>177</v>
      </c>
      <c r="B5" s="1" t="s">
        <v>25</v>
      </c>
      <c r="C5" s="1" t="s">
        <v>19</v>
      </c>
      <c r="D5" s="1" t="s">
        <v>5050</v>
      </c>
      <c r="E5" s="1" t="s">
        <v>5051</v>
      </c>
    </row>
    <row r="6" spans="1:5" x14ac:dyDescent="0.25">
      <c r="A6" s="1">
        <v>2025</v>
      </c>
      <c r="B6" s="1">
        <v>1</v>
      </c>
      <c r="C6" s="1" t="s">
        <v>28</v>
      </c>
      <c r="D6" s="17">
        <v>23400</v>
      </c>
      <c r="E6" s="17">
        <v>6600</v>
      </c>
    </row>
    <row r="7" spans="1:5" x14ac:dyDescent="0.25">
      <c r="A7" s="1">
        <v>2025</v>
      </c>
      <c r="B7" s="1">
        <v>1</v>
      </c>
      <c r="C7" s="1" t="s">
        <v>30</v>
      </c>
      <c r="D7" s="17">
        <v>41600</v>
      </c>
      <c r="E7" s="17">
        <v>11600</v>
      </c>
    </row>
    <row r="8" spans="1:5" x14ac:dyDescent="0.25">
      <c r="A8" s="1">
        <v>2025</v>
      </c>
      <c r="B8" s="1">
        <v>1</v>
      </c>
      <c r="C8" s="1" t="s">
        <v>32</v>
      </c>
      <c r="D8" s="17">
        <v>24000</v>
      </c>
      <c r="E8" s="17">
        <v>6700</v>
      </c>
    </row>
    <row r="9" spans="1:5" x14ac:dyDescent="0.25">
      <c r="A9" s="1">
        <v>2025</v>
      </c>
      <c r="B9" s="1">
        <v>1</v>
      </c>
      <c r="C9" s="1" t="s">
        <v>34</v>
      </c>
      <c r="D9" s="17">
        <v>13700</v>
      </c>
      <c r="E9" s="17">
        <v>3800</v>
      </c>
    </row>
    <row r="10" spans="1:5" x14ac:dyDescent="0.25">
      <c r="A10" s="1">
        <v>2025</v>
      </c>
      <c r="B10" s="1">
        <v>1</v>
      </c>
      <c r="C10" s="1" t="s">
        <v>36</v>
      </c>
      <c r="D10" s="17">
        <v>36200</v>
      </c>
      <c r="E10" s="17">
        <v>10100</v>
      </c>
    </row>
    <row r="11" spans="1:5" x14ac:dyDescent="0.25">
      <c r="A11" s="1">
        <v>2025</v>
      </c>
      <c r="B11" s="1">
        <v>2</v>
      </c>
      <c r="C11" s="1" t="s">
        <v>28</v>
      </c>
      <c r="D11" s="17">
        <v>29500</v>
      </c>
      <c r="E11" s="17">
        <v>8300</v>
      </c>
    </row>
    <row r="12" spans="1:5" x14ac:dyDescent="0.25">
      <c r="A12" s="1">
        <v>2025</v>
      </c>
      <c r="B12" s="1">
        <v>2</v>
      </c>
      <c r="C12" s="1" t="s">
        <v>30</v>
      </c>
      <c r="D12" s="17">
        <v>75100</v>
      </c>
      <c r="E12" s="17">
        <v>21000</v>
      </c>
    </row>
    <row r="13" spans="1:5" x14ac:dyDescent="0.25">
      <c r="A13" s="1">
        <v>2025</v>
      </c>
      <c r="B13" s="1">
        <v>2</v>
      </c>
      <c r="C13" s="1" t="s">
        <v>32</v>
      </c>
      <c r="D13" s="17">
        <v>23900</v>
      </c>
      <c r="E13" s="17">
        <v>6700</v>
      </c>
    </row>
    <row r="14" spans="1:5" x14ac:dyDescent="0.25">
      <c r="A14" s="1">
        <v>2025</v>
      </c>
      <c r="B14" s="1">
        <v>2</v>
      </c>
      <c r="C14" s="1" t="s">
        <v>34</v>
      </c>
      <c r="D14" s="17">
        <v>33900</v>
      </c>
      <c r="E14" s="17">
        <v>9500</v>
      </c>
    </row>
    <row r="15" spans="1:5" x14ac:dyDescent="0.25">
      <c r="A15" s="1">
        <v>2025</v>
      </c>
      <c r="B15" s="1">
        <v>2</v>
      </c>
      <c r="C15" s="1" t="s">
        <v>36</v>
      </c>
      <c r="D15" s="17">
        <v>45700</v>
      </c>
      <c r="E15" s="17">
        <v>12800</v>
      </c>
    </row>
    <row r="16" spans="1:5" x14ac:dyDescent="0.25">
      <c r="A16" s="1">
        <v>2025</v>
      </c>
      <c r="B16" s="1">
        <v>3</v>
      </c>
      <c r="C16" s="1" t="s">
        <v>28</v>
      </c>
      <c r="D16" s="17">
        <v>24400</v>
      </c>
      <c r="E16" s="17">
        <v>6800</v>
      </c>
    </row>
    <row r="17" spans="1:5" x14ac:dyDescent="0.25">
      <c r="A17" s="1">
        <v>2025</v>
      </c>
      <c r="B17" s="1">
        <v>3</v>
      </c>
      <c r="C17" s="1" t="s">
        <v>30</v>
      </c>
      <c r="D17" s="17">
        <v>44100</v>
      </c>
      <c r="E17" s="17">
        <v>12300</v>
      </c>
    </row>
    <row r="18" spans="1:5" x14ac:dyDescent="0.25">
      <c r="A18" s="1">
        <v>2025</v>
      </c>
      <c r="B18" s="1">
        <v>3</v>
      </c>
      <c r="C18" s="1" t="s">
        <v>32</v>
      </c>
      <c r="D18" s="17">
        <v>70700</v>
      </c>
      <c r="E18" s="17">
        <v>19800</v>
      </c>
    </row>
    <row r="19" spans="1:5" x14ac:dyDescent="0.25">
      <c r="A19" s="1">
        <v>2025</v>
      </c>
      <c r="B19" s="1">
        <v>3</v>
      </c>
      <c r="C19" s="1" t="s">
        <v>34</v>
      </c>
      <c r="D19" s="17">
        <v>54400</v>
      </c>
      <c r="E19" s="17">
        <v>15200</v>
      </c>
    </row>
    <row r="20" spans="1:5" x14ac:dyDescent="0.25">
      <c r="A20" s="1">
        <v>2025</v>
      </c>
      <c r="B20" s="1">
        <v>3</v>
      </c>
      <c r="C20" s="1" t="s">
        <v>36</v>
      </c>
      <c r="D20" s="17">
        <v>54000</v>
      </c>
      <c r="E20" s="17">
        <v>15100</v>
      </c>
    </row>
    <row r="21" spans="1:5" x14ac:dyDescent="0.25">
      <c r="A21" s="1">
        <v>2025</v>
      </c>
      <c r="B21" s="1">
        <v>4</v>
      </c>
      <c r="C21" s="1" t="s">
        <v>28</v>
      </c>
      <c r="D21" s="17">
        <v>70100</v>
      </c>
      <c r="E21" s="17">
        <v>19600</v>
      </c>
    </row>
    <row r="22" spans="1:5" x14ac:dyDescent="0.25">
      <c r="A22" s="1">
        <v>2025</v>
      </c>
      <c r="B22" s="1">
        <v>4</v>
      </c>
      <c r="C22" s="1" t="s">
        <v>30</v>
      </c>
      <c r="D22" s="17">
        <v>45600</v>
      </c>
      <c r="E22" s="17">
        <v>12800</v>
      </c>
    </row>
    <row r="23" spans="1:5" x14ac:dyDescent="0.25">
      <c r="A23" s="1">
        <v>2025</v>
      </c>
      <c r="B23" s="1">
        <v>4</v>
      </c>
      <c r="C23" s="1" t="s">
        <v>32</v>
      </c>
      <c r="D23" s="17">
        <v>45400</v>
      </c>
      <c r="E23" s="17">
        <v>12700</v>
      </c>
    </row>
    <row r="24" spans="1:5" x14ac:dyDescent="0.25">
      <c r="A24" s="1">
        <v>2025</v>
      </c>
      <c r="B24" s="1">
        <v>4</v>
      </c>
      <c r="C24" s="1" t="s">
        <v>34</v>
      </c>
      <c r="D24" s="17">
        <v>42400</v>
      </c>
      <c r="E24" s="17">
        <v>11900</v>
      </c>
    </row>
    <row r="25" spans="1:5" x14ac:dyDescent="0.25">
      <c r="A25" s="1">
        <v>2025</v>
      </c>
      <c r="B25" s="1">
        <v>4</v>
      </c>
      <c r="C25" s="1" t="s">
        <v>36</v>
      </c>
      <c r="D25" s="17">
        <v>68600</v>
      </c>
      <c r="E25" s="17">
        <v>19200</v>
      </c>
    </row>
    <row r="26" spans="1:5" x14ac:dyDescent="0.25">
      <c r="A26" s="1">
        <v>2025</v>
      </c>
      <c r="B26" s="1">
        <v>5</v>
      </c>
      <c r="C26" s="1" t="s">
        <v>28</v>
      </c>
      <c r="D26" s="17">
        <v>53100</v>
      </c>
      <c r="E26" s="17">
        <v>14900</v>
      </c>
    </row>
    <row r="27" spans="1:5" x14ac:dyDescent="0.25">
      <c r="A27" s="1">
        <v>2025</v>
      </c>
      <c r="B27" s="1">
        <v>5</v>
      </c>
      <c r="C27" s="1" t="s">
        <v>30</v>
      </c>
      <c r="D27" s="17">
        <v>75000</v>
      </c>
      <c r="E27" s="17">
        <v>21000</v>
      </c>
    </row>
    <row r="28" spans="1:5" x14ac:dyDescent="0.25">
      <c r="A28" s="1">
        <v>2025</v>
      </c>
      <c r="B28" s="1">
        <v>5</v>
      </c>
      <c r="C28" s="1" t="s">
        <v>32</v>
      </c>
      <c r="D28" s="17">
        <v>87500</v>
      </c>
      <c r="E28" s="17">
        <v>24500</v>
      </c>
    </row>
    <row r="29" spans="1:5" x14ac:dyDescent="0.25">
      <c r="A29" s="1">
        <v>2025</v>
      </c>
      <c r="B29" s="1">
        <v>5</v>
      </c>
      <c r="C29" s="1" t="s">
        <v>34</v>
      </c>
      <c r="D29" s="17">
        <v>54800</v>
      </c>
      <c r="E29" s="17">
        <v>15300</v>
      </c>
    </row>
    <row r="30" spans="1:5" x14ac:dyDescent="0.25">
      <c r="A30" s="1">
        <v>2025</v>
      </c>
      <c r="B30" s="1">
        <v>5</v>
      </c>
      <c r="C30" s="1" t="s">
        <v>36</v>
      </c>
      <c r="D30" s="17">
        <v>55700</v>
      </c>
      <c r="E30" s="17">
        <v>15600</v>
      </c>
    </row>
    <row r="31" spans="1:5" x14ac:dyDescent="0.25">
      <c r="A31" s="1">
        <v>2025</v>
      </c>
      <c r="B31" s="1">
        <v>6</v>
      </c>
      <c r="C31" s="1" t="s">
        <v>28</v>
      </c>
      <c r="D31" s="17">
        <v>34400</v>
      </c>
      <c r="E31" s="17">
        <v>9600</v>
      </c>
    </row>
    <row r="32" spans="1:5" x14ac:dyDescent="0.25">
      <c r="A32" s="1">
        <v>2025</v>
      </c>
      <c r="B32" s="1">
        <v>6</v>
      </c>
      <c r="C32" s="1" t="s">
        <v>30</v>
      </c>
      <c r="D32" s="17">
        <v>78300</v>
      </c>
      <c r="E32" s="17">
        <v>21900</v>
      </c>
    </row>
    <row r="33" spans="1:5" x14ac:dyDescent="0.25">
      <c r="A33" s="1">
        <v>2025</v>
      </c>
      <c r="B33" s="1">
        <v>6</v>
      </c>
      <c r="C33" s="1" t="s">
        <v>32</v>
      </c>
      <c r="D33" s="17">
        <v>55600</v>
      </c>
      <c r="E33" s="17">
        <v>15600</v>
      </c>
    </row>
    <row r="34" spans="1:5" x14ac:dyDescent="0.25">
      <c r="A34" s="1">
        <v>2025</v>
      </c>
      <c r="B34" s="1">
        <v>6</v>
      </c>
      <c r="C34" s="1" t="s">
        <v>34</v>
      </c>
      <c r="D34" s="17">
        <v>31200</v>
      </c>
      <c r="E34" s="17">
        <v>8700</v>
      </c>
    </row>
    <row r="35" spans="1:5" x14ac:dyDescent="0.25">
      <c r="A35" s="1">
        <v>2025</v>
      </c>
      <c r="B35" s="1">
        <v>6</v>
      </c>
      <c r="C35" s="1" t="s">
        <v>36</v>
      </c>
      <c r="D35" s="17">
        <v>86200</v>
      </c>
      <c r="E35" s="17">
        <v>24100</v>
      </c>
    </row>
    <row r="36" spans="1:5" x14ac:dyDescent="0.25">
      <c r="A36" s="1">
        <v>2025</v>
      </c>
      <c r="B36" s="1">
        <v>7</v>
      </c>
      <c r="C36" s="1" t="s">
        <v>28</v>
      </c>
      <c r="D36" s="17">
        <v>21900</v>
      </c>
      <c r="E36" s="17">
        <v>6100</v>
      </c>
    </row>
    <row r="37" spans="1:5" x14ac:dyDescent="0.25">
      <c r="A37" s="1">
        <v>2025</v>
      </c>
      <c r="B37" s="1">
        <v>7</v>
      </c>
      <c r="C37" s="1" t="s">
        <v>30</v>
      </c>
      <c r="D37" s="17">
        <v>58800</v>
      </c>
      <c r="E37" s="17">
        <v>16500</v>
      </c>
    </row>
    <row r="38" spans="1:5" x14ac:dyDescent="0.25">
      <c r="A38" s="1">
        <v>2025</v>
      </c>
      <c r="B38" s="1">
        <v>7</v>
      </c>
      <c r="C38" s="1" t="s">
        <v>32</v>
      </c>
      <c r="D38" s="17">
        <v>65300</v>
      </c>
      <c r="E38" s="17">
        <v>18300</v>
      </c>
    </row>
    <row r="39" spans="1:5" x14ac:dyDescent="0.25">
      <c r="A39" s="1">
        <v>2025</v>
      </c>
      <c r="B39" s="1">
        <v>7</v>
      </c>
      <c r="C39" s="1" t="s">
        <v>34</v>
      </c>
      <c r="D39" s="17">
        <v>34500</v>
      </c>
      <c r="E39" s="17">
        <v>9700</v>
      </c>
    </row>
    <row r="40" spans="1:5" x14ac:dyDescent="0.25">
      <c r="A40" s="1">
        <v>2025</v>
      </c>
      <c r="B40" s="1">
        <v>7</v>
      </c>
      <c r="C40" s="1" t="s">
        <v>36</v>
      </c>
      <c r="D40" s="17">
        <v>20800</v>
      </c>
      <c r="E40" s="17">
        <v>5800</v>
      </c>
    </row>
    <row r="41" spans="1:5" x14ac:dyDescent="0.25">
      <c r="A41" s="1">
        <v>2025</v>
      </c>
      <c r="B41" s="1">
        <v>8</v>
      </c>
      <c r="C41" s="1" t="s">
        <v>28</v>
      </c>
      <c r="D41" s="17">
        <v>32200</v>
      </c>
      <c r="E41" s="17">
        <v>9000</v>
      </c>
    </row>
    <row r="42" spans="1:5" x14ac:dyDescent="0.25">
      <c r="A42" s="1">
        <v>2025</v>
      </c>
      <c r="B42" s="1">
        <v>8</v>
      </c>
      <c r="C42" s="1" t="s">
        <v>30</v>
      </c>
      <c r="D42" s="17">
        <v>54100</v>
      </c>
      <c r="E42" s="17">
        <v>15100</v>
      </c>
    </row>
    <row r="43" spans="1:5" x14ac:dyDescent="0.25">
      <c r="A43" s="1">
        <v>2025</v>
      </c>
      <c r="B43" s="1">
        <v>8</v>
      </c>
      <c r="C43" s="1" t="s">
        <v>32</v>
      </c>
      <c r="D43" s="17">
        <v>52800</v>
      </c>
      <c r="E43" s="17">
        <v>14800</v>
      </c>
    </row>
    <row r="44" spans="1:5" x14ac:dyDescent="0.25">
      <c r="A44" s="1">
        <v>2025</v>
      </c>
      <c r="B44" s="1">
        <v>8</v>
      </c>
      <c r="C44" s="1" t="s">
        <v>34</v>
      </c>
      <c r="D44" s="17">
        <v>24700</v>
      </c>
      <c r="E44" s="17">
        <v>6900</v>
      </c>
    </row>
    <row r="45" spans="1:5" x14ac:dyDescent="0.25">
      <c r="A45" s="1">
        <v>2025</v>
      </c>
      <c r="B45" s="1">
        <v>8</v>
      </c>
      <c r="C45" s="1" t="s">
        <v>36</v>
      </c>
      <c r="D45" s="17">
        <v>49800</v>
      </c>
      <c r="E45" s="17">
        <v>13900</v>
      </c>
    </row>
    <row r="46" spans="1:5" x14ac:dyDescent="0.25">
      <c r="A46" s="1">
        <v>2025</v>
      </c>
      <c r="B46" s="1">
        <v>9</v>
      </c>
      <c r="C46" s="1" t="s">
        <v>28</v>
      </c>
      <c r="D46" s="17">
        <v>49300</v>
      </c>
      <c r="E46" s="17">
        <v>13800</v>
      </c>
    </row>
    <row r="47" spans="1:5" x14ac:dyDescent="0.25">
      <c r="A47" s="1">
        <v>2025</v>
      </c>
      <c r="B47" s="1">
        <v>9</v>
      </c>
      <c r="C47" s="1" t="s">
        <v>30</v>
      </c>
      <c r="D47" s="17">
        <v>71700</v>
      </c>
      <c r="E47" s="17">
        <v>20100</v>
      </c>
    </row>
    <row r="48" spans="1:5" x14ac:dyDescent="0.25">
      <c r="A48" s="1">
        <v>2025</v>
      </c>
      <c r="B48" s="1">
        <v>9</v>
      </c>
      <c r="C48" s="1" t="s">
        <v>32</v>
      </c>
      <c r="D48" s="17">
        <v>71300</v>
      </c>
      <c r="E48" s="17">
        <v>20000</v>
      </c>
    </row>
    <row r="49" spans="1:5" x14ac:dyDescent="0.25">
      <c r="A49" s="1">
        <v>2025</v>
      </c>
      <c r="B49" s="1">
        <v>9</v>
      </c>
      <c r="C49" s="1" t="s">
        <v>34</v>
      </c>
      <c r="D49" s="17">
        <v>40100</v>
      </c>
      <c r="E49" s="17">
        <v>11200</v>
      </c>
    </row>
    <row r="50" spans="1:5" x14ac:dyDescent="0.25">
      <c r="A50" s="1">
        <v>2025</v>
      </c>
      <c r="B50" s="1">
        <v>9</v>
      </c>
      <c r="C50" s="1" t="s">
        <v>36</v>
      </c>
      <c r="D50" s="17">
        <v>83400</v>
      </c>
      <c r="E50" s="17">
        <v>23400</v>
      </c>
    </row>
    <row r="51" spans="1:5" x14ac:dyDescent="0.25">
      <c r="A51" s="1">
        <v>2025</v>
      </c>
      <c r="B51" s="1">
        <v>10</v>
      </c>
      <c r="C51" s="1" t="s">
        <v>28</v>
      </c>
      <c r="D51" s="17">
        <v>44400</v>
      </c>
      <c r="E51" s="17">
        <v>12400</v>
      </c>
    </row>
    <row r="52" spans="1:5" x14ac:dyDescent="0.25">
      <c r="A52" s="1">
        <v>2025</v>
      </c>
      <c r="B52" s="1">
        <v>10</v>
      </c>
      <c r="C52" s="1" t="s">
        <v>30</v>
      </c>
      <c r="D52" s="17">
        <v>78500</v>
      </c>
      <c r="E52" s="17">
        <v>22000</v>
      </c>
    </row>
    <row r="53" spans="1:5" x14ac:dyDescent="0.25">
      <c r="A53" s="1">
        <v>2025</v>
      </c>
      <c r="B53" s="1">
        <v>10</v>
      </c>
      <c r="C53" s="1" t="s">
        <v>32</v>
      </c>
      <c r="D53" s="17">
        <v>77600</v>
      </c>
      <c r="E53" s="17">
        <v>21700</v>
      </c>
    </row>
    <row r="54" spans="1:5" x14ac:dyDescent="0.25">
      <c r="A54" s="1">
        <v>2025</v>
      </c>
      <c r="B54" s="1">
        <v>10</v>
      </c>
      <c r="C54" s="1" t="s">
        <v>34</v>
      </c>
      <c r="D54" s="17">
        <v>111900</v>
      </c>
      <c r="E54" s="17">
        <v>31300</v>
      </c>
    </row>
    <row r="55" spans="1:5" x14ac:dyDescent="0.25">
      <c r="A55" s="1">
        <v>2025</v>
      </c>
      <c r="B55" s="1">
        <v>10</v>
      </c>
      <c r="C55" s="1" t="s">
        <v>36</v>
      </c>
      <c r="D55" s="17">
        <v>142900</v>
      </c>
      <c r="E55" s="17">
        <v>40000</v>
      </c>
    </row>
    <row r="56" spans="1:5" x14ac:dyDescent="0.25">
      <c r="A56" s="1">
        <v>2025</v>
      </c>
      <c r="B56" s="1">
        <v>11</v>
      </c>
      <c r="C56" s="1" t="s">
        <v>28</v>
      </c>
      <c r="D56" s="17">
        <v>51900</v>
      </c>
      <c r="E56" s="17">
        <v>14500</v>
      </c>
    </row>
    <row r="57" spans="1:5" x14ac:dyDescent="0.25">
      <c r="A57" s="1">
        <v>2025</v>
      </c>
      <c r="B57" s="1">
        <v>11</v>
      </c>
      <c r="C57" s="1" t="s">
        <v>30</v>
      </c>
      <c r="D57" s="17">
        <v>123300</v>
      </c>
      <c r="E57" s="17">
        <v>34500</v>
      </c>
    </row>
    <row r="58" spans="1:5" x14ac:dyDescent="0.25">
      <c r="A58" s="1">
        <v>2025</v>
      </c>
      <c r="B58" s="1">
        <v>11</v>
      </c>
      <c r="C58" s="1" t="s">
        <v>32</v>
      </c>
      <c r="D58" s="17">
        <v>105500</v>
      </c>
      <c r="E58" s="17">
        <v>29500</v>
      </c>
    </row>
    <row r="59" spans="1:5" x14ac:dyDescent="0.25">
      <c r="A59" s="1">
        <v>2025</v>
      </c>
      <c r="B59" s="1">
        <v>11</v>
      </c>
      <c r="C59" s="1" t="s">
        <v>34</v>
      </c>
      <c r="D59" s="17">
        <v>53100</v>
      </c>
      <c r="E59" s="17">
        <v>14900</v>
      </c>
    </row>
    <row r="60" spans="1:5" x14ac:dyDescent="0.25">
      <c r="A60" s="1">
        <v>2025</v>
      </c>
      <c r="B60" s="1">
        <v>11</v>
      </c>
      <c r="C60" s="1" t="s">
        <v>36</v>
      </c>
      <c r="D60" s="17">
        <v>75600</v>
      </c>
      <c r="E60" s="17">
        <v>21200</v>
      </c>
    </row>
    <row r="61" spans="1:5" x14ac:dyDescent="0.25">
      <c r="A61" s="1">
        <v>2025</v>
      </c>
      <c r="B61" s="1">
        <v>12</v>
      </c>
      <c r="C61" s="1" t="s">
        <v>28</v>
      </c>
      <c r="D61" s="17">
        <v>30000</v>
      </c>
      <c r="E61" s="17">
        <v>8400</v>
      </c>
    </row>
    <row r="62" spans="1:5" x14ac:dyDescent="0.25">
      <c r="A62" s="1">
        <v>2025</v>
      </c>
      <c r="B62" s="1">
        <v>12</v>
      </c>
      <c r="C62" s="1" t="s">
        <v>30</v>
      </c>
      <c r="D62" s="17">
        <v>45700</v>
      </c>
      <c r="E62" s="17">
        <v>12800</v>
      </c>
    </row>
    <row r="63" spans="1:5" x14ac:dyDescent="0.25">
      <c r="A63" s="1">
        <v>2025</v>
      </c>
      <c r="B63" s="1">
        <v>12</v>
      </c>
      <c r="C63" s="1" t="s">
        <v>32</v>
      </c>
      <c r="D63" s="17">
        <v>89700</v>
      </c>
      <c r="E63" s="17">
        <v>25100</v>
      </c>
    </row>
    <row r="64" spans="1:5" x14ac:dyDescent="0.25">
      <c r="A64" s="1">
        <v>2025</v>
      </c>
      <c r="B64" s="1">
        <v>12</v>
      </c>
      <c r="C64" s="1" t="s">
        <v>34</v>
      </c>
      <c r="D64" s="17">
        <v>36400</v>
      </c>
      <c r="E64" s="17">
        <v>10200</v>
      </c>
    </row>
    <row r="65" spans="1:5" x14ac:dyDescent="0.25">
      <c r="A65" s="1">
        <v>2025</v>
      </c>
      <c r="B65" s="1">
        <v>12</v>
      </c>
      <c r="C65" s="1" t="s">
        <v>36</v>
      </c>
      <c r="D65" s="17">
        <v>93800</v>
      </c>
      <c r="E65" s="17">
        <v>26300</v>
      </c>
    </row>
    <row r="66" spans="1:5" x14ac:dyDescent="0.25">
      <c r="A66" s="1">
        <v>2026</v>
      </c>
      <c r="B66" s="1">
        <v>1</v>
      </c>
      <c r="C66" s="1" t="s">
        <v>28</v>
      </c>
      <c r="D66" s="17">
        <v>29700</v>
      </c>
      <c r="E66" s="17">
        <v>8300</v>
      </c>
    </row>
    <row r="67" spans="1:5" x14ac:dyDescent="0.25">
      <c r="A67" s="1">
        <v>2026</v>
      </c>
      <c r="B67" s="1">
        <v>1</v>
      </c>
      <c r="C67" s="1" t="s">
        <v>30</v>
      </c>
      <c r="D67" s="17">
        <v>43400</v>
      </c>
      <c r="E67" s="17">
        <v>12200</v>
      </c>
    </row>
    <row r="68" spans="1:5" x14ac:dyDescent="0.25">
      <c r="A68" s="1">
        <v>2026</v>
      </c>
      <c r="B68" s="1">
        <v>1</v>
      </c>
      <c r="C68" s="1" t="s">
        <v>32</v>
      </c>
      <c r="D68" s="17">
        <v>44800</v>
      </c>
      <c r="E68" s="17">
        <v>12500</v>
      </c>
    </row>
    <row r="69" spans="1:5" x14ac:dyDescent="0.25">
      <c r="A69" s="1">
        <v>2026</v>
      </c>
      <c r="B69" s="1">
        <v>1</v>
      </c>
      <c r="C69" s="1" t="s">
        <v>34</v>
      </c>
      <c r="D69" s="17">
        <v>11600</v>
      </c>
      <c r="E69" s="17">
        <v>3200</v>
      </c>
    </row>
    <row r="70" spans="1:5" x14ac:dyDescent="0.25">
      <c r="A70" s="1">
        <v>2026</v>
      </c>
      <c r="B70" s="1">
        <v>1</v>
      </c>
      <c r="C70" s="1" t="s">
        <v>36</v>
      </c>
      <c r="D70" s="17">
        <v>51800</v>
      </c>
      <c r="E70" s="17">
        <v>14500</v>
      </c>
    </row>
    <row r="71" spans="1:5" x14ac:dyDescent="0.25">
      <c r="A71" s="1">
        <v>2026</v>
      </c>
      <c r="B71" s="1">
        <v>2</v>
      </c>
      <c r="C71" s="1" t="s">
        <v>28</v>
      </c>
      <c r="D71" s="17">
        <v>27300</v>
      </c>
      <c r="E71" s="17">
        <v>7600</v>
      </c>
    </row>
    <row r="72" spans="1:5" x14ac:dyDescent="0.25">
      <c r="A72" s="1">
        <v>2026</v>
      </c>
      <c r="B72" s="1">
        <v>2</v>
      </c>
      <c r="C72" s="1" t="s">
        <v>30</v>
      </c>
      <c r="D72" s="17">
        <v>46700</v>
      </c>
      <c r="E72" s="17">
        <v>13100</v>
      </c>
    </row>
    <row r="73" spans="1:5" x14ac:dyDescent="0.25">
      <c r="A73" s="1">
        <v>2026</v>
      </c>
      <c r="B73" s="1">
        <v>2</v>
      </c>
      <c r="C73" s="1" t="s">
        <v>32</v>
      </c>
      <c r="D73" s="17">
        <v>56200</v>
      </c>
      <c r="E73" s="17">
        <v>15700</v>
      </c>
    </row>
    <row r="74" spans="1:5" x14ac:dyDescent="0.25">
      <c r="A74" s="1">
        <v>2026</v>
      </c>
      <c r="B74" s="1">
        <v>2</v>
      </c>
      <c r="C74" s="1" t="s">
        <v>34</v>
      </c>
      <c r="D74" s="17">
        <v>19300</v>
      </c>
      <c r="E74" s="17">
        <v>5400</v>
      </c>
    </row>
    <row r="75" spans="1:5" x14ac:dyDescent="0.25">
      <c r="A75" s="1">
        <v>2026</v>
      </c>
      <c r="B75" s="1">
        <v>2</v>
      </c>
      <c r="C75" s="1" t="s">
        <v>36</v>
      </c>
      <c r="D75" s="17">
        <v>31400</v>
      </c>
      <c r="E75" s="17">
        <v>8800</v>
      </c>
    </row>
    <row r="76" spans="1:5" x14ac:dyDescent="0.25">
      <c r="A76" s="1">
        <v>2026</v>
      </c>
      <c r="B76" s="1">
        <v>3</v>
      </c>
      <c r="C76" s="1" t="s">
        <v>28</v>
      </c>
      <c r="D76" s="17">
        <v>42500</v>
      </c>
      <c r="E76" s="17">
        <v>11900</v>
      </c>
    </row>
    <row r="77" spans="1:5" x14ac:dyDescent="0.25">
      <c r="A77" s="1">
        <v>2026</v>
      </c>
      <c r="B77" s="1">
        <v>3</v>
      </c>
      <c r="C77" s="1" t="s">
        <v>30</v>
      </c>
      <c r="D77" s="17">
        <v>50900</v>
      </c>
      <c r="E77" s="17">
        <v>14300</v>
      </c>
    </row>
    <row r="78" spans="1:5" x14ac:dyDescent="0.25">
      <c r="A78" s="1">
        <v>2026</v>
      </c>
      <c r="B78" s="1">
        <v>3</v>
      </c>
      <c r="C78" s="1" t="s">
        <v>32</v>
      </c>
      <c r="D78" s="17">
        <v>29100</v>
      </c>
      <c r="E78" s="17">
        <v>8100</v>
      </c>
    </row>
    <row r="79" spans="1:5" x14ac:dyDescent="0.25">
      <c r="A79" s="1">
        <v>2026</v>
      </c>
      <c r="B79" s="1">
        <v>3</v>
      </c>
      <c r="C79" s="1" t="s">
        <v>34</v>
      </c>
      <c r="D79" s="17">
        <v>29400</v>
      </c>
      <c r="E79" s="17">
        <v>8200</v>
      </c>
    </row>
    <row r="80" spans="1:5" x14ac:dyDescent="0.25">
      <c r="A80" s="1">
        <v>2026</v>
      </c>
      <c r="B80" s="1">
        <v>3</v>
      </c>
      <c r="C80" s="1" t="s">
        <v>36</v>
      </c>
      <c r="D80" s="17">
        <v>84900</v>
      </c>
      <c r="E80" s="17">
        <v>23800</v>
      </c>
    </row>
    <row r="81" spans="1:5" x14ac:dyDescent="0.25">
      <c r="A81" s="1">
        <v>2026</v>
      </c>
      <c r="B81" s="1">
        <v>4</v>
      </c>
      <c r="C81" s="1" t="s">
        <v>28</v>
      </c>
      <c r="D81" s="17">
        <v>42000</v>
      </c>
      <c r="E81" s="17">
        <v>11800</v>
      </c>
    </row>
    <row r="82" spans="1:5" x14ac:dyDescent="0.25">
      <c r="A82" s="1">
        <v>2026</v>
      </c>
      <c r="B82" s="1">
        <v>4</v>
      </c>
      <c r="C82" s="1" t="s">
        <v>30</v>
      </c>
      <c r="D82" s="17">
        <v>63800</v>
      </c>
      <c r="E82" s="17">
        <v>17900</v>
      </c>
    </row>
    <row r="83" spans="1:5" x14ac:dyDescent="0.25">
      <c r="A83" s="1">
        <v>2026</v>
      </c>
      <c r="B83" s="1">
        <v>4</v>
      </c>
      <c r="C83" s="1" t="s">
        <v>32</v>
      </c>
      <c r="D83" s="17">
        <v>65500</v>
      </c>
      <c r="E83" s="17">
        <v>18300</v>
      </c>
    </row>
    <row r="84" spans="1:5" x14ac:dyDescent="0.25">
      <c r="A84" s="1">
        <v>2026</v>
      </c>
      <c r="B84" s="1">
        <v>4</v>
      </c>
      <c r="C84" s="1" t="s">
        <v>34</v>
      </c>
      <c r="D84" s="17">
        <v>21500</v>
      </c>
      <c r="E84" s="17">
        <v>6000</v>
      </c>
    </row>
    <row r="85" spans="1:5" x14ac:dyDescent="0.25">
      <c r="A85" s="1">
        <v>2026</v>
      </c>
      <c r="B85" s="1">
        <v>4</v>
      </c>
      <c r="C85" s="1" t="s">
        <v>36</v>
      </c>
      <c r="D85" s="17">
        <v>47200</v>
      </c>
      <c r="E85" s="17">
        <v>13200</v>
      </c>
    </row>
    <row r="86" spans="1:5" x14ac:dyDescent="0.25">
      <c r="A86" s="1">
        <v>2026</v>
      </c>
      <c r="B86" s="1">
        <v>5</v>
      </c>
      <c r="C86" s="1" t="s">
        <v>28</v>
      </c>
      <c r="D86" s="17">
        <v>60100</v>
      </c>
      <c r="E86" s="17">
        <v>16800</v>
      </c>
    </row>
    <row r="87" spans="1:5" x14ac:dyDescent="0.25">
      <c r="A87" s="1">
        <v>2026</v>
      </c>
      <c r="B87" s="1">
        <v>5</v>
      </c>
      <c r="C87" s="1" t="s">
        <v>30</v>
      </c>
      <c r="D87" s="17">
        <v>96600</v>
      </c>
      <c r="E87" s="17">
        <v>27000</v>
      </c>
    </row>
    <row r="88" spans="1:5" x14ac:dyDescent="0.25">
      <c r="A88" s="1">
        <v>2026</v>
      </c>
      <c r="B88" s="1">
        <v>5</v>
      </c>
      <c r="C88" s="1" t="s">
        <v>32</v>
      </c>
      <c r="D88" s="17">
        <v>63100</v>
      </c>
      <c r="E88" s="17">
        <v>17700</v>
      </c>
    </row>
    <row r="89" spans="1:5" x14ac:dyDescent="0.25">
      <c r="A89" s="1">
        <v>2026</v>
      </c>
      <c r="B89" s="1">
        <v>5</v>
      </c>
      <c r="C89" s="1" t="s">
        <v>34</v>
      </c>
      <c r="D89" s="17">
        <v>25100</v>
      </c>
      <c r="E89" s="17">
        <v>7000</v>
      </c>
    </row>
    <row r="90" spans="1:5" x14ac:dyDescent="0.25">
      <c r="A90" s="1">
        <v>2026</v>
      </c>
      <c r="B90" s="1">
        <v>5</v>
      </c>
      <c r="C90" s="1" t="s">
        <v>36</v>
      </c>
      <c r="D90" s="17">
        <v>92200</v>
      </c>
      <c r="E90" s="17">
        <v>25800</v>
      </c>
    </row>
    <row r="91" spans="1:5" x14ac:dyDescent="0.25">
      <c r="A91" s="1">
        <v>2026</v>
      </c>
      <c r="B91" s="1">
        <v>6</v>
      </c>
      <c r="C91" s="1" t="s">
        <v>28</v>
      </c>
      <c r="D91" s="17">
        <v>67700</v>
      </c>
      <c r="E91" s="17">
        <v>19000</v>
      </c>
    </row>
    <row r="92" spans="1:5" x14ac:dyDescent="0.25">
      <c r="A92" s="1">
        <v>2026</v>
      </c>
      <c r="B92" s="1">
        <v>6</v>
      </c>
      <c r="C92" s="1" t="s">
        <v>30</v>
      </c>
      <c r="D92" s="17">
        <v>98300</v>
      </c>
      <c r="E92" s="17">
        <v>27500</v>
      </c>
    </row>
    <row r="93" spans="1:5" x14ac:dyDescent="0.25">
      <c r="A93" s="1">
        <v>2026</v>
      </c>
      <c r="B93" s="1">
        <v>6</v>
      </c>
      <c r="C93" s="1" t="s">
        <v>32</v>
      </c>
      <c r="D93" s="17">
        <v>74100</v>
      </c>
      <c r="E93" s="17">
        <v>20700</v>
      </c>
    </row>
    <row r="94" spans="1:5" x14ac:dyDescent="0.25">
      <c r="A94" s="1">
        <v>2026</v>
      </c>
      <c r="B94" s="1">
        <v>6</v>
      </c>
      <c r="C94" s="1" t="s">
        <v>34</v>
      </c>
      <c r="D94" s="17">
        <v>19500</v>
      </c>
      <c r="E94" s="17">
        <v>5500</v>
      </c>
    </row>
    <row r="95" spans="1:5" x14ac:dyDescent="0.25">
      <c r="A95" s="1">
        <v>2026</v>
      </c>
      <c r="B95" s="1">
        <v>6</v>
      </c>
      <c r="C95" s="1" t="s">
        <v>36</v>
      </c>
      <c r="D95" s="17">
        <v>113400</v>
      </c>
      <c r="E95" s="17">
        <v>31800</v>
      </c>
    </row>
    <row r="96" spans="1:5" x14ac:dyDescent="0.25">
      <c r="A96" s="1">
        <v>2026</v>
      </c>
      <c r="B96" s="1">
        <v>7</v>
      </c>
      <c r="C96" s="1" t="s">
        <v>28</v>
      </c>
      <c r="D96" s="17">
        <v>17300</v>
      </c>
      <c r="E96" s="17">
        <v>4800</v>
      </c>
    </row>
    <row r="97" spans="1:5" x14ac:dyDescent="0.25">
      <c r="A97" s="1">
        <v>2026</v>
      </c>
      <c r="B97" s="1">
        <v>7</v>
      </c>
      <c r="C97" s="1" t="s">
        <v>30</v>
      </c>
      <c r="D97" s="17">
        <v>32300</v>
      </c>
      <c r="E97" s="17">
        <v>9000</v>
      </c>
    </row>
    <row r="98" spans="1:5" x14ac:dyDescent="0.25">
      <c r="A98" s="1">
        <v>2026</v>
      </c>
      <c r="B98" s="1">
        <v>7</v>
      </c>
      <c r="C98" s="1" t="s">
        <v>32</v>
      </c>
      <c r="D98" s="17">
        <v>17200</v>
      </c>
      <c r="E98" s="17">
        <v>4800</v>
      </c>
    </row>
    <row r="99" spans="1:5" x14ac:dyDescent="0.25">
      <c r="A99" s="1">
        <v>2026</v>
      </c>
      <c r="B99" s="1">
        <v>7</v>
      </c>
      <c r="C99" s="1" t="s">
        <v>34</v>
      </c>
      <c r="D99" s="17">
        <v>16500</v>
      </c>
      <c r="E99" s="17">
        <v>4600</v>
      </c>
    </row>
    <row r="100" spans="1:5" x14ac:dyDescent="0.25">
      <c r="A100" s="1">
        <v>2026</v>
      </c>
      <c r="B100" s="1">
        <v>7</v>
      </c>
      <c r="C100" s="1" t="s">
        <v>36</v>
      </c>
      <c r="D100" s="17">
        <v>42000</v>
      </c>
      <c r="E100" s="17">
        <v>11800</v>
      </c>
    </row>
    <row r="101" spans="1:5" x14ac:dyDescent="0.25">
      <c r="A101" s="1">
        <v>2026</v>
      </c>
      <c r="B101" s="1">
        <v>8</v>
      </c>
      <c r="C101" s="1" t="s">
        <v>28</v>
      </c>
      <c r="D101" s="17">
        <v>44200</v>
      </c>
      <c r="E101" s="17">
        <v>12400</v>
      </c>
    </row>
    <row r="102" spans="1:5" x14ac:dyDescent="0.25">
      <c r="A102" s="1">
        <v>2026</v>
      </c>
      <c r="B102" s="1">
        <v>8</v>
      </c>
      <c r="C102" s="1" t="s">
        <v>30</v>
      </c>
      <c r="D102" s="17">
        <v>44200</v>
      </c>
      <c r="E102" s="17">
        <v>12400</v>
      </c>
    </row>
    <row r="103" spans="1:5" x14ac:dyDescent="0.25">
      <c r="A103" s="1">
        <v>2026</v>
      </c>
      <c r="B103" s="1">
        <v>8</v>
      </c>
      <c r="C103" s="1" t="s">
        <v>32</v>
      </c>
      <c r="D103" s="17">
        <v>99300</v>
      </c>
      <c r="E103" s="17">
        <v>27800</v>
      </c>
    </row>
    <row r="104" spans="1:5" x14ac:dyDescent="0.25">
      <c r="A104" s="1">
        <v>2026</v>
      </c>
      <c r="B104" s="1">
        <v>8</v>
      </c>
      <c r="C104" s="1" t="s">
        <v>34</v>
      </c>
      <c r="D104" s="17">
        <v>23200</v>
      </c>
      <c r="E104" s="17">
        <v>6500</v>
      </c>
    </row>
    <row r="105" spans="1:5" x14ac:dyDescent="0.25">
      <c r="A105" s="1">
        <v>2026</v>
      </c>
      <c r="B105" s="1">
        <v>8</v>
      </c>
      <c r="C105" s="1" t="s">
        <v>36</v>
      </c>
      <c r="D105" s="17">
        <v>58600</v>
      </c>
      <c r="E105" s="17">
        <v>16400</v>
      </c>
    </row>
    <row r="106" spans="1:5" x14ac:dyDescent="0.25">
      <c r="A106" s="1">
        <v>2026</v>
      </c>
      <c r="B106" s="1">
        <v>9</v>
      </c>
      <c r="C106" s="1" t="s">
        <v>28</v>
      </c>
      <c r="D106" s="17">
        <v>77800</v>
      </c>
      <c r="E106" s="17">
        <v>21800</v>
      </c>
    </row>
    <row r="107" spans="1:5" x14ac:dyDescent="0.25">
      <c r="A107" s="1">
        <v>2026</v>
      </c>
      <c r="B107" s="1">
        <v>9</v>
      </c>
      <c r="C107" s="1" t="s">
        <v>30</v>
      </c>
      <c r="D107" s="17">
        <v>160200</v>
      </c>
      <c r="E107" s="17">
        <v>44900</v>
      </c>
    </row>
    <row r="108" spans="1:5" x14ac:dyDescent="0.25">
      <c r="A108" s="1">
        <v>2026</v>
      </c>
      <c r="B108" s="1">
        <v>9</v>
      </c>
      <c r="C108" s="1" t="s">
        <v>32</v>
      </c>
      <c r="D108" s="17">
        <v>67400</v>
      </c>
      <c r="E108" s="17">
        <v>18900</v>
      </c>
    </row>
    <row r="109" spans="1:5" x14ac:dyDescent="0.25">
      <c r="A109" s="1">
        <v>2026</v>
      </c>
      <c r="B109" s="1">
        <v>9</v>
      </c>
      <c r="C109" s="1" t="s">
        <v>34</v>
      </c>
      <c r="D109" s="17">
        <v>27100</v>
      </c>
      <c r="E109" s="17">
        <v>7600</v>
      </c>
    </row>
    <row r="110" spans="1:5" x14ac:dyDescent="0.25">
      <c r="A110" s="1">
        <v>2026</v>
      </c>
      <c r="B110" s="1">
        <v>9</v>
      </c>
      <c r="C110" s="1" t="s">
        <v>36</v>
      </c>
      <c r="D110" s="17">
        <v>143700</v>
      </c>
      <c r="E110" s="17">
        <v>40200</v>
      </c>
    </row>
    <row r="111" spans="1:5" x14ac:dyDescent="0.25">
      <c r="A111" s="1">
        <v>2026</v>
      </c>
      <c r="B111" s="1">
        <v>10</v>
      </c>
      <c r="C111" s="1" t="s">
        <v>28</v>
      </c>
      <c r="D111" s="17">
        <v>95100</v>
      </c>
      <c r="E111" s="17">
        <v>26600</v>
      </c>
    </row>
    <row r="112" spans="1:5" x14ac:dyDescent="0.25">
      <c r="A112" s="1">
        <v>2026</v>
      </c>
      <c r="B112" s="1">
        <v>10</v>
      </c>
      <c r="C112" s="1" t="s">
        <v>30</v>
      </c>
      <c r="D112" s="17">
        <v>34600</v>
      </c>
      <c r="E112" s="17">
        <v>9700</v>
      </c>
    </row>
    <row r="113" spans="1:5" x14ac:dyDescent="0.25">
      <c r="A113" s="1">
        <v>2026</v>
      </c>
      <c r="B113" s="1">
        <v>10</v>
      </c>
      <c r="C113" s="1" t="s">
        <v>32</v>
      </c>
      <c r="D113" s="17">
        <v>152100</v>
      </c>
      <c r="E113" s="17">
        <v>42600</v>
      </c>
    </row>
    <row r="114" spans="1:5" x14ac:dyDescent="0.25">
      <c r="A114" s="1">
        <v>2026</v>
      </c>
      <c r="B114" s="1">
        <v>10</v>
      </c>
      <c r="C114" s="1" t="s">
        <v>34</v>
      </c>
      <c r="D114" s="17">
        <v>121900</v>
      </c>
      <c r="E114" s="17">
        <v>34100</v>
      </c>
    </row>
    <row r="115" spans="1:5" x14ac:dyDescent="0.25">
      <c r="A115" s="1">
        <v>2026</v>
      </c>
      <c r="B115" s="1">
        <v>10</v>
      </c>
      <c r="C115" s="1" t="s">
        <v>36</v>
      </c>
      <c r="D115" s="17">
        <v>97200</v>
      </c>
      <c r="E115" s="17">
        <v>27200</v>
      </c>
    </row>
    <row r="116" spans="1:5" x14ac:dyDescent="0.25">
      <c r="A116" s="1">
        <v>2026</v>
      </c>
      <c r="B116" s="1">
        <v>11</v>
      </c>
      <c r="C116" s="1" t="s">
        <v>28</v>
      </c>
      <c r="D116" s="17">
        <v>58100</v>
      </c>
      <c r="E116" s="17">
        <v>16300</v>
      </c>
    </row>
    <row r="117" spans="1:5" x14ac:dyDescent="0.25">
      <c r="A117" s="1">
        <v>2026</v>
      </c>
      <c r="B117" s="1">
        <v>11</v>
      </c>
      <c r="C117" s="1" t="s">
        <v>30</v>
      </c>
      <c r="D117" s="17">
        <v>138100</v>
      </c>
      <c r="E117" s="17">
        <v>38700</v>
      </c>
    </row>
    <row r="118" spans="1:5" x14ac:dyDescent="0.25">
      <c r="A118" s="1">
        <v>2026</v>
      </c>
      <c r="B118" s="1">
        <v>11</v>
      </c>
      <c r="C118" s="1" t="s">
        <v>32</v>
      </c>
      <c r="D118" s="17">
        <v>118200</v>
      </c>
      <c r="E118" s="17">
        <v>33100</v>
      </c>
    </row>
    <row r="119" spans="1:5" x14ac:dyDescent="0.25">
      <c r="A119" s="1">
        <v>2026</v>
      </c>
      <c r="B119" s="1">
        <v>11</v>
      </c>
      <c r="C119" s="1" t="s">
        <v>34</v>
      </c>
      <c r="D119" s="17">
        <v>59500</v>
      </c>
      <c r="E119" s="17">
        <v>16700</v>
      </c>
    </row>
    <row r="120" spans="1:5" x14ac:dyDescent="0.25">
      <c r="A120" s="1">
        <v>2026</v>
      </c>
      <c r="B120" s="1">
        <v>11</v>
      </c>
      <c r="C120" s="1" t="s">
        <v>36</v>
      </c>
      <c r="D120" s="17">
        <v>84700</v>
      </c>
      <c r="E120" s="17">
        <v>23700</v>
      </c>
    </row>
    <row r="121" spans="1:5" x14ac:dyDescent="0.25">
      <c r="A121" s="1">
        <v>2026</v>
      </c>
      <c r="B121" s="1">
        <v>12</v>
      </c>
      <c r="C121" s="1" t="s">
        <v>28</v>
      </c>
      <c r="D121" s="17">
        <v>33600</v>
      </c>
      <c r="E121" s="17">
        <v>9400</v>
      </c>
    </row>
    <row r="122" spans="1:5" x14ac:dyDescent="0.25">
      <c r="A122" s="1">
        <v>2026</v>
      </c>
      <c r="B122" s="1">
        <v>12</v>
      </c>
      <c r="C122" s="1" t="s">
        <v>30</v>
      </c>
      <c r="D122" s="17">
        <v>51100</v>
      </c>
      <c r="E122" s="17">
        <v>14300</v>
      </c>
    </row>
    <row r="123" spans="1:5" x14ac:dyDescent="0.25">
      <c r="A123" s="1">
        <v>2026</v>
      </c>
      <c r="B123" s="1">
        <v>12</v>
      </c>
      <c r="C123" s="1" t="s">
        <v>32</v>
      </c>
      <c r="D123" s="17">
        <v>100400</v>
      </c>
      <c r="E123" s="17">
        <v>28100</v>
      </c>
    </row>
    <row r="124" spans="1:5" x14ac:dyDescent="0.25">
      <c r="A124" s="1">
        <v>2026</v>
      </c>
      <c r="B124" s="1">
        <v>12</v>
      </c>
      <c r="C124" s="1" t="s">
        <v>34</v>
      </c>
      <c r="D124" s="17">
        <v>40800</v>
      </c>
      <c r="E124" s="17">
        <v>11400</v>
      </c>
    </row>
    <row r="125" spans="1:5" x14ac:dyDescent="0.25">
      <c r="A125" s="1">
        <v>2026</v>
      </c>
      <c r="B125" s="1">
        <v>12</v>
      </c>
      <c r="C125" s="1" t="s">
        <v>36</v>
      </c>
      <c r="D125" s="17">
        <v>105100</v>
      </c>
      <c r="E125" s="17">
        <v>29400</v>
      </c>
    </row>
  </sheetData>
  <dataValidations count="5">
    <dataValidation type="whole" showInputMessage="1" showErrorMessage="1" errorTitle="Nieprawidłowa wartość" error="Sprawdź zakres wartości. Rabat wpisuj jako procent, np. 10%." sqref="A6:A125" xr:uid="{5533C649-F951-4356-A3F6-57B843807E44}">
      <formula1>2000</formula1>
      <formula2>2100</formula2>
    </dataValidation>
    <dataValidation type="whole" showInputMessage="1" showErrorMessage="1" errorTitle="Nieprawidłowa wartość" error="Sprawdź zakres wartości. Rabat wpisuj jako procent, np. 10%." sqref="B6:B125" xr:uid="{EE6A929F-C6CC-427F-B056-0531318B7F44}">
      <formula1>1</formula1>
      <formula2>12</formula2>
    </dataValidation>
    <dataValidation type="list" showInputMessage="1" showErrorMessage="1" errorTitle="Wybierz pozycję z listy" error="Wartość musi występować w słowniku." sqref="C6:C125" xr:uid="{37AA04E7-E5BA-4F94-9C79-A87BDAED32AF}">
      <formula1>lstRegiony</formula1>
    </dataValidation>
    <dataValidation type="decimal" showInputMessage="1" showErrorMessage="1" errorTitle="Nieprawidłowa wartość" error="Sprawdź zakres wartości. Rabat wpisuj jako procent, np. 10%." sqref="D6:D125" xr:uid="{8A38B36B-5BA2-471F-9013-F24693BE2570}">
      <formula1>0</formula1>
      <formula2>1000000000000</formula2>
    </dataValidation>
    <dataValidation type="decimal" showInputMessage="1" showErrorMessage="1" errorTitle="Nieprawidłowa wartość" error="Sprawdź zakres wartości. Rabat wpisuj jako procent, np. 10%." sqref="E6:E125" xr:uid="{0127CB91-1B3F-4D77-A42C-AFDBB3E550E6}">
      <formula1>0</formula1>
      <formula2>1000000000000</formula2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FF231-F7E6-49D6-B3AA-1B63915036BE}">
  <sheetPr codeName="Arkusz5">
    <tabColor rgb="FF107C41"/>
  </sheetPr>
  <dimension ref="A1:O80"/>
  <sheetViews>
    <sheetView zoomScaleNormal="100" workbookViewId="0"/>
  </sheetViews>
  <sheetFormatPr defaultRowHeight="15" x14ac:dyDescent="0.25"/>
  <cols>
    <col min="1" max="1" width="21.69921875" style="1" customWidth="1"/>
    <col min="2" max="2" width="3.69921875" style="1" customWidth="1"/>
    <col min="3" max="3" width="21.69921875" style="1" customWidth="1"/>
    <col min="4" max="4" width="3.69921875" style="1" customWidth="1"/>
    <col min="5" max="7" width="21.69921875" style="1" customWidth="1"/>
    <col min="8" max="8" width="3.69921875" style="1" customWidth="1"/>
    <col min="9" max="9" width="21.69921875" style="1" customWidth="1"/>
    <col min="10" max="10" width="3.69921875" style="1" customWidth="1"/>
    <col min="11" max="15" width="21.69921875" style="1" customWidth="1"/>
    <col min="16" max="16384" width="8.796875" style="1"/>
  </cols>
  <sheetData>
    <row r="1" spans="1:15" ht="28.5" x14ac:dyDescent="0.45">
      <c r="A1" s="2" t="s">
        <v>2</v>
      </c>
    </row>
    <row r="3" spans="1:15" x14ac:dyDescent="0.25">
      <c r="A3" s="1" t="s">
        <v>18</v>
      </c>
    </row>
    <row r="5" spans="1:15" x14ac:dyDescent="0.25">
      <c r="A5" s="5" t="s">
        <v>19</v>
      </c>
      <c r="B5" s="5"/>
      <c r="C5" s="5" t="s">
        <v>20</v>
      </c>
      <c r="D5" s="5"/>
      <c r="E5" s="5" t="s">
        <v>21</v>
      </c>
      <c r="F5" s="5" t="s">
        <v>22</v>
      </c>
      <c r="G5" s="5" t="s">
        <v>23</v>
      </c>
      <c r="H5" s="5"/>
      <c r="I5" s="5" t="s">
        <v>24</v>
      </c>
      <c r="J5" s="5"/>
      <c r="K5" s="5" t="s">
        <v>25</v>
      </c>
      <c r="L5" s="5"/>
      <c r="M5" s="5" t="s">
        <v>26</v>
      </c>
      <c r="N5" s="5"/>
      <c r="O5" s="5" t="s">
        <v>27</v>
      </c>
    </row>
    <row r="6" spans="1:15" x14ac:dyDescent="0.25">
      <c r="A6" s="1" t="s">
        <v>28</v>
      </c>
      <c r="C6" s="1" t="s">
        <v>38</v>
      </c>
      <c r="E6" s="1" t="s">
        <v>48</v>
      </c>
      <c r="F6" s="1" t="s">
        <v>29</v>
      </c>
      <c r="G6" s="1" t="s">
        <v>29</v>
      </c>
      <c r="I6" s="1" t="s">
        <v>78</v>
      </c>
      <c r="K6" s="1" t="s">
        <v>153</v>
      </c>
      <c r="M6" s="1">
        <v>2025</v>
      </c>
      <c r="O6" s="1" t="s">
        <v>5055</v>
      </c>
    </row>
    <row r="7" spans="1:15" x14ac:dyDescent="0.25">
      <c r="A7" s="1" t="s">
        <v>30</v>
      </c>
      <c r="C7" s="1" t="s">
        <v>39</v>
      </c>
      <c r="E7" s="1" t="s">
        <v>49</v>
      </c>
      <c r="F7" s="1" t="s">
        <v>29</v>
      </c>
      <c r="G7" s="1" t="s">
        <v>31</v>
      </c>
      <c r="I7" s="1" t="s">
        <v>79</v>
      </c>
      <c r="K7" s="1" t="s">
        <v>154</v>
      </c>
      <c r="M7" s="1">
        <v>2026</v>
      </c>
      <c r="O7" s="1" t="s">
        <v>28</v>
      </c>
    </row>
    <row r="8" spans="1:15" x14ac:dyDescent="0.25">
      <c r="A8" s="1" t="s">
        <v>32</v>
      </c>
      <c r="C8" s="1" t="s">
        <v>40</v>
      </c>
      <c r="E8" s="1" t="s">
        <v>50</v>
      </c>
      <c r="F8" s="1" t="s">
        <v>29</v>
      </c>
      <c r="G8" s="1" t="s">
        <v>33</v>
      </c>
      <c r="I8" s="1" t="s">
        <v>80</v>
      </c>
      <c r="K8" s="1" t="s">
        <v>155</v>
      </c>
      <c r="O8" s="1" t="s">
        <v>30</v>
      </c>
    </row>
    <row r="9" spans="1:15" x14ac:dyDescent="0.25">
      <c r="A9" s="1" t="s">
        <v>34</v>
      </c>
      <c r="C9" s="1" t="s">
        <v>41</v>
      </c>
      <c r="E9" s="1" t="s">
        <v>51</v>
      </c>
      <c r="F9" s="1" t="s">
        <v>29</v>
      </c>
      <c r="G9" s="1" t="s">
        <v>35</v>
      </c>
      <c r="I9" s="1" t="s">
        <v>81</v>
      </c>
      <c r="K9" s="1" t="s">
        <v>156</v>
      </c>
      <c r="O9" s="1" t="s">
        <v>32</v>
      </c>
    </row>
    <row r="10" spans="1:15" x14ac:dyDescent="0.25">
      <c r="A10" s="1" t="s">
        <v>36</v>
      </c>
      <c r="C10" s="1" t="s">
        <v>42</v>
      </c>
      <c r="E10" s="1" t="s">
        <v>52</v>
      </c>
      <c r="F10" s="1" t="s">
        <v>29</v>
      </c>
      <c r="G10" s="1" t="s">
        <v>37</v>
      </c>
      <c r="I10" s="1" t="s">
        <v>82</v>
      </c>
      <c r="K10" s="1" t="s">
        <v>157</v>
      </c>
      <c r="O10" s="1" t="s">
        <v>34</v>
      </c>
    </row>
    <row r="11" spans="1:15" x14ac:dyDescent="0.25">
      <c r="C11" s="1" t="s">
        <v>43</v>
      </c>
      <c r="E11" s="1" t="s">
        <v>53</v>
      </c>
      <c r="F11" s="1" t="s">
        <v>29</v>
      </c>
      <c r="I11" s="1" t="s">
        <v>83</v>
      </c>
      <c r="K11" s="1" t="s">
        <v>158</v>
      </c>
      <c r="O11" s="1" t="s">
        <v>36</v>
      </c>
    </row>
    <row r="12" spans="1:15" x14ac:dyDescent="0.25">
      <c r="C12" s="1" t="s">
        <v>44</v>
      </c>
      <c r="E12" s="1" t="s">
        <v>54</v>
      </c>
      <c r="F12" s="1" t="s">
        <v>31</v>
      </c>
      <c r="I12" s="1" t="s">
        <v>84</v>
      </c>
      <c r="K12" s="1" t="s">
        <v>159</v>
      </c>
    </row>
    <row r="13" spans="1:15" x14ac:dyDescent="0.25">
      <c r="C13" s="1" t="s">
        <v>45</v>
      </c>
      <c r="E13" s="1" t="s">
        <v>55</v>
      </c>
      <c r="F13" s="1" t="s">
        <v>31</v>
      </c>
      <c r="I13" s="1" t="s">
        <v>85</v>
      </c>
      <c r="K13" s="1" t="s">
        <v>160</v>
      </c>
    </row>
    <row r="14" spans="1:15" x14ac:dyDescent="0.25">
      <c r="C14" s="1" t="s">
        <v>46</v>
      </c>
      <c r="E14" s="1" t="s">
        <v>56</v>
      </c>
      <c r="F14" s="1" t="s">
        <v>31</v>
      </c>
      <c r="I14" s="1" t="s">
        <v>86</v>
      </c>
      <c r="K14" s="1" t="s">
        <v>161</v>
      </c>
    </row>
    <row r="15" spans="1:15" x14ac:dyDescent="0.25">
      <c r="C15" s="1" t="s">
        <v>47</v>
      </c>
      <c r="E15" s="1" t="s">
        <v>57</v>
      </c>
      <c r="F15" s="1" t="s">
        <v>31</v>
      </c>
      <c r="I15" s="1" t="s">
        <v>87</v>
      </c>
      <c r="K15" s="1" t="s">
        <v>162</v>
      </c>
    </row>
    <row r="16" spans="1:15" x14ac:dyDescent="0.25">
      <c r="E16" s="1" t="s">
        <v>58</v>
      </c>
      <c r="F16" s="1" t="s">
        <v>31</v>
      </c>
      <c r="I16" s="1" t="s">
        <v>88</v>
      </c>
      <c r="K16" s="1" t="s">
        <v>163</v>
      </c>
    </row>
    <row r="17" spans="5:11" x14ac:dyDescent="0.25">
      <c r="E17" s="1" t="s">
        <v>59</v>
      </c>
      <c r="F17" s="1" t="s">
        <v>31</v>
      </c>
      <c r="I17" s="1" t="s">
        <v>89</v>
      </c>
      <c r="K17" s="1" t="s">
        <v>164</v>
      </c>
    </row>
    <row r="18" spans="5:11" x14ac:dyDescent="0.25">
      <c r="E18" s="1" t="s">
        <v>60</v>
      </c>
      <c r="F18" s="1" t="s">
        <v>33</v>
      </c>
      <c r="I18" s="1" t="s">
        <v>90</v>
      </c>
      <c r="K18" s="1" t="s">
        <v>165</v>
      </c>
    </row>
    <row r="19" spans="5:11" x14ac:dyDescent="0.25">
      <c r="E19" s="1" t="s">
        <v>61</v>
      </c>
      <c r="F19" s="1" t="s">
        <v>33</v>
      </c>
      <c r="I19" s="1" t="s">
        <v>91</v>
      </c>
    </row>
    <row r="20" spans="5:11" x14ac:dyDescent="0.25">
      <c r="E20" s="1" t="s">
        <v>62</v>
      </c>
      <c r="F20" s="1" t="s">
        <v>33</v>
      </c>
      <c r="I20" s="1" t="s">
        <v>92</v>
      </c>
    </row>
    <row r="21" spans="5:11" x14ac:dyDescent="0.25">
      <c r="E21" s="1" t="s">
        <v>63</v>
      </c>
      <c r="F21" s="1" t="s">
        <v>33</v>
      </c>
      <c r="I21" s="1" t="s">
        <v>93</v>
      </c>
    </row>
    <row r="22" spans="5:11" x14ac:dyDescent="0.25">
      <c r="E22" s="1" t="s">
        <v>64</v>
      </c>
      <c r="F22" s="1" t="s">
        <v>33</v>
      </c>
      <c r="I22" s="1" t="s">
        <v>94</v>
      </c>
    </row>
    <row r="23" spans="5:11" x14ac:dyDescent="0.25">
      <c r="E23" s="1" t="s">
        <v>65</v>
      </c>
      <c r="F23" s="1" t="s">
        <v>33</v>
      </c>
      <c r="I23" s="1" t="s">
        <v>95</v>
      </c>
    </row>
    <row r="24" spans="5:11" x14ac:dyDescent="0.25">
      <c r="E24" s="1" t="s">
        <v>66</v>
      </c>
      <c r="F24" s="1" t="s">
        <v>35</v>
      </c>
      <c r="I24" s="1" t="s">
        <v>96</v>
      </c>
    </row>
    <row r="25" spans="5:11" x14ac:dyDescent="0.25">
      <c r="E25" s="1" t="s">
        <v>67</v>
      </c>
      <c r="F25" s="1" t="s">
        <v>35</v>
      </c>
      <c r="I25" s="1" t="s">
        <v>97</v>
      </c>
    </row>
    <row r="26" spans="5:11" x14ac:dyDescent="0.25">
      <c r="E26" s="1" t="s">
        <v>68</v>
      </c>
      <c r="F26" s="1" t="s">
        <v>35</v>
      </c>
      <c r="I26" s="1" t="s">
        <v>98</v>
      </c>
    </row>
    <row r="27" spans="5:11" x14ac:dyDescent="0.25">
      <c r="E27" s="1" t="s">
        <v>69</v>
      </c>
      <c r="F27" s="1" t="s">
        <v>35</v>
      </c>
      <c r="I27" s="1" t="s">
        <v>99</v>
      </c>
    </row>
    <row r="28" spans="5:11" x14ac:dyDescent="0.25">
      <c r="E28" s="1" t="s">
        <v>70</v>
      </c>
      <c r="F28" s="1" t="s">
        <v>35</v>
      </c>
      <c r="I28" s="1" t="s">
        <v>100</v>
      </c>
    </row>
    <row r="29" spans="5:11" x14ac:dyDescent="0.25">
      <c r="E29" s="1" t="s">
        <v>71</v>
      </c>
      <c r="F29" s="1" t="s">
        <v>35</v>
      </c>
      <c r="I29" s="1" t="s">
        <v>101</v>
      </c>
    </row>
    <row r="30" spans="5:11" x14ac:dyDescent="0.25">
      <c r="E30" s="1" t="s">
        <v>72</v>
      </c>
      <c r="F30" s="1" t="s">
        <v>37</v>
      </c>
      <c r="I30" s="1" t="s">
        <v>102</v>
      </c>
    </row>
    <row r="31" spans="5:11" x14ac:dyDescent="0.25">
      <c r="E31" s="1" t="s">
        <v>73</v>
      </c>
      <c r="F31" s="1" t="s">
        <v>37</v>
      </c>
      <c r="I31" s="1" t="s">
        <v>103</v>
      </c>
    </row>
    <row r="32" spans="5:11" x14ac:dyDescent="0.25">
      <c r="E32" s="1" t="s">
        <v>74</v>
      </c>
      <c r="F32" s="1" t="s">
        <v>37</v>
      </c>
      <c r="I32" s="1" t="s">
        <v>104</v>
      </c>
    </row>
    <row r="33" spans="5:9" x14ac:dyDescent="0.25">
      <c r="E33" s="1" t="s">
        <v>75</v>
      </c>
      <c r="F33" s="1" t="s">
        <v>37</v>
      </c>
      <c r="I33" s="1" t="s">
        <v>105</v>
      </c>
    </row>
    <row r="34" spans="5:9" x14ac:dyDescent="0.25">
      <c r="E34" s="1" t="s">
        <v>76</v>
      </c>
      <c r="F34" s="1" t="s">
        <v>37</v>
      </c>
      <c r="I34" s="1" t="s">
        <v>106</v>
      </c>
    </row>
    <row r="35" spans="5:9" x14ac:dyDescent="0.25">
      <c r="E35" s="1" t="s">
        <v>77</v>
      </c>
      <c r="F35" s="1" t="s">
        <v>37</v>
      </c>
      <c r="I35" s="1" t="s">
        <v>107</v>
      </c>
    </row>
    <row r="36" spans="5:9" x14ac:dyDescent="0.25">
      <c r="I36" s="1" t="s">
        <v>108</v>
      </c>
    </row>
    <row r="37" spans="5:9" x14ac:dyDescent="0.25">
      <c r="I37" s="1" t="s">
        <v>109</v>
      </c>
    </row>
    <row r="38" spans="5:9" x14ac:dyDescent="0.25">
      <c r="I38" s="1" t="s">
        <v>110</v>
      </c>
    </row>
    <row r="39" spans="5:9" x14ac:dyDescent="0.25">
      <c r="I39" s="1" t="s">
        <v>111</v>
      </c>
    </row>
    <row r="40" spans="5:9" x14ac:dyDescent="0.25">
      <c r="I40" s="1" t="s">
        <v>112</v>
      </c>
    </row>
    <row r="41" spans="5:9" x14ac:dyDescent="0.25">
      <c r="I41" s="1" t="s">
        <v>113</v>
      </c>
    </row>
    <row r="42" spans="5:9" x14ac:dyDescent="0.25">
      <c r="I42" s="1" t="s">
        <v>114</v>
      </c>
    </row>
    <row r="43" spans="5:9" x14ac:dyDescent="0.25">
      <c r="I43" s="1" t="s">
        <v>115</v>
      </c>
    </row>
    <row r="44" spans="5:9" x14ac:dyDescent="0.25">
      <c r="I44" s="1" t="s">
        <v>116</v>
      </c>
    </row>
    <row r="45" spans="5:9" x14ac:dyDescent="0.25">
      <c r="I45" s="1" t="s">
        <v>117</v>
      </c>
    </row>
    <row r="46" spans="5:9" x14ac:dyDescent="0.25">
      <c r="I46" s="1" t="s">
        <v>118</v>
      </c>
    </row>
    <row r="47" spans="5:9" x14ac:dyDescent="0.25">
      <c r="I47" s="1" t="s">
        <v>119</v>
      </c>
    </row>
    <row r="48" spans="5:9" x14ac:dyDescent="0.25">
      <c r="I48" s="1" t="s">
        <v>120</v>
      </c>
    </row>
    <row r="49" spans="9:9" x14ac:dyDescent="0.25">
      <c r="I49" s="1" t="s">
        <v>121</v>
      </c>
    </row>
    <row r="50" spans="9:9" x14ac:dyDescent="0.25">
      <c r="I50" s="1" t="s">
        <v>122</v>
      </c>
    </row>
    <row r="51" spans="9:9" x14ac:dyDescent="0.25">
      <c r="I51" s="1" t="s">
        <v>123</v>
      </c>
    </row>
    <row r="52" spans="9:9" x14ac:dyDescent="0.25">
      <c r="I52" s="1" t="s">
        <v>124</v>
      </c>
    </row>
    <row r="53" spans="9:9" x14ac:dyDescent="0.25">
      <c r="I53" s="1" t="s">
        <v>125</v>
      </c>
    </row>
    <row r="54" spans="9:9" x14ac:dyDescent="0.25">
      <c r="I54" s="1" t="s">
        <v>126</v>
      </c>
    </row>
    <row r="55" spans="9:9" x14ac:dyDescent="0.25">
      <c r="I55" s="1" t="s">
        <v>127</v>
      </c>
    </row>
    <row r="56" spans="9:9" x14ac:dyDescent="0.25">
      <c r="I56" s="1" t="s">
        <v>128</v>
      </c>
    </row>
    <row r="57" spans="9:9" x14ac:dyDescent="0.25">
      <c r="I57" s="1" t="s">
        <v>129</v>
      </c>
    </row>
    <row r="58" spans="9:9" x14ac:dyDescent="0.25">
      <c r="I58" s="1" t="s">
        <v>130</v>
      </c>
    </row>
    <row r="59" spans="9:9" x14ac:dyDescent="0.25">
      <c r="I59" s="1" t="s">
        <v>131</v>
      </c>
    </row>
    <row r="60" spans="9:9" x14ac:dyDescent="0.25">
      <c r="I60" s="1" t="s">
        <v>132</v>
      </c>
    </row>
    <row r="61" spans="9:9" x14ac:dyDescent="0.25">
      <c r="I61" s="1" t="s">
        <v>133</v>
      </c>
    </row>
    <row r="62" spans="9:9" x14ac:dyDescent="0.25">
      <c r="I62" s="1" t="s">
        <v>134</v>
      </c>
    </row>
    <row r="63" spans="9:9" x14ac:dyDescent="0.25">
      <c r="I63" s="1" t="s">
        <v>135</v>
      </c>
    </row>
    <row r="64" spans="9:9" x14ac:dyDescent="0.25">
      <c r="I64" s="1" t="s">
        <v>136</v>
      </c>
    </row>
    <row r="65" spans="9:9" x14ac:dyDescent="0.25">
      <c r="I65" s="1" t="s">
        <v>137</v>
      </c>
    </row>
    <row r="66" spans="9:9" x14ac:dyDescent="0.25">
      <c r="I66" s="1" t="s">
        <v>138</v>
      </c>
    </row>
    <row r="67" spans="9:9" x14ac:dyDescent="0.25">
      <c r="I67" s="1" t="s">
        <v>139</v>
      </c>
    </row>
    <row r="68" spans="9:9" x14ac:dyDescent="0.25">
      <c r="I68" s="1" t="s">
        <v>140</v>
      </c>
    </row>
    <row r="69" spans="9:9" x14ac:dyDescent="0.25">
      <c r="I69" s="1" t="s">
        <v>141</v>
      </c>
    </row>
    <row r="70" spans="9:9" x14ac:dyDescent="0.25">
      <c r="I70" s="1" t="s">
        <v>142</v>
      </c>
    </row>
    <row r="71" spans="9:9" x14ac:dyDescent="0.25">
      <c r="I71" s="1" t="s">
        <v>143</v>
      </c>
    </row>
    <row r="72" spans="9:9" x14ac:dyDescent="0.25">
      <c r="I72" s="1" t="s">
        <v>144</v>
      </c>
    </row>
    <row r="73" spans="9:9" x14ac:dyDescent="0.25">
      <c r="I73" s="1" t="s">
        <v>145</v>
      </c>
    </row>
    <row r="74" spans="9:9" x14ac:dyDescent="0.25">
      <c r="I74" s="1" t="s">
        <v>146</v>
      </c>
    </row>
    <row r="75" spans="9:9" x14ac:dyDescent="0.25">
      <c r="I75" s="1" t="s">
        <v>147</v>
      </c>
    </row>
    <row r="76" spans="9:9" x14ac:dyDescent="0.25">
      <c r="I76" s="1" t="s">
        <v>148</v>
      </c>
    </row>
    <row r="77" spans="9:9" x14ac:dyDescent="0.25">
      <c r="I77" s="1" t="s">
        <v>149</v>
      </c>
    </row>
    <row r="78" spans="9:9" x14ac:dyDescent="0.25">
      <c r="I78" s="1" t="s">
        <v>150</v>
      </c>
    </row>
    <row r="79" spans="9:9" x14ac:dyDescent="0.25">
      <c r="I79" s="1" t="s">
        <v>151</v>
      </c>
    </row>
    <row r="80" spans="9:9" x14ac:dyDescent="0.25">
      <c r="I80" s="1" t="s">
        <v>152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7A6BA-B86B-4A09-9548-FB9172CADC8F}">
  <sheetPr codeName="Arkusz6">
    <tabColor rgb="FF107C41"/>
  </sheetPr>
  <dimension ref="A1:X59"/>
  <sheetViews>
    <sheetView workbookViewId="0">
      <selection activeCell="B5" sqref="B5"/>
    </sheetView>
  </sheetViews>
  <sheetFormatPr defaultRowHeight="18.75" x14ac:dyDescent="0.3"/>
  <cols>
    <col min="1" max="24" width="18.69921875" customWidth="1"/>
  </cols>
  <sheetData>
    <row r="1" spans="1:24" x14ac:dyDescent="0.3">
      <c r="A1" s="25" t="s">
        <v>5093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</row>
    <row r="2" spans="1:24" x14ac:dyDescent="0.3">
      <c r="A2" t="s">
        <v>177</v>
      </c>
      <c r="B2">
        <f>filtrRok</f>
        <v>2026</v>
      </c>
    </row>
    <row r="3" spans="1:24" x14ac:dyDescent="0.3">
      <c r="A3" t="s">
        <v>5094</v>
      </c>
      <c r="B3">
        <f>IFERROR(MATCH(filtrMiesiac,lstMiesiace,0)-1,0)</f>
        <v>0</v>
      </c>
    </row>
    <row r="4" spans="1:24" x14ac:dyDescent="0.3">
      <c r="A4" t="s">
        <v>19</v>
      </c>
      <c r="B4" t="str">
        <f>filtrRegion</f>
        <v>Wszystkie</v>
      </c>
    </row>
    <row r="5" spans="1:24" x14ac:dyDescent="0.3">
      <c r="A5" t="s">
        <v>17</v>
      </c>
      <c r="B5" s="20">
        <f>IF(COUNT(tblSprzedaz[Data])=0,0,MAX(tblSprzedaz[Data]))</f>
        <v>46304</v>
      </c>
    </row>
    <row r="6" spans="1:24" x14ac:dyDescent="0.3">
      <c r="A6" t="s">
        <v>5095</v>
      </c>
      <c r="B6" s="20">
        <f>DATE(B2,MAX(1,B3),1)</f>
        <v>46023</v>
      </c>
    </row>
    <row r="7" spans="1:24" x14ac:dyDescent="0.3">
      <c r="A7" t="s">
        <v>5096</v>
      </c>
      <c r="B7" s="20">
        <f>MIN(B5,IF(B3=0,DATE(B2,12,31),EOMONTH(B6,0)))</f>
        <v>46304</v>
      </c>
    </row>
    <row r="8" spans="1:24" x14ac:dyDescent="0.3">
      <c r="A8" t="s">
        <v>5097</v>
      </c>
      <c r="B8" s="20">
        <f>IF(B3=0,DATE(B2-1,1,1),EDATE(B6,-1))</f>
        <v>45658</v>
      </c>
    </row>
    <row r="9" spans="1:24" x14ac:dyDescent="0.3">
      <c r="A9" t="s">
        <v>5098</v>
      </c>
      <c r="B9" s="20">
        <f>IF(B7&lt;B6,B8-1,IF(B3=0,DATE(B2-1,MONTH(B7),MIN(DAY(B7),DAY(EOMONTH(DATE(B2-1,MONTH(B7),1),0)))),IF(B7=EOMONTH(B6,0),EOMONTH(B8,0),MIN(EOMONTH(B8,0),B8+DAY(B7)-1))))</f>
        <v>45939</v>
      </c>
    </row>
    <row r="12" spans="1:24" x14ac:dyDescent="0.3">
      <c r="A12" t="s">
        <v>5099</v>
      </c>
      <c r="B12" s="23">
        <f>SUMIFS(tblSprzedaz[Przychód netto],tblSprzedaz[Data],"&gt;="&amp;$B$6,tblSprzedaz[Data],"&lt;="&amp;$B$7,tblSprzedaz[Region],IF($B$4="Wszystkie","*",SUBSTITUTE(SUBSTITUTE(SUBSTITUTE($B$4,"~","~~"),"*","~*"),"?","~?")))</f>
        <v>2530366.7199999988</v>
      </c>
    </row>
    <row r="13" spans="1:24" x14ac:dyDescent="0.3">
      <c r="A13" t="s">
        <v>5100</v>
      </c>
      <c r="B13" s="23">
        <f>SUMIFS(tblSprzedaz[Marża kwotowa],tblSprzedaz[Data],"&gt;="&amp;$B$6,tblSprzedaz[Data],"&lt;="&amp;$B$7,tblSprzedaz[Region],IF($B$4="Wszystkie","*",SUBSTITUTE(SUBSTITUTE(SUBSTITUTE($B$4,"~","~~"),"*","~*"),"?","~?")))</f>
        <v>701048.24999999988</v>
      </c>
    </row>
    <row r="14" spans="1:24" x14ac:dyDescent="0.3">
      <c r="A14" t="s">
        <v>176</v>
      </c>
      <c r="B14" s="24">
        <f>IFERROR(B13/B12,0)</f>
        <v>0.27705401136480334</v>
      </c>
    </row>
    <row r="15" spans="1:24" x14ac:dyDescent="0.3">
      <c r="A15" t="s">
        <v>5101</v>
      </c>
      <c r="B15">
        <f>COUNTIFS(tblSprzedaz[Data],"&gt;="&amp;B6,tblSprzedaz[Data],"&lt;="&amp;B7,tblSprzedaz[Region],IF($B$4="Wszystkie","*",SUBSTITUTE(SUBSTITUTE(SUBSTITUTE($B$4,"~","~~"),"*","~*"),"?","~?")))</f>
        <v>1042</v>
      </c>
    </row>
    <row r="16" spans="1:24" x14ac:dyDescent="0.3">
      <c r="A16" t="s">
        <v>5102</v>
      </c>
      <c r="B16" s="23">
        <f>IFERROR(B12/B15,0)</f>
        <v>2428.3749712092117</v>
      </c>
    </row>
    <row r="17" spans="1:24" x14ac:dyDescent="0.3">
      <c r="A17" t="s">
        <v>5103</v>
      </c>
      <c r="B17" s="23">
        <f>SUM(D30:D41)</f>
        <v>2565522.5806451612</v>
      </c>
    </row>
    <row r="18" spans="1:24" x14ac:dyDescent="0.3">
      <c r="A18" t="s">
        <v>5104</v>
      </c>
      <c r="B18" s="24">
        <f>IF(OR(B17=0,B24&lt;&gt;"OK"),"brak celu",B12/B17)</f>
        <v>0.98629680326714508</v>
      </c>
    </row>
    <row r="19" spans="1:24" x14ac:dyDescent="0.3">
      <c r="A19" t="s">
        <v>5105</v>
      </c>
      <c r="B19" s="23">
        <f>SUMIFS(tblSprzedaz[Przychód netto],tblSprzedaz[Data],"&gt;="&amp;$B$8,tblSprzedaz[Data],"&lt;="&amp;$B$9,tblSprzedaz[Region],IF($B$4="Wszystkie","*",SUBSTITUTE(SUBSTITUTE(SUBSTITUTE($B$4,"~","~~"),"*","~*"),"?","~?")))</f>
        <v>2320852.6200000006</v>
      </c>
    </row>
    <row r="20" spans="1:24" x14ac:dyDescent="0.3">
      <c r="A20" t="s">
        <v>5106</v>
      </c>
      <c r="B20" s="24">
        <f>IF(OR(B19=0,B25=0),"brak bazy",B12/B19-1)</f>
        <v>9.0274625021212307E-2</v>
      </c>
    </row>
    <row r="21" spans="1:24" x14ac:dyDescent="0.3">
      <c r="A21" t="s">
        <v>5107</v>
      </c>
      <c r="B21" t="str">
        <f>IF(B15=0,"brak danych",Q30)</f>
        <v>Celina Norwicka</v>
      </c>
    </row>
    <row r="22" spans="1:24" x14ac:dyDescent="0.3">
      <c r="A22" t="s">
        <v>5108</v>
      </c>
      <c r="B22" s="23">
        <f>SUM(F30:F41)</f>
        <v>718203.22580645164</v>
      </c>
    </row>
    <row r="23" spans="1:24" x14ac:dyDescent="0.3">
      <c r="A23" t="s">
        <v>5109</v>
      </c>
      <c r="B23" s="24">
        <f>IF(OR(B22=0,B24&lt;&gt;"OK"),"brak celu",B13/B22)</f>
        <v>0.97611403682127873</v>
      </c>
    </row>
    <row r="24" spans="1:24" x14ac:dyDescent="0.3">
      <c r="A24" t="s">
        <v>5110</v>
      </c>
      <c r="B24" t="str">
        <f>IF(SUM(G30:G41)=0,"OK","BRAK CELÓW")</f>
        <v>OK</v>
      </c>
    </row>
    <row r="25" spans="1:24" x14ac:dyDescent="0.3">
      <c r="A25" t="s">
        <v>5111</v>
      </c>
      <c r="B25">
        <f>COUNTIFS(tblSprzedaz[Data],"&gt;="&amp;B8,tblSprzedaz[Data],"&lt;="&amp;B9,tblSprzedaz[Region],IF($B$4="Wszystkie","*",SUBSTITUTE(SUBSTITUTE(SUBSTITUTE($B$4,"~","~~"),"*","~*"),"?","~?")))</f>
        <v>1050</v>
      </c>
    </row>
    <row r="29" spans="1:24" x14ac:dyDescent="0.3">
      <c r="A29" s="25" t="s">
        <v>25</v>
      </c>
      <c r="B29" s="25" t="s">
        <v>5099</v>
      </c>
      <c r="C29" s="25" t="s">
        <v>176</v>
      </c>
      <c r="D29" s="25" t="s">
        <v>5050</v>
      </c>
      <c r="E29" s="25" t="s">
        <v>175</v>
      </c>
      <c r="F29" s="25" t="s">
        <v>5051</v>
      </c>
      <c r="G29" s="25" t="s">
        <v>5112</v>
      </c>
      <c r="H29" s="25" t="s">
        <v>19</v>
      </c>
      <c r="I29" s="25" t="s">
        <v>5099</v>
      </c>
      <c r="J29" s="25" t="s">
        <v>5113</v>
      </c>
      <c r="K29" s="25" t="s">
        <v>5114</v>
      </c>
      <c r="L29" s="25" t="s">
        <v>5099</v>
      </c>
      <c r="M29" s="25"/>
      <c r="N29" s="25" t="s">
        <v>20</v>
      </c>
      <c r="O29" s="25" t="s">
        <v>5099</v>
      </c>
      <c r="P29" s="25" t="s">
        <v>5113</v>
      </c>
      <c r="Q29" s="25" t="s">
        <v>5114</v>
      </c>
      <c r="R29" s="25" t="s">
        <v>5099</v>
      </c>
      <c r="S29" s="25"/>
      <c r="T29" s="25" t="s">
        <v>21</v>
      </c>
      <c r="U29" s="25" t="s">
        <v>5099</v>
      </c>
      <c r="V29" s="25" t="s">
        <v>5113</v>
      </c>
      <c r="W29" s="25" t="s">
        <v>5114</v>
      </c>
      <c r="X29" s="25" t="s">
        <v>5099</v>
      </c>
    </row>
    <row r="30" spans="1:24" x14ac:dyDescent="0.3">
      <c r="A30" s="21">
        <f>DATE($B$2,1,1)</f>
        <v>46023</v>
      </c>
      <c r="B30" s="23">
        <f>SUMIFS(tblSprzedaz[Przychód netto],tblSprzedaz[Data],"&gt;="&amp;MAX(A30,$B$6),tblSprzedaz[Data],"&lt;="&amp;MIN(EOMONTH(A30,0),$B$7),tblSprzedaz[Region],IF($B$4="Wszystkie","*",SUBSTITUTE(SUBSTITUTE(SUBSTITUTE($B$4,"~","~~"),"*","~*"),"?","~?")))</f>
        <v>178569.17000000004</v>
      </c>
      <c r="C30" s="24">
        <f>IFERROR(E30/B30,0)</f>
        <v>0.28088392861992917</v>
      </c>
      <c r="D30" s="23">
        <f>SUMIFS(tblCele[Cel przychodowy],tblCele[Rok],$B$2,tblCele[Miesiąc],MONTH(A30),tblCele[Region],IF($B$4="Wszystkie","*",SUBSTITUTE(SUBSTITUTE(SUBSTITUTE($B$4,"~","~~"),"*","~*"),"?","~?")))*MAX(0,MIN(EOMONTH(A30,0),$B$7)-MAX(A30,$B$6)+1)/DAY(EOMONTH(A30,0))</f>
        <v>181300</v>
      </c>
      <c r="E30" s="23">
        <f>SUMIFS(tblSprzedaz[Marża kwotowa],tblSprzedaz[Data],"&gt;="&amp;MAX(A30,$B$6),tblSprzedaz[Data],"&lt;="&amp;MIN(EOMONTH(A30,0),$B$7),tblSprzedaz[Region],IF($B$4="Wszystkie","*",SUBSTITUTE(SUBSTITUTE(SUBSTITUTE($B$4,"~","~~"),"*","~*"),"?","~?")))</f>
        <v>50157.210000000014</v>
      </c>
      <c r="F30" s="23">
        <f>SUMIFS(tblCele[Cel marżowy],tblCele[Rok],$B$2,tblCele[Miesiąc],MONTH(A30),tblCele[Region],IF($B$4="Wszystkie","*",SUBSTITUTE(SUBSTITUTE(SUBSTITUTE($B$4,"~","~~"),"*","~*"),"?","~?")))*MAX(0,MIN(EOMONTH(A30,0),$B$7)-MAX(A30,$B$6)+1)/DAY(EOMONTH(A30,0))</f>
        <v>50700</v>
      </c>
      <c r="G30">
        <f>IF(OR(A30&gt;$B$7,EOMONTH(A30,0)&lt;$B$6),0,MAX(0,IF($B$4="Wszystkie",COUNTA(lstRegiony),1)-COUNTIFS(tblCele[Rok],$B$2,tblCele[Miesiąc],MONTH(A30),tblCele[Region],IF($B$4="Wszystkie","*",SUBSTITUTE(SUBSTITUTE(SUBSTITUTE($B$4,"~","~~"),"*","~*"),"?","~?")))))</f>
        <v>0</v>
      </c>
      <c r="H30" t="s">
        <v>28</v>
      </c>
      <c r="I30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netto],tblSprzedaz[Data],"&gt;="&amp;$B$6,tblSprzedaz[Data],"&lt;="&amp;$B$7,tblSprzedaz[Region],IF($B$4="Wszystkie","*",SUBSTITUTE(SUBSTITUTE(SUBSTITUTE($B$4,"~","~~"),"*","~*"),"?","~?")),tblSprzedaz[Region],SUBSTITUTE(SUBSTITUTE(SUBSTITUTE($H$30,"~","~~"),"*","~*"),"?","~?"))</f>
        <v>461515.55</v>
      </c>
      <c r="J30">
        <f>RANK($I$30,$I$30:$I$34,0)+COUNTIF($I$30:I30,$I$30)-1</f>
        <v>4</v>
      </c>
      <c r="K30" t="str">
        <f>IFERROR(INDEX($H$30:$H$34,MATCH(1,$J$30:$J$34,0)),"")</f>
        <v>Południe</v>
      </c>
      <c r="L30" s="22">
        <f>IFERROR(INDEX($I$30:$I$34,MATCH(1,$J$30:$J$34,0)),0)</f>
        <v>659533.39000000013</v>
      </c>
      <c r="N30" t="s">
        <v>38</v>
      </c>
      <c r="O30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$30,"~","~~"),"*","~*"),"?","~?"))</f>
        <v>300427.16000000015</v>
      </c>
      <c r="P30">
        <f>RANK($O$30,$O$30:$O$39,0)+COUNTIF($O$30:O30,$O$30)-1</f>
        <v>4</v>
      </c>
      <c r="Q30" t="str">
        <f>IFERROR(INDEX($N$30:$N$39,MATCH(1,$P$30:$P$39,0)),"")</f>
        <v>Celina Norwicka</v>
      </c>
      <c r="R30" s="22">
        <f>IFERROR(INDEX($O$30:$O$39,MATCH(1,$P$30:$P$39,0)),0)</f>
        <v>436295.15999999974</v>
      </c>
      <c r="T30" t="s">
        <v>48</v>
      </c>
      <c r="U30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$30,"~","~~"),"*","~*"),"?","~?"))</f>
        <v>11064.04</v>
      </c>
      <c r="V30">
        <f>RANK($U$30,$U$30:$U$59,0)+COUNTIF($U$30:U30,$U$30)-1</f>
        <v>30</v>
      </c>
      <c r="W30" t="str">
        <f>IFERROR(INDEX($T$30:$T$59,MATCH(1,$V$30:$V$59,0)),"")</f>
        <v>Hub Nexa 04</v>
      </c>
      <c r="X30" s="22">
        <f>IFERROR(INDEX($U$30:$U$59,MATCH(1,$V$30:$V$59,0)),0)</f>
        <v>392058</v>
      </c>
    </row>
    <row r="31" spans="1:24" x14ac:dyDescent="0.3">
      <c r="A31" s="21">
        <f>DATE($B$2,2,1)</f>
        <v>46054</v>
      </c>
      <c r="B31" s="23">
        <f>SUMIFS(tblSprzedaz[Przychód netto],tblSprzedaz[Data],"&gt;="&amp;MAX(A31,$B$6),tblSprzedaz[Data],"&lt;="&amp;MIN(EOMONTH(A31,0),$B$7),tblSprzedaz[Region],IF($B$4="Wszystkie","*",SUBSTITUTE(SUBSTITUTE(SUBSTITUTE($B$4,"~","~~"),"*","~*"),"?","~?")))</f>
        <v>179228.80999999997</v>
      </c>
      <c r="C31" s="24">
        <f>IFERROR(E31/B31,0)</f>
        <v>0.27921387192159569</v>
      </c>
      <c r="D31" s="23">
        <f>SUMIFS(tblCele[Cel przychodowy],tblCele[Rok],$B$2,tblCele[Miesiąc],MONTH(A31),tblCele[Region],IF($B$4="Wszystkie","*",SUBSTITUTE(SUBSTITUTE(SUBSTITUTE($B$4,"~","~~"),"*","~*"),"?","~?")))*MAX(0,MIN(EOMONTH(A31,0),$B$7)-MAX(A31,$B$6)+1)/DAY(EOMONTH(A31,0))</f>
        <v>180900</v>
      </c>
      <c r="E31" s="23">
        <f>SUMIFS(tblSprzedaz[Marża kwotowa],tblSprzedaz[Data],"&gt;="&amp;MAX(A31,$B$6),tblSprzedaz[Data],"&lt;="&amp;MIN(EOMONTH(A31,0),$B$7),tblSprzedaz[Region],IF($B$4="Wszystkie","*",SUBSTITUTE(SUBSTITUTE(SUBSTITUTE($B$4,"~","~~"),"*","~*"),"?","~?")))</f>
        <v>50043.17</v>
      </c>
      <c r="F31" s="23">
        <f>SUMIFS(tblCele[Cel marżowy],tblCele[Rok],$B$2,tblCele[Miesiąc],MONTH(A31),tblCele[Region],IF($B$4="Wszystkie","*",SUBSTITUTE(SUBSTITUTE(SUBSTITUTE($B$4,"~","~~"),"*","~*"),"?","~?")))*MAX(0,MIN(EOMONTH(A31,0),$B$7)-MAX(A31,$B$6)+1)/DAY(EOMONTH(A31,0))</f>
        <v>50600</v>
      </c>
      <c r="G31">
        <f>IF(OR(A31&gt;$B$7,EOMONTH(A31,0)&lt;$B$6),0,MAX(0,IF($B$4="Wszystkie",COUNTA(lstRegiony),1)-COUNTIFS(tblCele[Rok],$B$2,tblCele[Miesiąc],MONTH(A31),tblCele[Region],IF($B$4="Wszystkie","*",SUBSTITUTE(SUBSTITUTE(SUBSTITUTE($B$4,"~","~~"),"*","~*"),"?","~?")))))</f>
        <v>0</v>
      </c>
      <c r="H31" t="s">
        <v>30</v>
      </c>
      <c r="I31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netto],tblSprzedaz[Data],"&gt;="&amp;$B$6,tblSprzedaz[Data],"&lt;="&amp;$B$7,tblSprzedaz[Region],IF($B$4="Wszystkie","*",SUBSTITUTE(SUBSTITUTE(SUBSTITUTE($B$4,"~","~~"),"*","~*"),"?","~?")),tblSprzedaz[Region],SUBSTITUTE(SUBSTITUTE(SUBSTITUTE($H$31,"~","~~"),"*","~*"),"?","~?"))</f>
        <v>659533.39000000013</v>
      </c>
      <c r="J31">
        <f>RANK($I$31,$I$30:$I$34,0)+COUNTIF($I$30:I31,$I$31)-1</f>
        <v>1</v>
      </c>
      <c r="K31" t="str">
        <f>IFERROR(INDEX($H$30:$H$34,MATCH(2,$J$30:$J$34,0)),"")</f>
        <v>Zachód</v>
      </c>
      <c r="L31" s="22">
        <f>IFERROR(INDEX($I$30:$I$34,MATCH(2,$J$30:$J$34,0)),0)</f>
        <v>638995.08999999985</v>
      </c>
      <c r="N31" t="s">
        <v>39</v>
      </c>
      <c r="O31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$31,"~","~~"),"*","~*"),"?","~?"))</f>
        <v>161088.38999999996</v>
      </c>
      <c r="P31">
        <f>RANK($O$31,$O$30:$O$39,0)+COUNTIF($O$30:O31,$O$31)-1</f>
        <v>8</v>
      </c>
      <c r="Q31" t="str">
        <f>IFERROR(INDEX($N$30:$N$39,MATCH(2,$P$30:$P$39,0)),"")</f>
        <v>Iga Weltryn</v>
      </c>
      <c r="R31" s="22">
        <f>IFERROR(INDEX($O$30:$O$39,MATCH(2,$P$30:$P$39,0)),0)</f>
        <v>375076.10000000015</v>
      </c>
      <c r="T31" t="s">
        <v>49</v>
      </c>
      <c r="U31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$31,"~","~~"),"*","~*"),"?","~?"))</f>
        <v>15701.079999999996</v>
      </c>
      <c r="V31">
        <f>RANK($U$31,$U$30:$U$59,0)+COUNTIF($U$30:U31,$U$31)-1</f>
        <v>27</v>
      </c>
      <c r="W31" t="str">
        <f>IFERROR(INDEX($T$30:$T$59,MATCH(2,$V$30:$V$59,0)),"")</f>
        <v>Hub Nexa 03</v>
      </c>
      <c r="X31" s="22">
        <f>IFERROR(INDEX($U$30:$U$59,MATCH(2,$V$30:$V$59,0)),0)</f>
        <v>288739.01</v>
      </c>
    </row>
    <row r="32" spans="1:24" x14ac:dyDescent="0.3">
      <c r="A32" s="21">
        <f>DATE($B$2,3,1)</f>
        <v>46082</v>
      </c>
      <c r="B32" s="23">
        <f>SUMIFS(tblSprzedaz[Przychód netto],tblSprzedaz[Data],"&gt;="&amp;MAX(A32,$B$6),tblSprzedaz[Data],"&lt;="&amp;MIN(EOMONTH(A32,0),$B$7),tblSprzedaz[Region],IF($B$4="Wszystkie","*",SUBSTITUTE(SUBSTITUTE(SUBSTITUTE($B$4,"~","~~"),"*","~*"),"?","~?")))</f>
        <v>231721.5100000001</v>
      </c>
      <c r="C32" s="24">
        <f>IFERROR(E32/B32,0)</f>
        <v>0.27552867232739836</v>
      </c>
      <c r="D32" s="23">
        <f>SUMIFS(tblCele[Cel przychodowy],tblCele[Rok],$B$2,tblCele[Miesiąc],MONTH(A32),tblCele[Region],IF($B$4="Wszystkie","*",SUBSTITUTE(SUBSTITUTE(SUBSTITUTE($B$4,"~","~~"),"*","~*"),"?","~?")))*MAX(0,MIN(EOMONTH(A32,0),$B$7)-MAX(A32,$B$6)+1)/DAY(EOMONTH(A32,0))</f>
        <v>236800</v>
      </c>
      <c r="E32" s="23">
        <f>SUMIFS(tblSprzedaz[Marża kwotowa],tblSprzedaz[Data],"&gt;="&amp;MAX(A32,$B$6),tblSprzedaz[Data],"&lt;="&amp;MIN(EOMONTH(A32,0),$B$7),tblSprzedaz[Region],IF($B$4="Wszystkie","*",SUBSTITUTE(SUBSTITUTE(SUBSTITUTE($B$4,"~","~~"),"*","~*"),"?","~?")))</f>
        <v>63845.919999999984</v>
      </c>
      <c r="F32" s="23">
        <f>SUMIFS(tblCele[Cel marżowy],tblCele[Rok],$B$2,tblCele[Miesiąc],MONTH(A32),tblCele[Region],IF($B$4="Wszystkie","*",SUBSTITUTE(SUBSTITUTE(SUBSTITUTE($B$4,"~","~~"),"*","~*"),"?","~?")))*MAX(0,MIN(EOMONTH(A32,0),$B$7)-MAX(A32,$B$6)+1)/DAY(EOMONTH(A32,0))</f>
        <v>66300</v>
      </c>
      <c r="G32">
        <f>IF(OR(A32&gt;$B$7,EOMONTH(A32,0)&lt;$B$6),0,MAX(0,IF($B$4="Wszystkie",COUNTA(lstRegiony),1)-COUNTIFS(tblCele[Rok],$B$2,tblCele[Miesiąc],MONTH(A32),tblCele[Region],IF($B$4="Wszystkie","*",SUBSTITUTE(SUBSTITUTE(SUBSTITUTE($B$4,"~","~~"),"*","~*"),"?","~?")))))</f>
        <v>0</v>
      </c>
      <c r="H32" t="s">
        <v>32</v>
      </c>
      <c r="I32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netto],tblSprzedaz[Data],"&gt;="&amp;$B$6,tblSprzedaz[Data],"&lt;="&amp;$B$7,tblSprzedaz[Region],IF($B$4="Wszystkie","*",SUBSTITUTE(SUBSTITUTE(SUBSTITUTE($B$4,"~","~~"),"*","~*"),"?","~?")),tblSprzedaz[Region],SUBSTITUTE(SUBSTITUTE(SUBSTITUTE($H$32,"~","~~"),"*","~*"),"?","~?"))</f>
        <v>552576.26999999979</v>
      </c>
      <c r="J32">
        <f>RANK($I$32,$I$30:$I$34,0)+COUNTIF($I$30:I32,$I$32)-1</f>
        <v>3</v>
      </c>
      <c r="K32" t="str">
        <f>IFERROR(INDEX($H$30:$H$34,MATCH(3,$J$30:$J$34,0)),"")</f>
        <v>Centrum</v>
      </c>
      <c r="L32" s="22">
        <f>IFERROR(INDEX($I$30:$I$34,MATCH(3,$J$30:$J$34,0)),0)</f>
        <v>552576.26999999979</v>
      </c>
      <c r="N32" t="s">
        <v>40</v>
      </c>
      <c r="O32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$32,"~","~~"),"*","~*"),"?","~?"))</f>
        <v>436295.15999999974</v>
      </c>
      <c r="P32">
        <f>RANK($O$32,$O$30:$O$39,0)+COUNTIF($O$30:O32,$O$32)-1</f>
        <v>1</v>
      </c>
      <c r="Q32" t="str">
        <f>IFERROR(INDEX($N$30:$N$39,MATCH(3,$P$30:$P$39,0)),"")</f>
        <v>Eliza Fenicka</v>
      </c>
      <c r="R32" s="22">
        <f>IFERROR(INDEX($O$30:$O$39,MATCH(3,$P$30:$P$39,0)),0)</f>
        <v>359574.92</v>
      </c>
      <c r="T32" t="s">
        <v>50</v>
      </c>
      <c r="U32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$32,"~","~~"),"*","~*"),"?","~?"))</f>
        <v>31149.810000000012</v>
      </c>
      <c r="V32">
        <f>RANK($U$32,$U$30:$U$59,0)+COUNTIF($U$30:U32,$U$32)-1</f>
        <v>22</v>
      </c>
      <c r="W32" t="str">
        <f>IFERROR(INDEX($T$30:$T$59,MATCH(3,$V$30:$V$59,0)),"")</f>
        <v>Hub Nexa 05</v>
      </c>
      <c r="X32" s="22">
        <f>IFERROR(INDEX($U$30:$U$59,MATCH(3,$V$30:$V$59,0)),0)</f>
        <v>256348.34000000005</v>
      </c>
    </row>
    <row r="33" spans="1:24" x14ac:dyDescent="0.3">
      <c r="A33" s="21">
        <f>DATE($B$2,4,1)</f>
        <v>46113</v>
      </c>
      <c r="B33" s="23">
        <f>SUMIFS(tblSprzedaz[Przychód netto],tblSprzedaz[Data],"&gt;="&amp;MAX(A33,$B$6),tblSprzedaz[Data],"&lt;="&amp;MIN(EOMONTH(A33,0),$B$7),tblSprzedaz[Region],IF($B$4="Wszystkie","*",SUBSTITUTE(SUBSTITUTE(SUBSTITUTE($B$4,"~","~~"),"*","~*"),"?","~?")))</f>
        <v>237981.97999999992</v>
      </c>
      <c r="C33" s="24">
        <f>IFERROR(E33/B33,0)</f>
        <v>0.27129247348895924</v>
      </c>
      <c r="D33" s="23">
        <f>SUMIFS(tblCele[Cel przychodowy],tblCele[Rok],$B$2,tblCele[Miesiąc],MONTH(A33),tblCele[Region],IF($B$4="Wszystkie","*",SUBSTITUTE(SUBSTITUTE(SUBSTITUTE($B$4,"~","~~"),"*","~*"),"?","~?")))*MAX(0,MIN(EOMONTH(A33,0),$B$7)-MAX(A33,$B$6)+1)/DAY(EOMONTH(A33,0))</f>
        <v>240000</v>
      </c>
      <c r="E33" s="23">
        <f>SUMIFS(tblSprzedaz[Marża kwotowa],tblSprzedaz[Data],"&gt;="&amp;MAX(A33,$B$6),tblSprzedaz[Data],"&lt;="&amp;MIN(EOMONTH(A33,0),$B$7),tblSprzedaz[Region],IF($B$4="Wszystkie","*",SUBSTITUTE(SUBSTITUTE(SUBSTITUTE($B$4,"~","~~"),"*","~*"),"?","~?")))</f>
        <v>64562.720000000008</v>
      </c>
      <c r="F33" s="23">
        <f>SUMIFS(tblCele[Cel marżowy],tblCele[Rok],$B$2,tblCele[Miesiąc],MONTH(A33),tblCele[Region],IF($B$4="Wszystkie","*",SUBSTITUTE(SUBSTITUTE(SUBSTITUTE($B$4,"~","~~"),"*","~*"),"?","~?")))*MAX(0,MIN(EOMONTH(A33,0),$B$7)-MAX(A33,$B$6)+1)/DAY(EOMONTH(A33,0))</f>
        <v>67200</v>
      </c>
      <c r="G33">
        <f>IF(OR(A33&gt;$B$7,EOMONTH(A33,0)&lt;$B$6),0,MAX(0,IF($B$4="Wszystkie",COUNTA(lstRegiony),1)-COUNTIFS(tblCele[Rok],$B$2,tblCele[Miesiąc],MONTH(A33),tblCele[Region],IF($B$4="Wszystkie","*",SUBSTITUTE(SUBSTITUTE(SUBSTITUTE($B$4,"~","~~"),"*","~*"),"?","~?")))))</f>
        <v>0</v>
      </c>
      <c r="H33" t="s">
        <v>34</v>
      </c>
      <c r="I33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netto],tblSprzedaz[Data],"&gt;="&amp;$B$6,tblSprzedaz[Data],"&lt;="&amp;$B$7,tblSprzedaz[Region],IF($B$4="Wszystkie","*",SUBSTITUTE(SUBSTITUTE(SUBSTITUTE($B$4,"~","~~"),"*","~*"),"?","~?")),tblSprzedaz[Region],SUBSTITUTE(SUBSTITUTE(SUBSTITUTE($H$33,"~","~~"),"*","~*"),"?","~?"))</f>
        <v>217746.42000000004</v>
      </c>
      <c r="J33">
        <f>RANK($I$33,$I$30:$I$34,0)+COUNTIF($I$30:I33,$I$33)-1</f>
        <v>5</v>
      </c>
      <c r="K33" t="str">
        <f>IFERROR(INDEX($H$30:$H$34,MATCH(4,$J$30:$J$34,0)),"")</f>
        <v>Północ</v>
      </c>
      <c r="L33" s="22">
        <f>IFERROR(INDEX($I$30:$I$34,MATCH(4,$J$30:$J$34,0)),0)</f>
        <v>461515.55</v>
      </c>
      <c r="N33" t="s">
        <v>41</v>
      </c>
      <c r="O33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$33,"~","~~"),"*","~*"),"?","~?"))</f>
        <v>223238.22999999998</v>
      </c>
      <c r="P33">
        <f>RANK($O$33,$O$30:$O$39,0)+COUNTIF($O$30:O33,$O$33)-1</f>
        <v>6</v>
      </c>
      <c r="Q33" t="str">
        <f>IFERROR(INDEX($N$30:$N$39,MATCH(4,$P$30:$P$39,0)),"")</f>
        <v>Ada Welnicka</v>
      </c>
      <c r="R33" s="22">
        <f>IFERROR(INDEX($O$30:$O$39,MATCH(4,$P$30:$P$39,0)),0)</f>
        <v>300427.16000000015</v>
      </c>
      <c r="T33" t="s">
        <v>51</v>
      </c>
      <c r="U33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$33,"~","~~"),"*","~*"),"?","~?"))</f>
        <v>13665.449999999999</v>
      </c>
      <c r="V33">
        <f>RANK($U$33,$U$30:$U$59,0)+COUNTIF($U$30:U33,$U$33)-1</f>
        <v>28</v>
      </c>
      <c r="W33" t="str">
        <f>IFERROR(INDEX($T$30:$T$59,MATCH(4,$V$30:$V$59,0)),"")</f>
        <v>Hub Nexa 02</v>
      </c>
      <c r="X33" s="22">
        <f>IFERROR(INDEX($U$30:$U$59,MATCH(4,$V$30:$V$59,0)),0)</f>
        <v>189588.07999999996</v>
      </c>
    </row>
    <row r="34" spans="1:24" x14ac:dyDescent="0.3">
      <c r="A34" s="21">
        <f>DATE($B$2,5,1)</f>
        <v>46143</v>
      </c>
      <c r="B34" s="23">
        <f>SUMIFS(tblSprzedaz[Przychód netto],tblSprzedaz[Data],"&gt;="&amp;MAX(A34,$B$6),tblSprzedaz[Data],"&lt;="&amp;MIN(EOMONTH(A34,0),$B$7),tblSprzedaz[Region],IF($B$4="Wszystkie","*",SUBSTITUTE(SUBSTITUTE(SUBSTITUTE($B$4,"~","~~"),"*","~*"),"?","~?")))</f>
        <v>333148.30000000005</v>
      </c>
      <c r="C34" s="24">
        <f>IFERROR(E34/B34,0)</f>
        <v>0.27849225104855702</v>
      </c>
      <c r="D34" s="23">
        <f>SUMIFS(tblCele[Cel przychodowy],tblCele[Rok],$B$2,tblCele[Miesiąc],MONTH(A34),tblCele[Region],IF($B$4="Wszystkie","*",SUBSTITUTE(SUBSTITUTE(SUBSTITUTE($B$4,"~","~~"),"*","~*"),"?","~?")))*MAX(0,MIN(EOMONTH(A34,0),$B$7)-MAX(A34,$B$6)+1)/DAY(EOMONTH(A34,0))</f>
        <v>337100</v>
      </c>
      <c r="E34" s="23">
        <f>SUMIFS(tblSprzedaz[Marża kwotowa],tblSprzedaz[Data],"&gt;="&amp;MAX(A34,$B$6),tblSprzedaz[Data],"&lt;="&amp;MIN(EOMONTH(A34,0),$B$7),tblSprzedaz[Region],IF($B$4="Wszystkie","*",SUBSTITUTE(SUBSTITUTE(SUBSTITUTE($B$4,"~","~~"),"*","~*"),"?","~?")))</f>
        <v>92779.22</v>
      </c>
      <c r="F34" s="23">
        <f>SUMIFS(tblCele[Cel marżowy],tblCele[Rok],$B$2,tblCele[Miesiąc],MONTH(A34),tblCele[Region],IF($B$4="Wszystkie","*",SUBSTITUTE(SUBSTITUTE(SUBSTITUTE($B$4,"~","~~"),"*","~*"),"?","~?")))*MAX(0,MIN(EOMONTH(A34,0),$B$7)-MAX(A34,$B$6)+1)/DAY(EOMONTH(A34,0))</f>
        <v>94300</v>
      </c>
      <c r="G34">
        <f>IF(OR(A34&gt;$B$7,EOMONTH(A34,0)&lt;$B$6),0,MAX(0,IF($B$4="Wszystkie",COUNTA(lstRegiony),1)-COUNTIFS(tblCele[Rok],$B$2,tblCele[Miesiąc],MONTH(A34),tblCele[Region],IF($B$4="Wszystkie","*",SUBSTITUTE(SUBSTITUTE(SUBSTITUTE($B$4,"~","~~"),"*","~*"),"?","~?")))))</f>
        <v>0</v>
      </c>
      <c r="H34" t="s">
        <v>36</v>
      </c>
      <c r="I34">
        <f>SUMIFS(tblSprzedaz[Przychód netto],tblSprzedaz[Data],"&gt;="&amp;$B$6,tblSprzedaz[Data],"&lt;="&amp;$B$7,tblSprzedaz[Region],IF($B$4="Wszystkie","*",SUBSTITUTE(SUBSTITUTE(SUBSTITUTE($B$4,"~","~~"),"*","~*"),"?","~?")),tblSprzedaz[Region],SUBSTITUTE(SUBSTITUTE(SUBSTITUTE($H$34,"~","~~"),"*","~*"),"?","~?"))</f>
        <v>638995.08999999985</v>
      </c>
      <c r="J34">
        <f>RANK($I$34,$I$30:$I$34,0)+COUNTIF($I$30:I34,$I$34)-1</f>
        <v>2</v>
      </c>
      <c r="K34" t="str">
        <f>IFERROR(INDEX($H$30:$H$34,MATCH(5,$J$30:$J$34,0)),"")</f>
        <v>Wschód</v>
      </c>
      <c r="L34" s="22">
        <f>IFERROR(INDEX($I$30:$I$34,MATCH(5,$J$30:$J$34,0)),0)</f>
        <v>217746.42000000004</v>
      </c>
      <c r="N34" t="s">
        <v>42</v>
      </c>
      <c r="O34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$34,"~","~~"),"*","~*"),"?","~?"))</f>
        <v>359574.92</v>
      </c>
      <c r="P34">
        <f>RANK($O$34,$O$30:$O$39,0)+COUNTIF($O$30:O34,$O$34)-1</f>
        <v>3</v>
      </c>
      <c r="Q34" t="str">
        <f>IFERROR(INDEX($N$30:$N$39,MATCH(5,$P$30:$P$39,0)),"")</f>
        <v>Jan Rulwicki</v>
      </c>
      <c r="R34" s="22">
        <f>IFERROR(INDEX($O$30:$O$39,MATCH(5,$P$30:$P$39,0)),0)</f>
        <v>263918.99000000011</v>
      </c>
      <c r="T34" t="s">
        <v>52</v>
      </c>
      <c r="U34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$34,"~","~~"),"*","~*"),"?","~?"))</f>
        <v>24043.49</v>
      </c>
      <c r="V34">
        <f>RANK($U$34,$U$30:$U$59,0)+COUNTIF($U$30:U34,$U$34)-1</f>
        <v>25</v>
      </c>
      <c r="W34" t="str">
        <f>IFERROR(INDEX($T$30:$T$59,MATCH(5,$V$30:$V$59,0)),"")</f>
        <v>Hub Nexa 01</v>
      </c>
      <c r="X34" s="22">
        <f>IFERROR(INDEX($U$30:$U$59,MATCH(5,$V$30:$V$59,0)),0)</f>
        <v>176558.58</v>
      </c>
    </row>
    <row r="35" spans="1:24" x14ac:dyDescent="0.3">
      <c r="A35" s="21">
        <f>DATE($B$2,6,1)</f>
        <v>46174</v>
      </c>
      <c r="B35" s="23">
        <f>SUMIFS(tblSprzedaz[Przychód netto],tblSprzedaz[Data],"&gt;="&amp;MAX(A35,$B$6),tblSprzedaz[Data],"&lt;="&amp;MIN(EOMONTH(A35,0),$B$7),tblSprzedaz[Region],IF($B$4="Wszystkie","*",SUBSTITUTE(SUBSTITUTE(SUBSTITUTE($B$4,"~","~~"),"*","~*"),"?","~?")))</f>
        <v>368065.54000000004</v>
      </c>
      <c r="C35" s="24">
        <f>IFERROR(E35/B35,0)</f>
        <v>0.28481503593082896</v>
      </c>
      <c r="D35" s="23">
        <f>SUMIFS(tblCele[Cel przychodowy],tblCele[Rok],$B$2,tblCele[Miesiąc],MONTH(A35),tblCele[Region],IF($B$4="Wszystkie","*",SUBSTITUTE(SUBSTITUTE(SUBSTITUTE($B$4,"~","~~"),"*","~*"),"?","~?")))*MAX(0,MIN(EOMONTH(A35,0),$B$7)-MAX(A35,$B$6)+1)/DAY(EOMONTH(A35,0))</f>
        <v>373000</v>
      </c>
      <c r="E35" s="23">
        <f>SUMIFS(tblSprzedaz[Marża kwotowa],tblSprzedaz[Data],"&gt;="&amp;MAX(A35,$B$6),tblSprzedaz[Data],"&lt;="&amp;MIN(EOMONTH(A35,0),$B$7),tblSprzedaz[Region],IF($B$4="Wszystkie","*",SUBSTITUTE(SUBSTITUTE(SUBSTITUTE($B$4,"~","~~"),"*","~*"),"?","~?")))</f>
        <v>104830.59999999998</v>
      </c>
      <c r="F35" s="23">
        <f>SUMIFS(tblCele[Cel marżowy],tblCele[Rok],$B$2,tblCele[Miesiąc],MONTH(A35),tblCele[Region],IF($B$4="Wszystkie","*",SUBSTITUTE(SUBSTITUTE(SUBSTITUTE($B$4,"~","~~"),"*","~*"),"?","~?")))*MAX(0,MIN(EOMONTH(A35,0),$B$7)-MAX(A35,$B$6)+1)/DAY(EOMONTH(A35,0))</f>
        <v>104500</v>
      </c>
      <c r="G35">
        <f>IF(OR(A35&gt;$B$7,EOMONTH(A35,0)&lt;$B$6),0,MAX(0,IF($B$4="Wszystkie",COUNTA(lstRegiony),1)-COUNTIFS(tblCele[Rok],$B$2,tblCele[Miesiąc],MONTH(A35),tblCele[Region],IF($B$4="Wszystkie","*",SUBSTITUTE(SUBSTITUTE(SUBSTITUTE($B$4,"~","~~"),"*","~*"),"?","~?")))))</f>
        <v>0</v>
      </c>
      <c r="N35" t="s">
        <v>43</v>
      </c>
      <c r="O35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$35,"~","~~"),"*","~*"),"?","~?"))</f>
        <v>193001.35000000003</v>
      </c>
      <c r="P35">
        <f>RANK($O$35,$O$30:$O$39,0)+COUNTIF($O$30:O35,$O$35)-1</f>
        <v>7</v>
      </c>
      <c r="Q35" t="str">
        <f>IFERROR(INDEX($N$30:$N$39,MATCH(6,$P$30:$P$39,0)),"")</f>
        <v>Damian Lurawski</v>
      </c>
      <c r="R35" s="22">
        <f>IFERROR(INDEX($O$30:$O$39,MATCH(6,$P$30:$P$39,0)),0)</f>
        <v>223238.22999999998</v>
      </c>
      <c r="T35" t="s">
        <v>53</v>
      </c>
      <c r="U35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$35,"~","~~"),"*","~*"),"?","~?"))</f>
        <v>13386.580000000004</v>
      </c>
      <c r="V35">
        <f>RANK($U$35,$U$30:$U$59,0)+COUNTIF($U$30:U35,$U$35)-1</f>
        <v>29</v>
      </c>
      <c r="W35" t="str">
        <f>IFERROR(INDEX($T$30:$T$59,MATCH(6,$V$30:$V$59,0)),"")</f>
        <v>Hub Nexa 06</v>
      </c>
      <c r="X35" s="22">
        <f>IFERROR(INDEX($U$30:$U$59,MATCH(6,$V$30:$V$59,0)),0)</f>
        <v>138979.34000000003</v>
      </c>
    </row>
    <row r="36" spans="1:24" x14ac:dyDescent="0.3">
      <c r="A36" s="21">
        <f>DATE($B$2,7,1)</f>
        <v>46204</v>
      </c>
      <c r="B36" s="23">
        <f>SUMIFS(tblSprzedaz[Przychód netto],tblSprzedaz[Data],"&gt;="&amp;MAX(A36,$B$6),tblSprzedaz[Data],"&lt;="&amp;MIN(EOMONTH(A36,0),$B$7),tblSprzedaz[Region],IF($B$4="Wszystkie","*",SUBSTITUTE(SUBSTITUTE(SUBSTITUTE($B$4,"~","~~"),"*","~*"),"?","~?")))</f>
        <v>122687.01999999996</v>
      </c>
      <c r="C36" s="24">
        <f>IFERROR(E36/B36,0)</f>
        <v>0.27630420887229973</v>
      </c>
      <c r="D36" s="23">
        <f>SUMIFS(tblCele[Cel przychodowy],tblCele[Rok],$B$2,tblCele[Miesiąc],MONTH(A36),tblCele[Region],IF($B$4="Wszystkie","*",SUBSTITUTE(SUBSTITUTE(SUBSTITUTE($B$4,"~","~~"),"*","~*"),"?","~?")))*MAX(0,MIN(EOMONTH(A36,0),$B$7)-MAX(A36,$B$6)+1)/DAY(EOMONTH(A36,0))</f>
        <v>125300</v>
      </c>
      <c r="E36" s="23">
        <f>SUMIFS(tblSprzedaz[Marża kwotowa],tblSprzedaz[Data],"&gt;="&amp;MAX(A36,$B$6),tblSprzedaz[Data],"&lt;="&amp;MIN(EOMONTH(A36,0),$B$7),tblSprzedaz[Region],IF($B$4="Wszystkie","*",SUBSTITUTE(SUBSTITUTE(SUBSTITUTE($B$4,"~","~~"),"*","~*"),"?","~?")))</f>
        <v>33898.94</v>
      </c>
      <c r="F36" s="23">
        <f>SUMIFS(tblCele[Cel marżowy],tblCele[Rok],$B$2,tblCele[Miesiąc],MONTH(A36),tblCele[Region],IF($B$4="Wszystkie","*",SUBSTITUTE(SUBSTITUTE(SUBSTITUTE($B$4,"~","~~"),"*","~*"),"?","~?")))*MAX(0,MIN(EOMONTH(A36,0),$B$7)-MAX(A36,$B$6)+1)/DAY(EOMONTH(A36,0))</f>
        <v>35000</v>
      </c>
      <c r="G36">
        <f>IF(OR(A36&gt;$B$7,EOMONTH(A36,0)&lt;$B$6),0,MAX(0,IF($B$4="Wszystkie",COUNTA(lstRegiony),1)-COUNTIFS(tblCele[Rok],$B$2,tblCele[Miesiąc],MONTH(A36),tblCele[Region],IF($B$4="Wszystkie","*",SUBSTITUTE(SUBSTITUTE(SUBSTITUTE($B$4,"~","~~"),"*","~*"),"?","~?")))))</f>
        <v>0</v>
      </c>
      <c r="N36" t="s">
        <v>44</v>
      </c>
      <c r="O36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$36,"~","~~"),"*","~*"),"?","~?"))</f>
        <v>131410.03999999998</v>
      </c>
      <c r="P36">
        <f>RANK($O$36,$O$30:$O$39,0)+COUNTIF($O$30:O36,$O$36)-1</f>
        <v>9</v>
      </c>
      <c r="Q36" t="str">
        <f>IFERROR(INDEX($N$30:$N$39,MATCH(7,$P$30:$P$39,0)),"")</f>
        <v>Feliks Borwian</v>
      </c>
      <c r="R36" s="22">
        <f>IFERROR(INDEX($O$30:$O$39,MATCH(7,$P$30:$P$39,0)),0)</f>
        <v>193001.35000000003</v>
      </c>
      <c r="T36" t="s">
        <v>54</v>
      </c>
      <c r="U36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$36,"~","~~"),"*","~*"),"?","~?"))</f>
        <v>74792.060000000012</v>
      </c>
      <c r="V36">
        <f>RANK($U$36,$U$30:$U$59,0)+COUNTIF($U$30:U36,$U$36)-1</f>
        <v>11</v>
      </c>
      <c r="W36" t="str">
        <f>IFERROR(INDEX($T$30:$T$59,MATCH(7,$V$30:$V$59,0)),"")</f>
        <v>Podpora Ergo 05</v>
      </c>
      <c r="X36" s="22">
        <f>IFERROR(INDEX($U$30:$U$59,MATCH(7,$V$30:$V$59,0)),0)</f>
        <v>128531.56999999999</v>
      </c>
    </row>
    <row r="37" spans="1:24" x14ac:dyDescent="0.3">
      <c r="A37" s="21">
        <f>DATE($B$2,8,1)</f>
        <v>46235</v>
      </c>
      <c r="B37" s="23">
        <f>SUMIFS(tblSprzedaz[Przychód netto],tblSprzedaz[Data],"&gt;="&amp;MAX(A37,$B$6),tblSprzedaz[Data],"&lt;="&amp;MIN(EOMONTH(A37,0),$B$7),tblSprzedaz[Region],IF($B$4="Wszystkie","*",SUBSTITUTE(SUBSTITUTE(SUBSTITUTE($B$4,"~","~~"),"*","~*"),"?","~?")))</f>
        <v>265797.71999999997</v>
      </c>
      <c r="C37" s="24">
        <f>IFERROR(E37/B37,0)</f>
        <v>0.29069884421882936</v>
      </c>
      <c r="D37" s="23">
        <f>SUMIFS(tblCele[Cel przychodowy],tblCele[Rok],$B$2,tblCele[Miesiąc],MONTH(A37),tblCele[Region],IF($B$4="Wszystkie","*",SUBSTITUTE(SUBSTITUTE(SUBSTITUTE($B$4,"~","~~"),"*","~*"),"?","~?")))*MAX(0,MIN(EOMONTH(A37,0),$B$7)-MAX(A37,$B$6)+1)/DAY(EOMONTH(A37,0))</f>
        <v>269500</v>
      </c>
      <c r="E37" s="23">
        <f>SUMIFS(tblSprzedaz[Marża kwotowa],tblSprzedaz[Data],"&gt;="&amp;MAX(A37,$B$6),tblSprzedaz[Data],"&lt;="&amp;MIN(EOMONTH(A37,0),$B$7),tblSprzedaz[Region],IF($B$4="Wszystkie","*",SUBSTITUTE(SUBSTITUTE(SUBSTITUTE($B$4,"~","~~"),"*","~*"),"?","~?")))</f>
        <v>77267.090000000011</v>
      </c>
      <c r="F37" s="23">
        <f>SUMIFS(tblCele[Cel marżowy],tblCele[Rok],$B$2,tblCele[Miesiąc],MONTH(A37),tblCele[Region],IF($B$4="Wszystkie","*",SUBSTITUTE(SUBSTITUTE(SUBSTITUTE($B$4,"~","~~"),"*","~*"),"?","~?")))*MAX(0,MIN(EOMONTH(A37,0),$B$7)-MAX(A37,$B$6)+1)/DAY(EOMONTH(A37,0))</f>
        <v>75500</v>
      </c>
      <c r="G37">
        <f>IF(OR(A37&gt;$B$7,EOMONTH(A37,0)&lt;$B$6),0,MAX(0,IF($B$4="Wszystkie",COUNTA(lstRegiony),1)-COUNTIFS(tblCele[Rok],$B$2,tblCele[Miesiąc],MONTH(A37),tblCele[Region],IF($B$4="Wszystkie","*",SUBSTITUTE(SUBSTITUTE(SUBSTITUTE($B$4,"~","~~"),"*","~*"),"?","~?")))))</f>
        <v>0</v>
      </c>
      <c r="N37" t="s">
        <v>45</v>
      </c>
      <c r="O37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$37,"~","~~"),"*","~*"),"?","~?"))</f>
        <v>86336.38</v>
      </c>
      <c r="P37">
        <f>RANK($O$37,$O$30:$O$39,0)+COUNTIF($O$30:O37,$O$37)-1</f>
        <v>10</v>
      </c>
      <c r="Q37" t="str">
        <f>IFERROR(INDEX($N$30:$N$39,MATCH(8,$P$30:$P$39,0)),"")</f>
        <v>Bruno Terski</v>
      </c>
      <c r="R37" s="22">
        <f>IFERROR(INDEX($O$30:$O$39,MATCH(8,$P$30:$P$39,0)),0)</f>
        <v>161088.38999999996</v>
      </c>
      <c r="T37" t="s">
        <v>55</v>
      </c>
      <c r="U37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$37,"~","~~"),"*","~*"),"?","~?"))</f>
        <v>81910.499999999985</v>
      </c>
      <c r="V37">
        <f>RANK($U$37,$U$30:$U$59,0)+COUNTIF($U$30:U37,$U$37)-1</f>
        <v>10</v>
      </c>
      <c r="W37" t="str">
        <f>IFERROR(INDEX($T$30:$T$59,MATCH(8,$V$30:$V$59,0)),"")</f>
        <v>Podpora Ergo 03</v>
      </c>
      <c r="X37" s="22">
        <f>IFERROR(INDEX($U$30:$U$59,MATCH(8,$V$30:$V$59,0)),0)</f>
        <v>115155.43000000001</v>
      </c>
    </row>
    <row r="38" spans="1:24" x14ac:dyDescent="0.3">
      <c r="A38" s="21">
        <f>DATE($B$2,9,1)</f>
        <v>46266</v>
      </c>
      <c r="B38" s="23">
        <f>SUMIFS(tblSprzedaz[Przychód netto],tblSprzedaz[Data],"&gt;="&amp;MAX(A38,$B$6),tblSprzedaz[Data],"&lt;="&amp;MIN(EOMONTH(A38,0),$B$7),tblSprzedaz[Region],IF($B$4="Wszystkie","*",SUBSTITUTE(SUBSTITUTE(SUBSTITUTE($B$4,"~","~~"),"*","~*"),"?","~?")))</f>
        <v>470502.71000000008</v>
      </c>
      <c r="C38" s="24">
        <f>IFERROR(E38/B38,0)</f>
        <v>0.26186960750980592</v>
      </c>
      <c r="D38" s="23">
        <f>SUMIFS(tblCele[Cel przychodowy],tblCele[Rok],$B$2,tblCele[Miesiąc],MONTH(A38),tblCele[Region],IF($B$4="Wszystkie","*",SUBSTITUTE(SUBSTITUTE(SUBSTITUTE($B$4,"~","~~"),"*","~*"),"?","~?")))*MAX(0,MIN(EOMONTH(A38,0),$B$7)-MAX(A38,$B$6)+1)/DAY(EOMONTH(A38,0))</f>
        <v>476200</v>
      </c>
      <c r="E38" s="23">
        <f>SUMIFS(tblSprzedaz[Marża kwotowa],tblSprzedaz[Data],"&gt;="&amp;MAX(A38,$B$6),tblSprzedaz[Data],"&lt;="&amp;MIN(EOMONTH(A38,0),$B$7),tblSprzedaz[Region],IF($B$4="Wszystkie","*",SUBSTITUTE(SUBSTITUTE(SUBSTITUTE($B$4,"~","~~"),"*","~*"),"?","~?")))</f>
        <v>123210.36000000006</v>
      </c>
      <c r="F38" s="23">
        <f>SUMIFS(tblCele[Cel marżowy],tblCele[Rok],$B$2,tblCele[Miesiąc],MONTH(A38),tblCele[Region],IF($B$4="Wszystkie","*",SUBSTITUTE(SUBSTITUTE(SUBSTITUTE($B$4,"~","~~"),"*","~*"),"?","~?")))*MAX(0,MIN(EOMONTH(A38,0),$B$7)-MAX(A38,$B$6)+1)/DAY(EOMONTH(A38,0))</f>
        <v>133400</v>
      </c>
      <c r="G38">
        <f>IF(OR(A38&gt;$B$7,EOMONTH(A38,0)&lt;$B$6),0,MAX(0,IF($B$4="Wszystkie",COUNTA(lstRegiony),1)-COUNTIFS(tblCele[Rok],$B$2,tblCele[Miesiąc],MONTH(A38),tblCele[Region],IF($B$4="Wszystkie","*",SUBSTITUTE(SUBSTITUTE(SUBSTITUTE($B$4,"~","~~"),"*","~*"),"?","~?")))))</f>
        <v>0</v>
      </c>
      <c r="N38" t="s">
        <v>46</v>
      </c>
      <c r="O38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$38,"~","~~"),"*","~*"),"?","~?"))</f>
        <v>375076.10000000015</v>
      </c>
      <c r="P38">
        <f>RANK($O$38,$O$30:$O$39,0)+COUNTIF($O$30:O38,$O$38)-1</f>
        <v>2</v>
      </c>
      <c r="Q38" t="str">
        <f>IFERROR(INDEX($N$30:$N$39,MATCH(9,$P$30:$P$39,0)),"")</f>
        <v>Gaja Mernicka</v>
      </c>
      <c r="R38" s="22">
        <f>IFERROR(INDEX($O$30:$O$39,MATCH(9,$P$30:$P$39,0)),0)</f>
        <v>131410.03999999998</v>
      </c>
      <c r="T38" t="s">
        <v>56</v>
      </c>
      <c r="U38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$38,"~","~~"),"*","~*"),"?","~?"))</f>
        <v>115155.43000000001</v>
      </c>
      <c r="V38">
        <f>RANK($U$38,$U$30:$U$59,0)+COUNTIF($U$30:U38,$U$38)-1</f>
        <v>8</v>
      </c>
      <c r="W38" t="str">
        <f>IFERROR(INDEX($T$30:$T$59,MATCH(9,$V$30:$V$59,0)),"")</f>
        <v>Podpora Ergo 04</v>
      </c>
      <c r="X38" s="22">
        <f>IFERROR(INDEX($U$30:$U$59,MATCH(9,$V$30:$V$59,0)),0)</f>
        <v>88326</v>
      </c>
    </row>
    <row r="39" spans="1:24" x14ac:dyDescent="0.3">
      <c r="A39" s="21">
        <f>DATE($B$2,10,1)</f>
        <v>46296</v>
      </c>
      <c r="B39" s="23">
        <f>SUMIFS(tblSprzedaz[Przychód netto],tblSprzedaz[Data],"&gt;="&amp;MAX(A39,$B$6),tblSprzedaz[Data],"&lt;="&amp;MIN(EOMONTH(A39,0),$B$7),tblSprzedaz[Region],IF($B$4="Wszystkie","*",SUBSTITUTE(SUBSTITUTE(SUBSTITUTE($B$4,"~","~~"),"*","~*"),"?","~?")))</f>
        <v>142663.96</v>
      </c>
      <c r="C39" s="24">
        <f>IFERROR(E39/B39,0)</f>
        <v>0.28355458519446669</v>
      </c>
      <c r="D39" s="23">
        <f>SUMIFS(tblCele[Cel przychodowy],tblCele[Rok],$B$2,tblCele[Miesiąc],MONTH(A39),tblCele[Region],IF($B$4="Wszystkie","*",SUBSTITUTE(SUBSTITUTE(SUBSTITUTE($B$4,"~","~~"),"*","~*"),"?","~?")))*MAX(0,MIN(EOMONTH(A39,0),$B$7)-MAX(A39,$B$6)+1)/DAY(EOMONTH(A39,0))</f>
        <v>145422.5806451613</v>
      </c>
      <c r="E39" s="23">
        <f>SUMIFS(tblSprzedaz[Marża kwotowa],tblSprzedaz[Data],"&gt;="&amp;MAX(A39,$B$6),tblSprzedaz[Data],"&lt;="&amp;MIN(EOMONTH(A39,0),$B$7),tblSprzedaz[Region],IF($B$4="Wszystkie","*",SUBSTITUTE(SUBSTITUTE(SUBSTITUTE($B$4,"~","~~"),"*","~*"),"?","~?")))</f>
        <v>40453.019999999982</v>
      </c>
      <c r="F39" s="23">
        <f>SUMIFS(tblCele[Cel marżowy],tblCele[Rok],$B$2,tblCele[Miesiąc],MONTH(A39),tblCele[Region],IF($B$4="Wszystkie","*",SUBSTITUTE(SUBSTITUTE(SUBSTITUTE($B$4,"~","~~"),"*","~*"),"?","~?")))*MAX(0,MIN(EOMONTH(A39,0),$B$7)-MAX(A39,$B$6)+1)/DAY(EOMONTH(A39,0))</f>
        <v>40703.225806451614</v>
      </c>
      <c r="G39">
        <f>IF(OR(A39&gt;$B$7,EOMONTH(A39,0)&lt;$B$6),0,MAX(0,IF($B$4="Wszystkie",COUNTA(lstRegiony),1)-COUNTIFS(tblCele[Rok],$B$2,tblCele[Miesiąc],MONTH(A39),tblCele[Region],IF($B$4="Wszystkie","*",SUBSTITUTE(SUBSTITUTE(SUBSTITUTE($B$4,"~","~~"),"*","~*"),"?","~?")))))</f>
        <v>0</v>
      </c>
      <c r="N39" t="s">
        <v>47</v>
      </c>
      <c r="O39">
        <f>SUMIFS(tblSprzedaz[Przychód netto],tblSprzedaz[Data],"&gt;="&amp;$B$6,tblSprzedaz[Data],"&lt;="&amp;$B$7,tblSprzedaz[Region],IF($B$4="Wszystkie","*",SUBSTITUTE(SUBSTITUTE(SUBSTITUTE($B$4,"~","~~"),"*","~*"),"?","~?")),tblSprzedaz[Handlowiec],SUBSTITUTE(SUBSTITUTE(SUBSTITUTE($N$39,"~","~~"),"*","~*"),"?","~?"))</f>
        <v>263918.99000000011</v>
      </c>
      <c r="P39">
        <f>RANK($O$39,$O$30:$O$39,0)+COUNTIF($O$30:O39,$O$39)-1</f>
        <v>5</v>
      </c>
      <c r="Q39" t="str">
        <f>IFERROR(INDEX($N$30:$N$39,MATCH(10,$P$30:$P$39,0)),"")</f>
        <v>Hubert Selwicki</v>
      </c>
      <c r="R39" s="22">
        <f>IFERROR(INDEX($O$30:$O$39,MATCH(10,$P$30:$P$39,0)),0)</f>
        <v>86336.38</v>
      </c>
      <c r="T39" t="s">
        <v>57</v>
      </c>
      <c r="U39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$39,"~","~~"),"*","~*"),"?","~?"))</f>
        <v>88326</v>
      </c>
      <c r="V39">
        <f>RANK($U$39,$U$30:$U$59,0)+COUNTIF($U$30:U39,$U$39)-1</f>
        <v>9</v>
      </c>
      <c r="W39" t="str">
        <f>IFERROR(INDEX($T$30:$T$59,MATCH(10,$V$30:$V$59,0)),"")</f>
        <v>Podpora Ergo 02</v>
      </c>
      <c r="X39" s="22">
        <f>IFERROR(INDEX($U$30:$U$59,MATCH(10,$V$30:$V$59,0)),0)</f>
        <v>81910.499999999985</v>
      </c>
    </row>
    <row r="40" spans="1:24" x14ac:dyDescent="0.3">
      <c r="A40" s="21">
        <f>DATE($B$2,11,1)</f>
        <v>46327</v>
      </c>
      <c r="B40" s="23">
        <f>SUMIFS(tblSprzedaz[Przychód netto],tblSprzedaz[Data],"&gt;="&amp;MAX(A40,$B$6),tblSprzedaz[Data],"&lt;="&amp;MIN(EOMONTH(A40,0),$B$7),tblSprzedaz[Region],IF($B$4="Wszystkie","*",SUBSTITUTE(SUBSTITUTE(SUBSTITUTE($B$4,"~","~~"),"*","~*"),"?","~?")))</f>
        <v>0</v>
      </c>
      <c r="C40" s="24">
        <f>IFERROR(E40/B40,0)</f>
        <v>0</v>
      </c>
      <c r="D40" s="23">
        <f>SUMIFS(tblCele[Cel przychodowy],tblCele[Rok],$B$2,tblCele[Miesiąc],MONTH(A40),tblCele[Region],IF($B$4="Wszystkie","*",SUBSTITUTE(SUBSTITUTE(SUBSTITUTE($B$4,"~","~~"),"*","~*"),"?","~?")))*MAX(0,MIN(EOMONTH(A40,0),$B$7)-MAX(A40,$B$6)+1)/DAY(EOMONTH(A40,0))</f>
        <v>0</v>
      </c>
      <c r="E40" s="23">
        <f>SUMIFS(tblSprzedaz[Marża kwotowa],tblSprzedaz[Data],"&gt;="&amp;MAX(A40,$B$6),tblSprzedaz[Data],"&lt;="&amp;MIN(EOMONTH(A40,0),$B$7),tblSprzedaz[Region],IF($B$4="Wszystkie","*",SUBSTITUTE(SUBSTITUTE(SUBSTITUTE($B$4,"~","~~"),"*","~*"),"?","~?")))</f>
        <v>0</v>
      </c>
      <c r="F40" s="23">
        <f>SUMIFS(tblCele[Cel marżowy],tblCele[Rok],$B$2,tblCele[Miesiąc],MONTH(A40),tblCele[Region],IF($B$4="Wszystkie","*",SUBSTITUTE(SUBSTITUTE(SUBSTITUTE($B$4,"~","~~"),"*","~*"),"?","~?")))*MAX(0,MIN(EOMONTH(A40,0),$B$7)-MAX(A40,$B$6)+1)/DAY(EOMONTH(A40,0))</f>
        <v>0</v>
      </c>
      <c r="G40">
        <f>IF(OR(A40&gt;$B$7,EOMONTH(A40,0)&lt;$B$6),0,MAX(0,IF($B$4="Wszystkie",COUNTA(lstRegiony),1)-COUNTIFS(tblCele[Rok],$B$2,tblCele[Miesiąc],MONTH(A40),tblCele[Region],IF($B$4="Wszystkie","*",SUBSTITUTE(SUBSTITUTE(SUBSTITUTE($B$4,"~","~~"),"*","~*"),"?","~?")))))</f>
        <v>0</v>
      </c>
      <c r="T40" t="s">
        <v>58</v>
      </c>
      <c r="U40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$40,"~","~~"),"*","~*"),"?","~?"))</f>
        <v>128531.56999999999</v>
      </c>
      <c r="V40">
        <f>RANK($U$40,$U$30:$U$59,0)+COUNTIF($U$30:U40,$U$40)-1</f>
        <v>7</v>
      </c>
      <c r="W40" t="str">
        <f>IFERROR(INDEX($T$30:$T$59,MATCH(11,$V$30:$V$59,0)),"")</f>
        <v>Podpora Ergo 01</v>
      </c>
      <c r="X40" s="22">
        <f>IFERROR(INDEX($U$30:$U$59,MATCH(11,$V$30:$V$59,0)),0)</f>
        <v>74792.060000000012</v>
      </c>
    </row>
    <row r="41" spans="1:24" x14ac:dyDescent="0.3">
      <c r="A41" s="21">
        <f>DATE($B$2,12,1)</f>
        <v>46357</v>
      </c>
      <c r="B41" s="23">
        <f>SUMIFS(tblSprzedaz[Przychód netto],tblSprzedaz[Data],"&gt;="&amp;MAX(A41,$B$6),tblSprzedaz[Data],"&lt;="&amp;MIN(EOMONTH(A41,0),$B$7),tblSprzedaz[Region],IF($B$4="Wszystkie","*",SUBSTITUTE(SUBSTITUTE(SUBSTITUTE($B$4,"~","~~"),"*","~*"),"?","~?")))</f>
        <v>0</v>
      </c>
      <c r="C41" s="24">
        <f>IFERROR(E41/B41,0)</f>
        <v>0</v>
      </c>
      <c r="D41" s="23">
        <f>SUMIFS(tblCele[Cel przychodowy],tblCele[Rok],$B$2,tblCele[Miesiąc],MONTH(A41),tblCele[Region],IF($B$4="Wszystkie","*",SUBSTITUTE(SUBSTITUTE(SUBSTITUTE($B$4,"~","~~"),"*","~*"),"?","~?")))*MAX(0,MIN(EOMONTH(A41,0),$B$7)-MAX(A41,$B$6)+1)/DAY(EOMONTH(A41,0))</f>
        <v>0</v>
      </c>
      <c r="E41" s="23">
        <f>SUMIFS(tblSprzedaz[Marża kwotowa],tblSprzedaz[Data],"&gt;="&amp;MAX(A41,$B$6),tblSprzedaz[Data],"&lt;="&amp;MIN(EOMONTH(A41,0),$B$7),tblSprzedaz[Region],IF($B$4="Wszystkie","*",SUBSTITUTE(SUBSTITUTE(SUBSTITUTE($B$4,"~","~~"),"*","~*"),"?","~?")))</f>
        <v>0</v>
      </c>
      <c r="F41" s="23">
        <f>SUMIFS(tblCele[Cel marżowy],tblCele[Rok],$B$2,tblCele[Miesiąc],MONTH(A41),tblCele[Region],IF($B$4="Wszystkie","*",SUBSTITUTE(SUBSTITUTE(SUBSTITUTE($B$4,"~","~~"),"*","~*"),"?","~?")))*MAX(0,MIN(EOMONTH(A41,0),$B$7)-MAX(A41,$B$6)+1)/DAY(EOMONTH(A41,0))</f>
        <v>0</v>
      </c>
      <c r="G41">
        <f>IF(OR(A41&gt;$B$7,EOMONTH(A41,0)&lt;$B$6),0,MAX(0,IF($B$4="Wszystkie",COUNTA(lstRegiony),1)-COUNTIFS(tblCele[Rok],$B$2,tblCele[Miesiąc],MONTH(A41),tblCele[Region],IF($B$4="Wszystkie","*",SUBSTITUTE(SUBSTITUTE(SUBSTITUTE($B$4,"~","~~"),"*","~*"),"?","~?")))))</f>
        <v>0</v>
      </c>
      <c r="T41" t="s">
        <v>59</v>
      </c>
      <c r="U41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$41,"~","~~"),"*","~*"),"?","~?"))</f>
        <v>56955.149999999994</v>
      </c>
      <c r="V41">
        <f>RANK($U$41,$U$30:$U$59,0)+COUNTIF($U$30:U41,$U$41)-1</f>
        <v>13</v>
      </c>
      <c r="W41" t="str">
        <f>IFERROR(INDEX($T$30:$T$59,MATCH(12,$V$30:$V$59,0)),"")</f>
        <v>Zestaw Mira 05</v>
      </c>
      <c r="X41" s="22">
        <f>IFERROR(INDEX($U$30:$U$59,MATCH(12,$V$30:$V$59,0)),0)</f>
        <v>66260.23</v>
      </c>
    </row>
    <row r="42" spans="1:24" x14ac:dyDescent="0.3">
      <c r="T42" t="s">
        <v>60</v>
      </c>
      <c r="U42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$42,"~","~~"),"*","~*"),"?","~?"))</f>
        <v>176558.58</v>
      </c>
      <c r="V42">
        <f>RANK($U$42,$U$30:$U$59,0)+COUNTIF($U$30:U42,$U$42)-1</f>
        <v>5</v>
      </c>
      <c r="W42" t="str">
        <f>IFERROR(INDEX($T$30:$T$59,MATCH(13,$V$30:$V$59,0)),"")</f>
        <v>Podpora Ergo 06</v>
      </c>
      <c r="X42" s="22">
        <f>IFERROR(INDEX($U$30:$U$59,MATCH(13,$V$30:$V$59,0)),0)</f>
        <v>56955.149999999994</v>
      </c>
    </row>
    <row r="43" spans="1:24" x14ac:dyDescent="0.3">
      <c r="T43" t="s">
        <v>61</v>
      </c>
      <c r="U43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$43,"~","~~"),"*","~*"),"?","~?"))</f>
        <v>189588.07999999996</v>
      </c>
      <c r="V43">
        <f>RANK($U$43,$U$30:$U$59,0)+COUNTIF($U$30:U43,$U$43)-1</f>
        <v>4</v>
      </c>
      <c r="W43" t="str">
        <f>IFERROR(INDEX($T$30:$T$59,MATCH(14,$V$30:$V$59,0)),"")</f>
        <v>Zestaw Mira 04</v>
      </c>
      <c r="X43" s="22">
        <f>IFERROR(INDEX($U$30:$U$59,MATCH(14,$V$30:$V$59,0)),0)</f>
        <v>43519.520000000004</v>
      </c>
    </row>
    <row r="44" spans="1:24" x14ac:dyDescent="0.3">
      <c r="T44" t="s">
        <v>62</v>
      </c>
      <c r="U44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$44,"~","~~"),"*","~*"),"?","~?"))</f>
        <v>288739.01</v>
      </c>
      <c r="V44">
        <f>RANK($U$44,$U$30:$U$59,0)+COUNTIF($U$30:U44,$U$44)-1</f>
        <v>2</v>
      </c>
      <c r="W44" t="str">
        <f>IFERROR(INDEX($T$30:$T$59,MATCH(15,$V$30:$V$59,0)),"")</f>
        <v>Zestaw Mira 02</v>
      </c>
      <c r="X44" s="22">
        <f>IFERROR(INDEX($U$30:$U$59,MATCH(15,$V$30:$V$59,0)),0)</f>
        <v>43016.570000000007</v>
      </c>
    </row>
    <row r="45" spans="1:24" x14ac:dyDescent="0.3">
      <c r="T45" t="s">
        <v>63</v>
      </c>
      <c r="U45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$45,"~","~~"),"*","~*"),"?","~?"))</f>
        <v>392058</v>
      </c>
      <c r="V45">
        <f>RANK($U$45,$U$30:$U$59,0)+COUNTIF($U$30:U45,$U$45)-1</f>
        <v>1</v>
      </c>
      <c r="W45" t="str">
        <f>IFERROR(INDEX($T$30:$T$59,MATCH(16,$V$30:$V$59,0)),"")</f>
        <v>Zestaw Mira 03</v>
      </c>
      <c r="X45" s="22">
        <f>IFERROR(INDEX($U$30:$U$59,MATCH(16,$V$30:$V$59,0)),0)</f>
        <v>38195.620000000003</v>
      </c>
    </row>
    <row r="46" spans="1:24" x14ac:dyDescent="0.3">
      <c r="T46" t="s">
        <v>64</v>
      </c>
      <c r="U46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$46,"~","~~"),"*","~*"),"?","~?"))</f>
        <v>256348.34000000005</v>
      </c>
      <c r="V46">
        <f>RANK($U$46,$U$30:$U$59,0)+COUNTIF($U$30:U46,$U$46)-1</f>
        <v>3</v>
      </c>
      <c r="W46" t="str">
        <f>IFERROR(INDEX($T$30:$T$59,MATCH(17,$V$30:$V$59,0)),"")</f>
        <v>Organizer Filo 05</v>
      </c>
      <c r="X46" s="22">
        <f>IFERROR(INDEX($U$30:$U$59,MATCH(17,$V$30:$V$59,0)),0)</f>
        <v>36276.749999999993</v>
      </c>
    </row>
    <row r="47" spans="1:24" x14ac:dyDescent="0.3">
      <c r="T47" t="s">
        <v>65</v>
      </c>
      <c r="U47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$47,"~","~~"),"*","~*"),"?","~?"))</f>
        <v>138979.34000000003</v>
      </c>
      <c r="V47">
        <f>RANK($U$47,$U$30:$U$59,0)+COUNTIF($U$30:U47,$U$47)-1</f>
        <v>6</v>
      </c>
      <c r="W47" t="str">
        <f>IFERROR(INDEX($T$30:$T$59,MATCH(18,$V$30:$V$59,0)),"")</f>
        <v>Organizer Filo 02</v>
      </c>
      <c r="X47" s="22">
        <f>IFERROR(INDEX($U$30:$U$59,MATCH(18,$V$30:$V$59,0)),0)</f>
        <v>32991.58</v>
      </c>
    </row>
    <row r="48" spans="1:24" x14ac:dyDescent="0.3">
      <c r="T48" t="s">
        <v>66</v>
      </c>
      <c r="U48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$48,"~","~~"),"*","~*"),"?","~?"))</f>
        <v>26211.030000000002</v>
      </c>
      <c r="V48">
        <f>RANK($U$48,$U$30:$U$59,0)+COUNTIF($U$30:U48,$U$48)-1</f>
        <v>24</v>
      </c>
      <c r="W48" t="str">
        <f>IFERROR(INDEX($T$30:$T$59,MATCH(19,$V$30:$V$59,0)),"")</f>
        <v>Organizer Filo 04</v>
      </c>
      <c r="X48" s="22">
        <f>IFERROR(INDEX($U$30:$U$59,MATCH(19,$V$30:$V$59,0)),0)</f>
        <v>32665.5</v>
      </c>
    </row>
    <row r="49" spans="20:24" x14ac:dyDescent="0.3">
      <c r="T49" t="s">
        <v>67</v>
      </c>
      <c r="U49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$49,"~","~~"),"*","~*"),"?","~?"))</f>
        <v>32991.58</v>
      </c>
      <c r="V49">
        <f>RANK($U$49,$U$30:$U$59,0)+COUNTIF($U$30:U49,$U$49)-1</f>
        <v>18</v>
      </c>
      <c r="W49" t="str">
        <f>IFERROR(INDEX($T$30:$T$59,MATCH(20,$V$30:$V$59,0)),"")</f>
        <v>Zestaw Mira 01</v>
      </c>
      <c r="X49" s="22">
        <f>IFERROR(INDEX($U$30:$U$59,MATCH(20,$V$30:$V$59,0)),0)</f>
        <v>32193.330000000005</v>
      </c>
    </row>
    <row r="50" spans="20:24" x14ac:dyDescent="0.3">
      <c r="T50" t="s">
        <v>68</v>
      </c>
      <c r="U50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$50,"~","~~"),"*","~*"),"?","~?"))</f>
        <v>32056.460000000003</v>
      </c>
      <c r="V50">
        <f>RANK($U$50,$U$30:$U$59,0)+COUNTIF($U$30:U50,$U$50)-1</f>
        <v>21</v>
      </c>
      <c r="W50" t="str">
        <f>IFERROR(INDEX($T$30:$T$59,MATCH(21,$V$30:$V$59,0)),"")</f>
        <v>Organizer Filo 03</v>
      </c>
      <c r="X50" s="22">
        <f>IFERROR(INDEX($U$30:$U$59,MATCH(21,$V$30:$V$59,0)),0)</f>
        <v>32056.460000000003</v>
      </c>
    </row>
    <row r="51" spans="20:24" x14ac:dyDescent="0.3">
      <c r="T51" t="s">
        <v>69</v>
      </c>
      <c r="U51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$51,"~","~~"),"*","~*"),"?","~?"))</f>
        <v>32665.5</v>
      </c>
      <c r="V51">
        <f>RANK($U$51,$U$30:$U$59,0)+COUNTIF($U$30:U51,$U$51)-1</f>
        <v>19</v>
      </c>
      <c r="W51" t="str">
        <f>IFERROR(INDEX($T$30:$T$59,MATCH(22,$V$30:$V$59,0)),"")</f>
        <v>Notatnik Vela 03</v>
      </c>
      <c r="X51" s="22">
        <f>IFERROR(INDEX($U$30:$U$59,MATCH(22,$V$30:$V$59,0)),0)</f>
        <v>31149.810000000012</v>
      </c>
    </row>
    <row r="52" spans="20:24" x14ac:dyDescent="0.3">
      <c r="T52" t="s">
        <v>70</v>
      </c>
      <c r="U52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$52,"~","~~"),"*","~*"),"?","~?"))</f>
        <v>36276.749999999993</v>
      </c>
      <c r="V52">
        <f>RANK($U$52,$U$30:$U$59,0)+COUNTIF($U$30:U52,$U$52)-1</f>
        <v>17</v>
      </c>
      <c r="W52" t="str">
        <f>IFERROR(INDEX($T$30:$T$59,MATCH(23,$V$30:$V$59,0)),"")</f>
        <v>Zestaw Mira 06</v>
      </c>
      <c r="X52" s="22">
        <f>IFERROR(INDEX($U$30:$U$59,MATCH(23,$V$30:$V$59,0)),0)</f>
        <v>29006.099999999991</v>
      </c>
    </row>
    <row r="53" spans="20:24" x14ac:dyDescent="0.3">
      <c r="T53" t="s">
        <v>71</v>
      </c>
      <c r="U53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$53,"~","~~"),"*","~*"),"?","~?"))</f>
        <v>21021.520000000008</v>
      </c>
      <c r="V53">
        <f>RANK($U$53,$U$30:$U$59,0)+COUNTIF($U$30:U53,$U$53)-1</f>
        <v>26</v>
      </c>
      <c r="W53" t="str">
        <f>IFERROR(INDEX($T$30:$T$59,MATCH(24,$V$30:$V$59,0)),"")</f>
        <v>Organizer Filo 01</v>
      </c>
      <c r="X53" s="22">
        <f>IFERROR(INDEX($U$30:$U$59,MATCH(24,$V$30:$V$59,0)),0)</f>
        <v>26211.030000000002</v>
      </c>
    </row>
    <row r="54" spans="20:24" x14ac:dyDescent="0.3">
      <c r="T54" t="s">
        <v>72</v>
      </c>
      <c r="U54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$54,"~","~~"),"*","~*"),"?","~?"))</f>
        <v>32193.330000000005</v>
      </c>
      <c r="V54">
        <f>RANK($U$54,$U$30:$U$59,0)+COUNTIF($U$30:U54,$U$54)-1</f>
        <v>20</v>
      </c>
      <c r="W54" t="str">
        <f>IFERROR(INDEX($T$30:$T$59,MATCH(25,$V$30:$V$59,0)),"")</f>
        <v>Notatnik Vela 05</v>
      </c>
      <c r="X54" s="22">
        <f>IFERROR(INDEX($U$30:$U$59,MATCH(25,$V$30:$V$59,0)),0)</f>
        <v>24043.49</v>
      </c>
    </row>
    <row r="55" spans="20:24" x14ac:dyDescent="0.3">
      <c r="T55" t="s">
        <v>73</v>
      </c>
      <c r="U55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$55,"~","~~"),"*","~*"),"?","~?"))</f>
        <v>43016.570000000007</v>
      </c>
      <c r="V55">
        <f>RANK($U$55,$U$30:$U$59,0)+COUNTIF($U$30:U55,$U$55)-1</f>
        <v>15</v>
      </c>
      <c r="W55" t="str">
        <f>IFERROR(INDEX($T$30:$T$59,MATCH(26,$V$30:$V$59,0)),"")</f>
        <v>Organizer Filo 06</v>
      </c>
      <c r="X55" s="22">
        <f>IFERROR(INDEX($U$30:$U$59,MATCH(26,$V$30:$V$59,0)),0)</f>
        <v>21021.520000000008</v>
      </c>
    </row>
    <row r="56" spans="20:24" x14ac:dyDescent="0.3">
      <c r="T56" t="s">
        <v>74</v>
      </c>
      <c r="U56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$56,"~","~~"),"*","~*"),"?","~?"))</f>
        <v>38195.620000000003</v>
      </c>
      <c r="V56">
        <f>RANK($U$56,$U$30:$U$59,0)+COUNTIF($U$30:U56,$U$56)-1</f>
        <v>16</v>
      </c>
      <c r="W56" t="str">
        <f>IFERROR(INDEX($T$30:$T$59,MATCH(27,$V$30:$V$59,0)),"")</f>
        <v>Notatnik Vela 02</v>
      </c>
      <c r="X56" s="22">
        <f>IFERROR(INDEX($U$30:$U$59,MATCH(27,$V$30:$V$59,0)),0)</f>
        <v>15701.079999999996</v>
      </c>
    </row>
    <row r="57" spans="20:24" x14ac:dyDescent="0.3">
      <c r="T57" t="s">
        <v>75</v>
      </c>
      <c r="U57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$57,"~","~~"),"*","~*"),"?","~?"))</f>
        <v>43519.520000000004</v>
      </c>
      <c r="V57">
        <f>RANK($U$57,$U$30:$U$59,0)+COUNTIF($U$30:U57,$U$57)-1</f>
        <v>14</v>
      </c>
      <c r="W57" t="str">
        <f>IFERROR(INDEX($T$30:$T$59,MATCH(28,$V$30:$V$59,0)),"")</f>
        <v>Notatnik Vela 04</v>
      </c>
      <c r="X57" s="22">
        <f>IFERROR(INDEX($U$30:$U$59,MATCH(28,$V$30:$V$59,0)),0)</f>
        <v>13665.449999999999</v>
      </c>
    </row>
    <row r="58" spans="20:24" x14ac:dyDescent="0.3">
      <c r="T58" t="s">
        <v>76</v>
      </c>
      <c r="U58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$58,"~","~~"),"*","~*"),"?","~?"))</f>
        <v>66260.23</v>
      </c>
      <c r="V58">
        <f>RANK($U$58,$U$30:$U$59,0)+COUNTIF($U$30:U58,$U$58)-1</f>
        <v>12</v>
      </c>
      <c r="W58" t="str">
        <f>IFERROR(INDEX($T$30:$T$59,MATCH(29,$V$30:$V$59,0)),"")</f>
        <v>Notatnik Vela 06</v>
      </c>
      <c r="X58" s="22">
        <f>IFERROR(INDEX($U$30:$U$59,MATCH(29,$V$30:$V$59,0)),0)</f>
        <v>13386.580000000004</v>
      </c>
    </row>
    <row r="59" spans="20:24" x14ac:dyDescent="0.3">
      <c r="T59" t="s">
        <v>77</v>
      </c>
      <c r="U59">
        <f>SUMIFS(tblSprzedaz[Przychód netto],tblSprzedaz[Data],"&gt;="&amp;$B$6,tblSprzedaz[Data],"&lt;="&amp;$B$7,tblSprzedaz[Region],IF($B$4="Wszystkie","*",SUBSTITUTE(SUBSTITUTE(SUBSTITUTE($B$4,"~","~~"),"*","~*"),"?","~?")),tblSprzedaz[Produkt],SUBSTITUTE(SUBSTITUTE(SUBSTITUTE($T$59,"~","~~"),"*","~*"),"?","~?"))</f>
        <v>29006.099999999991</v>
      </c>
      <c r="V59">
        <f>RANK($U$59,$U$30:$U$59,0)+COUNTIF($U$30:U59,$U$59)-1</f>
        <v>23</v>
      </c>
      <c r="W59" t="str">
        <f>IFERROR(INDEX($T$30:$T$59,MATCH(30,$V$30:$V$59,0)),"")</f>
        <v>Notatnik Vela 01</v>
      </c>
      <c r="X59" s="22">
        <f>IFERROR(INDEX($U$30:$U$59,MATCH(30,$V$30:$V$59,0)),0)</f>
        <v>11064.04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7051E-221D-4B29-A205-1A8AE3507DF8}">
  <sheetPr codeName="Arkusz7">
    <tabColor rgb="FF107C41"/>
  </sheetPr>
  <dimension ref="A1:B11"/>
  <sheetViews>
    <sheetView zoomScaleNormal="100" workbookViewId="0"/>
  </sheetViews>
  <sheetFormatPr defaultRowHeight="15" x14ac:dyDescent="0.25"/>
  <cols>
    <col min="1" max="1" width="36.69921875" style="1" customWidth="1"/>
    <col min="2" max="2" width="100.69921875" style="1" customWidth="1"/>
    <col min="3" max="16384" width="8.796875" style="1"/>
  </cols>
  <sheetData>
    <row r="1" spans="1:2" ht="28.5" x14ac:dyDescent="0.45">
      <c r="A1" s="2" t="s">
        <v>3</v>
      </c>
    </row>
    <row r="2" spans="1:2" x14ac:dyDescent="0.25">
      <c r="A2" s="1" t="s">
        <v>5</v>
      </c>
      <c r="B2" s="1" t="s">
        <v>6</v>
      </c>
    </row>
    <row r="3" spans="1:2" x14ac:dyDescent="0.25">
      <c r="A3" s="1" t="s">
        <v>7</v>
      </c>
      <c r="B3" s="4" t="s">
        <v>8</v>
      </c>
    </row>
    <row r="4" spans="1:2" x14ac:dyDescent="0.25">
      <c r="A4" s="1" t="s">
        <v>9</v>
      </c>
      <c r="B4" s="1" t="s">
        <v>10</v>
      </c>
    </row>
    <row r="5" spans="1:2" x14ac:dyDescent="0.25">
      <c r="A5" s="1" t="s">
        <v>11</v>
      </c>
      <c r="B5" s="4">
        <v>2026</v>
      </c>
    </row>
    <row r="6" spans="1:2" x14ac:dyDescent="0.25">
      <c r="A6" s="1" t="s">
        <v>12</v>
      </c>
      <c r="B6" s="1" t="s">
        <v>13</v>
      </c>
    </row>
    <row r="7" spans="1:2" x14ac:dyDescent="0.25">
      <c r="A7" s="1" t="s">
        <v>14</v>
      </c>
      <c r="B7" s="1" t="s">
        <v>15</v>
      </c>
    </row>
    <row r="8" spans="1:2" x14ac:dyDescent="0.25">
      <c r="A8" s="1" t="s">
        <v>16</v>
      </c>
      <c r="B8" s="3">
        <v>46308.34002314815</v>
      </c>
    </row>
    <row r="11" spans="1:2" x14ac:dyDescent="0.25">
      <c r="B11" s="1" t="s">
        <v>5115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6CEA6-0A28-4132-9C61-DC8B280481C5}">
  <sheetPr codeName="Arkusz8">
    <tabColor rgb="FF107C41"/>
  </sheetPr>
  <dimension ref="A1:B25"/>
  <sheetViews>
    <sheetView workbookViewId="0"/>
  </sheetViews>
  <sheetFormatPr defaultRowHeight="15" x14ac:dyDescent="0.25"/>
  <cols>
    <col min="1" max="1" width="3.69921875" style="1" customWidth="1"/>
    <col min="2" max="2" width="125.69921875" style="1" customWidth="1"/>
    <col min="3" max="16384" width="8.796875" style="1"/>
  </cols>
  <sheetData>
    <row r="1" spans="1:2" ht="28.5" x14ac:dyDescent="0.45">
      <c r="A1" s="2" t="s">
        <v>4</v>
      </c>
    </row>
    <row r="4" spans="1:2" ht="45" customHeight="1" x14ac:dyDescent="0.25">
      <c r="B4" s="19" t="s">
        <v>5072</v>
      </c>
    </row>
    <row r="5" spans="1:2" ht="45" customHeight="1" x14ac:dyDescent="0.25">
      <c r="B5" s="19" t="s">
        <v>5071</v>
      </c>
    </row>
    <row r="6" spans="1:2" ht="45" customHeight="1" x14ac:dyDescent="0.25">
      <c r="B6" s="6" t="s">
        <v>5073</v>
      </c>
    </row>
    <row r="7" spans="1:2" ht="45" customHeight="1" x14ac:dyDescent="0.25">
      <c r="B7" s="6" t="s">
        <v>5074</v>
      </c>
    </row>
    <row r="8" spans="1:2" ht="45" customHeight="1" x14ac:dyDescent="0.25">
      <c r="B8" s="6" t="s">
        <v>5075</v>
      </c>
    </row>
    <row r="9" spans="1:2" ht="45" customHeight="1" x14ac:dyDescent="0.25">
      <c r="B9" s="6" t="s">
        <v>5076</v>
      </c>
    </row>
    <row r="10" spans="1:2" ht="45" customHeight="1" x14ac:dyDescent="0.25">
      <c r="B10" s="6" t="s">
        <v>5077</v>
      </c>
    </row>
    <row r="11" spans="1:2" ht="45" customHeight="1" x14ac:dyDescent="0.25">
      <c r="B11" s="6" t="s">
        <v>5078</v>
      </c>
    </row>
    <row r="12" spans="1:2" ht="45" customHeight="1" x14ac:dyDescent="0.25">
      <c r="B12" s="6" t="s">
        <v>5079</v>
      </c>
    </row>
    <row r="13" spans="1:2" ht="45" customHeight="1" x14ac:dyDescent="0.25">
      <c r="B13" s="6" t="s">
        <v>5080</v>
      </c>
    </row>
    <row r="14" spans="1:2" ht="45" customHeight="1" x14ac:dyDescent="0.25">
      <c r="B14" s="6" t="s">
        <v>5081</v>
      </c>
    </row>
    <row r="15" spans="1:2" ht="45" customHeight="1" x14ac:dyDescent="0.25">
      <c r="B15" s="6" t="s">
        <v>5082</v>
      </c>
    </row>
    <row r="16" spans="1:2" ht="45" customHeight="1" x14ac:dyDescent="0.25">
      <c r="B16" s="6" t="s">
        <v>5083</v>
      </c>
    </row>
    <row r="17" spans="2:2" ht="45" customHeight="1" x14ac:dyDescent="0.25">
      <c r="B17" s="6" t="s">
        <v>5084</v>
      </c>
    </row>
    <row r="18" spans="2:2" ht="45" customHeight="1" x14ac:dyDescent="0.25">
      <c r="B18" s="6" t="s">
        <v>5085</v>
      </c>
    </row>
    <row r="19" spans="2:2" ht="45" customHeight="1" x14ac:dyDescent="0.25">
      <c r="B19" s="6" t="s">
        <v>5086</v>
      </c>
    </row>
    <row r="20" spans="2:2" ht="45" customHeight="1" x14ac:dyDescent="0.25">
      <c r="B20" s="6" t="s">
        <v>5087</v>
      </c>
    </row>
    <row r="21" spans="2:2" ht="45" customHeight="1" x14ac:dyDescent="0.25">
      <c r="B21" s="6" t="s">
        <v>5088</v>
      </c>
    </row>
    <row r="22" spans="2:2" ht="45" customHeight="1" x14ac:dyDescent="0.25">
      <c r="B22" s="6" t="s">
        <v>5089</v>
      </c>
    </row>
    <row r="23" spans="2:2" ht="45" customHeight="1" x14ac:dyDescent="0.25">
      <c r="B23" s="6" t="s">
        <v>5090</v>
      </c>
    </row>
    <row r="24" spans="2:2" ht="45" customHeight="1" x14ac:dyDescent="0.25">
      <c r="B24" s="6" t="s">
        <v>5091</v>
      </c>
    </row>
    <row r="25" spans="2:2" ht="45" customHeight="1" x14ac:dyDescent="0.25">
      <c r="B25" s="6" t="s">
        <v>5092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7</vt:i4>
      </vt:variant>
      <vt:variant>
        <vt:lpstr>Nazwane zakresy</vt:lpstr>
      </vt:variant>
      <vt:variant>
        <vt:i4>12</vt:i4>
      </vt:variant>
    </vt:vector>
  </HeadingPairs>
  <TitlesOfParts>
    <vt:vector size="19" baseType="lpstr">
      <vt:lpstr>DASHBOARD</vt:lpstr>
      <vt:lpstr>SPRZEDAŻ</vt:lpstr>
      <vt:lpstr>CELE</vt:lpstr>
      <vt:lpstr>SŁOWNIKI</vt:lpstr>
      <vt:lpstr>ANALIZA</vt:lpstr>
      <vt:lpstr>USTAWIENIA</vt:lpstr>
      <vt:lpstr>INSTRUKCJA</vt:lpstr>
      <vt:lpstr>filtrMiesiac</vt:lpstr>
      <vt:lpstr>filtrRegion</vt:lpstr>
      <vt:lpstr>filtrRok</vt:lpstr>
      <vt:lpstr>lstHandlowcy</vt:lpstr>
      <vt:lpstr>lstKategorie</vt:lpstr>
      <vt:lpstr>lstKlienci</vt:lpstr>
      <vt:lpstr>lstLata</vt:lpstr>
      <vt:lpstr>lstMiesiace</vt:lpstr>
      <vt:lpstr>lstProdukty</vt:lpstr>
      <vt:lpstr>lstRegionFiltr</vt:lpstr>
      <vt:lpstr>lstRegiony</vt:lpstr>
      <vt:lpstr>DASHBOARD!Obszar_wydruku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 Ciesielski</dc:creator>
  <cp:lastModifiedBy>Filip Ciesielski</cp:lastModifiedBy>
  <cp:lastPrinted>2026-10-13T06:09:40Z</cp:lastPrinted>
  <dcterms:created xsi:type="dcterms:W3CDTF">2026-10-10T09:22:34Z</dcterms:created>
  <dcterms:modified xsi:type="dcterms:W3CDTF">2026-10-13T06:12:39Z</dcterms:modified>
</cp:coreProperties>
</file>